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gpre\Desktop\"/>
    </mc:Choice>
  </mc:AlternateContent>
  <xr:revisionPtr revIDLastSave="0" documentId="13_ncr:8001_{7D71D880-D4B6-4659-8CD8-0C809BB51444}" xr6:coauthVersionLast="47" xr6:coauthVersionMax="47" xr10:uidLastSave="{00000000-0000-0000-0000-000000000000}"/>
  <bookViews>
    <workbookView xWindow="20370" yWindow="-120" windowWidth="20730" windowHeight="11040" activeTab="3" xr2:uid="{163BD091-2732-44AA-9D3B-4E13CCEF74FE}"/>
  </bookViews>
  <sheets>
    <sheet name="BD GN" sheetId="17" r:id="rId1"/>
    <sheet name="BD P&amp;G" sheetId="26" r:id="rId2"/>
    <sheet name="BD M.O" sheetId="21" r:id="rId3"/>
    <sheet name="COTIZACIÓN" sheetId="15" r:id="rId4"/>
    <sheet name="P&amp;G" sheetId="25" r:id="rId5"/>
  </sheets>
  <externalReferences>
    <externalReference r:id="rId6"/>
  </externalReferences>
  <definedNames>
    <definedName name="_xlnm._FilterDatabase" localSheetId="3" hidden="1">COTIZACIÓN!$AB$16:$AB$17</definedName>
    <definedName name="A">#REF!</definedName>
    <definedName name="AA">#REF!</definedName>
    <definedName name="ACABADO">#REF!</definedName>
    <definedName name="ALUMINA">#REF!</definedName>
    <definedName name="ALUMINIO">#REF!</definedName>
    <definedName name="_xlnm.Print_Area" localSheetId="3">COTIZACIÓN!$A$2:$CT$1471</definedName>
    <definedName name="CLASSIC">#REF!</definedName>
    <definedName name="COLOR">#REF!</definedName>
    <definedName name="CRISTAL">#REF!</definedName>
    <definedName name="ESPESOR">#REF!</definedName>
    <definedName name="LINEA">#REF!</definedName>
    <definedName name="PREMIUM">#REF!</definedName>
    <definedName name="PRIMAVERA">#REF!</definedName>
    <definedName name="REFUERZO">#REF!</definedName>
    <definedName name="SG3_">#REF!</definedName>
    <definedName name="SG40_">#REF!</definedName>
    <definedName name="SG40_PB">#REF!</definedName>
    <definedName name="SG5_">#REF!</definedName>
    <definedName name="_xlnm.Print_Titles" localSheetId="3">COTIZACIÓN!$3:$13</definedName>
    <definedName name="TRADICIONAL">#REF!</definedName>
    <definedName name="VANO">#REF!</definedName>
    <definedName name="VENECIA">#REF!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363" i="15" l="1"/>
  <c r="AH365" i="15"/>
  <c r="AG365" i="15"/>
  <c r="AE365" i="15"/>
  <c r="AG364" i="15"/>
  <c r="AE364" i="15"/>
  <c r="AB363" i="15"/>
  <c r="BD359" i="15"/>
  <c r="BD357" i="15"/>
  <c r="S359" i="15"/>
  <c r="Q359" i="15"/>
  <c r="S357" i="15"/>
  <c r="Q357" i="15"/>
  <c r="Q355" i="15"/>
  <c r="R355" i="15"/>
  <c r="S355" i="15"/>
  <c r="O359" i="15" l="1"/>
  <c r="O357" i="15"/>
  <c r="O355" i="15"/>
  <c r="AG24" i="25"/>
  <c r="AH24" i="25" s="1"/>
  <c r="AF20" i="25"/>
  <c r="AG19" i="25"/>
  <c r="AH19" i="25" s="1"/>
  <c r="AG18" i="25"/>
  <c r="AG17" i="25"/>
  <c r="AG20" i="25" s="1"/>
  <c r="AF13" i="25"/>
  <c r="AG12" i="25"/>
  <c r="AH12" i="25" s="1"/>
  <c r="AG11" i="25"/>
  <c r="AG10" i="25"/>
  <c r="AG9" i="25"/>
  <c r="AG8" i="25"/>
  <c r="AG6" i="25"/>
  <c r="AH18" i="25" l="1"/>
  <c r="AH9" i="25"/>
  <c r="AH10" i="25"/>
  <c r="AF22" i="25"/>
  <c r="AG13" i="25"/>
  <c r="AH11" i="25"/>
  <c r="AF26" i="25"/>
  <c r="AG26" i="25" s="1"/>
  <c r="AG22" i="25"/>
  <c r="AH22" i="25" s="1"/>
  <c r="AH26" i="25" s="1"/>
  <c r="AH8" i="25"/>
  <c r="AH13" i="25" s="1"/>
  <c r="AF15" i="25"/>
  <c r="AG15" i="25" s="1"/>
  <c r="AH15" i="25" s="1"/>
  <c r="AH17" i="25"/>
  <c r="AH20" i="25" s="1"/>
  <c r="U367" i="15" l="1"/>
  <c r="W367" i="15" s="1"/>
  <c r="U366" i="15"/>
  <c r="W366" i="15" s="1"/>
  <c r="X366" i="15" s="1"/>
  <c r="U365" i="15"/>
  <c r="W365" i="15" s="1"/>
  <c r="X365" i="15" s="1"/>
  <c r="U364" i="15"/>
  <c r="W364" i="15" s="1"/>
  <c r="X364" i="15" s="1"/>
  <c r="T363" i="15"/>
  <c r="W363" i="15" s="1"/>
  <c r="X367" i="15" l="1"/>
  <c r="AH4" i="17" l="1"/>
  <c r="AI4" i="17" s="1"/>
  <c r="S330" i="15" l="1"/>
  <c r="S323" i="15"/>
  <c r="S316" i="15"/>
  <c r="S309" i="15"/>
  <c r="S302" i="15"/>
  <c r="S295" i="15"/>
  <c r="S288" i="15"/>
  <c r="S281" i="15"/>
  <c r="S274" i="15"/>
  <c r="S267" i="15"/>
  <c r="S260" i="15"/>
  <c r="S253" i="15"/>
  <c r="S246" i="15"/>
  <c r="S239" i="15"/>
  <c r="S232" i="15"/>
  <c r="S225" i="15"/>
  <c r="S218" i="15"/>
  <c r="S211" i="15"/>
  <c r="S204" i="15"/>
  <c r="S197" i="15"/>
  <c r="S190" i="15"/>
  <c r="S183" i="15"/>
  <c r="S176" i="15"/>
  <c r="S169" i="15"/>
  <c r="S162" i="15"/>
  <c r="S155" i="15"/>
  <c r="S148" i="15"/>
  <c r="S141" i="15"/>
  <c r="S134" i="15"/>
  <c r="S127" i="15"/>
  <c r="S120" i="15"/>
  <c r="S113" i="15"/>
  <c r="S106" i="15"/>
  <c r="S99" i="15"/>
  <c r="S92" i="15"/>
  <c r="S85" i="15"/>
  <c r="S78" i="15"/>
  <c r="S71" i="15"/>
  <c r="S64" i="15"/>
  <c r="S57" i="15"/>
  <c r="S50" i="15"/>
  <c r="S43" i="15"/>
  <c r="S36" i="15"/>
  <c r="S29" i="15"/>
  <c r="S22" i="15"/>
  <c r="S15" i="15"/>
  <c r="D45" i="26" l="1"/>
  <c r="E45" i="26" s="1"/>
  <c r="D44" i="26"/>
  <c r="E44" i="26" s="1"/>
  <c r="D38" i="26"/>
  <c r="E38" i="26" s="1"/>
  <c r="D34" i="26"/>
  <c r="E34" i="26" s="1"/>
  <c r="D30" i="26"/>
  <c r="E30" i="26" s="1"/>
  <c r="D31" i="26"/>
  <c r="E31" i="26" s="1"/>
  <c r="D32" i="26"/>
  <c r="E32" i="26" s="1"/>
  <c r="D33" i="26"/>
  <c r="E33" i="26" s="1"/>
  <c r="D35" i="26"/>
  <c r="E35" i="26" s="1"/>
  <c r="D36" i="26"/>
  <c r="E36" i="26" s="1"/>
  <c r="D37" i="26"/>
  <c r="E37" i="26" s="1"/>
  <c r="D39" i="26"/>
  <c r="E39" i="26" s="1"/>
  <c r="D29" i="26"/>
  <c r="E29" i="26" s="1"/>
  <c r="D28" i="26"/>
  <c r="E28" i="26" s="1"/>
  <c r="Y13" i="15" s="1"/>
  <c r="D17" i="26"/>
  <c r="E17" i="26" s="1"/>
  <c r="D18" i="26"/>
  <c r="E18" i="26" s="1"/>
  <c r="D19" i="26"/>
  <c r="E19" i="26" s="1"/>
  <c r="D20" i="26"/>
  <c r="E20" i="26" s="1"/>
  <c r="D21" i="26"/>
  <c r="E21" i="26" s="1"/>
  <c r="D22" i="26"/>
  <c r="E22" i="26" s="1"/>
  <c r="D23" i="26"/>
  <c r="E23" i="26" s="1"/>
  <c r="D16" i="26"/>
  <c r="E16" i="26" s="1"/>
  <c r="D8" i="26"/>
  <c r="E8" i="26" s="1"/>
  <c r="D9" i="26"/>
  <c r="E9" i="26" s="1"/>
  <c r="D10" i="26"/>
  <c r="E10" i="26" s="1"/>
  <c r="D11" i="26"/>
  <c r="E11" i="26" s="1"/>
  <c r="D7" i="26"/>
  <c r="E7" i="26" s="1"/>
  <c r="E50" i="21"/>
  <c r="E49" i="21"/>
  <c r="DW1422" i="15"/>
  <c r="DY1422" i="15" s="1"/>
  <c r="DV1422" i="15"/>
  <c r="DX1422" i="15" s="1"/>
  <c r="DU1422" i="15"/>
  <c r="DT1422" i="15"/>
  <c r="DS1422" i="15"/>
  <c r="DR1422" i="15"/>
  <c r="DQ1422" i="15"/>
  <c r="DP1422" i="15"/>
  <c r="DO1422" i="15"/>
  <c r="DN1422" i="15"/>
  <c r="DM1422" i="15"/>
  <c r="DL1422" i="15"/>
  <c r="DK1422" i="15"/>
  <c r="DJ1422" i="15"/>
  <c r="DI1422" i="15"/>
  <c r="DW1419" i="15"/>
  <c r="DY1419" i="15" s="1"/>
  <c r="DV1419" i="15"/>
  <c r="DX1419" i="15" s="1"/>
  <c r="DU1419" i="15"/>
  <c r="DT1419" i="15"/>
  <c r="DS1419" i="15"/>
  <c r="DR1419" i="15"/>
  <c r="DQ1419" i="15"/>
  <c r="DP1419" i="15"/>
  <c r="DO1419" i="15"/>
  <c r="DN1419" i="15"/>
  <c r="DM1419" i="15"/>
  <c r="DL1419" i="15"/>
  <c r="DK1419" i="15"/>
  <c r="DJ1419" i="15"/>
  <c r="DI1419" i="15"/>
  <c r="DW1415" i="15"/>
  <c r="DY1415" i="15" s="1"/>
  <c r="DV1415" i="15"/>
  <c r="DX1415" i="15" s="1"/>
  <c r="DU1415" i="15"/>
  <c r="DT1415" i="15"/>
  <c r="DS1415" i="15"/>
  <c r="DR1415" i="15"/>
  <c r="DQ1415" i="15"/>
  <c r="DP1415" i="15"/>
  <c r="DO1415" i="15"/>
  <c r="DN1415" i="15"/>
  <c r="DM1415" i="15"/>
  <c r="DL1415" i="15"/>
  <c r="DK1415" i="15"/>
  <c r="DJ1415" i="15"/>
  <c r="DI1415" i="15"/>
  <c r="DW1412" i="15"/>
  <c r="DY1412" i="15" s="1"/>
  <c r="DV1412" i="15"/>
  <c r="DX1412" i="15" s="1"/>
  <c r="DU1412" i="15"/>
  <c r="DT1412" i="15"/>
  <c r="DS1412" i="15"/>
  <c r="DR1412" i="15"/>
  <c r="DQ1412" i="15"/>
  <c r="DP1412" i="15"/>
  <c r="DO1412" i="15"/>
  <c r="DN1412" i="15"/>
  <c r="DM1412" i="15"/>
  <c r="DL1412" i="15"/>
  <c r="DK1412" i="15"/>
  <c r="DJ1412" i="15"/>
  <c r="DI1412" i="15"/>
  <c r="DW1408" i="15"/>
  <c r="DY1408" i="15" s="1"/>
  <c r="DV1408" i="15"/>
  <c r="DX1408" i="15" s="1"/>
  <c r="DU1408" i="15"/>
  <c r="DT1408" i="15"/>
  <c r="DS1408" i="15"/>
  <c r="DR1408" i="15"/>
  <c r="DQ1408" i="15"/>
  <c r="DP1408" i="15"/>
  <c r="DO1408" i="15"/>
  <c r="DN1408" i="15"/>
  <c r="DM1408" i="15"/>
  <c r="DL1408" i="15"/>
  <c r="DK1408" i="15"/>
  <c r="DJ1408" i="15"/>
  <c r="DI1408" i="15"/>
  <c r="DW1405" i="15"/>
  <c r="DY1405" i="15" s="1"/>
  <c r="DV1405" i="15"/>
  <c r="DX1405" i="15" s="1"/>
  <c r="DU1405" i="15"/>
  <c r="DT1405" i="15"/>
  <c r="DS1405" i="15"/>
  <c r="DR1405" i="15"/>
  <c r="DQ1405" i="15"/>
  <c r="DP1405" i="15"/>
  <c r="DO1405" i="15"/>
  <c r="DN1405" i="15"/>
  <c r="DM1405" i="15"/>
  <c r="DL1405" i="15"/>
  <c r="DK1405" i="15"/>
  <c r="DJ1405" i="15"/>
  <c r="DI1405" i="15"/>
  <c r="DW1401" i="15"/>
  <c r="DY1401" i="15" s="1"/>
  <c r="DV1401" i="15"/>
  <c r="DX1401" i="15" s="1"/>
  <c r="DU1401" i="15"/>
  <c r="DT1401" i="15"/>
  <c r="DS1401" i="15"/>
  <c r="DR1401" i="15"/>
  <c r="DQ1401" i="15"/>
  <c r="DP1401" i="15"/>
  <c r="DO1401" i="15"/>
  <c r="DN1401" i="15"/>
  <c r="DM1401" i="15"/>
  <c r="DL1401" i="15"/>
  <c r="DK1401" i="15"/>
  <c r="DJ1401" i="15"/>
  <c r="DI1401" i="15"/>
  <c r="DW1398" i="15"/>
  <c r="DY1398" i="15" s="1"/>
  <c r="DV1398" i="15"/>
  <c r="DX1398" i="15" s="1"/>
  <c r="DU1398" i="15"/>
  <c r="DT1398" i="15"/>
  <c r="DS1398" i="15"/>
  <c r="DR1398" i="15"/>
  <c r="DQ1398" i="15"/>
  <c r="DP1398" i="15"/>
  <c r="DO1398" i="15"/>
  <c r="DN1398" i="15"/>
  <c r="DM1398" i="15"/>
  <c r="DL1398" i="15"/>
  <c r="DK1398" i="15"/>
  <c r="DJ1398" i="15"/>
  <c r="DI1398" i="15"/>
  <c r="DW1394" i="15"/>
  <c r="DY1394" i="15" s="1"/>
  <c r="DV1394" i="15"/>
  <c r="DX1394" i="15" s="1"/>
  <c r="DU1394" i="15"/>
  <c r="DT1394" i="15"/>
  <c r="DS1394" i="15"/>
  <c r="DR1394" i="15"/>
  <c r="DQ1394" i="15"/>
  <c r="DP1394" i="15"/>
  <c r="DO1394" i="15"/>
  <c r="DN1394" i="15"/>
  <c r="DM1394" i="15"/>
  <c r="DL1394" i="15"/>
  <c r="DK1394" i="15"/>
  <c r="DJ1394" i="15"/>
  <c r="DI1394" i="15"/>
  <c r="DW1391" i="15"/>
  <c r="DY1391" i="15" s="1"/>
  <c r="DV1391" i="15"/>
  <c r="DX1391" i="15" s="1"/>
  <c r="DU1391" i="15"/>
  <c r="DT1391" i="15"/>
  <c r="DS1391" i="15"/>
  <c r="DR1391" i="15"/>
  <c r="DQ1391" i="15"/>
  <c r="DP1391" i="15"/>
  <c r="DO1391" i="15"/>
  <c r="DN1391" i="15"/>
  <c r="DM1391" i="15"/>
  <c r="DL1391" i="15"/>
  <c r="DK1391" i="15"/>
  <c r="DJ1391" i="15"/>
  <c r="DI1391" i="15"/>
  <c r="DW1387" i="15"/>
  <c r="DY1387" i="15" s="1"/>
  <c r="DV1387" i="15"/>
  <c r="DX1387" i="15" s="1"/>
  <c r="DU1387" i="15"/>
  <c r="DT1387" i="15"/>
  <c r="DS1387" i="15"/>
  <c r="DR1387" i="15"/>
  <c r="DQ1387" i="15"/>
  <c r="DP1387" i="15"/>
  <c r="DO1387" i="15"/>
  <c r="DN1387" i="15"/>
  <c r="DM1387" i="15"/>
  <c r="DL1387" i="15"/>
  <c r="DK1387" i="15"/>
  <c r="DJ1387" i="15"/>
  <c r="DI1387" i="15"/>
  <c r="DW1384" i="15"/>
  <c r="DY1384" i="15" s="1"/>
  <c r="DV1384" i="15"/>
  <c r="DX1384" i="15" s="1"/>
  <c r="DU1384" i="15"/>
  <c r="DT1384" i="15"/>
  <c r="DS1384" i="15"/>
  <c r="DR1384" i="15"/>
  <c r="DQ1384" i="15"/>
  <c r="DP1384" i="15"/>
  <c r="DO1384" i="15"/>
  <c r="DN1384" i="15"/>
  <c r="DM1384" i="15"/>
  <c r="DL1384" i="15"/>
  <c r="DK1384" i="15"/>
  <c r="DJ1384" i="15"/>
  <c r="DI1384" i="15"/>
  <c r="DW1380" i="15"/>
  <c r="DY1380" i="15" s="1"/>
  <c r="DV1380" i="15"/>
  <c r="DX1380" i="15" s="1"/>
  <c r="DU1380" i="15"/>
  <c r="DT1380" i="15"/>
  <c r="DS1380" i="15"/>
  <c r="DR1380" i="15"/>
  <c r="DQ1380" i="15"/>
  <c r="DP1380" i="15"/>
  <c r="DO1380" i="15"/>
  <c r="DN1380" i="15"/>
  <c r="DM1380" i="15"/>
  <c r="DL1380" i="15"/>
  <c r="DK1380" i="15"/>
  <c r="DJ1380" i="15"/>
  <c r="DI1380" i="15"/>
  <c r="DW1377" i="15"/>
  <c r="DY1377" i="15" s="1"/>
  <c r="DV1377" i="15"/>
  <c r="DX1377" i="15" s="1"/>
  <c r="DU1377" i="15"/>
  <c r="DT1377" i="15"/>
  <c r="DS1377" i="15"/>
  <c r="DR1377" i="15"/>
  <c r="DQ1377" i="15"/>
  <c r="DP1377" i="15"/>
  <c r="DO1377" i="15"/>
  <c r="DN1377" i="15"/>
  <c r="DM1377" i="15"/>
  <c r="DL1377" i="15"/>
  <c r="DK1377" i="15"/>
  <c r="DJ1377" i="15"/>
  <c r="DI1377" i="15"/>
  <c r="DW1373" i="15"/>
  <c r="DY1373" i="15" s="1"/>
  <c r="DV1373" i="15"/>
  <c r="DX1373" i="15" s="1"/>
  <c r="DU1373" i="15"/>
  <c r="DT1373" i="15"/>
  <c r="DS1373" i="15"/>
  <c r="DR1373" i="15"/>
  <c r="DQ1373" i="15"/>
  <c r="DP1373" i="15"/>
  <c r="DO1373" i="15"/>
  <c r="DN1373" i="15"/>
  <c r="DM1373" i="15"/>
  <c r="DL1373" i="15"/>
  <c r="DK1373" i="15"/>
  <c r="DJ1373" i="15"/>
  <c r="DI1373" i="15"/>
  <c r="DW1370" i="15"/>
  <c r="DY1370" i="15" s="1"/>
  <c r="DV1370" i="15"/>
  <c r="DX1370" i="15" s="1"/>
  <c r="DU1370" i="15"/>
  <c r="DT1370" i="15"/>
  <c r="DS1370" i="15"/>
  <c r="DR1370" i="15"/>
  <c r="DQ1370" i="15"/>
  <c r="DP1370" i="15"/>
  <c r="DO1370" i="15"/>
  <c r="DN1370" i="15"/>
  <c r="DM1370" i="15"/>
  <c r="DL1370" i="15"/>
  <c r="DK1370" i="15"/>
  <c r="DJ1370" i="15"/>
  <c r="DI1370" i="15"/>
  <c r="DW1366" i="15"/>
  <c r="DY1366" i="15" s="1"/>
  <c r="DV1366" i="15"/>
  <c r="DX1366" i="15" s="1"/>
  <c r="DU1366" i="15"/>
  <c r="DT1366" i="15"/>
  <c r="DS1366" i="15"/>
  <c r="DR1366" i="15"/>
  <c r="DQ1366" i="15"/>
  <c r="DP1366" i="15"/>
  <c r="DO1366" i="15"/>
  <c r="DN1366" i="15"/>
  <c r="DM1366" i="15"/>
  <c r="DL1366" i="15"/>
  <c r="DK1366" i="15"/>
  <c r="DJ1366" i="15"/>
  <c r="DI1366" i="15"/>
  <c r="DW1363" i="15"/>
  <c r="DY1363" i="15" s="1"/>
  <c r="DV1363" i="15"/>
  <c r="DX1363" i="15" s="1"/>
  <c r="DU1363" i="15"/>
  <c r="DT1363" i="15"/>
  <c r="DS1363" i="15"/>
  <c r="DR1363" i="15"/>
  <c r="DQ1363" i="15"/>
  <c r="DP1363" i="15"/>
  <c r="DO1363" i="15"/>
  <c r="DN1363" i="15"/>
  <c r="DM1363" i="15"/>
  <c r="DL1363" i="15"/>
  <c r="DK1363" i="15"/>
  <c r="DJ1363" i="15"/>
  <c r="DI1363" i="15"/>
  <c r="DW1359" i="15"/>
  <c r="DY1359" i="15" s="1"/>
  <c r="DV1359" i="15"/>
  <c r="DX1359" i="15" s="1"/>
  <c r="DU1359" i="15"/>
  <c r="DT1359" i="15"/>
  <c r="DS1359" i="15"/>
  <c r="DR1359" i="15"/>
  <c r="DQ1359" i="15"/>
  <c r="DP1359" i="15"/>
  <c r="DO1359" i="15"/>
  <c r="DN1359" i="15"/>
  <c r="DM1359" i="15"/>
  <c r="DL1359" i="15"/>
  <c r="DK1359" i="15"/>
  <c r="DJ1359" i="15"/>
  <c r="DI1359" i="15"/>
  <c r="DW1356" i="15"/>
  <c r="DY1356" i="15" s="1"/>
  <c r="DV1356" i="15"/>
  <c r="DX1356" i="15" s="1"/>
  <c r="DU1356" i="15"/>
  <c r="DT1356" i="15"/>
  <c r="DS1356" i="15"/>
  <c r="DR1356" i="15"/>
  <c r="DQ1356" i="15"/>
  <c r="DP1356" i="15"/>
  <c r="DO1356" i="15"/>
  <c r="DN1356" i="15"/>
  <c r="DM1356" i="15"/>
  <c r="DL1356" i="15"/>
  <c r="DK1356" i="15"/>
  <c r="DJ1356" i="15"/>
  <c r="DI1356" i="15"/>
  <c r="DW333" i="15"/>
  <c r="DY333" i="15" s="1"/>
  <c r="DV333" i="15"/>
  <c r="DX333" i="15" s="1"/>
  <c r="DU333" i="15"/>
  <c r="DT333" i="15"/>
  <c r="DS333" i="15"/>
  <c r="DR333" i="15"/>
  <c r="DQ333" i="15"/>
  <c r="DP333" i="15"/>
  <c r="DO333" i="15"/>
  <c r="DN333" i="15"/>
  <c r="DM333" i="15"/>
  <c r="DL333" i="15"/>
  <c r="DK333" i="15"/>
  <c r="DJ333" i="15"/>
  <c r="DI333" i="15"/>
  <c r="DW330" i="15"/>
  <c r="DY330" i="15" s="1"/>
  <c r="DV330" i="15"/>
  <c r="DX330" i="15" s="1"/>
  <c r="DU330" i="15"/>
  <c r="DT330" i="15"/>
  <c r="DS330" i="15"/>
  <c r="DR330" i="15"/>
  <c r="DQ330" i="15"/>
  <c r="DP330" i="15"/>
  <c r="DO330" i="15"/>
  <c r="DN330" i="15"/>
  <c r="DM330" i="15"/>
  <c r="DL330" i="15"/>
  <c r="DK330" i="15"/>
  <c r="DJ330" i="15"/>
  <c r="DI330" i="15"/>
  <c r="DW326" i="15"/>
  <c r="DY326" i="15" s="1"/>
  <c r="DV326" i="15"/>
  <c r="DX326" i="15" s="1"/>
  <c r="DU326" i="15"/>
  <c r="DT326" i="15"/>
  <c r="DS326" i="15"/>
  <c r="DR326" i="15"/>
  <c r="DQ326" i="15"/>
  <c r="DP326" i="15"/>
  <c r="DO326" i="15"/>
  <c r="DN326" i="15"/>
  <c r="DM326" i="15"/>
  <c r="DL326" i="15"/>
  <c r="DK326" i="15"/>
  <c r="DJ326" i="15"/>
  <c r="DI326" i="15"/>
  <c r="DW323" i="15"/>
  <c r="DY323" i="15" s="1"/>
  <c r="DV323" i="15"/>
  <c r="DX323" i="15" s="1"/>
  <c r="DU323" i="15"/>
  <c r="DT323" i="15"/>
  <c r="DS323" i="15"/>
  <c r="DR323" i="15"/>
  <c r="DQ323" i="15"/>
  <c r="DP323" i="15"/>
  <c r="DO323" i="15"/>
  <c r="DN323" i="15"/>
  <c r="DM323" i="15"/>
  <c r="DL323" i="15"/>
  <c r="DK323" i="15"/>
  <c r="DJ323" i="15"/>
  <c r="DI323" i="15"/>
  <c r="DW319" i="15"/>
  <c r="DY319" i="15" s="1"/>
  <c r="DV319" i="15"/>
  <c r="DX319" i="15" s="1"/>
  <c r="DU319" i="15"/>
  <c r="DT319" i="15"/>
  <c r="DS319" i="15"/>
  <c r="DR319" i="15"/>
  <c r="DQ319" i="15"/>
  <c r="DP319" i="15"/>
  <c r="DO319" i="15"/>
  <c r="DN319" i="15"/>
  <c r="DM319" i="15"/>
  <c r="DL319" i="15"/>
  <c r="DK319" i="15"/>
  <c r="DJ319" i="15"/>
  <c r="DI319" i="15"/>
  <c r="DW316" i="15"/>
  <c r="DY316" i="15" s="1"/>
  <c r="DV316" i="15"/>
  <c r="DX316" i="15" s="1"/>
  <c r="DU316" i="15"/>
  <c r="DT316" i="15"/>
  <c r="DS316" i="15"/>
  <c r="DR316" i="15"/>
  <c r="DQ316" i="15"/>
  <c r="DP316" i="15"/>
  <c r="DO316" i="15"/>
  <c r="DN316" i="15"/>
  <c r="DM316" i="15"/>
  <c r="DL316" i="15"/>
  <c r="DK316" i="15"/>
  <c r="DJ316" i="15"/>
  <c r="DI316" i="15"/>
  <c r="DW312" i="15"/>
  <c r="DY312" i="15" s="1"/>
  <c r="DV312" i="15"/>
  <c r="DX312" i="15" s="1"/>
  <c r="DU312" i="15"/>
  <c r="DT312" i="15"/>
  <c r="DS312" i="15"/>
  <c r="DR312" i="15"/>
  <c r="DQ312" i="15"/>
  <c r="DP312" i="15"/>
  <c r="DO312" i="15"/>
  <c r="DN312" i="15"/>
  <c r="DM312" i="15"/>
  <c r="DL312" i="15"/>
  <c r="DK312" i="15"/>
  <c r="DJ312" i="15"/>
  <c r="DI312" i="15"/>
  <c r="DW309" i="15"/>
  <c r="DY309" i="15" s="1"/>
  <c r="DV309" i="15"/>
  <c r="DX309" i="15" s="1"/>
  <c r="DU309" i="15"/>
  <c r="DT309" i="15"/>
  <c r="DS309" i="15"/>
  <c r="DR309" i="15"/>
  <c r="DQ309" i="15"/>
  <c r="DP309" i="15"/>
  <c r="DO309" i="15"/>
  <c r="DN309" i="15"/>
  <c r="DM309" i="15"/>
  <c r="DL309" i="15"/>
  <c r="DK309" i="15"/>
  <c r="DJ309" i="15"/>
  <c r="DI309" i="15"/>
  <c r="DW305" i="15"/>
  <c r="DY305" i="15" s="1"/>
  <c r="DV305" i="15"/>
  <c r="DX305" i="15" s="1"/>
  <c r="DU305" i="15"/>
  <c r="DT305" i="15"/>
  <c r="DS305" i="15"/>
  <c r="DR305" i="15"/>
  <c r="DQ305" i="15"/>
  <c r="DP305" i="15"/>
  <c r="DO305" i="15"/>
  <c r="DN305" i="15"/>
  <c r="DM305" i="15"/>
  <c r="DL305" i="15"/>
  <c r="DK305" i="15"/>
  <c r="DJ305" i="15"/>
  <c r="DI305" i="15"/>
  <c r="DW302" i="15"/>
  <c r="DY302" i="15" s="1"/>
  <c r="DV302" i="15"/>
  <c r="DX302" i="15" s="1"/>
  <c r="DU302" i="15"/>
  <c r="DT302" i="15"/>
  <c r="DS302" i="15"/>
  <c r="DR302" i="15"/>
  <c r="DQ302" i="15"/>
  <c r="DP302" i="15"/>
  <c r="DO302" i="15"/>
  <c r="DN302" i="15"/>
  <c r="DM302" i="15"/>
  <c r="DL302" i="15"/>
  <c r="DK302" i="15"/>
  <c r="DJ302" i="15"/>
  <c r="DI302" i="15"/>
  <c r="DW298" i="15"/>
  <c r="DY298" i="15" s="1"/>
  <c r="DV298" i="15"/>
  <c r="DX298" i="15" s="1"/>
  <c r="DU298" i="15"/>
  <c r="DT298" i="15"/>
  <c r="DS298" i="15"/>
  <c r="DR298" i="15"/>
  <c r="DQ298" i="15"/>
  <c r="DP298" i="15"/>
  <c r="DO298" i="15"/>
  <c r="DN298" i="15"/>
  <c r="DM298" i="15"/>
  <c r="DL298" i="15"/>
  <c r="DK298" i="15"/>
  <c r="DJ298" i="15"/>
  <c r="DI298" i="15"/>
  <c r="DW295" i="15"/>
  <c r="DY295" i="15" s="1"/>
  <c r="DV295" i="15"/>
  <c r="DX295" i="15" s="1"/>
  <c r="DU295" i="15"/>
  <c r="DT295" i="15"/>
  <c r="DS295" i="15"/>
  <c r="DR295" i="15"/>
  <c r="DQ295" i="15"/>
  <c r="DP295" i="15"/>
  <c r="DO295" i="15"/>
  <c r="DN295" i="15"/>
  <c r="DM295" i="15"/>
  <c r="DL295" i="15"/>
  <c r="DK295" i="15"/>
  <c r="DJ295" i="15"/>
  <c r="DI295" i="15"/>
  <c r="DW291" i="15"/>
  <c r="DY291" i="15" s="1"/>
  <c r="DV291" i="15"/>
  <c r="DX291" i="15" s="1"/>
  <c r="DU291" i="15"/>
  <c r="DT291" i="15"/>
  <c r="DS291" i="15"/>
  <c r="DR291" i="15"/>
  <c r="DQ291" i="15"/>
  <c r="DP291" i="15"/>
  <c r="DO291" i="15"/>
  <c r="DN291" i="15"/>
  <c r="DM291" i="15"/>
  <c r="DL291" i="15"/>
  <c r="DK291" i="15"/>
  <c r="DJ291" i="15"/>
  <c r="DI291" i="15"/>
  <c r="DW288" i="15"/>
  <c r="DY288" i="15" s="1"/>
  <c r="DV288" i="15"/>
  <c r="DX288" i="15" s="1"/>
  <c r="DU288" i="15"/>
  <c r="DT288" i="15"/>
  <c r="DS288" i="15"/>
  <c r="DR288" i="15"/>
  <c r="DQ288" i="15"/>
  <c r="DP288" i="15"/>
  <c r="DO288" i="15"/>
  <c r="DN288" i="15"/>
  <c r="DM288" i="15"/>
  <c r="DL288" i="15"/>
  <c r="DK288" i="15"/>
  <c r="DJ288" i="15"/>
  <c r="DI288" i="15"/>
  <c r="DW284" i="15"/>
  <c r="DY284" i="15" s="1"/>
  <c r="DV284" i="15"/>
  <c r="DX284" i="15" s="1"/>
  <c r="DU284" i="15"/>
  <c r="DT284" i="15"/>
  <c r="DS284" i="15"/>
  <c r="DR284" i="15"/>
  <c r="DQ284" i="15"/>
  <c r="DP284" i="15"/>
  <c r="DO284" i="15"/>
  <c r="DN284" i="15"/>
  <c r="DM284" i="15"/>
  <c r="DL284" i="15"/>
  <c r="DK284" i="15"/>
  <c r="DJ284" i="15"/>
  <c r="DI284" i="15"/>
  <c r="DW281" i="15"/>
  <c r="DY281" i="15" s="1"/>
  <c r="DV281" i="15"/>
  <c r="DX281" i="15" s="1"/>
  <c r="DU281" i="15"/>
  <c r="DT281" i="15"/>
  <c r="DS281" i="15"/>
  <c r="DR281" i="15"/>
  <c r="DQ281" i="15"/>
  <c r="DP281" i="15"/>
  <c r="DO281" i="15"/>
  <c r="DN281" i="15"/>
  <c r="DM281" i="15"/>
  <c r="DL281" i="15"/>
  <c r="DK281" i="15"/>
  <c r="DJ281" i="15"/>
  <c r="DI281" i="15"/>
  <c r="DW277" i="15"/>
  <c r="DY277" i="15" s="1"/>
  <c r="DV277" i="15"/>
  <c r="DX277" i="15" s="1"/>
  <c r="DU277" i="15"/>
  <c r="DT277" i="15"/>
  <c r="DS277" i="15"/>
  <c r="DR277" i="15"/>
  <c r="DQ277" i="15"/>
  <c r="DP277" i="15"/>
  <c r="DO277" i="15"/>
  <c r="DN277" i="15"/>
  <c r="DM277" i="15"/>
  <c r="DL277" i="15"/>
  <c r="DK277" i="15"/>
  <c r="DJ277" i="15"/>
  <c r="DI277" i="15"/>
  <c r="DW274" i="15"/>
  <c r="DY274" i="15" s="1"/>
  <c r="DV274" i="15"/>
  <c r="DX274" i="15" s="1"/>
  <c r="DU274" i="15"/>
  <c r="DT274" i="15"/>
  <c r="DS274" i="15"/>
  <c r="DR274" i="15"/>
  <c r="DQ274" i="15"/>
  <c r="DP274" i="15"/>
  <c r="DO274" i="15"/>
  <c r="DN274" i="15"/>
  <c r="DM274" i="15"/>
  <c r="DL274" i="15"/>
  <c r="DK274" i="15"/>
  <c r="DJ274" i="15"/>
  <c r="DI274" i="15"/>
  <c r="DW270" i="15"/>
  <c r="DY270" i="15" s="1"/>
  <c r="DV270" i="15"/>
  <c r="DX270" i="15" s="1"/>
  <c r="DU270" i="15"/>
  <c r="DT270" i="15"/>
  <c r="DS270" i="15"/>
  <c r="DR270" i="15"/>
  <c r="DQ270" i="15"/>
  <c r="DP270" i="15"/>
  <c r="DO270" i="15"/>
  <c r="DN270" i="15"/>
  <c r="DM270" i="15"/>
  <c r="DL270" i="15"/>
  <c r="DK270" i="15"/>
  <c r="DJ270" i="15"/>
  <c r="DI270" i="15"/>
  <c r="DW267" i="15"/>
  <c r="DY267" i="15" s="1"/>
  <c r="DV267" i="15"/>
  <c r="DX267" i="15" s="1"/>
  <c r="DU267" i="15"/>
  <c r="DT267" i="15"/>
  <c r="DS267" i="15"/>
  <c r="DR267" i="15"/>
  <c r="DQ267" i="15"/>
  <c r="DP267" i="15"/>
  <c r="DO267" i="15"/>
  <c r="DN267" i="15"/>
  <c r="DM267" i="15"/>
  <c r="DL267" i="15"/>
  <c r="DK267" i="15"/>
  <c r="DJ267" i="15"/>
  <c r="DI267" i="15"/>
  <c r="DW263" i="15"/>
  <c r="DY263" i="15" s="1"/>
  <c r="DV263" i="15"/>
  <c r="DX263" i="15" s="1"/>
  <c r="DU263" i="15"/>
  <c r="DT263" i="15"/>
  <c r="DS263" i="15"/>
  <c r="DR263" i="15"/>
  <c r="DQ263" i="15"/>
  <c r="DP263" i="15"/>
  <c r="DO263" i="15"/>
  <c r="DN263" i="15"/>
  <c r="DM263" i="15"/>
  <c r="DL263" i="15"/>
  <c r="DK263" i="15"/>
  <c r="DJ263" i="15"/>
  <c r="DI263" i="15"/>
  <c r="DW260" i="15"/>
  <c r="DY260" i="15" s="1"/>
  <c r="DV260" i="15"/>
  <c r="DX260" i="15" s="1"/>
  <c r="DU260" i="15"/>
  <c r="DT260" i="15"/>
  <c r="DS260" i="15"/>
  <c r="DR260" i="15"/>
  <c r="DQ260" i="15"/>
  <c r="DP260" i="15"/>
  <c r="DO260" i="15"/>
  <c r="DN260" i="15"/>
  <c r="DM260" i="15"/>
  <c r="DL260" i="15"/>
  <c r="DK260" i="15"/>
  <c r="DJ260" i="15"/>
  <c r="DI260" i="15"/>
  <c r="DW256" i="15"/>
  <c r="DY256" i="15" s="1"/>
  <c r="DV256" i="15"/>
  <c r="DX256" i="15" s="1"/>
  <c r="DU256" i="15"/>
  <c r="DT256" i="15"/>
  <c r="DS256" i="15"/>
  <c r="DR256" i="15"/>
  <c r="DQ256" i="15"/>
  <c r="DP256" i="15"/>
  <c r="DO256" i="15"/>
  <c r="DN256" i="15"/>
  <c r="DM256" i="15"/>
  <c r="DL256" i="15"/>
  <c r="DK256" i="15"/>
  <c r="DJ256" i="15"/>
  <c r="DI256" i="15"/>
  <c r="DW253" i="15"/>
  <c r="DY253" i="15" s="1"/>
  <c r="DV253" i="15"/>
  <c r="DX253" i="15" s="1"/>
  <c r="DU253" i="15"/>
  <c r="DT253" i="15"/>
  <c r="DS253" i="15"/>
  <c r="DR253" i="15"/>
  <c r="DQ253" i="15"/>
  <c r="DP253" i="15"/>
  <c r="DO253" i="15"/>
  <c r="DN253" i="15"/>
  <c r="DM253" i="15"/>
  <c r="DL253" i="15"/>
  <c r="DK253" i="15"/>
  <c r="DJ253" i="15"/>
  <c r="DI253" i="15"/>
  <c r="DW249" i="15"/>
  <c r="DY249" i="15" s="1"/>
  <c r="DV249" i="15"/>
  <c r="DX249" i="15" s="1"/>
  <c r="DU249" i="15"/>
  <c r="DT249" i="15"/>
  <c r="DS249" i="15"/>
  <c r="DR249" i="15"/>
  <c r="DQ249" i="15"/>
  <c r="DP249" i="15"/>
  <c r="DO249" i="15"/>
  <c r="DN249" i="15"/>
  <c r="DM249" i="15"/>
  <c r="DL249" i="15"/>
  <c r="DK249" i="15"/>
  <c r="DJ249" i="15"/>
  <c r="DI249" i="15"/>
  <c r="DW246" i="15"/>
  <c r="DY246" i="15" s="1"/>
  <c r="DV246" i="15"/>
  <c r="DX246" i="15" s="1"/>
  <c r="DU246" i="15"/>
  <c r="DT246" i="15"/>
  <c r="DS246" i="15"/>
  <c r="DR246" i="15"/>
  <c r="DQ246" i="15"/>
  <c r="DP246" i="15"/>
  <c r="DO246" i="15"/>
  <c r="DN246" i="15"/>
  <c r="DM246" i="15"/>
  <c r="DL246" i="15"/>
  <c r="DK246" i="15"/>
  <c r="DJ246" i="15"/>
  <c r="DI246" i="15"/>
  <c r="DW242" i="15"/>
  <c r="DY242" i="15" s="1"/>
  <c r="DV242" i="15"/>
  <c r="DX242" i="15" s="1"/>
  <c r="DU242" i="15"/>
  <c r="DT242" i="15"/>
  <c r="DS242" i="15"/>
  <c r="DR242" i="15"/>
  <c r="DQ242" i="15"/>
  <c r="DP242" i="15"/>
  <c r="DO242" i="15"/>
  <c r="DN242" i="15"/>
  <c r="DM242" i="15"/>
  <c r="DL242" i="15"/>
  <c r="DK242" i="15"/>
  <c r="DJ242" i="15"/>
  <c r="DI242" i="15"/>
  <c r="DW239" i="15"/>
  <c r="DY239" i="15" s="1"/>
  <c r="DV239" i="15"/>
  <c r="DX239" i="15" s="1"/>
  <c r="DU239" i="15"/>
  <c r="DT239" i="15"/>
  <c r="DS239" i="15"/>
  <c r="DR239" i="15"/>
  <c r="DQ239" i="15"/>
  <c r="DP239" i="15"/>
  <c r="DO239" i="15"/>
  <c r="DN239" i="15"/>
  <c r="DM239" i="15"/>
  <c r="DL239" i="15"/>
  <c r="DK239" i="15"/>
  <c r="DJ239" i="15"/>
  <c r="DI239" i="15"/>
  <c r="DW235" i="15"/>
  <c r="DY235" i="15" s="1"/>
  <c r="DV235" i="15"/>
  <c r="DX235" i="15" s="1"/>
  <c r="DU235" i="15"/>
  <c r="DT235" i="15"/>
  <c r="DS235" i="15"/>
  <c r="DR235" i="15"/>
  <c r="DQ235" i="15"/>
  <c r="DP235" i="15"/>
  <c r="DO235" i="15"/>
  <c r="DN235" i="15"/>
  <c r="DM235" i="15"/>
  <c r="DL235" i="15"/>
  <c r="DK235" i="15"/>
  <c r="DJ235" i="15"/>
  <c r="DI235" i="15"/>
  <c r="DW232" i="15"/>
  <c r="DY232" i="15" s="1"/>
  <c r="DV232" i="15"/>
  <c r="DX232" i="15" s="1"/>
  <c r="DU232" i="15"/>
  <c r="DT232" i="15"/>
  <c r="DS232" i="15"/>
  <c r="DR232" i="15"/>
  <c r="DQ232" i="15"/>
  <c r="DP232" i="15"/>
  <c r="DO232" i="15"/>
  <c r="DN232" i="15"/>
  <c r="DM232" i="15"/>
  <c r="DL232" i="15"/>
  <c r="DK232" i="15"/>
  <c r="DJ232" i="15"/>
  <c r="DI232" i="15"/>
  <c r="DW228" i="15"/>
  <c r="DY228" i="15" s="1"/>
  <c r="DV228" i="15"/>
  <c r="DX228" i="15" s="1"/>
  <c r="DU228" i="15"/>
  <c r="DT228" i="15"/>
  <c r="DS228" i="15"/>
  <c r="DR228" i="15"/>
  <c r="DQ228" i="15"/>
  <c r="DP228" i="15"/>
  <c r="DO228" i="15"/>
  <c r="DN228" i="15"/>
  <c r="DM228" i="15"/>
  <c r="DL228" i="15"/>
  <c r="DK228" i="15"/>
  <c r="DJ228" i="15"/>
  <c r="DI228" i="15"/>
  <c r="DW225" i="15"/>
  <c r="DY225" i="15" s="1"/>
  <c r="DV225" i="15"/>
  <c r="DX225" i="15" s="1"/>
  <c r="DU225" i="15"/>
  <c r="DT225" i="15"/>
  <c r="DS225" i="15"/>
  <c r="DR225" i="15"/>
  <c r="DQ225" i="15"/>
  <c r="DP225" i="15"/>
  <c r="DO225" i="15"/>
  <c r="DN225" i="15"/>
  <c r="DM225" i="15"/>
  <c r="DL225" i="15"/>
  <c r="DK225" i="15"/>
  <c r="DJ225" i="15"/>
  <c r="DI225" i="15"/>
  <c r="DW221" i="15"/>
  <c r="DY221" i="15" s="1"/>
  <c r="DV221" i="15"/>
  <c r="DX221" i="15" s="1"/>
  <c r="DU221" i="15"/>
  <c r="DT221" i="15"/>
  <c r="DS221" i="15"/>
  <c r="DR221" i="15"/>
  <c r="DQ221" i="15"/>
  <c r="DP221" i="15"/>
  <c r="DO221" i="15"/>
  <c r="DN221" i="15"/>
  <c r="DM221" i="15"/>
  <c r="DL221" i="15"/>
  <c r="DK221" i="15"/>
  <c r="DJ221" i="15"/>
  <c r="DI221" i="15"/>
  <c r="DW218" i="15"/>
  <c r="DY218" i="15" s="1"/>
  <c r="DV218" i="15"/>
  <c r="DX218" i="15" s="1"/>
  <c r="DU218" i="15"/>
  <c r="DT218" i="15"/>
  <c r="DS218" i="15"/>
  <c r="DR218" i="15"/>
  <c r="DQ218" i="15"/>
  <c r="DP218" i="15"/>
  <c r="DO218" i="15"/>
  <c r="DN218" i="15"/>
  <c r="DM218" i="15"/>
  <c r="DL218" i="15"/>
  <c r="DK218" i="15"/>
  <c r="DJ218" i="15"/>
  <c r="DI218" i="15"/>
  <c r="DW214" i="15"/>
  <c r="DY214" i="15" s="1"/>
  <c r="DV214" i="15"/>
  <c r="DX214" i="15" s="1"/>
  <c r="DU214" i="15"/>
  <c r="DT214" i="15"/>
  <c r="DS214" i="15"/>
  <c r="DR214" i="15"/>
  <c r="DQ214" i="15"/>
  <c r="DP214" i="15"/>
  <c r="DO214" i="15"/>
  <c r="DN214" i="15"/>
  <c r="DM214" i="15"/>
  <c r="DL214" i="15"/>
  <c r="DK214" i="15"/>
  <c r="DJ214" i="15"/>
  <c r="DI214" i="15"/>
  <c r="DW211" i="15"/>
  <c r="DY211" i="15" s="1"/>
  <c r="DV211" i="15"/>
  <c r="DX211" i="15" s="1"/>
  <c r="DU211" i="15"/>
  <c r="DT211" i="15"/>
  <c r="DS211" i="15"/>
  <c r="DR211" i="15"/>
  <c r="DQ211" i="15"/>
  <c r="DP211" i="15"/>
  <c r="DO211" i="15"/>
  <c r="DN211" i="15"/>
  <c r="DM211" i="15"/>
  <c r="DL211" i="15"/>
  <c r="DK211" i="15"/>
  <c r="DJ211" i="15"/>
  <c r="DI211" i="15"/>
  <c r="DW207" i="15"/>
  <c r="DY207" i="15" s="1"/>
  <c r="DV207" i="15"/>
  <c r="DX207" i="15" s="1"/>
  <c r="DU207" i="15"/>
  <c r="DT207" i="15"/>
  <c r="DS207" i="15"/>
  <c r="DR207" i="15"/>
  <c r="DQ207" i="15"/>
  <c r="DP207" i="15"/>
  <c r="DO207" i="15"/>
  <c r="DN207" i="15"/>
  <c r="DM207" i="15"/>
  <c r="DL207" i="15"/>
  <c r="DK207" i="15"/>
  <c r="DJ207" i="15"/>
  <c r="DI207" i="15"/>
  <c r="DW204" i="15"/>
  <c r="DY204" i="15" s="1"/>
  <c r="DV204" i="15"/>
  <c r="DX204" i="15" s="1"/>
  <c r="DU204" i="15"/>
  <c r="DT204" i="15"/>
  <c r="DS204" i="15"/>
  <c r="DR204" i="15"/>
  <c r="DQ204" i="15"/>
  <c r="DP204" i="15"/>
  <c r="DO204" i="15"/>
  <c r="DN204" i="15"/>
  <c r="DM204" i="15"/>
  <c r="DL204" i="15"/>
  <c r="DK204" i="15"/>
  <c r="DJ204" i="15"/>
  <c r="DI204" i="15"/>
  <c r="DW200" i="15"/>
  <c r="DY200" i="15" s="1"/>
  <c r="DV200" i="15"/>
  <c r="DX200" i="15" s="1"/>
  <c r="DU200" i="15"/>
  <c r="DT200" i="15"/>
  <c r="DS200" i="15"/>
  <c r="DR200" i="15"/>
  <c r="DQ200" i="15"/>
  <c r="DP200" i="15"/>
  <c r="DO200" i="15"/>
  <c r="DN200" i="15"/>
  <c r="DM200" i="15"/>
  <c r="DL200" i="15"/>
  <c r="DK200" i="15"/>
  <c r="DJ200" i="15"/>
  <c r="DI200" i="15"/>
  <c r="DW197" i="15"/>
  <c r="DY197" i="15" s="1"/>
  <c r="DV197" i="15"/>
  <c r="DX197" i="15" s="1"/>
  <c r="DU197" i="15"/>
  <c r="DT197" i="15"/>
  <c r="DS197" i="15"/>
  <c r="DR197" i="15"/>
  <c r="DQ197" i="15"/>
  <c r="DP197" i="15"/>
  <c r="DO197" i="15"/>
  <c r="DN197" i="15"/>
  <c r="DM197" i="15"/>
  <c r="DL197" i="15"/>
  <c r="DK197" i="15"/>
  <c r="DJ197" i="15"/>
  <c r="DI197" i="15"/>
  <c r="DW193" i="15"/>
  <c r="DY193" i="15" s="1"/>
  <c r="DV193" i="15"/>
  <c r="DX193" i="15" s="1"/>
  <c r="DU193" i="15"/>
  <c r="DT193" i="15"/>
  <c r="DS193" i="15"/>
  <c r="DR193" i="15"/>
  <c r="DQ193" i="15"/>
  <c r="DP193" i="15"/>
  <c r="DO193" i="15"/>
  <c r="DN193" i="15"/>
  <c r="DM193" i="15"/>
  <c r="DL193" i="15"/>
  <c r="DK193" i="15"/>
  <c r="DJ193" i="15"/>
  <c r="DI193" i="15"/>
  <c r="DW190" i="15"/>
  <c r="DY190" i="15" s="1"/>
  <c r="DV190" i="15"/>
  <c r="DX190" i="15" s="1"/>
  <c r="DU190" i="15"/>
  <c r="DT190" i="15"/>
  <c r="DS190" i="15"/>
  <c r="DR190" i="15"/>
  <c r="DQ190" i="15"/>
  <c r="DP190" i="15"/>
  <c r="DO190" i="15"/>
  <c r="DN190" i="15"/>
  <c r="DM190" i="15"/>
  <c r="DL190" i="15"/>
  <c r="DK190" i="15"/>
  <c r="DJ190" i="15"/>
  <c r="DI190" i="15"/>
  <c r="DW186" i="15"/>
  <c r="DY186" i="15" s="1"/>
  <c r="DV186" i="15"/>
  <c r="DX186" i="15" s="1"/>
  <c r="DU186" i="15"/>
  <c r="DT186" i="15"/>
  <c r="DS186" i="15"/>
  <c r="DR186" i="15"/>
  <c r="DQ186" i="15"/>
  <c r="DP186" i="15"/>
  <c r="DO186" i="15"/>
  <c r="DN186" i="15"/>
  <c r="DM186" i="15"/>
  <c r="DL186" i="15"/>
  <c r="DK186" i="15"/>
  <c r="DJ186" i="15"/>
  <c r="DI186" i="15"/>
  <c r="DW183" i="15"/>
  <c r="DY183" i="15" s="1"/>
  <c r="DV183" i="15"/>
  <c r="DX183" i="15" s="1"/>
  <c r="DU183" i="15"/>
  <c r="DT183" i="15"/>
  <c r="DS183" i="15"/>
  <c r="DR183" i="15"/>
  <c r="DQ183" i="15"/>
  <c r="DP183" i="15"/>
  <c r="DO183" i="15"/>
  <c r="DN183" i="15"/>
  <c r="DM183" i="15"/>
  <c r="DL183" i="15"/>
  <c r="DK183" i="15"/>
  <c r="DJ183" i="15"/>
  <c r="DI183" i="15"/>
  <c r="DW179" i="15"/>
  <c r="DY179" i="15" s="1"/>
  <c r="DV179" i="15"/>
  <c r="DX179" i="15" s="1"/>
  <c r="DU179" i="15"/>
  <c r="DT179" i="15"/>
  <c r="DS179" i="15"/>
  <c r="DR179" i="15"/>
  <c r="DQ179" i="15"/>
  <c r="DP179" i="15"/>
  <c r="DO179" i="15"/>
  <c r="DN179" i="15"/>
  <c r="DM179" i="15"/>
  <c r="DL179" i="15"/>
  <c r="DK179" i="15"/>
  <c r="DJ179" i="15"/>
  <c r="DI179" i="15"/>
  <c r="DW176" i="15"/>
  <c r="DY176" i="15" s="1"/>
  <c r="DV176" i="15"/>
  <c r="DX176" i="15" s="1"/>
  <c r="DU176" i="15"/>
  <c r="DT176" i="15"/>
  <c r="DS176" i="15"/>
  <c r="DR176" i="15"/>
  <c r="DQ176" i="15"/>
  <c r="DP176" i="15"/>
  <c r="DO176" i="15"/>
  <c r="DN176" i="15"/>
  <c r="DM176" i="15"/>
  <c r="DL176" i="15"/>
  <c r="DK176" i="15"/>
  <c r="DJ176" i="15"/>
  <c r="DI176" i="15"/>
  <c r="DW172" i="15"/>
  <c r="DY172" i="15" s="1"/>
  <c r="DV172" i="15"/>
  <c r="DX172" i="15" s="1"/>
  <c r="DU172" i="15"/>
  <c r="DT172" i="15"/>
  <c r="DS172" i="15"/>
  <c r="DR172" i="15"/>
  <c r="DQ172" i="15"/>
  <c r="DP172" i="15"/>
  <c r="DO172" i="15"/>
  <c r="DN172" i="15"/>
  <c r="DM172" i="15"/>
  <c r="DL172" i="15"/>
  <c r="DK172" i="15"/>
  <c r="DJ172" i="15"/>
  <c r="DI172" i="15"/>
  <c r="DW169" i="15"/>
  <c r="DY169" i="15" s="1"/>
  <c r="DV169" i="15"/>
  <c r="DX169" i="15" s="1"/>
  <c r="DU169" i="15"/>
  <c r="DT169" i="15"/>
  <c r="DS169" i="15"/>
  <c r="DR169" i="15"/>
  <c r="DQ169" i="15"/>
  <c r="DP169" i="15"/>
  <c r="DO169" i="15"/>
  <c r="DN169" i="15"/>
  <c r="DM169" i="15"/>
  <c r="DL169" i="15"/>
  <c r="DK169" i="15"/>
  <c r="DJ169" i="15"/>
  <c r="DI169" i="15"/>
  <c r="DW165" i="15"/>
  <c r="DY165" i="15" s="1"/>
  <c r="DV165" i="15"/>
  <c r="DX165" i="15" s="1"/>
  <c r="DU165" i="15"/>
  <c r="DT165" i="15"/>
  <c r="DS165" i="15"/>
  <c r="DR165" i="15"/>
  <c r="DQ165" i="15"/>
  <c r="DP165" i="15"/>
  <c r="DO165" i="15"/>
  <c r="DN165" i="15"/>
  <c r="DM165" i="15"/>
  <c r="DL165" i="15"/>
  <c r="DK165" i="15"/>
  <c r="DJ165" i="15"/>
  <c r="DI165" i="15"/>
  <c r="DW162" i="15"/>
  <c r="DY162" i="15" s="1"/>
  <c r="DV162" i="15"/>
  <c r="DX162" i="15" s="1"/>
  <c r="DU162" i="15"/>
  <c r="DT162" i="15"/>
  <c r="DS162" i="15"/>
  <c r="DR162" i="15"/>
  <c r="DQ162" i="15"/>
  <c r="DP162" i="15"/>
  <c r="DO162" i="15"/>
  <c r="DN162" i="15"/>
  <c r="DM162" i="15"/>
  <c r="DL162" i="15"/>
  <c r="DK162" i="15"/>
  <c r="DJ162" i="15"/>
  <c r="DI162" i="15"/>
  <c r="DW158" i="15"/>
  <c r="DY158" i="15" s="1"/>
  <c r="DV158" i="15"/>
  <c r="DX158" i="15" s="1"/>
  <c r="DU158" i="15"/>
  <c r="DT158" i="15"/>
  <c r="DS158" i="15"/>
  <c r="DR158" i="15"/>
  <c r="DQ158" i="15"/>
  <c r="DP158" i="15"/>
  <c r="DO158" i="15"/>
  <c r="DN158" i="15"/>
  <c r="DM158" i="15"/>
  <c r="DL158" i="15"/>
  <c r="DK158" i="15"/>
  <c r="DJ158" i="15"/>
  <c r="DI158" i="15"/>
  <c r="DW155" i="15"/>
  <c r="DY155" i="15" s="1"/>
  <c r="DV155" i="15"/>
  <c r="DX155" i="15" s="1"/>
  <c r="DU155" i="15"/>
  <c r="DT155" i="15"/>
  <c r="DS155" i="15"/>
  <c r="DR155" i="15"/>
  <c r="DQ155" i="15"/>
  <c r="DP155" i="15"/>
  <c r="DO155" i="15"/>
  <c r="DN155" i="15"/>
  <c r="DM155" i="15"/>
  <c r="DL155" i="15"/>
  <c r="DK155" i="15"/>
  <c r="DJ155" i="15"/>
  <c r="DI155" i="15"/>
  <c r="DW151" i="15"/>
  <c r="DY151" i="15" s="1"/>
  <c r="DV151" i="15"/>
  <c r="DX151" i="15" s="1"/>
  <c r="DU151" i="15"/>
  <c r="DT151" i="15"/>
  <c r="DS151" i="15"/>
  <c r="DR151" i="15"/>
  <c r="DQ151" i="15"/>
  <c r="DP151" i="15"/>
  <c r="DO151" i="15"/>
  <c r="DN151" i="15"/>
  <c r="DM151" i="15"/>
  <c r="DL151" i="15"/>
  <c r="DK151" i="15"/>
  <c r="DJ151" i="15"/>
  <c r="DI151" i="15"/>
  <c r="DW148" i="15"/>
  <c r="DY148" i="15" s="1"/>
  <c r="DV148" i="15"/>
  <c r="DX148" i="15" s="1"/>
  <c r="DU148" i="15"/>
  <c r="DT148" i="15"/>
  <c r="DS148" i="15"/>
  <c r="DR148" i="15"/>
  <c r="DQ148" i="15"/>
  <c r="DP148" i="15"/>
  <c r="DO148" i="15"/>
  <c r="DN148" i="15"/>
  <c r="DM148" i="15"/>
  <c r="DL148" i="15"/>
  <c r="DK148" i="15"/>
  <c r="DJ148" i="15"/>
  <c r="DI148" i="15"/>
  <c r="DW144" i="15"/>
  <c r="DY144" i="15" s="1"/>
  <c r="DV144" i="15"/>
  <c r="DX144" i="15" s="1"/>
  <c r="DU144" i="15"/>
  <c r="DT144" i="15"/>
  <c r="DS144" i="15"/>
  <c r="DR144" i="15"/>
  <c r="DQ144" i="15"/>
  <c r="DP144" i="15"/>
  <c r="DO144" i="15"/>
  <c r="DN144" i="15"/>
  <c r="DM144" i="15"/>
  <c r="DL144" i="15"/>
  <c r="DK144" i="15"/>
  <c r="DJ144" i="15"/>
  <c r="DI144" i="15"/>
  <c r="DW141" i="15"/>
  <c r="DY141" i="15" s="1"/>
  <c r="DV141" i="15"/>
  <c r="DX141" i="15" s="1"/>
  <c r="DU141" i="15"/>
  <c r="DT141" i="15"/>
  <c r="DS141" i="15"/>
  <c r="DR141" i="15"/>
  <c r="DQ141" i="15"/>
  <c r="DP141" i="15"/>
  <c r="DO141" i="15"/>
  <c r="DN141" i="15"/>
  <c r="DM141" i="15"/>
  <c r="DL141" i="15"/>
  <c r="DK141" i="15"/>
  <c r="DJ141" i="15"/>
  <c r="DI141" i="15"/>
  <c r="DW137" i="15"/>
  <c r="DY137" i="15" s="1"/>
  <c r="DV137" i="15"/>
  <c r="DX137" i="15" s="1"/>
  <c r="DU137" i="15"/>
  <c r="DT137" i="15"/>
  <c r="DS137" i="15"/>
  <c r="DR137" i="15"/>
  <c r="DQ137" i="15"/>
  <c r="DP137" i="15"/>
  <c r="DO137" i="15"/>
  <c r="DN137" i="15"/>
  <c r="DM137" i="15"/>
  <c r="DL137" i="15"/>
  <c r="DK137" i="15"/>
  <c r="DJ137" i="15"/>
  <c r="DI137" i="15"/>
  <c r="DW134" i="15"/>
  <c r="DY134" i="15" s="1"/>
  <c r="DV134" i="15"/>
  <c r="DX134" i="15" s="1"/>
  <c r="DU134" i="15"/>
  <c r="DT134" i="15"/>
  <c r="DS134" i="15"/>
  <c r="DR134" i="15"/>
  <c r="DQ134" i="15"/>
  <c r="DP134" i="15"/>
  <c r="DO134" i="15"/>
  <c r="DN134" i="15"/>
  <c r="DM134" i="15"/>
  <c r="DL134" i="15"/>
  <c r="DK134" i="15"/>
  <c r="DJ134" i="15"/>
  <c r="DI134" i="15"/>
  <c r="DW130" i="15"/>
  <c r="DY130" i="15" s="1"/>
  <c r="DV130" i="15"/>
  <c r="DX130" i="15" s="1"/>
  <c r="DU130" i="15"/>
  <c r="DT130" i="15"/>
  <c r="DS130" i="15"/>
  <c r="DR130" i="15"/>
  <c r="DQ130" i="15"/>
  <c r="DP130" i="15"/>
  <c r="DO130" i="15"/>
  <c r="DN130" i="15"/>
  <c r="DM130" i="15"/>
  <c r="DL130" i="15"/>
  <c r="DK130" i="15"/>
  <c r="DJ130" i="15"/>
  <c r="DI130" i="15"/>
  <c r="DW127" i="15"/>
  <c r="DY127" i="15" s="1"/>
  <c r="DV127" i="15"/>
  <c r="DX127" i="15" s="1"/>
  <c r="DU127" i="15"/>
  <c r="DT127" i="15"/>
  <c r="DS127" i="15"/>
  <c r="DR127" i="15"/>
  <c r="DQ127" i="15"/>
  <c r="DP127" i="15"/>
  <c r="DO127" i="15"/>
  <c r="DN127" i="15"/>
  <c r="DM127" i="15"/>
  <c r="DL127" i="15"/>
  <c r="DK127" i="15"/>
  <c r="DJ127" i="15"/>
  <c r="DI127" i="15"/>
  <c r="DW123" i="15"/>
  <c r="DY123" i="15" s="1"/>
  <c r="DV123" i="15"/>
  <c r="DX123" i="15" s="1"/>
  <c r="DU123" i="15"/>
  <c r="DT123" i="15"/>
  <c r="DS123" i="15"/>
  <c r="DR123" i="15"/>
  <c r="DQ123" i="15"/>
  <c r="DP123" i="15"/>
  <c r="DO123" i="15"/>
  <c r="DN123" i="15"/>
  <c r="DM123" i="15"/>
  <c r="DL123" i="15"/>
  <c r="DK123" i="15"/>
  <c r="DJ123" i="15"/>
  <c r="DI123" i="15"/>
  <c r="DW120" i="15"/>
  <c r="DY120" i="15" s="1"/>
  <c r="DV120" i="15"/>
  <c r="DX120" i="15" s="1"/>
  <c r="DU120" i="15"/>
  <c r="DT120" i="15"/>
  <c r="DS120" i="15"/>
  <c r="DR120" i="15"/>
  <c r="DQ120" i="15"/>
  <c r="DP120" i="15"/>
  <c r="DO120" i="15"/>
  <c r="DN120" i="15"/>
  <c r="DM120" i="15"/>
  <c r="DL120" i="15"/>
  <c r="DK120" i="15"/>
  <c r="DJ120" i="15"/>
  <c r="DI120" i="15"/>
  <c r="DW116" i="15"/>
  <c r="DY116" i="15" s="1"/>
  <c r="DV116" i="15"/>
  <c r="DX116" i="15" s="1"/>
  <c r="DU116" i="15"/>
  <c r="DT116" i="15"/>
  <c r="DS116" i="15"/>
  <c r="DR116" i="15"/>
  <c r="DQ116" i="15"/>
  <c r="DP116" i="15"/>
  <c r="DO116" i="15"/>
  <c r="DN116" i="15"/>
  <c r="DM116" i="15"/>
  <c r="DL116" i="15"/>
  <c r="DK116" i="15"/>
  <c r="DJ116" i="15"/>
  <c r="DI116" i="15"/>
  <c r="DW113" i="15"/>
  <c r="DY113" i="15" s="1"/>
  <c r="DV113" i="15"/>
  <c r="DX113" i="15" s="1"/>
  <c r="DU113" i="15"/>
  <c r="DT113" i="15"/>
  <c r="DS113" i="15"/>
  <c r="DR113" i="15"/>
  <c r="DQ113" i="15"/>
  <c r="DP113" i="15"/>
  <c r="DO113" i="15"/>
  <c r="DN113" i="15"/>
  <c r="DM113" i="15"/>
  <c r="DL113" i="15"/>
  <c r="DK113" i="15"/>
  <c r="DJ113" i="15"/>
  <c r="DI113" i="15"/>
  <c r="DW109" i="15"/>
  <c r="DY109" i="15" s="1"/>
  <c r="DV109" i="15"/>
  <c r="DX109" i="15" s="1"/>
  <c r="DU109" i="15"/>
  <c r="DT109" i="15"/>
  <c r="DS109" i="15"/>
  <c r="DR109" i="15"/>
  <c r="DQ109" i="15"/>
  <c r="DP109" i="15"/>
  <c r="DO109" i="15"/>
  <c r="DN109" i="15"/>
  <c r="DM109" i="15"/>
  <c r="DL109" i="15"/>
  <c r="DK109" i="15"/>
  <c r="DJ109" i="15"/>
  <c r="DI109" i="15"/>
  <c r="DW106" i="15"/>
  <c r="DY106" i="15" s="1"/>
  <c r="DV106" i="15"/>
  <c r="DX106" i="15" s="1"/>
  <c r="DU106" i="15"/>
  <c r="DT106" i="15"/>
  <c r="DS106" i="15"/>
  <c r="DR106" i="15"/>
  <c r="DQ106" i="15"/>
  <c r="DP106" i="15"/>
  <c r="DO106" i="15"/>
  <c r="DN106" i="15"/>
  <c r="DM106" i="15"/>
  <c r="DL106" i="15"/>
  <c r="DK106" i="15"/>
  <c r="DJ106" i="15"/>
  <c r="DI106" i="15"/>
  <c r="DW102" i="15"/>
  <c r="DY102" i="15" s="1"/>
  <c r="DV102" i="15"/>
  <c r="DX102" i="15" s="1"/>
  <c r="DU102" i="15"/>
  <c r="DT102" i="15"/>
  <c r="DS102" i="15"/>
  <c r="DR102" i="15"/>
  <c r="DQ102" i="15"/>
  <c r="DP102" i="15"/>
  <c r="DO102" i="15"/>
  <c r="DN102" i="15"/>
  <c r="DM102" i="15"/>
  <c r="DL102" i="15"/>
  <c r="DK102" i="15"/>
  <c r="DJ102" i="15"/>
  <c r="DI102" i="15"/>
  <c r="DW99" i="15"/>
  <c r="DY99" i="15" s="1"/>
  <c r="DV99" i="15"/>
  <c r="DX99" i="15" s="1"/>
  <c r="DU99" i="15"/>
  <c r="DT99" i="15"/>
  <c r="DS99" i="15"/>
  <c r="DR99" i="15"/>
  <c r="DQ99" i="15"/>
  <c r="DP99" i="15"/>
  <c r="DO99" i="15"/>
  <c r="DN99" i="15"/>
  <c r="DM99" i="15"/>
  <c r="DL99" i="15"/>
  <c r="DK99" i="15"/>
  <c r="DJ99" i="15"/>
  <c r="DI99" i="15"/>
  <c r="DW95" i="15"/>
  <c r="DY95" i="15" s="1"/>
  <c r="DV95" i="15"/>
  <c r="DX95" i="15" s="1"/>
  <c r="DU95" i="15"/>
  <c r="DT95" i="15"/>
  <c r="DS95" i="15"/>
  <c r="DR95" i="15"/>
  <c r="DQ95" i="15"/>
  <c r="DP95" i="15"/>
  <c r="DO95" i="15"/>
  <c r="DN95" i="15"/>
  <c r="DM95" i="15"/>
  <c r="DL95" i="15"/>
  <c r="DK95" i="15"/>
  <c r="DJ95" i="15"/>
  <c r="DI95" i="15"/>
  <c r="DW92" i="15"/>
  <c r="DY92" i="15" s="1"/>
  <c r="DV92" i="15"/>
  <c r="DX92" i="15" s="1"/>
  <c r="DU92" i="15"/>
  <c r="DT92" i="15"/>
  <c r="DS92" i="15"/>
  <c r="DR92" i="15"/>
  <c r="DQ92" i="15"/>
  <c r="DP92" i="15"/>
  <c r="DO92" i="15"/>
  <c r="DN92" i="15"/>
  <c r="DM92" i="15"/>
  <c r="DL92" i="15"/>
  <c r="DK92" i="15"/>
  <c r="DJ92" i="15"/>
  <c r="DI92" i="15"/>
  <c r="DW88" i="15"/>
  <c r="DY88" i="15" s="1"/>
  <c r="DV88" i="15"/>
  <c r="DX88" i="15" s="1"/>
  <c r="DU88" i="15"/>
  <c r="DT88" i="15"/>
  <c r="DS88" i="15"/>
  <c r="DR88" i="15"/>
  <c r="DQ88" i="15"/>
  <c r="DP88" i="15"/>
  <c r="DO88" i="15"/>
  <c r="DN88" i="15"/>
  <c r="DM88" i="15"/>
  <c r="DL88" i="15"/>
  <c r="DK88" i="15"/>
  <c r="DJ88" i="15"/>
  <c r="DI88" i="15"/>
  <c r="DW85" i="15"/>
  <c r="DY85" i="15" s="1"/>
  <c r="DV85" i="15"/>
  <c r="DX85" i="15" s="1"/>
  <c r="DU85" i="15"/>
  <c r="DT85" i="15"/>
  <c r="DS85" i="15"/>
  <c r="DR85" i="15"/>
  <c r="DQ85" i="15"/>
  <c r="DP85" i="15"/>
  <c r="DO85" i="15"/>
  <c r="DN85" i="15"/>
  <c r="DM85" i="15"/>
  <c r="DL85" i="15"/>
  <c r="DK85" i="15"/>
  <c r="DJ85" i="15"/>
  <c r="DI85" i="15"/>
  <c r="DW81" i="15"/>
  <c r="DY81" i="15" s="1"/>
  <c r="DV81" i="15"/>
  <c r="DX81" i="15" s="1"/>
  <c r="DU81" i="15"/>
  <c r="DT81" i="15"/>
  <c r="DS81" i="15"/>
  <c r="DR81" i="15"/>
  <c r="DQ81" i="15"/>
  <c r="DP81" i="15"/>
  <c r="DO81" i="15"/>
  <c r="DN81" i="15"/>
  <c r="DM81" i="15"/>
  <c r="DL81" i="15"/>
  <c r="DK81" i="15"/>
  <c r="DJ81" i="15"/>
  <c r="DI81" i="15"/>
  <c r="DW78" i="15"/>
  <c r="DY78" i="15" s="1"/>
  <c r="DV78" i="15"/>
  <c r="DX78" i="15" s="1"/>
  <c r="DU78" i="15"/>
  <c r="DT78" i="15"/>
  <c r="DS78" i="15"/>
  <c r="DR78" i="15"/>
  <c r="DQ78" i="15"/>
  <c r="DP78" i="15"/>
  <c r="DO78" i="15"/>
  <c r="DN78" i="15"/>
  <c r="DM78" i="15"/>
  <c r="DL78" i="15"/>
  <c r="DK78" i="15"/>
  <c r="DJ78" i="15"/>
  <c r="DI78" i="15"/>
  <c r="DW74" i="15"/>
  <c r="DY74" i="15" s="1"/>
  <c r="DV74" i="15"/>
  <c r="DX74" i="15" s="1"/>
  <c r="DU74" i="15"/>
  <c r="DT74" i="15"/>
  <c r="DS74" i="15"/>
  <c r="DR74" i="15"/>
  <c r="DQ74" i="15"/>
  <c r="DP74" i="15"/>
  <c r="DO74" i="15"/>
  <c r="DN74" i="15"/>
  <c r="DM74" i="15"/>
  <c r="DL74" i="15"/>
  <c r="DK74" i="15"/>
  <c r="DJ74" i="15"/>
  <c r="DI74" i="15"/>
  <c r="DW71" i="15"/>
  <c r="DY71" i="15" s="1"/>
  <c r="DV71" i="15"/>
  <c r="DX71" i="15" s="1"/>
  <c r="DU71" i="15"/>
  <c r="DT71" i="15"/>
  <c r="DS71" i="15"/>
  <c r="DR71" i="15"/>
  <c r="DQ71" i="15"/>
  <c r="DP71" i="15"/>
  <c r="DO71" i="15"/>
  <c r="DN71" i="15"/>
  <c r="DM71" i="15"/>
  <c r="DL71" i="15"/>
  <c r="DK71" i="15"/>
  <c r="DJ71" i="15"/>
  <c r="DI71" i="15"/>
  <c r="DW67" i="15"/>
  <c r="DY67" i="15" s="1"/>
  <c r="DV67" i="15"/>
  <c r="DX67" i="15" s="1"/>
  <c r="DU67" i="15"/>
  <c r="DT67" i="15"/>
  <c r="DS67" i="15"/>
  <c r="DR67" i="15"/>
  <c r="DQ67" i="15"/>
  <c r="DP67" i="15"/>
  <c r="DO67" i="15"/>
  <c r="DN67" i="15"/>
  <c r="DM67" i="15"/>
  <c r="DL67" i="15"/>
  <c r="DK67" i="15"/>
  <c r="DJ67" i="15"/>
  <c r="DI67" i="15"/>
  <c r="DW64" i="15"/>
  <c r="DY64" i="15" s="1"/>
  <c r="DV64" i="15"/>
  <c r="DX64" i="15" s="1"/>
  <c r="DU64" i="15"/>
  <c r="DT64" i="15"/>
  <c r="DS64" i="15"/>
  <c r="DR64" i="15"/>
  <c r="DQ64" i="15"/>
  <c r="DP64" i="15"/>
  <c r="DO64" i="15"/>
  <c r="DN64" i="15"/>
  <c r="DM64" i="15"/>
  <c r="DL64" i="15"/>
  <c r="DK64" i="15"/>
  <c r="DJ64" i="15"/>
  <c r="DI64" i="15"/>
  <c r="DW60" i="15"/>
  <c r="DY60" i="15" s="1"/>
  <c r="DV60" i="15"/>
  <c r="DX60" i="15" s="1"/>
  <c r="DU60" i="15"/>
  <c r="DT60" i="15"/>
  <c r="DS60" i="15"/>
  <c r="DR60" i="15"/>
  <c r="DQ60" i="15"/>
  <c r="DP60" i="15"/>
  <c r="DO60" i="15"/>
  <c r="DN60" i="15"/>
  <c r="DM60" i="15"/>
  <c r="DL60" i="15"/>
  <c r="DK60" i="15"/>
  <c r="DJ60" i="15"/>
  <c r="DI60" i="15"/>
  <c r="DW57" i="15"/>
  <c r="DY57" i="15" s="1"/>
  <c r="DV57" i="15"/>
  <c r="DX57" i="15" s="1"/>
  <c r="DU57" i="15"/>
  <c r="DT57" i="15"/>
  <c r="DS57" i="15"/>
  <c r="DR57" i="15"/>
  <c r="DQ57" i="15"/>
  <c r="DP57" i="15"/>
  <c r="DO57" i="15"/>
  <c r="DN57" i="15"/>
  <c r="DM57" i="15"/>
  <c r="DL57" i="15"/>
  <c r="DK57" i="15"/>
  <c r="DJ57" i="15"/>
  <c r="DI57" i="15"/>
  <c r="DW53" i="15"/>
  <c r="DY53" i="15" s="1"/>
  <c r="DV53" i="15"/>
  <c r="DX53" i="15" s="1"/>
  <c r="DU53" i="15"/>
  <c r="DT53" i="15"/>
  <c r="DS53" i="15"/>
  <c r="DR53" i="15"/>
  <c r="DQ53" i="15"/>
  <c r="DP53" i="15"/>
  <c r="DO53" i="15"/>
  <c r="DN53" i="15"/>
  <c r="DM53" i="15"/>
  <c r="DL53" i="15"/>
  <c r="DK53" i="15"/>
  <c r="DJ53" i="15"/>
  <c r="DI53" i="15"/>
  <c r="DW50" i="15"/>
  <c r="DY50" i="15" s="1"/>
  <c r="DV50" i="15"/>
  <c r="DX50" i="15" s="1"/>
  <c r="DU50" i="15"/>
  <c r="DT50" i="15"/>
  <c r="DS50" i="15"/>
  <c r="DR50" i="15"/>
  <c r="DQ50" i="15"/>
  <c r="DP50" i="15"/>
  <c r="DO50" i="15"/>
  <c r="DN50" i="15"/>
  <c r="DM50" i="15"/>
  <c r="DL50" i="15"/>
  <c r="DK50" i="15"/>
  <c r="DJ50" i="15"/>
  <c r="DI50" i="15"/>
  <c r="DW46" i="15"/>
  <c r="DY46" i="15" s="1"/>
  <c r="DV46" i="15"/>
  <c r="DX46" i="15" s="1"/>
  <c r="DU46" i="15"/>
  <c r="DT46" i="15"/>
  <c r="DS46" i="15"/>
  <c r="DR46" i="15"/>
  <c r="DQ46" i="15"/>
  <c r="DP46" i="15"/>
  <c r="DO46" i="15"/>
  <c r="DN46" i="15"/>
  <c r="DM46" i="15"/>
  <c r="DL46" i="15"/>
  <c r="DK46" i="15"/>
  <c r="DJ46" i="15"/>
  <c r="DI46" i="15"/>
  <c r="DW43" i="15"/>
  <c r="DY43" i="15" s="1"/>
  <c r="DV43" i="15"/>
  <c r="DX43" i="15" s="1"/>
  <c r="DU43" i="15"/>
  <c r="DT43" i="15"/>
  <c r="DS43" i="15"/>
  <c r="DR43" i="15"/>
  <c r="DQ43" i="15"/>
  <c r="DP43" i="15"/>
  <c r="DO43" i="15"/>
  <c r="DN43" i="15"/>
  <c r="DM43" i="15"/>
  <c r="DL43" i="15"/>
  <c r="DK43" i="15"/>
  <c r="DJ43" i="15"/>
  <c r="DI43" i="15"/>
  <c r="DW39" i="15"/>
  <c r="DY39" i="15" s="1"/>
  <c r="DV39" i="15"/>
  <c r="DX39" i="15" s="1"/>
  <c r="DU39" i="15"/>
  <c r="DT39" i="15"/>
  <c r="DS39" i="15"/>
  <c r="DR39" i="15"/>
  <c r="DQ39" i="15"/>
  <c r="DP39" i="15"/>
  <c r="DO39" i="15"/>
  <c r="DN39" i="15"/>
  <c r="DM39" i="15"/>
  <c r="DL39" i="15"/>
  <c r="DK39" i="15"/>
  <c r="DJ39" i="15"/>
  <c r="DI39" i="15"/>
  <c r="DW36" i="15"/>
  <c r="DY36" i="15" s="1"/>
  <c r="DV36" i="15"/>
  <c r="DX36" i="15" s="1"/>
  <c r="DU36" i="15"/>
  <c r="DT36" i="15"/>
  <c r="DS36" i="15"/>
  <c r="DR36" i="15"/>
  <c r="DQ36" i="15"/>
  <c r="DP36" i="15"/>
  <c r="DO36" i="15"/>
  <c r="DN36" i="15"/>
  <c r="DM36" i="15"/>
  <c r="DL36" i="15"/>
  <c r="DK36" i="15"/>
  <c r="DJ36" i="15"/>
  <c r="DI36" i="15"/>
  <c r="DW32" i="15"/>
  <c r="DY32" i="15" s="1"/>
  <c r="DV32" i="15"/>
  <c r="DX32" i="15" s="1"/>
  <c r="DU32" i="15"/>
  <c r="DT32" i="15"/>
  <c r="DS32" i="15"/>
  <c r="DR32" i="15"/>
  <c r="DQ32" i="15"/>
  <c r="DP32" i="15"/>
  <c r="DO32" i="15"/>
  <c r="DN32" i="15"/>
  <c r="DM32" i="15"/>
  <c r="DL32" i="15"/>
  <c r="DK32" i="15"/>
  <c r="DJ32" i="15"/>
  <c r="DI32" i="15"/>
  <c r="DW29" i="15"/>
  <c r="DY29" i="15" s="1"/>
  <c r="DV29" i="15"/>
  <c r="DX29" i="15" s="1"/>
  <c r="DU29" i="15"/>
  <c r="DT29" i="15"/>
  <c r="DS29" i="15"/>
  <c r="DR29" i="15"/>
  <c r="DQ29" i="15"/>
  <c r="DP29" i="15"/>
  <c r="DO29" i="15"/>
  <c r="DN29" i="15"/>
  <c r="DM29" i="15"/>
  <c r="DL29" i="15"/>
  <c r="DK29" i="15"/>
  <c r="DJ29" i="15"/>
  <c r="DI29" i="15"/>
  <c r="DP25" i="15"/>
  <c r="DP22" i="15"/>
  <c r="DW25" i="15"/>
  <c r="DY25" i="15" s="1"/>
  <c r="DV25" i="15"/>
  <c r="DX25" i="15" s="1"/>
  <c r="DU25" i="15"/>
  <c r="DT25" i="15"/>
  <c r="DS25" i="15"/>
  <c r="DR25" i="15"/>
  <c r="DQ25" i="15"/>
  <c r="DO25" i="15"/>
  <c r="DN25" i="15"/>
  <c r="DM25" i="15"/>
  <c r="DL25" i="15"/>
  <c r="DK25" i="15"/>
  <c r="DJ25" i="15"/>
  <c r="DI25" i="15"/>
  <c r="DW22" i="15"/>
  <c r="DY22" i="15" s="1"/>
  <c r="DV22" i="15"/>
  <c r="DX22" i="15" s="1"/>
  <c r="DU22" i="15"/>
  <c r="DT22" i="15"/>
  <c r="DS22" i="15"/>
  <c r="DR22" i="15"/>
  <c r="DQ22" i="15"/>
  <c r="DO22" i="15"/>
  <c r="DN22" i="15"/>
  <c r="DM22" i="15"/>
  <c r="DL22" i="15"/>
  <c r="DK22" i="15"/>
  <c r="DJ22" i="15"/>
  <c r="DI22" i="15"/>
  <c r="DR18" i="15"/>
  <c r="DQ18" i="15"/>
  <c r="DP18" i="15"/>
  <c r="DI18" i="15"/>
  <c r="DJ18" i="15"/>
  <c r="DK18" i="15"/>
  <c r="DL18" i="15"/>
  <c r="DM18" i="15"/>
  <c r="DN18" i="15"/>
  <c r="DO18" i="15"/>
  <c r="DS18" i="15"/>
  <c r="DT18" i="15"/>
  <c r="DU18" i="15"/>
  <c r="DV18" i="15"/>
  <c r="DX18" i="15" s="1"/>
  <c r="DW18" i="15"/>
  <c r="DY18" i="15" s="1"/>
  <c r="AE13" i="15" l="1"/>
  <c r="E26" i="26"/>
  <c r="D14" i="26"/>
  <c r="E5" i="26"/>
  <c r="DG2" i="17"/>
  <c r="Y1423" i="15" l="1"/>
  <c r="Y1416" i="15"/>
  <c r="Y1409" i="15"/>
  <c r="Y1402" i="15"/>
  <c r="Y1395" i="15"/>
  <c r="Y1388" i="15"/>
  <c r="Y1381" i="15"/>
  <c r="Y1374" i="15"/>
  <c r="Y1367" i="15"/>
  <c r="Y1360" i="15"/>
  <c r="Y334" i="15"/>
  <c r="Y327" i="15"/>
  <c r="Y320" i="15"/>
  <c r="Y313" i="15"/>
  <c r="Y306" i="15"/>
  <c r="Y299" i="15"/>
  <c r="Y292" i="15"/>
  <c r="Y285" i="15"/>
  <c r="Y278" i="15"/>
  <c r="Y271" i="15"/>
  <c r="Y264" i="15"/>
  <c r="Y257" i="15"/>
  <c r="Y250" i="15"/>
  <c r="Y243" i="15"/>
  <c r="Y236" i="15"/>
  <c r="Y229" i="15"/>
  <c r="Y222" i="15"/>
  <c r="Y215" i="15"/>
  <c r="Y208" i="15"/>
  <c r="Y201" i="15"/>
  <c r="Y194" i="15"/>
  <c r="Y187" i="15"/>
  <c r="Y180" i="15"/>
  <c r="Y173" i="15"/>
  <c r="Y166" i="15"/>
  <c r="Y159" i="15"/>
  <c r="Y152" i="15"/>
  <c r="Y145" i="15"/>
  <c r="Y138" i="15"/>
  <c r="Y131" i="15"/>
  <c r="Y124" i="15"/>
  <c r="Y117" i="15"/>
  <c r="Y110" i="15"/>
  <c r="Y103" i="15"/>
  <c r="Y96" i="15"/>
  <c r="Y89" i="15"/>
  <c r="Y82" i="15"/>
  <c r="Y75" i="15"/>
  <c r="Y68" i="15"/>
  <c r="Y61" i="15"/>
  <c r="Y54" i="15"/>
  <c r="Y47" i="15"/>
  <c r="Y40" i="15"/>
  <c r="Y33" i="15"/>
  <c r="Y26" i="15"/>
  <c r="CG7" i="15" l="1"/>
  <c r="CG8" i="15"/>
  <c r="CG6" i="15"/>
  <c r="I25" i="15"/>
  <c r="D26" i="15"/>
  <c r="BF28" i="15"/>
  <c r="BG28" i="15"/>
  <c r="BH28" i="15"/>
  <c r="BJ28" i="15"/>
  <c r="L29" i="15"/>
  <c r="R29" i="15"/>
  <c r="CZ29" i="15" s="1"/>
  <c r="AO29" i="15"/>
  <c r="W29" i="15"/>
  <c r="AQ29" i="15"/>
  <c r="BL29" i="15"/>
  <c r="BM29" i="15" s="1"/>
  <c r="BN29" i="15" s="1"/>
  <c r="CX29" i="15"/>
  <c r="DA29" i="15"/>
  <c r="DC29" i="15"/>
  <c r="BE31" i="15"/>
  <c r="I32" i="15"/>
  <c r="S32" i="15"/>
  <c r="W32" i="15"/>
  <c r="BE32" i="15"/>
  <c r="D33" i="15"/>
  <c r="W33" i="15"/>
  <c r="BE33" i="15"/>
  <c r="S34" i="15"/>
  <c r="BE34" i="15"/>
  <c r="BF35" i="15"/>
  <c r="BG35" i="15"/>
  <c r="BH35" i="15"/>
  <c r="BJ35" i="15"/>
  <c r="L36" i="15"/>
  <c r="R36" i="15"/>
  <c r="T36" i="15" s="1"/>
  <c r="AO36" i="15"/>
  <c r="W36" i="15"/>
  <c r="AT36" i="15" s="1"/>
  <c r="AQ36" i="15"/>
  <c r="BL36" i="15"/>
  <c r="BM36" i="15" s="1"/>
  <c r="BN36" i="15" s="1"/>
  <c r="CX36" i="15"/>
  <c r="DA36" i="15"/>
  <c r="DC36" i="15"/>
  <c r="BE38" i="15"/>
  <c r="I39" i="15"/>
  <c r="S39" i="15"/>
  <c r="W39" i="15"/>
  <c r="BE39" i="15"/>
  <c r="D40" i="15"/>
  <c r="W40" i="15"/>
  <c r="BE40" i="15"/>
  <c r="S41" i="15"/>
  <c r="BE41" i="15"/>
  <c r="BF42" i="15"/>
  <c r="BG42" i="15"/>
  <c r="BH42" i="15"/>
  <c r="BJ42" i="15"/>
  <c r="L43" i="15"/>
  <c r="R43" i="15"/>
  <c r="T43" i="15" s="1"/>
  <c r="AO43" i="15"/>
  <c r="W43" i="15"/>
  <c r="AT43" i="15" s="1"/>
  <c r="AQ43" i="15"/>
  <c r="BL43" i="15"/>
  <c r="BM43" i="15" s="1"/>
  <c r="BN43" i="15" s="1"/>
  <c r="CX43" i="15"/>
  <c r="DA43" i="15"/>
  <c r="DC43" i="15"/>
  <c r="BE45" i="15"/>
  <c r="I46" i="15"/>
  <c r="S46" i="15"/>
  <c r="W46" i="15"/>
  <c r="BE46" i="15"/>
  <c r="D47" i="15"/>
  <c r="W47" i="15"/>
  <c r="BE47" i="15"/>
  <c r="S48" i="15"/>
  <c r="BE48" i="15"/>
  <c r="BF49" i="15"/>
  <c r="BG49" i="15"/>
  <c r="BH49" i="15"/>
  <c r="BJ49" i="15"/>
  <c r="L50" i="15"/>
  <c r="R50" i="15"/>
  <c r="T50" i="15" s="1"/>
  <c r="AO50" i="15"/>
  <c r="W50" i="15"/>
  <c r="AQ50" i="15"/>
  <c r="BL50" i="15"/>
  <c r="BM50" i="15" s="1"/>
  <c r="BN50" i="15" s="1"/>
  <c r="CX50" i="15"/>
  <c r="DA50" i="15"/>
  <c r="DC50" i="15"/>
  <c r="BE52" i="15"/>
  <c r="I53" i="15"/>
  <c r="S53" i="15"/>
  <c r="W53" i="15"/>
  <c r="BE53" i="15"/>
  <c r="D54" i="15"/>
  <c r="W54" i="15"/>
  <c r="BE54" i="15"/>
  <c r="S55" i="15"/>
  <c r="BE55" i="15"/>
  <c r="BF56" i="15"/>
  <c r="BG56" i="15"/>
  <c r="BH56" i="15"/>
  <c r="BJ56" i="15"/>
  <c r="L57" i="15"/>
  <c r="R57" i="15"/>
  <c r="T57" i="15" s="1"/>
  <c r="AO57" i="15"/>
  <c r="W57" i="15"/>
  <c r="AT57" i="15" s="1"/>
  <c r="AQ57" i="15"/>
  <c r="BL57" i="15"/>
  <c r="BM57" i="15" s="1"/>
  <c r="BN57" i="15" s="1"/>
  <c r="CX57" i="15"/>
  <c r="DA57" i="15"/>
  <c r="DC57" i="15"/>
  <c r="BE59" i="15"/>
  <c r="I60" i="15"/>
  <c r="S60" i="15"/>
  <c r="W60" i="15"/>
  <c r="BE60" i="15"/>
  <c r="D61" i="15"/>
  <c r="W61" i="15"/>
  <c r="BE61" i="15"/>
  <c r="S62" i="15"/>
  <c r="BE62" i="15"/>
  <c r="BF63" i="15"/>
  <c r="BG63" i="15"/>
  <c r="BH63" i="15"/>
  <c r="BJ63" i="15"/>
  <c r="L64" i="15"/>
  <c r="R64" i="15"/>
  <c r="AN64" i="15" s="1"/>
  <c r="AO64" i="15"/>
  <c r="W64" i="15"/>
  <c r="AQ64" i="15"/>
  <c r="BL64" i="15"/>
  <c r="BM64" i="15" s="1"/>
  <c r="BN64" i="15" s="1"/>
  <c r="CX64" i="15"/>
  <c r="DA64" i="15"/>
  <c r="DC64" i="15"/>
  <c r="BE66" i="15"/>
  <c r="I67" i="15"/>
  <c r="S67" i="15"/>
  <c r="W67" i="15"/>
  <c r="BE67" i="15"/>
  <c r="D68" i="15"/>
  <c r="W68" i="15"/>
  <c r="BE68" i="15"/>
  <c r="S69" i="15"/>
  <c r="BE69" i="15"/>
  <c r="BF70" i="15"/>
  <c r="BG70" i="15"/>
  <c r="BH70" i="15"/>
  <c r="BJ70" i="15"/>
  <c r="L71" i="15"/>
  <c r="R71" i="15"/>
  <c r="T71" i="15" s="1"/>
  <c r="AO71" i="15"/>
  <c r="W71" i="15"/>
  <c r="AT71" i="15" s="1"/>
  <c r="AQ71" i="15"/>
  <c r="BL71" i="15"/>
  <c r="BM71" i="15" s="1"/>
  <c r="BN71" i="15" s="1"/>
  <c r="CX71" i="15"/>
  <c r="DA71" i="15"/>
  <c r="DC71" i="15"/>
  <c r="BE73" i="15"/>
  <c r="I74" i="15"/>
  <c r="S74" i="15"/>
  <c r="W74" i="15"/>
  <c r="BE74" i="15"/>
  <c r="D75" i="15"/>
  <c r="W75" i="15"/>
  <c r="BE75" i="15"/>
  <c r="S76" i="15"/>
  <c r="BE76" i="15"/>
  <c r="BF77" i="15"/>
  <c r="BG77" i="15"/>
  <c r="BH77" i="15"/>
  <c r="BJ77" i="15"/>
  <c r="L78" i="15"/>
  <c r="R78" i="15"/>
  <c r="AN78" i="15" s="1"/>
  <c r="AO78" i="15"/>
  <c r="W78" i="15"/>
  <c r="AT78" i="15" s="1"/>
  <c r="AQ78" i="15"/>
  <c r="BL78" i="15"/>
  <c r="BM78" i="15" s="1"/>
  <c r="BN78" i="15" s="1"/>
  <c r="CX78" i="15"/>
  <c r="DA78" i="15"/>
  <c r="DC78" i="15"/>
  <c r="BE80" i="15"/>
  <c r="I81" i="15"/>
  <c r="S81" i="15"/>
  <c r="W81" i="15"/>
  <c r="BE81" i="15"/>
  <c r="D82" i="15"/>
  <c r="W82" i="15"/>
  <c r="Z82" i="15" s="1"/>
  <c r="BE82" i="15"/>
  <c r="S83" i="15"/>
  <c r="BE83" i="15"/>
  <c r="BF84" i="15"/>
  <c r="BG84" i="15"/>
  <c r="BH84" i="15"/>
  <c r="BJ84" i="15"/>
  <c r="L85" i="15"/>
  <c r="R85" i="15"/>
  <c r="AN85" i="15" s="1"/>
  <c r="AO85" i="15"/>
  <c r="W85" i="15"/>
  <c r="AT85" i="15" s="1"/>
  <c r="AQ85" i="15"/>
  <c r="BL85" i="15"/>
  <c r="BM85" i="15" s="1"/>
  <c r="BN85" i="15" s="1"/>
  <c r="CX85" i="15"/>
  <c r="DA85" i="15"/>
  <c r="DC85" i="15"/>
  <c r="BE87" i="15"/>
  <c r="I88" i="15"/>
  <c r="S88" i="15"/>
  <c r="W88" i="15"/>
  <c r="BE88" i="15"/>
  <c r="D89" i="15"/>
  <c r="W89" i="15"/>
  <c r="BE89" i="15"/>
  <c r="S90" i="15"/>
  <c r="BE90" i="15"/>
  <c r="BF91" i="15"/>
  <c r="BG91" i="15"/>
  <c r="BH91" i="15"/>
  <c r="BJ91" i="15"/>
  <c r="L92" i="15"/>
  <c r="R92" i="15"/>
  <c r="CZ92" i="15" s="1"/>
  <c r="AO92" i="15"/>
  <c r="W92" i="15"/>
  <c r="AQ92" i="15"/>
  <c r="BL92" i="15"/>
  <c r="BM92" i="15" s="1"/>
  <c r="BN92" i="15" s="1"/>
  <c r="CX92" i="15"/>
  <c r="DA92" i="15"/>
  <c r="DC92" i="15"/>
  <c r="BE94" i="15"/>
  <c r="I95" i="15"/>
  <c r="S95" i="15"/>
  <c r="W95" i="15"/>
  <c r="BE95" i="15"/>
  <c r="D96" i="15"/>
  <c r="W96" i="15"/>
  <c r="BE96" i="15"/>
  <c r="S97" i="15"/>
  <c r="BE97" i="15"/>
  <c r="BF98" i="15"/>
  <c r="BG98" i="15"/>
  <c r="BH98" i="15"/>
  <c r="BJ98" i="15"/>
  <c r="L99" i="15"/>
  <c r="R99" i="15"/>
  <c r="AN99" i="15" s="1"/>
  <c r="AO99" i="15"/>
  <c r="W99" i="15"/>
  <c r="AT99" i="15" s="1"/>
  <c r="AQ99" i="15"/>
  <c r="BL99" i="15"/>
  <c r="BM99" i="15" s="1"/>
  <c r="BN99" i="15" s="1"/>
  <c r="CX99" i="15"/>
  <c r="DA99" i="15"/>
  <c r="DC99" i="15"/>
  <c r="BE101" i="15"/>
  <c r="I102" i="15"/>
  <c r="S102" i="15"/>
  <c r="W102" i="15"/>
  <c r="BE102" i="15"/>
  <c r="D103" i="15"/>
  <c r="W103" i="15"/>
  <c r="BE103" i="15"/>
  <c r="S104" i="15"/>
  <c r="BE104" i="15"/>
  <c r="BF105" i="15"/>
  <c r="BG105" i="15"/>
  <c r="BH105" i="15"/>
  <c r="BJ105" i="15"/>
  <c r="L106" i="15"/>
  <c r="R106" i="15"/>
  <c r="AN106" i="15" s="1"/>
  <c r="AO106" i="15"/>
  <c r="W106" i="15"/>
  <c r="AT106" i="15" s="1"/>
  <c r="AQ106" i="15"/>
  <c r="BL106" i="15"/>
  <c r="BM106" i="15" s="1"/>
  <c r="BN106" i="15" s="1"/>
  <c r="CX106" i="15"/>
  <c r="DA106" i="15"/>
  <c r="DC106" i="15"/>
  <c r="BE108" i="15"/>
  <c r="I109" i="15"/>
  <c r="S109" i="15"/>
  <c r="W109" i="15"/>
  <c r="BE109" i="15"/>
  <c r="D110" i="15"/>
  <c r="W110" i="15"/>
  <c r="BE110" i="15"/>
  <c r="S111" i="15"/>
  <c r="BE111" i="15"/>
  <c r="BF112" i="15"/>
  <c r="BG112" i="15"/>
  <c r="BH112" i="15"/>
  <c r="BJ112" i="15"/>
  <c r="L113" i="15"/>
  <c r="R113" i="15"/>
  <c r="AN113" i="15" s="1"/>
  <c r="AO113" i="15"/>
  <c r="W113" i="15"/>
  <c r="AQ113" i="15"/>
  <c r="BL113" i="15"/>
  <c r="BM113" i="15" s="1"/>
  <c r="BN113" i="15" s="1"/>
  <c r="CX113" i="15"/>
  <c r="DA113" i="15"/>
  <c r="DC113" i="15"/>
  <c r="BE115" i="15"/>
  <c r="I116" i="15"/>
  <c r="S116" i="15"/>
  <c r="W116" i="15"/>
  <c r="BE116" i="15"/>
  <c r="D117" i="15"/>
  <c r="W117" i="15"/>
  <c r="BE117" i="15"/>
  <c r="S118" i="15"/>
  <c r="BE118" i="15"/>
  <c r="BF119" i="15"/>
  <c r="BG119" i="15"/>
  <c r="BH119" i="15"/>
  <c r="BJ119" i="15"/>
  <c r="L120" i="15"/>
  <c r="R120" i="15"/>
  <c r="CZ120" i="15" s="1"/>
  <c r="AO120" i="15"/>
  <c r="W120" i="15"/>
  <c r="AQ120" i="15"/>
  <c r="BL120" i="15"/>
  <c r="BM120" i="15" s="1"/>
  <c r="BN120" i="15" s="1"/>
  <c r="CX120" i="15"/>
  <c r="DA120" i="15"/>
  <c r="DC120" i="15"/>
  <c r="BE122" i="15"/>
  <c r="I123" i="15"/>
  <c r="S123" i="15"/>
  <c r="W123" i="15"/>
  <c r="BE123" i="15"/>
  <c r="D124" i="15"/>
  <c r="W124" i="15"/>
  <c r="Z124" i="15" s="1"/>
  <c r="BE124" i="15"/>
  <c r="S125" i="15"/>
  <c r="BE125" i="15"/>
  <c r="BF126" i="15"/>
  <c r="BG126" i="15"/>
  <c r="BH126" i="15"/>
  <c r="BJ126" i="15"/>
  <c r="L127" i="15"/>
  <c r="R127" i="15"/>
  <c r="T127" i="15" s="1"/>
  <c r="T128" i="15" s="1"/>
  <c r="T129" i="15" s="1"/>
  <c r="AO127" i="15"/>
  <c r="W127" i="15"/>
  <c r="AQ127" i="15"/>
  <c r="BL127" i="15"/>
  <c r="BM127" i="15" s="1"/>
  <c r="BN127" i="15" s="1"/>
  <c r="CX127" i="15"/>
  <c r="DA127" i="15"/>
  <c r="DC127" i="15"/>
  <c r="BE129" i="15"/>
  <c r="I130" i="15"/>
  <c r="S130" i="15"/>
  <c r="W130" i="15"/>
  <c r="BE130" i="15"/>
  <c r="D131" i="15"/>
  <c r="W131" i="15"/>
  <c r="Z131" i="15" s="1"/>
  <c r="BE131" i="15"/>
  <c r="S132" i="15"/>
  <c r="BE132" i="15"/>
  <c r="BF133" i="15"/>
  <c r="BG133" i="15"/>
  <c r="BH133" i="15"/>
  <c r="BJ133" i="15"/>
  <c r="L134" i="15"/>
  <c r="R134" i="15"/>
  <c r="T134" i="15" s="1"/>
  <c r="AP134" i="15" s="1"/>
  <c r="AO134" i="15"/>
  <c r="W134" i="15"/>
  <c r="AQ134" i="15"/>
  <c r="BL134" i="15"/>
  <c r="BM134" i="15" s="1"/>
  <c r="BN134" i="15" s="1"/>
  <c r="CX134" i="15"/>
  <c r="DA134" i="15"/>
  <c r="DC134" i="15"/>
  <c r="BE136" i="15"/>
  <c r="I137" i="15"/>
  <c r="S137" i="15"/>
  <c r="W137" i="15"/>
  <c r="BE137" i="15"/>
  <c r="D138" i="15"/>
  <c r="W138" i="15"/>
  <c r="Z138" i="15" s="1"/>
  <c r="BE138" i="15"/>
  <c r="S139" i="15"/>
  <c r="BE139" i="15"/>
  <c r="BF140" i="15"/>
  <c r="BG140" i="15"/>
  <c r="BH140" i="15"/>
  <c r="BJ140" i="15"/>
  <c r="L141" i="15"/>
  <c r="R141" i="15"/>
  <c r="T141" i="15" s="1"/>
  <c r="AP141" i="15" s="1"/>
  <c r="AO141" i="15"/>
  <c r="W141" i="15"/>
  <c r="AQ141" i="15"/>
  <c r="BL141" i="15"/>
  <c r="BM141" i="15" s="1"/>
  <c r="BN141" i="15" s="1"/>
  <c r="CX141" i="15"/>
  <c r="DA141" i="15"/>
  <c r="DC141" i="15"/>
  <c r="BE143" i="15"/>
  <c r="I144" i="15"/>
  <c r="S144" i="15"/>
  <c r="W144" i="15"/>
  <c r="BE144" i="15"/>
  <c r="D145" i="15"/>
  <c r="W145" i="15"/>
  <c r="Z145" i="15" s="1"/>
  <c r="BE145" i="15"/>
  <c r="S146" i="15"/>
  <c r="BE146" i="15"/>
  <c r="BF147" i="15"/>
  <c r="BG147" i="15"/>
  <c r="BH147" i="15"/>
  <c r="BJ147" i="15"/>
  <c r="L148" i="15"/>
  <c r="R148" i="15"/>
  <c r="CZ148" i="15" s="1"/>
  <c r="AO148" i="15"/>
  <c r="W148" i="15"/>
  <c r="AQ148" i="15"/>
  <c r="BL148" i="15"/>
  <c r="BM148" i="15" s="1"/>
  <c r="BN148" i="15" s="1"/>
  <c r="CX148" i="15"/>
  <c r="DA148" i="15"/>
  <c r="DC148" i="15"/>
  <c r="BE150" i="15"/>
  <c r="I151" i="15"/>
  <c r="S151" i="15"/>
  <c r="W151" i="15"/>
  <c r="BE151" i="15"/>
  <c r="D152" i="15"/>
  <c r="W152" i="15"/>
  <c r="Z152" i="15" s="1"/>
  <c r="BE152" i="15"/>
  <c r="S153" i="15"/>
  <c r="BE153" i="15"/>
  <c r="BF154" i="15"/>
  <c r="BG154" i="15"/>
  <c r="BH154" i="15"/>
  <c r="BJ154" i="15"/>
  <c r="L155" i="15"/>
  <c r="R155" i="15"/>
  <c r="AN155" i="15" s="1"/>
  <c r="AO155" i="15"/>
  <c r="W155" i="15"/>
  <c r="AQ155" i="15"/>
  <c r="BL155" i="15"/>
  <c r="BM155" i="15" s="1"/>
  <c r="BN155" i="15" s="1"/>
  <c r="CX155" i="15"/>
  <c r="DA155" i="15"/>
  <c r="DC155" i="15"/>
  <c r="BE157" i="15"/>
  <c r="I158" i="15"/>
  <c r="S158" i="15"/>
  <c r="W158" i="15"/>
  <c r="BE158" i="15"/>
  <c r="D159" i="15"/>
  <c r="W159" i="15"/>
  <c r="BE159" i="15"/>
  <c r="S160" i="15"/>
  <c r="BE160" i="15"/>
  <c r="BF161" i="15"/>
  <c r="BG161" i="15"/>
  <c r="BH161" i="15"/>
  <c r="BJ161" i="15"/>
  <c r="L162" i="15"/>
  <c r="R162" i="15"/>
  <c r="T162" i="15" s="1"/>
  <c r="AP162" i="15" s="1"/>
  <c r="AO162" i="15"/>
  <c r="W162" i="15"/>
  <c r="AQ162" i="15"/>
  <c r="BL162" i="15"/>
  <c r="BM162" i="15" s="1"/>
  <c r="BN162" i="15" s="1"/>
  <c r="CX162" i="15"/>
  <c r="DA162" i="15"/>
  <c r="DC162" i="15"/>
  <c r="BE164" i="15"/>
  <c r="I165" i="15"/>
  <c r="S165" i="15"/>
  <c r="W165" i="15"/>
  <c r="BE165" i="15"/>
  <c r="D166" i="15"/>
  <c r="W166" i="15"/>
  <c r="Z166" i="15" s="1"/>
  <c r="BE166" i="15"/>
  <c r="S167" i="15"/>
  <c r="BE167" i="15"/>
  <c r="BF168" i="15"/>
  <c r="BG168" i="15"/>
  <c r="BH168" i="15"/>
  <c r="BJ168" i="15"/>
  <c r="L169" i="15"/>
  <c r="R169" i="15"/>
  <c r="AO169" i="15"/>
  <c r="W169" i="15"/>
  <c r="AT169" i="15" s="1"/>
  <c r="AQ169" i="15"/>
  <c r="BL169" i="15"/>
  <c r="BM169" i="15" s="1"/>
  <c r="BN169" i="15" s="1"/>
  <c r="CX169" i="15"/>
  <c r="DA169" i="15"/>
  <c r="DC169" i="15"/>
  <c r="BE171" i="15"/>
  <c r="I172" i="15"/>
  <c r="S172" i="15"/>
  <c r="W172" i="15"/>
  <c r="BE172" i="15"/>
  <c r="D173" i="15"/>
  <c r="W173" i="15"/>
  <c r="BE173" i="15"/>
  <c r="S174" i="15"/>
  <c r="BE174" i="15"/>
  <c r="BF175" i="15"/>
  <c r="BG175" i="15"/>
  <c r="BH175" i="15"/>
  <c r="BJ175" i="15"/>
  <c r="L176" i="15"/>
  <c r="R176" i="15"/>
  <c r="AN176" i="15" s="1"/>
  <c r="AO176" i="15"/>
  <c r="W176" i="15"/>
  <c r="AT176" i="15" s="1"/>
  <c r="AQ176" i="15"/>
  <c r="BL176" i="15"/>
  <c r="BM176" i="15" s="1"/>
  <c r="BN176" i="15" s="1"/>
  <c r="CX176" i="15"/>
  <c r="DA176" i="15"/>
  <c r="DC176" i="15"/>
  <c r="BE178" i="15"/>
  <c r="I179" i="15"/>
  <c r="S179" i="15"/>
  <c r="W179" i="15"/>
  <c r="BE179" i="15"/>
  <c r="D180" i="15"/>
  <c r="W180" i="15"/>
  <c r="BE180" i="15"/>
  <c r="S181" i="15"/>
  <c r="BE181" i="15"/>
  <c r="BF182" i="15"/>
  <c r="BG182" i="15"/>
  <c r="BH182" i="15"/>
  <c r="BJ182" i="15"/>
  <c r="L183" i="15"/>
  <c r="R183" i="15"/>
  <c r="T183" i="15" s="1"/>
  <c r="T184" i="15" s="1"/>
  <c r="T185" i="15" s="1"/>
  <c r="AO183" i="15"/>
  <c r="W183" i="15"/>
  <c r="AT183" i="15" s="1"/>
  <c r="AQ183" i="15"/>
  <c r="BL183" i="15"/>
  <c r="BM183" i="15" s="1"/>
  <c r="CX183" i="15"/>
  <c r="DA183" i="15"/>
  <c r="DC183" i="15"/>
  <c r="BE185" i="15"/>
  <c r="I186" i="15"/>
  <c r="S186" i="15"/>
  <c r="W186" i="15"/>
  <c r="BE186" i="15"/>
  <c r="D187" i="15"/>
  <c r="W187" i="15"/>
  <c r="Z187" i="15" s="1"/>
  <c r="BE187" i="15"/>
  <c r="S188" i="15"/>
  <c r="BE188" i="15"/>
  <c r="BF189" i="15"/>
  <c r="BG189" i="15"/>
  <c r="BH189" i="15"/>
  <c r="BJ189" i="15"/>
  <c r="L190" i="15"/>
  <c r="R190" i="15"/>
  <c r="CZ190" i="15" s="1"/>
  <c r="AO190" i="15"/>
  <c r="W190" i="15"/>
  <c r="AQ190" i="15"/>
  <c r="BL190" i="15"/>
  <c r="BM190" i="15" s="1"/>
  <c r="BN190" i="15" s="1"/>
  <c r="CX190" i="15"/>
  <c r="DA190" i="15"/>
  <c r="DC190" i="15"/>
  <c r="BE192" i="15"/>
  <c r="I193" i="15"/>
  <c r="S193" i="15"/>
  <c r="W193" i="15"/>
  <c r="BE193" i="15"/>
  <c r="D194" i="15"/>
  <c r="W194" i="15"/>
  <c r="Z194" i="15" s="1"/>
  <c r="BE194" i="15"/>
  <c r="S195" i="15"/>
  <c r="BE195" i="15"/>
  <c r="BF196" i="15"/>
  <c r="BG196" i="15"/>
  <c r="BH196" i="15"/>
  <c r="BJ196" i="15"/>
  <c r="L197" i="15"/>
  <c r="R197" i="15"/>
  <c r="AN197" i="15" s="1"/>
  <c r="AO197" i="15"/>
  <c r="W197" i="15"/>
  <c r="AT197" i="15" s="1"/>
  <c r="AQ197" i="15"/>
  <c r="BL197" i="15"/>
  <c r="BM197" i="15" s="1"/>
  <c r="BN197" i="15" s="1"/>
  <c r="CX197" i="15"/>
  <c r="DA197" i="15"/>
  <c r="DC197" i="15"/>
  <c r="BE199" i="15"/>
  <c r="I200" i="15"/>
  <c r="S200" i="15"/>
  <c r="W200" i="15"/>
  <c r="BE200" i="15"/>
  <c r="D201" i="15"/>
  <c r="W201" i="15"/>
  <c r="Z201" i="15" s="1"/>
  <c r="BE201" i="15"/>
  <c r="S202" i="15"/>
  <c r="BE202" i="15"/>
  <c r="BF203" i="15"/>
  <c r="BG203" i="15"/>
  <c r="BH203" i="15"/>
  <c r="BJ203" i="15"/>
  <c r="L204" i="15"/>
  <c r="R204" i="15"/>
  <c r="T204" i="15" s="1"/>
  <c r="T205" i="15" s="1"/>
  <c r="T206" i="15" s="1"/>
  <c r="AO204" i="15"/>
  <c r="W204" i="15"/>
  <c r="AT204" i="15" s="1"/>
  <c r="AQ204" i="15"/>
  <c r="BL204" i="15"/>
  <c r="BM204" i="15" s="1"/>
  <c r="BN204" i="15" s="1"/>
  <c r="CX204" i="15"/>
  <c r="DA204" i="15"/>
  <c r="DC204" i="15"/>
  <c r="BE206" i="15"/>
  <c r="I207" i="15"/>
  <c r="S207" i="15"/>
  <c r="W207" i="15"/>
  <c r="BE207" i="15"/>
  <c r="D208" i="15"/>
  <c r="W208" i="15"/>
  <c r="Z208" i="15" s="1"/>
  <c r="BE208" i="15"/>
  <c r="S209" i="15"/>
  <c r="BE209" i="15"/>
  <c r="BF210" i="15"/>
  <c r="BG210" i="15"/>
  <c r="BH210" i="15"/>
  <c r="BJ210" i="15"/>
  <c r="L211" i="15"/>
  <c r="R211" i="15"/>
  <c r="AO211" i="15"/>
  <c r="W211" i="15"/>
  <c r="AT211" i="15" s="1"/>
  <c r="AQ211" i="15"/>
  <c r="BL211" i="15"/>
  <c r="BM211" i="15" s="1"/>
  <c r="BN211" i="15" s="1"/>
  <c r="CX211" i="15"/>
  <c r="DA211" i="15"/>
  <c r="DC211" i="15"/>
  <c r="BE213" i="15"/>
  <c r="I214" i="15"/>
  <c r="S214" i="15"/>
  <c r="W214" i="15"/>
  <c r="BE214" i="15"/>
  <c r="D215" i="15"/>
  <c r="W215" i="15"/>
  <c r="Z215" i="15" s="1"/>
  <c r="BE215" i="15"/>
  <c r="S216" i="15"/>
  <c r="BE216" i="15"/>
  <c r="BF217" i="15"/>
  <c r="BG217" i="15"/>
  <c r="BH217" i="15"/>
  <c r="BJ217" i="15"/>
  <c r="L218" i="15"/>
  <c r="R218" i="15"/>
  <c r="AN218" i="15" s="1"/>
  <c r="AO218" i="15"/>
  <c r="W218" i="15"/>
  <c r="AT218" i="15" s="1"/>
  <c r="AQ218" i="15"/>
  <c r="BL218" i="15"/>
  <c r="BM218" i="15" s="1"/>
  <c r="CX218" i="15"/>
  <c r="DA218" i="15"/>
  <c r="DC218" i="15"/>
  <c r="BE220" i="15"/>
  <c r="I221" i="15"/>
  <c r="S221" i="15"/>
  <c r="W221" i="15"/>
  <c r="BE221" i="15"/>
  <c r="D222" i="15"/>
  <c r="W222" i="15"/>
  <c r="Z222" i="15" s="1"/>
  <c r="BE222" i="15"/>
  <c r="S223" i="15"/>
  <c r="BE223" i="15"/>
  <c r="BF224" i="15"/>
  <c r="BG224" i="15"/>
  <c r="BH224" i="15"/>
  <c r="BJ224" i="15"/>
  <c r="L225" i="15"/>
  <c r="R225" i="15"/>
  <c r="T225" i="15" s="1"/>
  <c r="AO225" i="15"/>
  <c r="W225" i="15"/>
  <c r="AT225" i="15" s="1"/>
  <c r="AQ225" i="15"/>
  <c r="BL225" i="15"/>
  <c r="BM225" i="15" s="1"/>
  <c r="CX225" i="15"/>
  <c r="DA225" i="15"/>
  <c r="DC225" i="15"/>
  <c r="BE227" i="15"/>
  <c r="I228" i="15"/>
  <c r="S228" i="15"/>
  <c r="W228" i="15"/>
  <c r="BE228" i="15"/>
  <c r="D229" i="15"/>
  <c r="W229" i="15"/>
  <c r="Z229" i="15" s="1"/>
  <c r="BE229" i="15"/>
  <c r="S230" i="15"/>
  <c r="BE230" i="15"/>
  <c r="BF231" i="15"/>
  <c r="BG231" i="15"/>
  <c r="BH231" i="15"/>
  <c r="BJ231" i="15"/>
  <c r="L232" i="15"/>
  <c r="R232" i="15"/>
  <c r="T232" i="15" s="1"/>
  <c r="T233" i="15" s="1"/>
  <c r="T234" i="15" s="1"/>
  <c r="AO232" i="15"/>
  <c r="W232" i="15"/>
  <c r="AQ232" i="15"/>
  <c r="BL232" i="15"/>
  <c r="BM232" i="15" s="1"/>
  <c r="BN232" i="15" s="1"/>
  <c r="CX232" i="15"/>
  <c r="DA232" i="15"/>
  <c r="DC232" i="15"/>
  <c r="BE234" i="15"/>
  <c r="I235" i="15"/>
  <c r="S235" i="15"/>
  <c r="W235" i="15"/>
  <c r="BE235" i="15"/>
  <c r="D236" i="15"/>
  <c r="W236" i="15"/>
  <c r="BE236" i="15"/>
  <c r="S237" i="15"/>
  <c r="BE237" i="15"/>
  <c r="BF238" i="15"/>
  <c r="BG238" i="15"/>
  <c r="BH238" i="15"/>
  <c r="BJ238" i="15"/>
  <c r="L239" i="15"/>
  <c r="R239" i="15"/>
  <c r="CZ239" i="15" s="1"/>
  <c r="AO239" i="15"/>
  <c r="W239" i="15"/>
  <c r="AT239" i="15" s="1"/>
  <c r="AQ239" i="15"/>
  <c r="BL239" i="15"/>
  <c r="BM239" i="15" s="1"/>
  <c r="BN239" i="15" s="1"/>
  <c r="CX239" i="15"/>
  <c r="DA239" i="15"/>
  <c r="DC239" i="15"/>
  <c r="BE241" i="15"/>
  <c r="I242" i="15"/>
  <c r="S242" i="15"/>
  <c r="W242" i="15"/>
  <c r="BE242" i="15"/>
  <c r="D243" i="15"/>
  <c r="W243" i="15"/>
  <c r="BE243" i="15"/>
  <c r="S244" i="15"/>
  <c r="BE244" i="15"/>
  <c r="BF245" i="15"/>
  <c r="BG245" i="15"/>
  <c r="BH245" i="15"/>
  <c r="BJ245" i="15"/>
  <c r="L246" i="15"/>
  <c r="R246" i="15"/>
  <c r="T246" i="15" s="1"/>
  <c r="AP246" i="15" s="1"/>
  <c r="AO246" i="15"/>
  <c r="W246" i="15"/>
  <c r="AQ246" i="15"/>
  <c r="BL246" i="15"/>
  <c r="BM246" i="15" s="1"/>
  <c r="BN246" i="15" s="1"/>
  <c r="CX246" i="15"/>
  <c r="DA246" i="15"/>
  <c r="DC246" i="15"/>
  <c r="BE248" i="15"/>
  <c r="I249" i="15"/>
  <c r="S249" i="15"/>
  <c r="W249" i="15"/>
  <c r="BE249" i="15"/>
  <c r="D250" i="15"/>
  <c r="W250" i="15"/>
  <c r="BE250" i="15"/>
  <c r="S251" i="15"/>
  <c r="BE251" i="15"/>
  <c r="BF252" i="15"/>
  <c r="BG252" i="15"/>
  <c r="BH252" i="15"/>
  <c r="BJ252" i="15"/>
  <c r="L253" i="15"/>
  <c r="R253" i="15"/>
  <c r="AO253" i="15"/>
  <c r="W253" i="15"/>
  <c r="AT253" i="15" s="1"/>
  <c r="AQ253" i="15"/>
  <c r="BL253" i="15"/>
  <c r="BM253" i="15" s="1"/>
  <c r="BN253" i="15" s="1"/>
  <c r="CX253" i="15"/>
  <c r="DA253" i="15"/>
  <c r="DC253" i="15"/>
  <c r="BE255" i="15"/>
  <c r="I256" i="15"/>
  <c r="S256" i="15"/>
  <c r="W256" i="15"/>
  <c r="BE256" i="15"/>
  <c r="D257" i="15"/>
  <c r="W257" i="15"/>
  <c r="Z257" i="15" s="1"/>
  <c r="BE257" i="15"/>
  <c r="S258" i="15"/>
  <c r="BE258" i="15"/>
  <c r="BF259" i="15"/>
  <c r="BG259" i="15"/>
  <c r="BH259" i="15"/>
  <c r="BJ259" i="15"/>
  <c r="L260" i="15"/>
  <c r="R260" i="15"/>
  <c r="AN260" i="15" s="1"/>
  <c r="AO260" i="15"/>
  <c r="W260" i="15"/>
  <c r="AT260" i="15" s="1"/>
  <c r="AQ260" i="15"/>
  <c r="BL260" i="15"/>
  <c r="BM260" i="15" s="1"/>
  <c r="BN260" i="15" s="1"/>
  <c r="CX260" i="15"/>
  <c r="DA260" i="15"/>
  <c r="DC260" i="15"/>
  <c r="BE262" i="15"/>
  <c r="I263" i="15"/>
  <c r="S263" i="15"/>
  <c r="W263" i="15"/>
  <c r="BE263" i="15"/>
  <c r="D264" i="15"/>
  <c r="W264" i="15"/>
  <c r="Z264" i="15" s="1"/>
  <c r="BE264" i="15"/>
  <c r="S265" i="15"/>
  <c r="BE265" i="15"/>
  <c r="BF266" i="15"/>
  <c r="BG266" i="15"/>
  <c r="BH266" i="15"/>
  <c r="BJ266" i="15"/>
  <c r="L267" i="15"/>
  <c r="R267" i="15"/>
  <c r="AO267" i="15"/>
  <c r="W267" i="15"/>
  <c r="AT267" i="15" s="1"/>
  <c r="AQ267" i="15"/>
  <c r="BL267" i="15"/>
  <c r="BM267" i="15" s="1"/>
  <c r="BN267" i="15" s="1"/>
  <c r="CX267" i="15"/>
  <c r="DA267" i="15"/>
  <c r="DC267" i="15"/>
  <c r="BE269" i="15"/>
  <c r="I270" i="15"/>
  <c r="S270" i="15"/>
  <c r="W270" i="15"/>
  <c r="BE270" i="15"/>
  <c r="D271" i="15"/>
  <c r="W271" i="15"/>
  <c r="BE271" i="15"/>
  <c r="S272" i="15"/>
  <c r="BE272" i="15"/>
  <c r="BF273" i="15"/>
  <c r="BG273" i="15"/>
  <c r="BH273" i="15"/>
  <c r="BJ273" i="15"/>
  <c r="L274" i="15"/>
  <c r="R274" i="15"/>
  <c r="AN274" i="15" s="1"/>
  <c r="AO274" i="15"/>
  <c r="W274" i="15"/>
  <c r="AT274" i="15" s="1"/>
  <c r="AQ274" i="15"/>
  <c r="BL274" i="15"/>
  <c r="BM274" i="15" s="1"/>
  <c r="BN274" i="15" s="1"/>
  <c r="CX274" i="15"/>
  <c r="DA274" i="15"/>
  <c r="DC274" i="15"/>
  <c r="BE276" i="15"/>
  <c r="I277" i="15"/>
  <c r="S277" i="15"/>
  <c r="W277" i="15"/>
  <c r="BE277" i="15"/>
  <c r="D278" i="15"/>
  <c r="W278" i="15"/>
  <c r="Z278" i="15" s="1"/>
  <c r="BE278" i="15"/>
  <c r="S279" i="15"/>
  <c r="BE279" i="15"/>
  <c r="BF280" i="15"/>
  <c r="BG280" i="15"/>
  <c r="BH280" i="15"/>
  <c r="BJ280" i="15"/>
  <c r="L281" i="15"/>
  <c r="R281" i="15"/>
  <c r="CZ281" i="15" s="1"/>
  <c r="AO281" i="15"/>
  <c r="W281" i="15"/>
  <c r="AT281" i="15" s="1"/>
  <c r="AQ281" i="15"/>
  <c r="BL281" i="15"/>
  <c r="BM281" i="15" s="1"/>
  <c r="BN281" i="15" s="1"/>
  <c r="CX281" i="15"/>
  <c r="DA281" i="15"/>
  <c r="DC281" i="15"/>
  <c r="BE283" i="15"/>
  <c r="I284" i="15"/>
  <c r="S284" i="15"/>
  <c r="W284" i="15"/>
  <c r="BE284" i="15"/>
  <c r="D285" i="15"/>
  <c r="W285" i="15"/>
  <c r="BE285" i="15"/>
  <c r="S286" i="15"/>
  <c r="BE286" i="15"/>
  <c r="BF287" i="15"/>
  <c r="BG287" i="15"/>
  <c r="BH287" i="15"/>
  <c r="BJ287" i="15"/>
  <c r="L288" i="15"/>
  <c r="R288" i="15"/>
  <c r="CZ288" i="15" s="1"/>
  <c r="AO288" i="15"/>
  <c r="W288" i="15"/>
  <c r="AT288" i="15" s="1"/>
  <c r="AQ288" i="15"/>
  <c r="BL288" i="15"/>
  <c r="BM288" i="15" s="1"/>
  <c r="BN288" i="15" s="1"/>
  <c r="CX288" i="15"/>
  <c r="DA288" i="15"/>
  <c r="DC288" i="15"/>
  <c r="BE290" i="15"/>
  <c r="I291" i="15"/>
  <c r="S291" i="15"/>
  <c r="W291" i="15"/>
  <c r="BE291" i="15"/>
  <c r="D292" i="15"/>
  <c r="W292" i="15"/>
  <c r="Z292" i="15" s="1"/>
  <c r="BE292" i="15"/>
  <c r="S293" i="15"/>
  <c r="BE293" i="15"/>
  <c r="BF294" i="15"/>
  <c r="BG294" i="15"/>
  <c r="BH294" i="15"/>
  <c r="BJ294" i="15"/>
  <c r="L295" i="15"/>
  <c r="R295" i="15"/>
  <c r="T295" i="15" s="1"/>
  <c r="AO295" i="15"/>
  <c r="W295" i="15"/>
  <c r="AT295" i="15" s="1"/>
  <c r="AQ295" i="15"/>
  <c r="BL295" i="15"/>
  <c r="BM295" i="15" s="1"/>
  <c r="BN295" i="15" s="1"/>
  <c r="CX295" i="15"/>
  <c r="DA295" i="15"/>
  <c r="DC295" i="15"/>
  <c r="BE297" i="15"/>
  <c r="I298" i="15"/>
  <c r="S298" i="15"/>
  <c r="W298" i="15"/>
  <c r="BE298" i="15"/>
  <c r="D299" i="15"/>
  <c r="W299" i="15"/>
  <c r="BE299" i="15"/>
  <c r="S300" i="15"/>
  <c r="BE300" i="15"/>
  <c r="BF301" i="15"/>
  <c r="BG301" i="15"/>
  <c r="BH301" i="15"/>
  <c r="BJ301" i="15"/>
  <c r="L302" i="15"/>
  <c r="R302" i="15"/>
  <c r="T302" i="15" s="1"/>
  <c r="AP302" i="15" s="1"/>
  <c r="AO302" i="15"/>
  <c r="W302" i="15"/>
  <c r="AT302" i="15" s="1"/>
  <c r="AQ302" i="15"/>
  <c r="BL302" i="15"/>
  <c r="BM302" i="15" s="1"/>
  <c r="BN302" i="15" s="1"/>
  <c r="CX302" i="15"/>
  <c r="DA302" i="15"/>
  <c r="DC302" i="15"/>
  <c r="BE304" i="15"/>
  <c r="I305" i="15"/>
  <c r="S305" i="15"/>
  <c r="W305" i="15"/>
  <c r="BE305" i="15"/>
  <c r="D306" i="15"/>
  <c r="W306" i="15"/>
  <c r="BE306" i="15"/>
  <c r="S307" i="15"/>
  <c r="BE307" i="15"/>
  <c r="BF308" i="15"/>
  <c r="BG308" i="15"/>
  <c r="BH308" i="15"/>
  <c r="BJ308" i="15"/>
  <c r="L309" i="15"/>
  <c r="R309" i="15"/>
  <c r="T309" i="15" s="1"/>
  <c r="AO309" i="15"/>
  <c r="W309" i="15"/>
  <c r="AT309" i="15" s="1"/>
  <c r="AQ309" i="15"/>
  <c r="BL309" i="15"/>
  <c r="BM309" i="15" s="1"/>
  <c r="BN309" i="15" s="1"/>
  <c r="CX309" i="15"/>
  <c r="DA309" i="15"/>
  <c r="DC309" i="15"/>
  <c r="BE311" i="15"/>
  <c r="I312" i="15"/>
  <c r="S312" i="15"/>
  <c r="W312" i="15"/>
  <c r="BE312" i="15"/>
  <c r="D313" i="15"/>
  <c r="W313" i="15"/>
  <c r="BE313" i="15"/>
  <c r="S314" i="15"/>
  <c r="BE314" i="15"/>
  <c r="BF315" i="15"/>
  <c r="BG315" i="15"/>
  <c r="BH315" i="15"/>
  <c r="BJ315" i="15"/>
  <c r="L316" i="15"/>
  <c r="R316" i="15"/>
  <c r="AO316" i="15"/>
  <c r="W316" i="15"/>
  <c r="AT316" i="15" s="1"/>
  <c r="AQ316" i="15"/>
  <c r="BL316" i="15"/>
  <c r="BM316" i="15" s="1"/>
  <c r="BN316" i="15" s="1"/>
  <c r="CX316" i="15"/>
  <c r="DA316" i="15"/>
  <c r="DC316" i="15"/>
  <c r="BE318" i="15"/>
  <c r="I319" i="15"/>
  <c r="S319" i="15"/>
  <c r="W319" i="15"/>
  <c r="BE319" i="15"/>
  <c r="D320" i="15"/>
  <c r="W320" i="15"/>
  <c r="BE320" i="15"/>
  <c r="S321" i="15"/>
  <c r="BE321" i="15"/>
  <c r="BF322" i="15"/>
  <c r="BG322" i="15"/>
  <c r="BH322" i="15"/>
  <c r="BJ322" i="15"/>
  <c r="L323" i="15"/>
  <c r="R323" i="15"/>
  <c r="T323" i="15" s="1"/>
  <c r="AO323" i="15"/>
  <c r="W323" i="15"/>
  <c r="AT323" i="15" s="1"/>
  <c r="AQ323" i="15"/>
  <c r="BL323" i="15"/>
  <c r="BM323" i="15" s="1"/>
  <c r="BN323" i="15" s="1"/>
  <c r="CX323" i="15"/>
  <c r="DA323" i="15"/>
  <c r="DC323" i="15"/>
  <c r="BE325" i="15"/>
  <c r="I326" i="15"/>
  <c r="S326" i="15"/>
  <c r="W326" i="15"/>
  <c r="BE326" i="15"/>
  <c r="D327" i="15"/>
  <c r="W327" i="15"/>
  <c r="BE327" i="15"/>
  <c r="S328" i="15"/>
  <c r="BE328" i="15"/>
  <c r="BF329" i="15"/>
  <c r="BG329" i="15"/>
  <c r="BH329" i="15"/>
  <c r="BJ329" i="15"/>
  <c r="L330" i="15"/>
  <c r="R330" i="15"/>
  <c r="AN330" i="15" s="1"/>
  <c r="AO330" i="15"/>
  <c r="W330" i="15"/>
  <c r="AT330" i="15" s="1"/>
  <c r="AQ330" i="15"/>
  <c r="BL330" i="15"/>
  <c r="BM330" i="15" s="1"/>
  <c r="BN330" i="15" s="1"/>
  <c r="CX330" i="15"/>
  <c r="DA330" i="15"/>
  <c r="DC330" i="15"/>
  <c r="BE332" i="15"/>
  <c r="I333" i="15"/>
  <c r="S333" i="15"/>
  <c r="W333" i="15"/>
  <c r="BE333" i="15"/>
  <c r="D334" i="15"/>
  <c r="W334" i="15"/>
  <c r="BE334" i="15"/>
  <c r="S335" i="15"/>
  <c r="BE335" i="15"/>
  <c r="BY7" i="15"/>
  <c r="BY8" i="15"/>
  <c r="BY5" i="15"/>
  <c r="CQ69" i="17"/>
  <c r="CQ70" i="17"/>
  <c r="CQ71" i="17"/>
  <c r="CQ72" i="17"/>
  <c r="CQ73" i="17"/>
  <c r="CQ74" i="17"/>
  <c r="CQ75" i="17"/>
  <c r="CQ76" i="17"/>
  <c r="CQ77" i="17"/>
  <c r="CQ78" i="17"/>
  <c r="CQ79" i="17"/>
  <c r="CQ80" i="17"/>
  <c r="CQ81" i="17"/>
  <c r="CQ82" i="17"/>
  <c r="CQ83" i="17"/>
  <c r="CQ84" i="17"/>
  <c r="CQ85" i="17"/>
  <c r="CQ86" i="17"/>
  <c r="CQ87" i="17"/>
  <c r="CQ88" i="17"/>
  <c r="CQ68" i="17"/>
  <c r="CQ3" i="17"/>
  <c r="CQ4" i="17"/>
  <c r="CQ5" i="17"/>
  <c r="CQ6" i="17"/>
  <c r="CQ7" i="17"/>
  <c r="CQ8" i="17"/>
  <c r="CQ9" i="17"/>
  <c r="CQ10" i="17"/>
  <c r="CQ11" i="17"/>
  <c r="CQ12" i="17"/>
  <c r="CQ13" i="17"/>
  <c r="CQ14" i="17"/>
  <c r="CQ15" i="17"/>
  <c r="CQ16" i="17"/>
  <c r="CQ17" i="17"/>
  <c r="CQ18" i="17"/>
  <c r="CQ19" i="17"/>
  <c r="CQ20" i="17"/>
  <c r="CQ21" i="17"/>
  <c r="CQ22" i="17"/>
  <c r="CQ23" i="17"/>
  <c r="CQ24" i="17"/>
  <c r="CQ25" i="17"/>
  <c r="CQ26" i="17"/>
  <c r="CQ27" i="17"/>
  <c r="CQ28" i="17"/>
  <c r="CQ29" i="17"/>
  <c r="CQ30" i="17"/>
  <c r="CQ31" i="17"/>
  <c r="CQ32" i="17"/>
  <c r="CQ33" i="17"/>
  <c r="CQ34" i="17"/>
  <c r="CQ35" i="17"/>
  <c r="CQ36" i="17"/>
  <c r="CQ37" i="17"/>
  <c r="CQ38" i="17"/>
  <c r="CQ39" i="17"/>
  <c r="CQ40" i="17"/>
  <c r="CQ41" i="17"/>
  <c r="CQ42" i="17"/>
  <c r="CQ43" i="17"/>
  <c r="CQ44" i="17"/>
  <c r="CQ45" i="17"/>
  <c r="CQ46" i="17"/>
  <c r="CQ47" i="17"/>
  <c r="CQ48" i="17"/>
  <c r="CQ49" i="17"/>
  <c r="CQ50" i="17"/>
  <c r="CQ51" i="17"/>
  <c r="CQ52" i="17"/>
  <c r="CQ53" i="17"/>
  <c r="CQ54" i="17"/>
  <c r="CQ55" i="17"/>
  <c r="CQ56" i="17"/>
  <c r="CQ57" i="17"/>
  <c r="CQ58" i="17"/>
  <c r="CQ59" i="17"/>
  <c r="CQ60" i="17"/>
  <c r="CQ61" i="17"/>
  <c r="CQ62" i="17"/>
  <c r="CQ63" i="17"/>
  <c r="CQ64" i="17"/>
  <c r="CQ65" i="17"/>
  <c r="CQ66" i="17"/>
  <c r="CQ67" i="17"/>
  <c r="CQ2" i="17"/>
  <c r="BY6" i="15"/>
  <c r="V349" i="15"/>
  <c r="S27" i="15"/>
  <c r="X288" i="15" l="1"/>
  <c r="AU288" i="15" s="1"/>
  <c r="BN218" i="15"/>
  <c r="V218" i="15" s="1"/>
  <c r="AS218" i="15" s="1"/>
  <c r="BN225" i="15"/>
  <c r="V225" i="15" s="1"/>
  <c r="AS225" i="15" s="1"/>
  <c r="BN183" i="15"/>
  <c r="V183" i="15" s="1"/>
  <c r="AS183" i="15" s="1"/>
  <c r="X120" i="15"/>
  <c r="AU120" i="15" s="1"/>
  <c r="T142" i="15"/>
  <c r="T143" i="15" s="1"/>
  <c r="T78" i="15"/>
  <c r="T79" i="15" s="1"/>
  <c r="T80" i="15" s="1"/>
  <c r="X253" i="15"/>
  <c r="AU253" i="15" s="1"/>
  <c r="X211" i="15"/>
  <c r="AU211" i="15" s="1"/>
  <c r="X190" i="15"/>
  <c r="AU190" i="15" s="1"/>
  <c r="AN246" i="15"/>
  <c r="AN134" i="15"/>
  <c r="X260" i="15"/>
  <c r="AU260" i="15" s="1"/>
  <c r="AN204" i="15"/>
  <c r="X148" i="15"/>
  <c r="AU148" i="15" s="1"/>
  <c r="X183" i="15"/>
  <c r="AU183" i="15" s="1"/>
  <c r="V330" i="15"/>
  <c r="AS330" i="15" s="1"/>
  <c r="V288" i="15"/>
  <c r="AS288" i="15" s="1"/>
  <c r="V127" i="15"/>
  <c r="AS127" i="15" s="1"/>
  <c r="V260" i="15"/>
  <c r="AS260" i="15" s="1"/>
  <c r="V204" i="15"/>
  <c r="AS204" i="15" s="1"/>
  <c r="V190" i="15"/>
  <c r="AS190" i="15" s="1"/>
  <c r="V155" i="15"/>
  <c r="AS155" i="15" s="1"/>
  <c r="X106" i="15"/>
  <c r="AU106" i="15" s="1"/>
  <c r="Z110" i="15"/>
  <c r="V92" i="15"/>
  <c r="AS92" i="15" s="1"/>
  <c r="X71" i="15"/>
  <c r="AU71" i="15" s="1"/>
  <c r="Z75" i="15"/>
  <c r="V36" i="15"/>
  <c r="AS36" i="15" s="1"/>
  <c r="X29" i="15"/>
  <c r="AU29" i="15" s="1"/>
  <c r="Z33" i="15"/>
  <c r="X330" i="15"/>
  <c r="X335" i="15" s="1"/>
  <c r="Z334" i="15"/>
  <c r="X316" i="15"/>
  <c r="AU316" i="15" s="1"/>
  <c r="Z320" i="15"/>
  <c r="X274" i="15"/>
  <c r="AU274" i="15" s="1"/>
  <c r="V253" i="15"/>
  <c r="AS253" i="15" s="1"/>
  <c r="V239" i="15"/>
  <c r="AS239" i="15" s="1"/>
  <c r="X232" i="15"/>
  <c r="AU232" i="15" s="1"/>
  <c r="Z236" i="15"/>
  <c r="V211" i="15"/>
  <c r="AS211" i="15" s="1"/>
  <c r="X162" i="15"/>
  <c r="AU162" i="15" s="1"/>
  <c r="X134" i="15"/>
  <c r="AU134" i="15" s="1"/>
  <c r="V57" i="15"/>
  <c r="AS57" i="15" s="1"/>
  <c r="X50" i="15"/>
  <c r="AU50" i="15" s="1"/>
  <c r="Z54" i="15"/>
  <c r="V316" i="15"/>
  <c r="AS316" i="15" s="1"/>
  <c r="V274" i="15"/>
  <c r="AS274" i="15" s="1"/>
  <c r="X197" i="15"/>
  <c r="X202" i="15" s="1"/>
  <c r="AP183" i="15"/>
  <c r="X176" i="15"/>
  <c r="AU176" i="15" s="1"/>
  <c r="Z180" i="15"/>
  <c r="V106" i="15"/>
  <c r="AS106" i="15" s="1"/>
  <c r="X85" i="15"/>
  <c r="X90" i="15" s="1"/>
  <c r="Z89" i="15"/>
  <c r="V71" i="15"/>
  <c r="AS71" i="15" s="1"/>
  <c r="V29" i="15"/>
  <c r="AS29" i="15" s="1"/>
  <c r="V302" i="15"/>
  <c r="AS302" i="15" s="1"/>
  <c r="X323" i="15"/>
  <c r="AU323" i="15" s="1"/>
  <c r="Z327" i="15"/>
  <c r="X309" i="15"/>
  <c r="AU309" i="15" s="1"/>
  <c r="Z313" i="15"/>
  <c r="X295" i="15"/>
  <c r="AU295" i="15" s="1"/>
  <c r="Z299" i="15"/>
  <c r="X246" i="15"/>
  <c r="AU246" i="15" s="1"/>
  <c r="Z250" i="15"/>
  <c r="V232" i="15"/>
  <c r="AS232" i="15" s="1"/>
  <c r="X218" i="15"/>
  <c r="AU218" i="15" s="1"/>
  <c r="CZ183" i="15"/>
  <c r="V162" i="15"/>
  <c r="AS162" i="15" s="1"/>
  <c r="V148" i="15"/>
  <c r="AS148" i="15" s="1"/>
  <c r="V134" i="15"/>
  <c r="AS134" i="15" s="1"/>
  <c r="X99" i="15"/>
  <c r="X104" i="15" s="1"/>
  <c r="Z103" i="15"/>
  <c r="X78" i="15"/>
  <c r="AU78" i="15" s="1"/>
  <c r="X64" i="15"/>
  <c r="AU64" i="15" s="1"/>
  <c r="Z68" i="15"/>
  <c r="V50" i="15"/>
  <c r="AS50" i="15" s="1"/>
  <c r="X43" i="15"/>
  <c r="X48" i="15" s="1"/>
  <c r="Z47" i="15"/>
  <c r="V197" i="15"/>
  <c r="AS197" i="15" s="1"/>
  <c r="AN183" i="15"/>
  <c r="V176" i="15"/>
  <c r="AS176" i="15" s="1"/>
  <c r="X141" i="15"/>
  <c r="AU141" i="15" s="1"/>
  <c r="V120" i="15"/>
  <c r="AS120" i="15" s="1"/>
  <c r="V85" i="15"/>
  <c r="AS85" i="15" s="1"/>
  <c r="CZ64" i="15"/>
  <c r="T64" i="15"/>
  <c r="T65" i="15" s="1"/>
  <c r="T66" i="15" s="1"/>
  <c r="X169" i="15"/>
  <c r="AU169" i="15" s="1"/>
  <c r="Z173" i="15"/>
  <c r="X113" i="15"/>
  <c r="AU113" i="15" s="1"/>
  <c r="Z117" i="15"/>
  <c r="V99" i="15"/>
  <c r="AS99" i="15" s="1"/>
  <c r="V43" i="15"/>
  <c r="AS43" i="15" s="1"/>
  <c r="X281" i="15"/>
  <c r="AU281" i="15" s="1"/>
  <c r="Z285" i="15"/>
  <c r="V323" i="15"/>
  <c r="AS323" i="15" s="1"/>
  <c r="V309" i="15"/>
  <c r="AS309" i="15" s="1"/>
  <c r="V295" i="15"/>
  <c r="AS295" i="15" s="1"/>
  <c r="X267" i="15"/>
  <c r="AU267" i="15" s="1"/>
  <c r="Z271" i="15"/>
  <c r="V281" i="15"/>
  <c r="AS281" i="15" s="1"/>
  <c r="X204" i="15"/>
  <c r="X155" i="15"/>
  <c r="AU155" i="15" s="1"/>
  <c r="Z159" i="15"/>
  <c r="T155" i="15"/>
  <c r="T156" i="15" s="1"/>
  <c r="T157" i="15" s="1"/>
  <c r="X127" i="15"/>
  <c r="AU127" i="15" s="1"/>
  <c r="X92" i="15"/>
  <c r="AU92" i="15" s="1"/>
  <c r="Z96" i="15"/>
  <c r="V78" i="15"/>
  <c r="AS78" i="15" s="1"/>
  <c r="V64" i="15"/>
  <c r="AS64" i="15" s="1"/>
  <c r="X36" i="15"/>
  <c r="AU36" i="15" s="1"/>
  <c r="Z40" i="15"/>
  <c r="X225" i="15"/>
  <c r="AU225" i="15" s="1"/>
  <c r="V246" i="15"/>
  <c r="AS246" i="15" s="1"/>
  <c r="X302" i="15"/>
  <c r="X307" i="15" s="1"/>
  <c r="Z306" i="15"/>
  <c r="V267" i="15"/>
  <c r="AS267" i="15" s="1"/>
  <c r="X239" i="15"/>
  <c r="AU239" i="15" s="1"/>
  <c r="Z243" i="15"/>
  <c r="V169" i="15"/>
  <c r="AS169" i="15" s="1"/>
  <c r="V141" i="15"/>
  <c r="T135" i="15"/>
  <c r="T136" i="15" s="1"/>
  <c r="V113" i="15"/>
  <c r="AS113" i="15" s="1"/>
  <c r="T92" i="15"/>
  <c r="AP92" i="15" s="1"/>
  <c r="X57" i="15"/>
  <c r="X62" i="15" s="1"/>
  <c r="Z61" i="15"/>
  <c r="T324" i="15"/>
  <c r="T325" i="15" s="1"/>
  <c r="AP323" i="15"/>
  <c r="T310" i="15"/>
  <c r="T311" i="15" s="1"/>
  <c r="AP309" i="15"/>
  <c r="AP225" i="15"/>
  <c r="T226" i="15"/>
  <c r="T227" i="15" s="1"/>
  <c r="T330" i="15"/>
  <c r="T331" i="15" s="1"/>
  <c r="T332" i="15" s="1"/>
  <c r="CZ225" i="15"/>
  <c r="AP204" i="15"/>
  <c r="T176" i="15"/>
  <c r="AP176" i="15" s="1"/>
  <c r="T106" i="15"/>
  <c r="AP106" i="15" s="1"/>
  <c r="CZ246" i="15"/>
  <c r="AN225" i="15"/>
  <c r="CZ197" i="15"/>
  <c r="AN71" i="15"/>
  <c r="T113" i="15"/>
  <c r="AP113" i="15" s="1"/>
  <c r="T99" i="15"/>
  <c r="AP99" i="15" s="1"/>
  <c r="T85" i="15"/>
  <c r="AP85" i="15" s="1"/>
  <c r="CZ71" i="15"/>
  <c r="T190" i="15"/>
  <c r="CZ176" i="15"/>
  <c r="CZ99" i="15"/>
  <c r="AT232" i="15"/>
  <c r="CZ232" i="15"/>
  <c r="T163" i="15"/>
  <c r="T164" i="15" s="1"/>
  <c r="AN29" i="15"/>
  <c r="AP127" i="15"/>
  <c r="CZ50" i="15"/>
  <c r="AN281" i="15"/>
  <c r="AN232" i="15"/>
  <c r="CZ43" i="15"/>
  <c r="AN36" i="15"/>
  <c r="AN162" i="15"/>
  <c r="CZ155" i="15"/>
  <c r="CZ36" i="15"/>
  <c r="CZ330" i="15"/>
  <c r="T218" i="15"/>
  <c r="T219" i="15" s="1"/>
  <c r="T220" i="15" s="1"/>
  <c r="AN190" i="15"/>
  <c r="CZ134" i="15"/>
  <c r="CZ113" i="15"/>
  <c r="CZ85" i="15"/>
  <c r="CZ57" i="15"/>
  <c r="AN148" i="15"/>
  <c r="AN288" i="15"/>
  <c r="AN50" i="15"/>
  <c r="CZ141" i="15"/>
  <c r="AN43" i="15"/>
  <c r="AN57" i="15"/>
  <c r="T288" i="15"/>
  <c r="T281" i="15"/>
  <c r="AP281" i="15" s="1"/>
  <c r="T148" i="15"/>
  <c r="AP148" i="15" s="1"/>
  <c r="AN141" i="15"/>
  <c r="CZ106" i="15"/>
  <c r="AN92" i="15"/>
  <c r="CZ78" i="15"/>
  <c r="T29" i="15"/>
  <c r="AP29" i="15" s="1"/>
  <c r="T303" i="15"/>
  <c r="T304" i="15" s="1"/>
  <c r="T197" i="15"/>
  <c r="AP295" i="15"/>
  <c r="T296" i="15"/>
  <c r="T297" i="15" s="1"/>
  <c r="CZ302" i="15"/>
  <c r="AN302" i="15"/>
  <c r="T253" i="15"/>
  <c r="CZ253" i="15"/>
  <c r="AN253" i="15"/>
  <c r="CZ323" i="15"/>
  <c r="AN323" i="15"/>
  <c r="CZ211" i="15"/>
  <c r="T211" i="15"/>
  <c r="AN211" i="15"/>
  <c r="AT190" i="15"/>
  <c r="CZ316" i="15"/>
  <c r="AN316" i="15"/>
  <c r="CZ309" i="15"/>
  <c r="AN309" i="15"/>
  <c r="AN169" i="15"/>
  <c r="T169" i="15"/>
  <c r="CZ169" i="15"/>
  <c r="CZ295" i="15"/>
  <c r="AN295" i="15"/>
  <c r="T316" i="15"/>
  <c r="T267" i="15"/>
  <c r="CZ267" i="15"/>
  <c r="AN267" i="15"/>
  <c r="AP43" i="15"/>
  <c r="T44" i="15"/>
  <c r="T45" i="15" s="1"/>
  <c r="T260" i="15"/>
  <c r="CZ260" i="15"/>
  <c r="T247" i="15"/>
  <c r="T248" i="15" s="1"/>
  <c r="T239" i="15"/>
  <c r="AN239" i="15"/>
  <c r="T177" i="15"/>
  <c r="T178" i="15" s="1"/>
  <c r="AP36" i="15"/>
  <c r="T37" i="15"/>
  <c r="T38" i="15" s="1"/>
  <c r="AT134" i="15"/>
  <c r="AT29" i="15"/>
  <c r="T274" i="15"/>
  <c r="CZ274" i="15"/>
  <c r="AP232" i="15"/>
  <c r="CZ218" i="15"/>
  <c r="CZ204" i="15"/>
  <c r="AT246" i="15"/>
  <c r="AT127" i="15"/>
  <c r="AT50" i="15"/>
  <c r="AT155" i="15"/>
  <c r="AT64" i="15"/>
  <c r="AT162" i="15"/>
  <c r="AT120" i="15"/>
  <c r="AT141" i="15"/>
  <c r="AT92" i="15"/>
  <c r="T120" i="15"/>
  <c r="AN120" i="15"/>
  <c r="CZ162" i="15"/>
  <c r="AT113" i="15"/>
  <c r="AP57" i="15"/>
  <c r="T58" i="15"/>
  <c r="T59" i="15" s="1"/>
  <c r="AP71" i="15"/>
  <c r="T72" i="15"/>
  <c r="T73" i="15" s="1"/>
  <c r="AT148" i="15"/>
  <c r="CZ127" i="15"/>
  <c r="AN127" i="15"/>
  <c r="AP50" i="15"/>
  <c r="T51" i="15"/>
  <c r="T52" i="15" s="1"/>
  <c r="F65" i="21"/>
  <c r="E65" i="21"/>
  <c r="F64" i="21"/>
  <c r="E64" i="21"/>
  <c r="F63" i="21"/>
  <c r="E63" i="21"/>
  <c r="F62" i="21"/>
  <c r="E62" i="21"/>
  <c r="F61" i="21"/>
  <c r="E61" i="21"/>
  <c r="F60" i="21"/>
  <c r="E60" i="21"/>
  <c r="F59" i="21"/>
  <c r="E59" i="21"/>
  <c r="E57" i="21"/>
  <c r="E56" i="21"/>
  <c r="E55" i="21"/>
  <c r="E54" i="21"/>
  <c r="E53" i="21"/>
  <c r="E52" i="21"/>
  <c r="E51" i="21"/>
  <c r="E48" i="21"/>
  <c r="E47" i="21"/>
  <c r="E46" i="21"/>
  <c r="E45" i="21"/>
  <c r="E44" i="21"/>
  <c r="E43" i="21"/>
  <c r="E42" i="21"/>
  <c r="E41" i="21"/>
  <c r="I40" i="21"/>
  <c r="H40" i="21"/>
  <c r="G40" i="21"/>
  <c r="F40" i="21"/>
  <c r="E40" i="21"/>
  <c r="I39" i="21"/>
  <c r="H39" i="21"/>
  <c r="G39" i="21"/>
  <c r="F39" i="21"/>
  <c r="E39" i="21"/>
  <c r="I38" i="21"/>
  <c r="H38" i="21"/>
  <c r="G38" i="21"/>
  <c r="F38" i="21"/>
  <c r="E38" i="21"/>
  <c r="I37" i="21"/>
  <c r="H37" i="21"/>
  <c r="G37" i="21"/>
  <c r="F37" i="21"/>
  <c r="E37" i="21"/>
  <c r="I36" i="21"/>
  <c r="H36" i="21"/>
  <c r="G36" i="21"/>
  <c r="F36" i="21"/>
  <c r="E36" i="21"/>
  <c r="I35" i="21"/>
  <c r="H35" i="21"/>
  <c r="G35" i="21"/>
  <c r="F35" i="21"/>
  <c r="E35" i="21"/>
  <c r="I34" i="21"/>
  <c r="H34" i="21"/>
  <c r="G34" i="21"/>
  <c r="F34" i="21"/>
  <c r="E34" i="21"/>
  <c r="I33" i="21"/>
  <c r="H33" i="21"/>
  <c r="G33" i="21"/>
  <c r="F33" i="21"/>
  <c r="E33" i="21"/>
  <c r="I32" i="21"/>
  <c r="H32" i="21"/>
  <c r="G32" i="21"/>
  <c r="F32" i="21"/>
  <c r="E32" i="21"/>
  <c r="I31" i="21"/>
  <c r="H31" i="21"/>
  <c r="G31" i="21"/>
  <c r="F31" i="21"/>
  <c r="E31" i="21"/>
  <c r="E30" i="21"/>
  <c r="I29" i="21"/>
  <c r="H29" i="21"/>
  <c r="G29" i="21"/>
  <c r="F29" i="21"/>
  <c r="E29" i="21"/>
  <c r="I28" i="21"/>
  <c r="H28" i="21"/>
  <c r="G28" i="21"/>
  <c r="F28" i="21"/>
  <c r="E28" i="21"/>
  <c r="I27" i="21"/>
  <c r="H27" i="21"/>
  <c r="G27" i="21"/>
  <c r="F27" i="21"/>
  <c r="E27" i="21"/>
  <c r="I26" i="21"/>
  <c r="H26" i="21"/>
  <c r="G26" i="21"/>
  <c r="F26" i="21"/>
  <c r="E26" i="21"/>
  <c r="I25" i="21"/>
  <c r="H25" i="21"/>
  <c r="G25" i="21"/>
  <c r="F25" i="21"/>
  <c r="E25" i="21"/>
  <c r="I24" i="21"/>
  <c r="H24" i="21"/>
  <c r="G24" i="21"/>
  <c r="F24" i="21"/>
  <c r="E24" i="21"/>
  <c r="I23" i="21"/>
  <c r="H23" i="21"/>
  <c r="G23" i="21"/>
  <c r="F23" i="21"/>
  <c r="E23" i="21"/>
  <c r="I22" i="21"/>
  <c r="H22" i="21"/>
  <c r="G22" i="21"/>
  <c r="F22" i="21"/>
  <c r="E22" i="21"/>
  <c r="I21" i="21"/>
  <c r="H21" i="21"/>
  <c r="G21" i="21"/>
  <c r="F21" i="21"/>
  <c r="E21" i="21"/>
  <c r="I20" i="21"/>
  <c r="H20" i="21"/>
  <c r="G20" i="21"/>
  <c r="F20" i="21"/>
  <c r="E20" i="21"/>
  <c r="I19" i="21"/>
  <c r="H19" i="21"/>
  <c r="G19" i="21"/>
  <c r="F19" i="21"/>
  <c r="E19" i="21"/>
  <c r="I18" i="21"/>
  <c r="H18" i="21"/>
  <c r="G18" i="21"/>
  <c r="F18" i="21"/>
  <c r="E18" i="21"/>
  <c r="I17" i="21"/>
  <c r="H17" i="21"/>
  <c r="G17" i="21"/>
  <c r="F17" i="21"/>
  <c r="E17" i="21"/>
  <c r="I16" i="21"/>
  <c r="H16" i="21"/>
  <c r="G16" i="21"/>
  <c r="F16" i="21"/>
  <c r="E16" i="21"/>
  <c r="I15" i="21"/>
  <c r="H15" i="21"/>
  <c r="G15" i="21"/>
  <c r="F15" i="21"/>
  <c r="E15" i="21"/>
  <c r="I14" i="21"/>
  <c r="H14" i="21"/>
  <c r="G14" i="21"/>
  <c r="F14" i="21"/>
  <c r="E14" i="21"/>
  <c r="I13" i="21"/>
  <c r="H13" i="21"/>
  <c r="G13" i="21"/>
  <c r="F13" i="21"/>
  <c r="E13" i="21"/>
  <c r="I12" i="21"/>
  <c r="H12" i="21"/>
  <c r="G12" i="21"/>
  <c r="F12" i="21"/>
  <c r="E12" i="21"/>
  <c r="I11" i="21"/>
  <c r="H11" i="21"/>
  <c r="G11" i="21"/>
  <c r="F11" i="21"/>
  <c r="E11" i="21"/>
  <c r="I10" i="21"/>
  <c r="H10" i="21"/>
  <c r="G10" i="21"/>
  <c r="F10" i="21"/>
  <c r="E10" i="21"/>
  <c r="I9" i="21"/>
  <c r="H9" i="21"/>
  <c r="G9" i="21"/>
  <c r="F9" i="21"/>
  <c r="E9" i="21"/>
  <c r="I8" i="21"/>
  <c r="H8" i="21"/>
  <c r="G8" i="21"/>
  <c r="F8" i="21"/>
  <c r="E8" i="21"/>
  <c r="I7" i="21"/>
  <c r="H7" i="21"/>
  <c r="G7" i="21"/>
  <c r="F7" i="21"/>
  <c r="E7" i="21"/>
  <c r="I6" i="21"/>
  <c r="H6" i="21"/>
  <c r="G6" i="21"/>
  <c r="F6" i="21"/>
  <c r="E6" i="21"/>
  <c r="I5" i="21"/>
  <c r="H5" i="21"/>
  <c r="G5" i="21"/>
  <c r="F5" i="21"/>
  <c r="E5" i="21"/>
  <c r="I4" i="21"/>
  <c r="H4" i="21"/>
  <c r="G4" i="21"/>
  <c r="F4" i="21"/>
  <c r="E4" i="21"/>
  <c r="I3" i="21"/>
  <c r="H3" i="21"/>
  <c r="G3" i="21"/>
  <c r="F3" i="21"/>
  <c r="E3" i="21"/>
  <c r="CL2" i="17"/>
  <c r="CM2" i="17"/>
  <c r="CK2" i="17"/>
  <c r="T100" i="15" l="1"/>
  <c r="T101" i="15" s="1"/>
  <c r="X293" i="15"/>
  <c r="X188" i="15"/>
  <c r="AP64" i="15"/>
  <c r="AU43" i="15"/>
  <c r="AP78" i="15"/>
  <c r="AU302" i="15"/>
  <c r="X97" i="15"/>
  <c r="X265" i="15"/>
  <c r="X55" i="15"/>
  <c r="X125" i="15"/>
  <c r="X328" i="15"/>
  <c r="X258" i="15"/>
  <c r="X153" i="15"/>
  <c r="X300" i="15"/>
  <c r="X244" i="15"/>
  <c r="X195" i="15"/>
  <c r="X167" i="15"/>
  <c r="AU85" i="15"/>
  <c r="AU197" i="15"/>
  <c r="X132" i="15"/>
  <c r="X76" i="15"/>
  <c r="X321" i="15"/>
  <c r="X216" i="15"/>
  <c r="X237" i="15"/>
  <c r="X279" i="15"/>
  <c r="X314" i="15"/>
  <c r="X69" i="15"/>
  <c r="AU330" i="15"/>
  <c r="X118" i="15"/>
  <c r="X251" i="15"/>
  <c r="AU57" i="15"/>
  <c r="AU99" i="15"/>
  <c r="T93" i="15"/>
  <c r="T94" i="15" s="1"/>
  <c r="X230" i="15"/>
  <c r="AP330" i="15"/>
  <c r="X181" i="15"/>
  <c r="X146" i="15"/>
  <c r="X83" i="15"/>
  <c r="X286" i="15"/>
  <c r="T114" i="15"/>
  <c r="T115" i="15" s="1"/>
  <c r="AS141" i="15"/>
  <c r="X223" i="15"/>
  <c r="T30" i="15"/>
  <c r="T31" i="15" s="1"/>
  <c r="X34" i="15"/>
  <c r="X174" i="15"/>
  <c r="AU204" i="15"/>
  <c r="X209" i="15"/>
  <c r="X160" i="15"/>
  <c r="AP155" i="15"/>
  <c r="X111" i="15"/>
  <c r="T107" i="15"/>
  <c r="T108" i="15" s="1"/>
  <c r="T86" i="15"/>
  <c r="T87" i="15" s="1"/>
  <c r="X41" i="15"/>
  <c r="X139" i="15"/>
  <c r="X272" i="15"/>
  <c r="AP190" i="15"/>
  <c r="T191" i="15"/>
  <c r="T192" i="15" s="1"/>
  <c r="T282" i="15"/>
  <c r="T283" i="15" s="1"/>
  <c r="T198" i="15"/>
  <c r="T199" i="15" s="1"/>
  <c r="AP197" i="15"/>
  <c r="AP218" i="15"/>
  <c r="T289" i="15"/>
  <c r="T290" i="15" s="1"/>
  <c r="AP288" i="15"/>
  <c r="T149" i="15"/>
  <c r="T150" i="15" s="1"/>
  <c r="T240" i="15"/>
  <c r="T241" i="15" s="1"/>
  <c r="AP239" i="15"/>
  <c r="AP267" i="15"/>
  <c r="T268" i="15"/>
  <c r="T269" i="15" s="1"/>
  <c r="AP211" i="15"/>
  <c r="T212" i="15"/>
  <c r="T213" i="15" s="1"/>
  <c r="T170" i="15"/>
  <c r="T171" i="15" s="1"/>
  <c r="AP169" i="15"/>
  <c r="AP253" i="15"/>
  <c r="T254" i="15"/>
  <c r="T255" i="15" s="1"/>
  <c r="AP260" i="15"/>
  <c r="T261" i="15"/>
  <c r="T262" i="15" s="1"/>
  <c r="AP316" i="15"/>
  <c r="T317" i="15"/>
  <c r="T318" i="15" s="1"/>
  <c r="AP120" i="15"/>
  <c r="T121" i="15"/>
  <c r="T122" i="15" s="1"/>
  <c r="AP274" i="15"/>
  <c r="T275" i="15"/>
  <c r="T276" i="15" s="1"/>
  <c r="S20" i="15"/>
  <c r="CB3" i="17"/>
  <c r="CB4" i="17"/>
  <c r="CB5" i="17"/>
  <c r="CB6" i="17"/>
  <c r="CB7" i="17"/>
  <c r="CB8" i="17"/>
  <c r="CB9" i="17"/>
  <c r="CB10" i="17"/>
  <c r="CB11" i="17"/>
  <c r="CB12" i="17"/>
  <c r="CB13" i="17"/>
  <c r="CB14" i="17"/>
  <c r="CB15" i="17"/>
  <c r="CB16" i="17"/>
  <c r="CB17" i="17"/>
  <c r="CB18" i="17"/>
  <c r="CB19" i="17"/>
  <c r="CB20" i="17"/>
  <c r="CB21" i="17"/>
  <c r="CB22" i="17"/>
  <c r="CB23" i="17"/>
  <c r="CB24" i="17"/>
  <c r="CB25" i="17"/>
  <c r="CB26" i="17"/>
  <c r="CB27" i="17"/>
  <c r="CB28" i="17"/>
  <c r="CB29" i="17"/>
  <c r="CB30" i="17"/>
  <c r="CB31" i="17"/>
  <c r="CB32" i="17"/>
  <c r="CB33" i="17"/>
  <c r="CB34" i="17"/>
  <c r="CB35" i="17"/>
  <c r="CB36" i="17"/>
  <c r="CB37" i="17"/>
  <c r="CB38" i="17"/>
  <c r="CB39" i="17"/>
  <c r="CB40" i="17"/>
  <c r="CB41" i="17"/>
  <c r="CB42" i="17"/>
  <c r="CB43" i="17"/>
  <c r="CB44" i="17"/>
  <c r="CB45" i="17"/>
  <c r="CB46" i="17"/>
  <c r="CB47" i="17"/>
  <c r="CB48" i="17"/>
  <c r="CB49" i="17"/>
  <c r="CB50" i="17"/>
  <c r="CB51" i="17"/>
  <c r="CB52" i="17"/>
  <c r="CB53" i="17"/>
  <c r="CB54" i="17"/>
  <c r="CB55" i="17"/>
  <c r="CB56" i="17"/>
  <c r="CB57" i="17"/>
  <c r="CB58" i="17"/>
  <c r="CB59" i="17"/>
  <c r="CB60" i="17"/>
  <c r="CB61" i="17"/>
  <c r="CB62" i="17"/>
  <c r="CB63" i="17"/>
  <c r="CB64" i="17"/>
  <c r="CB65" i="17"/>
  <c r="CB66" i="17"/>
  <c r="CB67" i="17"/>
  <c r="CB2" i="17"/>
  <c r="AZ3" i="17" l="1"/>
  <c r="Z13" i="15" l="1"/>
  <c r="K42" i="26" l="1"/>
  <c r="J42" i="26"/>
  <c r="I42" i="26"/>
  <c r="K26" i="26"/>
  <c r="J26" i="26"/>
  <c r="I26" i="26"/>
  <c r="K14" i="26"/>
  <c r="J14" i="26"/>
  <c r="I14" i="26"/>
  <c r="K5" i="26"/>
  <c r="J5" i="26"/>
  <c r="I5" i="26"/>
  <c r="D1423" i="15"/>
  <c r="I1422" i="15"/>
  <c r="D1416" i="15"/>
  <c r="I1415" i="15"/>
  <c r="D1409" i="15"/>
  <c r="I1408" i="15"/>
  <c r="D1402" i="15"/>
  <c r="I1401" i="15"/>
  <c r="D1395" i="15"/>
  <c r="I1394" i="15"/>
  <c r="D1388" i="15"/>
  <c r="I1387" i="15"/>
  <c r="D1381" i="15"/>
  <c r="I1380" i="15"/>
  <c r="D1374" i="15"/>
  <c r="I1373" i="15"/>
  <c r="D1367" i="15"/>
  <c r="I1366" i="15"/>
  <c r="D1360" i="15"/>
  <c r="I1359" i="15"/>
  <c r="D19" i="15" l="1"/>
  <c r="W1419" i="15"/>
  <c r="W1412" i="15"/>
  <c r="W1405" i="15"/>
  <c r="W1398" i="15"/>
  <c r="W1391" i="15"/>
  <c r="W1384" i="15"/>
  <c r="W1377" i="15"/>
  <c r="W1370" i="15"/>
  <c r="W1363" i="15"/>
  <c r="W1356" i="15"/>
  <c r="CX1363" i="15" l="1"/>
  <c r="DA1363" i="15"/>
  <c r="DC1363" i="15"/>
  <c r="CX1370" i="15"/>
  <c r="DA1370" i="15"/>
  <c r="DC1370" i="15"/>
  <c r="CX1377" i="15"/>
  <c r="DA1377" i="15"/>
  <c r="DC1377" i="15"/>
  <c r="CX1384" i="15"/>
  <c r="DA1384" i="15"/>
  <c r="DC1384" i="15"/>
  <c r="CX1391" i="15"/>
  <c r="DA1391" i="15"/>
  <c r="DC1391" i="15"/>
  <c r="CX1398" i="15"/>
  <c r="DA1398" i="15"/>
  <c r="DC1398" i="15"/>
  <c r="CX1405" i="15"/>
  <c r="DA1405" i="15"/>
  <c r="DC1405" i="15"/>
  <c r="CX1412" i="15"/>
  <c r="DA1412" i="15"/>
  <c r="DC1412" i="15"/>
  <c r="CX1419" i="15"/>
  <c r="DA1419" i="15"/>
  <c r="DC1419" i="15"/>
  <c r="DC1356" i="15"/>
  <c r="DA1356" i="15"/>
  <c r="CX1356" i="15"/>
  <c r="CX22" i="15"/>
  <c r="DA22" i="15"/>
  <c r="DC22" i="15"/>
  <c r="CY13" i="15"/>
  <c r="CU13" i="15"/>
  <c r="CW13" i="15"/>
  <c r="DA15" i="15"/>
  <c r="DC15" i="15"/>
  <c r="CX15" i="15"/>
  <c r="BE1424" i="15"/>
  <c r="BE1423" i="15"/>
  <c r="W1423" i="15"/>
  <c r="BE1422" i="15"/>
  <c r="W1422" i="15"/>
  <c r="S1422" i="15"/>
  <c r="BE1421" i="15"/>
  <c r="BL1419" i="15"/>
  <c r="BM1419" i="15" s="1"/>
  <c r="AQ1419" i="15"/>
  <c r="S1419" i="15"/>
  <c r="AO1419" i="15" s="1"/>
  <c r="R1419" i="15"/>
  <c r="T1419" i="15" s="1"/>
  <c r="L1419" i="15"/>
  <c r="BJ1418" i="15"/>
  <c r="BH1418" i="15"/>
  <c r="BG1418" i="15"/>
  <c r="BF1418" i="15"/>
  <c r="BE1417" i="15"/>
  <c r="BE1416" i="15"/>
  <c r="W1416" i="15"/>
  <c r="Z1416" i="15" s="1"/>
  <c r="BE1415" i="15"/>
  <c r="W1415" i="15"/>
  <c r="S1415" i="15"/>
  <c r="BE1414" i="15"/>
  <c r="BL1412" i="15"/>
  <c r="BM1412" i="15" s="1"/>
  <c r="AQ1412" i="15"/>
  <c r="S1412" i="15"/>
  <c r="AO1412" i="15" s="1"/>
  <c r="R1412" i="15"/>
  <c r="AN1412" i="15" s="1"/>
  <c r="L1412" i="15"/>
  <c r="BJ1411" i="15"/>
  <c r="BH1411" i="15"/>
  <c r="BG1411" i="15"/>
  <c r="BF1411" i="15"/>
  <c r="BE1410" i="15"/>
  <c r="BE1409" i="15"/>
  <c r="W1409" i="15"/>
  <c r="Z1409" i="15" s="1"/>
  <c r="BE1408" i="15"/>
  <c r="W1408" i="15"/>
  <c r="S1408" i="15"/>
  <c r="BE1407" i="15"/>
  <c r="BL1405" i="15"/>
  <c r="BM1405" i="15" s="1"/>
  <c r="AQ1405" i="15"/>
  <c r="S1405" i="15"/>
  <c r="AO1405" i="15" s="1"/>
  <c r="R1405" i="15"/>
  <c r="T1405" i="15" s="1"/>
  <c r="L1405" i="15"/>
  <c r="BJ1404" i="15"/>
  <c r="BH1404" i="15"/>
  <c r="BG1404" i="15"/>
  <c r="BF1404" i="15"/>
  <c r="BE1403" i="15"/>
  <c r="BE1402" i="15"/>
  <c r="W1402" i="15"/>
  <c r="Z1402" i="15" s="1"/>
  <c r="BE1401" i="15"/>
  <c r="W1401" i="15"/>
  <c r="S1401" i="15"/>
  <c r="BE1400" i="15"/>
  <c r="BL1398" i="15"/>
  <c r="BM1398" i="15" s="1"/>
  <c r="AQ1398" i="15"/>
  <c r="AT1398" i="15"/>
  <c r="S1398" i="15"/>
  <c r="AO1398" i="15" s="1"/>
  <c r="R1398" i="15"/>
  <c r="T1398" i="15" s="1"/>
  <c r="L1398" i="15"/>
  <c r="BJ1397" i="15"/>
  <c r="BH1397" i="15"/>
  <c r="BG1397" i="15"/>
  <c r="BF1397" i="15"/>
  <c r="BE1396" i="15"/>
  <c r="BE1395" i="15"/>
  <c r="W1395" i="15"/>
  <c r="Z1395" i="15" s="1"/>
  <c r="BE1394" i="15"/>
  <c r="W1394" i="15"/>
  <c r="S1394" i="15"/>
  <c r="BE1393" i="15"/>
  <c r="BL1391" i="15"/>
  <c r="BM1391" i="15" s="1"/>
  <c r="AQ1391" i="15"/>
  <c r="S1391" i="15"/>
  <c r="AO1391" i="15" s="1"/>
  <c r="R1391" i="15"/>
  <c r="AN1391" i="15" s="1"/>
  <c r="L1391" i="15"/>
  <c r="BJ1390" i="15"/>
  <c r="BH1390" i="15"/>
  <c r="BG1390" i="15"/>
  <c r="BF1390" i="15"/>
  <c r="BE1389" i="15"/>
  <c r="BE1388" i="15"/>
  <c r="W1388" i="15"/>
  <c r="Z1388" i="15" s="1"/>
  <c r="BE1387" i="15"/>
  <c r="W1387" i="15"/>
  <c r="S1387" i="15"/>
  <c r="BE1386" i="15"/>
  <c r="BL1384" i="15"/>
  <c r="BM1384" i="15" s="1"/>
  <c r="AQ1384" i="15"/>
  <c r="S1384" i="15"/>
  <c r="AO1384" i="15" s="1"/>
  <c r="R1384" i="15"/>
  <c r="AN1384" i="15" s="1"/>
  <c r="L1384" i="15"/>
  <c r="BJ1383" i="15"/>
  <c r="BH1383" i="15"/>
  <c r="BG1383" i="15"/>
  <c r="BF1383" i="15"/>
  <c r="BE1382" i="15"/>
  <c r="BE1381" i="15"/>
  <c r="W1381" i="15"/>
  <c r="Z1381" i="15" s="1"/>
  <c r="BE1380" i="15"/>
  <c r="W1380" i="15"/>
  <c r="S1380" i="15"/>
  <c r="BE1379" i="15"/>
  <c r="BL1377" i="15"/>
  <c r="BM1377" i="15" s="1"/>
  <c r="AQ1377" i="15"/>
  <c r="S1377" i="15"/>
  <c r="AO1377" i="15" s="1"/>
  <c r="R1377" i="15"/>
  <c r="AN1377" i="15" s="1"/>
  <c r="L1377" i="15"/>
  <c r="BJ1376" i="15"/>
  <c r="BH1376" i="15"/>
  <c r="BG1376" i="15"/>
  <c r="BF1376" i="15"/>
  <c r="BE1375" i="15"/>
  <c r="BE1374" i="15"/>
  <c r="W1374" i="15"/>
  <c r="Z1374" i="15" s="1"/>
  <c r="BE1373" i="15"/>
  <c r="W1373" i="15"/>
  <c r="S1373" i="15"/>
  <c r="BE1372" i="15"/>
  <c r="BL1370" i="15"/>
  <c r="BM1370" i="15" s="1"/>
  <c r="AQ1370" i="15"/>
  <c r="S1370" i="15"/>
  <c r="AO1370" i="15" s="1"/>
  <c r="R1370" i="15"/>
  <c r="AN1370" i="15" s="1"/>
  <c r="L1370" i="15"/>
  <c r="BJ1369" i="15"/>
  <c r="BH1369" i="15"/>
  <c r="BG1369" i="15"/>
  <c r="BF1369" i="15"/>
  <c r="BE1368" i="15"/>
  <c r="BE1367" i="15"/>
  <c r="W1367" i="15"/>
  <c r="Z1367" i="15" s="1"/>
  <c r="BE1366" i="15"/>
  <c r="W1366" i="15"/>
  <c r="S1366" i="15"/>
  <c r="BE1365" i="15"/>
  <c r="BL1363" i="15"/>
  <c r="BM1363" i="15" s="1"/>
  <c r="AQ1363" i="15"/>
  <c r="S1363" i="15"/>
  <c r="AO1363" i="15" s="1"/>
  <c r="R1363" i="15"/>
  <c r="T1363" i="15" s="1"/>
  <c r="L1363" i="15"/>
  <c r="BJ1362" i="15"/>
  <c r="BH1362" i="15"/>
  <c r="BG1362" i="15"/>
  <c r="BF1362" i="15"/>
  <c r="BE1361" i="15"/>
  <c r="BE1360" i="15"/>
  <c r="W1360" i="15"/>
  <c r="BE1359" i="15"/>
  <c r="W1359" i="15"/>
  <c r="S1359" i="15"/>
  <c r="BE1358" i="15"/>
  <c r="BL1356" i="15"/>
  <c r="BM1356" i="15" s="1"/>
  <c r="AQ1356" i="15"/>
  <c r="S1356" i="15"/>
  <c r="AO1356" i="15" s="1"/>
  <c r="R1356" i="15"/>
  <c r="T1356" i="15" s="1"/>
  <c r="L1356" i="15"/>
  <c r="BM1355" i="15"/>
  <c r="BM1362" i="15" s="1"/>
  <c r="BM1369" i="15" s="1"/>
  <c r="BM1376" i="15" s="1"/>
  <c r="BM1383" i="15" s="1"/>
  <c r="BM1390" i="15" s="1"/>
  <c r="BM1397" i="15" s="1"/>
  <c r="BM1404" i="15" s="1"/>
  <c r="BM1411" i="15" s="1"/>
  <c r="BM1418" i="15" s="1"/>
  <c r="BJ1355" i="15"/>
  <c r="BH1355" i="15"/>
  <c r="BG1355" i="15"/>
  <c r="BF1355" i="15"/>
  <c r="CL13" i="15"/>
  <c r="CM13" i="15"/>
  <c r="CN13" i="15"/>
  <c r="CO13" i="15"/>
  <c r="CP13" i="15"/>
  <c r="CQ13" i="15"/>
  <c r="CR13" i="15"/>
  <c r="CS13" i="15"/>
  <c r="CT13" i="15"/>
  <c r="CK13" i="15"/>
  <c r="BE27" i="15"/>
  <c r="BE26" i="15"/>
  <c r="W26" i="15"/>
  <c r="Z26" i="15" s="1"/>
  <c r="BE25" i="15"/>
  <c r="W22" i="15" s="1"/>
  <c r="W25" i="15"/>
  <c r="S25" i="15"/>
  <c r="BE24" i="15"/>
  <c r="BL22" i="15"/>
  <c r="BM22" i="15" s="1"/>
  <c r="BN22" i="15" s="1"/>
  <c r="AQ22" i="15"/>
  <c r="R22" i="15"/>
  <c r="AN22" i="15" s="1"/>
  <c r="L22" i="15"/>
  <c r="I18" i="15"/>
  <c r="AO22" i="15" l="1"/>
  <c r="X1356" i="15"/>
  <c r="AU1356" i="15" s="1"/>
  <c r="Z1360" i="15"/>
  <c r="X1419" i="15"/>
  <c r="AU1419" i="15" s="1"/>
  <c r="Z1423" i="15"/>
  <c r="X22" i="15"/>
  <c r="AU22" i="15" s="1"/>
  <c r="X1363" i="15"/>
  <c r="AU1363" i="15" s="1"/>
  <c r="X1370" i="15"/>
  <c r="AU1370" i="15" s="1"/>
  <c r="X1377" i="15"/>
  <c r="AU1377" i="15" s="1"/>
  <c r="X1384" i="15"/>
  <c r="AU1384" i="15" s="1"/>
  <c r="X1391" i="15"/>
  <c r="AU1391" i="15" s="1"/>
  <c r="X1398" i="15"/>
  <c r="AU1398" i="15" s="1"/>
  <c r="X1405" i="15"/>
  <c r="AU1405" i="15" s="1"/>
  <c r="X1412" i="15"/>
  <c r="AU1412" i="15" s="1"/>
  <c r="CZ1356" i="15"/>
  <c r="CZ22" i="15"/>
  <c r="CZ1419" i="15"/>
  <c r="CZ1412" i="15"/>
  <c r="CZ1405" i="15"/>
  <c r="CZ1398" i="15"/>
  <c r="CZ1391" i="15"/>
  <c r="CZ1384" i="15"/>
  <c r="CZ1377" i="15"/>
  <c r="CZ1370" i="15"/>
  <c r="CZ1363" i="15"/>
  <c r="CX13" i="15"/>
  <c r="DA13" i="15"/>
  <c r="DC13" i="15"/>
  <c r="AN1419" i="15"/>
  <c r="T1412" i="15"/>
  <c r="T1413" i="15" s="1"/>
  <c r="T1414" i="15" s="1"/>
  <c r="T1384" i="15"/>
  <c r="AP1384" i="15" s="1"/>
  <c r="T1391" i="15"/>
  <c r="AP1391" i="15" s="1"/>
  <c r="T1399" i="15"/>
  <c r="T1400" i="15" s="1"/>
  <c r="AP1398" i="15"/>
  <c r="AP1405" i="15"/>
  <c r="T1406" i="15"/>
  <c r="T1407" i="15" s="1"/>
  <c r="AT1391" i="15"/>
  <c r="AN1405" i="15"/>
  <c r="AP1419" i="15"/>
  <c r="AT1419" i="15"/>
  <c r="T1377" i="15"/>
  <c r="T1378" i="15" s="1"/>
  <c r="T1379" i="15" s="1"/>
  <c r="AT1384" i="15"/>
  <c r="AN1398" i="15"/>
  <c r="AT1412" i="15"/>
  <c r="T1420" i="15"/>
  <c r="T1421" i="15" s="1"/>
  <c r="AT1405" i="15"/>
  <c r="AN1356" i="15"/>
  <c r="AT1377" i="15"/>
  <c r="AN1363" i="15"/>
  <c r="AT1370" i="15"/>
  <c r="T1370" i="15"/>
  <c r="AP1370" i="15" s="1"/>
  <c r="X1361" i="15"/>
  <c r="AP1363" i="15"/>
  <c r="AT1363" i="15"/>
  <c r="AT1356" i="15"/>
  <c r="T1364" i="15"/>
  <c r="T1365" i="15" s="1"/>
  <c r="AP1356" i="15"/>
  <c r="T1357" i="15"/>
  <c r="T1358" i="15" s="1"/>
  <c r="AT22" i="15"/>
  <c r="T22" i="15"/>
  <c r="BL15" i="15"/>
  <c r="BM15" i="15" s="1"/>
  <c r="BN15" i="15" s="1"/>
  <c r="W19" i="15"/>
  <c r="DM15" i="15"/>
  <c r="R15" i="15"/>
  <c r="T15" i="15" s="1"/>
  <c r="U333" i="15" l="1"/>
  <c r="X1382" i="15"/>
  <c r="X1368" i="15"/>
  <c r="X1424" i="15"/>
  <c r="T23" i="15"/>
  <c r="T24" i="15" s="1"/>
  <c r="X15" i="15"/>
  <c r="Y19" i="15"/>
  <c r="DV15" i="15" s="1"/>
  <c r="X1403" i="15"/>
  <c r="X27" i="15"/>
  <c r="X1410" i="15"/>
  <c r="X1389" i="15"/>
  <c r="X1396" i="15"/>
  <c r="X1417" i="15"/>
  <c r="X1375" i="15"/>
  <c r="AP1377" i="15"/>
  <c r="T1385" i="15"/>
  <c r="T1386" i="15" s="1"/>
  <c r="AP1412" i="15"/>
  <c r="DK15" i="15"/>
  <c r="CZ15" i="15"/>
  <c r="CZ13" i="15" s="1"/>
  <c r="T1392" i="15"/>
  <c r="T1393" i="15" s="1"/>
  <c r="T1371" i="15"/>
  <c r="T1372" i="15" s="1"/>
  <c r="AP22" i="15"/>
  <c r="Z19" i="15" l="1"/>
  <c r="DW15" i="15" s="1"/>
  <c r="C26" i="26"/>
  <c r="C42" i="26" l="1"/>
  <c r="AJ13" i="15"/>
  <c r="E42" i="26"/>
  <c r="D42" i="26"/>
  <c r="E14" i="26"/>
  <c r="D26" i="26"/>
  <c r="C14" i="26"/>
  <c r="C5" i="26"/>
  <c r="D5" i="26" l="1"/>
  <c r="AS3" i="17" l="1"/>
  <c r="AU3" i="17" s="1"/>
  <c r="T16" i="15"/>
  <c r="T17" i="15" l="1"/>
  <c r="U335" i="15" s="1"/>
  <c r="U334" i="15"/>
  <c r="BF36" i="15"/>
  <c r="Q36" i="15" s="1"/>
  <c r="BF50" i="15"/>
  <c r="Q50" i="15" s="1"/>
  <c r="BF64" i="15"/>
  <c r="Q64" i="15" s="1"/>
  <c r="BF78" i="15"/>
  <c r="Q78" i="15" s="1"/>
  <c r="BF92" i="15"/>
  <c r="Q92" i="15" s="1"/>
  <c r="BF106" i="15"/>
  <c r="Q106" i="15" s="1"/>
  <c r="BF120" i="15"/>
  <c r="Q120" i="15" s="1"/>
  <c r="BF134" i="15"/>
  <c r="Q134" i="15" s="1"/>
  <c r="BF148" i="15"/>
  <c r="Q148" i="15" s="1"/>
  <c r="BF162" i="15"/>
  <c r="Q162" i="15" s="1"/>
  <c r="BF176" i="15"/>
  <c r="Q176" i="15" s="1"/>
  <c r="BF190" i="15"/>
  <c r="Q190" i="15" s="1"/>
  <c r="BF204" i="15"/>
  <c r="Q204" i="15" s="1"/>
  <c r="BF218" i="15"/>
  <c r="Q218" i="15" s="1"/>
  <c r="BF232" i="15"/>
  <c r="Q232" i="15" s="1"/>
  <c r="BF29" i="15"/>
  <c r="Q29" i="15" s="1"/>
  <c r="BF43" i="15"/>
  <c r="Q43" i="15" s="1"/>
  <c r="BF57" i="15"/>
  <c r="Q57" i="15" s="1"/>
  <c r="BF71" i="15"/>
  <c r="Q71" i="15" s="1"/>
  <c r="BF85" i="15"/>
  <c r="Q85" i="15" s="1"/>
  <c r="BF99" i="15"/>
  <c r="Q99" i="15" s="1"/>
  <c r="BF113" i="15"/>
  <c r="Q113" i="15" s="1"/>
  <c r="BF127" i="15"/>
  <c r="Q127" i="15" s="1"/>
  <c r="BF141" i="15"/>
  <c r="Q141" i="15" s="1"/>
  <c r="BF155" i="15"/>
  <c r="Q155" i="15" s="1"/>
  <c r="BF169" i="15"/>
  <c r="Q169" i="15" s="1"/>
  <c r="BF183" i="15"/>
  <c r="Q183" i="15" s="1"/>
  <c r="BF197" i="15"/>
  <c r="Q197" i="15" s="1"/>
  <c r="BF211" i="15"/>
  <c r="Q211" i="15" s="1"/>
  <c r="BF225" i="15"/>
  <c r="Q225" i="15" s="1"/>
  <c r="BF239" i="15"/>
  <c r="Q239" i="15" s="1"/>
  <c r="BF295" i="15"/>
  <c r="Q295" i="15" s="1"/>
  <c r="BF246" i="15"/>
  <c r="Q246" i="15" s="1"/>
  <c r="BF260" i="15"/>
  <c r="Q260" i="15" s="1"/>
  <c r="BF274" i="15"/>
  <c r="Q274" i="15" s="1"/>
  <c r="BF309" i="15"/>
  <c r="Q309" i="15" s="1"/>
  <c r="BF323" i="15"/>
  <c r="Q323" i="15" s="1"/>
  <c r="BF288" i="15"/>
  <c r="Q288" i="15" s="1"/>
  <c r="BF253" i="15"/>
  <c r="Q253" i="15" s="1"/>
  <c r="BF267" i="15"/>
  <c r="Q267" i="15" s="1"/>
  <c r="BF281" i="15"/>
  <c r="Q281" i="15" s="1"/>
  <c r="BF302" i="15"/>
  <c r="Q302" i="15" s="1"/>
  <c r="BF316" i="15"/>
  <c r="Q316" i="15" s="1"/>
  <c r="BF330" i="15"/>
  <c r="Q330" i="15" s="1"/>
  <c r="BF1398" i="15"/>
  <c r="Q1398" i="15" s="1"/>
  <c r="BF1370" i="15"/>
  <c r="Q1370" i="15" s="1"/>
  <c r="BF1405" i="15"/>
  <c r="Q1405" i="15" s="1"/>
  <c r="BF1377" i="15"/>
  <c r="Q1377" i="15" s="1"/>
  <c r="BF22" i="15"/>
  <c r="Q22" i="15" s="1"/>
  <c r="BF1412" i="15"/>
  <c r="Q1412" i="15" s="1"/>
  <c r="BF1384" i="15"/>
  <c r="Q1384" i="15" s="1"/>
  <c r="BF1356" i="15"/>
  <c r="Q1356" i="15" s="1"/>
  <c r="BF1419" i="15"/>
  <c r="Q1419" i="15" s="1"/>
  <c r="BF1391" i="15"/>
  <c r="Q1391" i="15" s="1"/>
  <c r="BF1363" i="15"/>
  <c r="Q1363" i="15" s="1"/>
  <c r="BF15" i="15"/>
  <c r="Q15" i="15" s="1"/>
  <c r="DL15" i="15" s="1"/>
  <c r="O11" i="15"/>
  <c r="AM330" i="15" l="1"/>
  <c r="AM267" i="15"/>
  <c r="AM309" i="15"/>
  <c r="AM295" i="15"/>
  <c r="AM197" i="15"/>
  <c r="AM141" i="15"/>
  <c r="AM85" i="15"/>
  <c r="AM29" i="15"/>
  <c r="AM190" i="15"/>
  <c r="AM134" i="15"/>
  <c r="AM78" i="15"/>
  <c r="AM316" i="15"/>
  <c r="AM253" i="15"/>
  <c r="AM274" i="15"/>
  <c r="AM239" i="15"/>
  <c r="AM183" i="15"/>
  <c r="AM127" i="15"/>
  <c r="AM71" i="15"/>
  <c r="AM232" i="15"/>
  <c r="AM176" i="15"/>
  <c r="AM120" i="15"/>
  <c r="AM64" i="15"/>
  <c r="AM302" i="15"/>
  <c r="AM288" i="15"/>
  <c r="AM260" i="15"/>
  <c r="AM225" i="15"/>
  <c r="AM169" i="15"/>
  <c r="AM113" i="15"/>
  <c r="AM57" i="15"/>
  <c r="AM218" i="15"/>
  <c r="AM162" i="15"/>
  <c r="AM106" i="15"/>
  <c r="AM50" i="15"/>
  <c r="AM281" i="15"/>
  <c r="AM323" i="15"/>
  <c r="AM246" i="15"/>
  <c r="AM211" i="15"/>
  <c r="AM155" i="15"/>
  <c r="AM99" i="15"/>
  <c r="AM43" i="15"/>
  <c r="AM204" i="15"/>
  <c r="AM148" i="15"/>
  <c r="AM92" i="15"/>
  <c r="AM36" i="15"/>
  <c r="AM1370" i="15"/>
  <c r="AM1419" i="15"/>
  <c r="AM1377" i="15"/>
  <c r="AM1412" i="15"/>
  <c r="AM1398" i="15"/>
  <c r="AM1356" i="15"/>
  <c r="AM1384" i="15"/>
  <c r="AM1405" i="15"/>
  <c r="AM1363" i="15"/>
  <c r="AM1391" i="15"/>
  <c r="AM22" i="15"/>
  <c r="T6" i="17"/>
  <c r="R7" i="17"/>
  <c r="BF21" i="15"/>
  <c r="BG21" i="15"/>
  <c r="BH21" i="15"/>
  <c r="BJ21" i="15"/>
  <c r="BM21" i="15"/>
  <c r="BM28" i="15" s="1"/>
  <c r="BM35" i="15" s="1"/>
  <c r="BM42" i="15" s="1"/>
  <c r="BM49" i="15" s="1"/>
  <c r="BM56" i="15" s="1"/>
  <c r="BM63" i="15" s="1"/>
  <c r="BM70" i="15" s="1"/>
  <c r="BM77" i="15" s="1"/>
  <c r="BM84" i="15" s="1"/>
  <c r="BM91" i="15" s="1"/>
  <c r="BM98" i="15" s="1"/>
  <c r="BM105" i="15" s="1"/>
  <c r="BM112" i="15" s="1"/>
  <c r="BM119" i="15" s="1"/>
  <c r="BM126" i="15" s="1"/>
  <c r="BM133" i="15" s="1"/>
  <c r="BM140" i="15" s="1"/>
  <c r="BM147" i="15" s="1"/>
  <c r="BM154" i="15" s="1"/>
  <c r="BM161" i="15" s="1"/>
  <c r="BM168" i="15" s="1"/>
  <c r="BM175" i="15" s="1"/>
  <c r="BM182" i="15" s="1"/>
  <c r="BM189" i="15" s="1"/>
  <c r="BM196" i="15" s="1"/>
  <c r="BM203" i="15" s="1"/>
  <c r="BM210" i="15" s="1"/>
  <c r="BM217" i="15" s="1"/>
  <c r="BM224" i="15" s="1"/>
  <c r="BM231" i="15" s="1"/>
  <c r="BM238" i="15" s="1"/>
  <c r="BM245" i="15" s="1"/>
  <c r="BM252" i="15" s="1"/>
  <c r="BM259" i="15" s="1"/>
  <c r="BM266" i="15" s="1"/>
  <c r="BM273" i="15" s="1"/>
  <c r="BM280" i="15" s="1"/>
  <c r="BM287" i="15" s="1"/>
  <c r="BM294" i="15" s="1"/>
  <c r="BM301" i="15" s="1"/>
  <c r="BM308" i="15" s="1"/>
  <c r="BM315" i="15" s="1"/>
  <c r="BM322" i="15" s="1"/>
  <c r="BM329" i="15" s="1"/>
  <c r="R8" i="17" l="1"/>
  <c r="T8" i="17" s="1"/>
  <c r="L15" i="15" l="1"/>
  <c r="CS54" i="17" l="1"/>
  <c r="CS66" i="17"/>
  <c r="CS21" i="17"/>
  <c r="CS33" i="17"/>
  <c r="CS55" i="17"/>
  <c r="CS70" i="17"/>
  <c r="CS78" i="17"/>
  <c r="CS86" i="17"/>
  <c r="CS8" i="17"/>
  <c r="CS16" i="17"/>
  <c r="CS24" i="17"/>
  <c r="CS32" i="17"/>
  <c r="CS40" i="17"/>
  <c r="CS48" i="17"/>
  <c r="CS60" i="17"/>
  <c r="CS41" i="17"/>
  <c r="CS63" i="17"/>
  <c r="CS75" i="17"/>
  <c r="CS83" i="17"/>
  <c r="CS5" i="17"/>
  <c r="CS17" i="17"/>
  <c r="CS53" i="17"/>
  <c r="CS58" i="17"/>
  <c r="CS2" i="17"/>
  <c r="CS27" i="17"/>
  <c r="CS37" i="17"/>
  <c r="CS61" i="17"/>
  <c r="CS72" i="17"/>
  <c r="CS80" i="17"/>
  <c r="CS88" i="17"/>
  <c r="CS10" i="17"/>
  <c r="CS18" i="17"/>
  <c r="CS26" i="17"/>
  <c r="CS34" i="17"/>
  <c r="CS42" i="17"/>
  <c r="CS50" i="17"/>
  <c r="CS25" i="17"/>
  <c r="CS45" i="17"/>
  <c r="CS69" i="17"/>
  <c r="CS77" i="17"/>
  <c r="CS85" i="17"/>
  <c r="CS7" i="17"/>
  <c r="CS19" i="17"/>
  <c r="CS59" i="17"/>
  <c r="CS62" i="17"/>
  <c r="CS9" i="17"/>
  <c r="CS29" i="17"/>
  <c r="CS43" i="17"/>
  <c r="CS67" i="17"/>
  <c r="CS74" i="17"/>
  <c r="CS82" i="17"/>
  <c r="CS4" i="17"/>
  <c r="CS12" i="17"/>
  <c r="CS20" i="17"/>
  <c r="CS28" i="17"/>
  <c r="CS36" i="17"/>
  <c r="CS44" i="17"/>
  <c r="CS52" i="17"/>
  <c r="CS35" i="17"/>
  <c r="CS51" i="17"/>
  <c r="CS71" i="17"/>
  <c r="CS79" i="17"/>
  <c r="CS87" i="17"/>
  <c r="CS11" i="17"/>
  <c r="CS23" i="17"/>
  <c r="CS65" i="17"/>
  <c r="CS64" i="17"/>
  <c r="CS13" i="17"/>
  <c r="CS31" i="17"/>
  <c r="CS49" i="17"/>
  <c r="CS68" i="17"/>
  <c r="CS76" i="17"/>
  <c r="CS84" i="17"/>
  <c r="CS6" i="17"/>
  <c r="CS14" i="17"/>
  <c r="CS22" i="17"/>
  <c r="CS30" i="17"/>
  <c r="CS38" i="17"/>
  <c r="CS46" i="17"/>
  <c r="CS56" i="17"/>
  <c r="CS39" i="17"/>
  <c r="CS57" i="17"/>
  <c r="CS73" i="17"/>
  <c r="CS81" i="17"/>
  <c r="CS3" i="17"/>
  <c r="CS15" i="17"/>
  <c r="CS47" i="17"/>
  <c r="BM8" i="17"/>
  <c r="BW7" i="17"/>
  <c r="CA8" i="15" s="1"/>
  <c r="BM7" i="17"/>
  <c r="BW6" i="17"/>
  <c r="CA7" i="15" s="1"/>
  <c r="BM6" i="17"/>
  <c r="BW5" i="17"/>
  <c r="CA6" i="15" s="1"/>
  <c r="BM5" i="17"/>
  <c r="BW4" i="17"/>
  <c r="CA5" i="15" s="1"/>
  <c r="BQ4" i="17"/>
  <c r="BR4" i="17" s="1"/>
  <c r="BM4" i="17"/>
  <c r="AL4" i="17"/>
  <c r="BW3" i="17"/>
  <c r="BQ3" i="17"/>
  <c r="BR3" i="17" s="1"/>
  <c r="BM3" i="17"/>
  <c r="AY3" i="17"/>
  <c r="BB3" i="17" s="1"/>
  <c r="BG36" i="15" l="1"/>
  <c r="BG50" i="15"/>
  <c r="BG64" i="15"/>
  <c r="BG78" i="15"/>
  <c r="BG92" i="15"/>
  <c r="BG106" i="15"/>
  <c r="BG120" i="15"/>
  <c r="BG134" i="15"/>
  <c r="BG148" i="15"/>
  <c r="BG162" i="15"/>
  <c r="BG176" i="15"/>
  <c r="BG190" i="15"/>
  <c r="BG204" i="15"/>
  <c r="BG218" i="15"/>
  <c r="BG232" i="15"/>
  <c r="BG246" i="15"/>
  <c r="BG260" i="15"/>
  <c r="BG29" i="15"/>
  <c r="BG43" i="15"/>
  <c r="BG57" i="15"/>
  <c r="BG71" i="15"/>
  <c r="BG85" i="15"/>
  <c r="BG99" i="15"/>
  <c r="BG113" i="15"/>
  <c r="BG127" i="15"/>
  <c r="BG141" i="15"/>
  <c r="BG155" i="15"/>
  <c r="BG169" i="15"/>
  <c r="BG183" i="15"/>
  <c r="BG197" i="15"/>
  <c r="BG211" i="15"/>
  <c r="BG225" i="15"/>
  <c r="BG239" i="15"/>
  <c r="BG253" i="15"/>
  <c r="BG267" i="15"/>
  <c r="BG281" i="15"/>
  <c r="BG302" i="15"/>
  <c r="BG316" i="15"/>
  <c r="BG330" i="15"/>
  <c r="BG295" i="15"/>
  <c r="BG274" i="15"/>
  <c r="BG309" i="15"/>
  <c r="BG323" i="15"/>
  <c r="BG288" i="15"/>
  <c r="BN1356" i="15"/>
  <c r="BN1384" i="15"/>
  <c r="BN1398" i="15"/>
  <c r="BN1405" i="15"/>
  <c r="BN1419" i="15"/>
  <c r="BN1363" i="15"/>
  <c r="BN1391" i="15"/>
  <c r="BN1412" i="15"/>
  <c r="BN1370" i="15"/>
  <c r="BN1377" i="15"/>
  <c r="DN15" i="15"/>
  <c r="BG1405" i="15"/>
  <c r="BG1377" i="15"/>
  <c r="BG22" i="15"/>
  <c r="BG1412" i="15"/>
  <c r="BG1384" i="15"/>
  <c r="BG1356" i="15"/>
  <c r="BG1419" i="15"/>
  <c r="BG1391" i="15"/>
  <c r="BG1363" i="15"/>
  <c r="BG1398" i="15"/>
  <c r="BG1370" i="15"/>
  <c r="BG15" i="15"/>
  <c r="AN4" i="17"/>
  <c r="S18" i="15"/>
  <c r="BE20" i="15"/>
  <c r="BE19" i="15"/>
  <c r="BE18" i="15"/>
  <c r="BE17" i="15"/>
  <c r="W18" i="15"/>
  <c r="BH29" i="15" l="1"/>
  <c r="U29" i="15" s="1"/>
  <c r="BH43" i="15"/>
  <c r="U43" i="15" s="1"/>
  <c r="BH57" i="15"/>
  <c r="U57" i="15" s="1"/>
  <c r="BH71" i="15"/>
  <c r="U71" i="15" s="1"/>
  <c r="BH85" i="15"/>
  <c r="U85" i="15" s="1"/>
  <c r="BH99" i="15"/>
  <c r="U99" i="15" s="1"/>
  <c r="BH113" i="15"/>
  <c r="U113" i="15" s="1"/>
  <c r="BH127" i="15"/>
  <c r="U127" i="15" s="1"/>
  <c r="BH141" i="15"/>
  <c r="U141" i="15" s="1"/>
  <c r="BH155" i="15"/>
  <c r="U155" i="15" s="1"/>
  <c r="BH169" i="15"/>
  <c r="U169" i="15" s="1"/>
  <c r="BH183" i="15"/>
  <c r="U183" i="15" s="1"/>
  <c r="BH197" i="15"/>
  <c r="U197" i="15" s="1"/>
  <c r="BH211" i="15"/>
  <c r="U211" i="15" s="1"/>
  <c r="BH225" i="15"/>
  <c r="U225" i="15" s="1"/>
  <c r="BH36" i="15"/>
  <c r="U36" i="15" s="1"/>
  <c r="BH50" i="15"/>
  <c r="U50" i="15" s="1"/>
  <c r="BH64" i="15"/>
  <c r="U64" i="15" s="1"/>
  <c r="BH78" i="15"/>
  <c r="U78" i="15" s="1"/>
  <c r="BH92" i="15"/>
  <c r="U92" i="15" s="1"/>
  <c r="BH106" i="15"/>
  <c r="U106" i="15" s="1"/>
  <c r="BH120" i="15"/>
  <c r="U120" i="15" s="1"/>
  <c r="BH134" i="15"/>
  <c r="U134" i="15" s="1"/>
  <c r="BH148" i="15"/>
  <c r="U148" i="15" s="1"/>
  <c r="BH162" i="15"/>
  <c r="U162" i="15" s="1"/>
  <c r="BH176" i="15"/>
  <c r="U176" i="15" s="1"/>
  <c r="BH190" i="15"/>
  <c r="U190" i="15" s="1"/>
  <c r="BH204" i="15"/>
  <c r="U204" i="15" s="1"/>
  <c r="BH218" i="15"/>
  <c r="U218" i="15" s="1"/>
  <c r="BH232" i="15"/>
  <c r="U232" i="15" s="1"/>
  <c r="BH288" i="15"/>
  <c r="U288" i="15" s="1"/>
  <c r="BH239" i="15"/>
  <c r="U239" i="15" s="1"/>
  <c r="BH253" i="15"/>
  <c r="U253" i="15" s="1"/>
  <c r="BH267" i="15"/>
  <c r="U267" i="15" s="1"/>
  <c r="BH281" i="15"/>
  <c r="U281" i="15" s="1"/>
  <c r="BH302" i="15"/>
  <c r="U302" i="15" s="1"/>
  <c r="BH316" i="15"/>
  <c r="U316" i="15" s="1"/>
  <c r="BH330" i="15"/>
  <c r="U330" i="15" s="1"/>
  <c r="BH295" i="15"/>
  <c r="U295" i="15" s="1"/>
  <c r="BH246" i="15"/>
  <c r="U246" i="15" s="1"/>
  <c r="BH260" i="15"/>
  <c r="U260" i="15" s="1"/>
  <c r="BH274" i="15"/>
  <c r="U274" i="15" s="1"/>
  <c r="BH309" i="15"/>
  <c r="U309" i="15" s="1"/>
  <c r="BH323" i="15"/>
  <c r="U323" i="15" s="1"/>
  <c r="V15" i="15"/>
  <c r="V1412" i="15"/>
  <c r="AS1412" i="15" s="1"/>
  <c r="V1391" i="15"/>
  <c r="AS1391" i="15" s="1"/>
  <c r="V1363" i="15"/>
  <c r="AS1363" i="15" s="1"/>
  <c r="V1419" i="15"/>
  <c r="AS1419" i="15" s="1"/>
  <c r="V1405" i="15"/>
  <c r="AS1405" i="15" s="1"/>
  <c r="V1377" i="15"/>
  <c r="AS1377" i="15" s="1"/>
  <c r="V1398" i="15"/>
  <c r="AS1398" i="15" s="1"/>
  <c r="V1370" i="15"/>
  <c r="AS1370" i="15" s="1"/>
  <c r="V1384" i="15"/>
  <c r="AS1384" i="15" s="1"/>
  <c r="V1356" i="15"/>
  <c r="AS1356" i="15" s="1"/>
  <c r="V22" i="15"/>
  <c r="AS22" i="15" s="1"/>
  <c r="W15" i="15"/>
  <c r="X20" i="15" s="1"/>
  <c r="BH1412" i="15"/>
  <c r="U1412" i="15" s="1"/>
  <c r="BH1384" i="15"/>
  <c r="U1384" i="15" s="1"/>
  <c r="BH1356" i="15"/>
  <c r="U1356" i="15" s="1"/>
  <c r="BH1419" i="15"/>
  <c r="U1419" i="15" s="1"/>
  <c r="BH1391" i="15"/>
  <c r="U1391" i="15" s="1"/>
  <c r="BH1363" i="15"/>
  <c r="U1363" i="15" s="1"/>
  <c r="BH1398" i="15"/>
  <c r="U1398" i="15" s="1"/>
  <c r="BH1370" i="15"/>
  <c r="U1370" i="15" s="1"/>
  <c r="BH1405" i="15"/>
  <c r="U1405" i="15" s="1"/>
  <c r="BH1377" i="15"/>
  <c r="U1377" i="15" s="1"/>
  <c r="BH22" i="15"/>
  <c r="U22" i="15" s="1"/>
  <c r="BH15" i="15"/>
  <c r="U15" i="15" s="1"/>
  <c r="Q336" i="15"/>
  <c r="AR323" i="15" l="1"/>
  <c r="AB323" i="15"/>
  <c r="AV323" i="15" s="1"/>
  <c r="AR246" i="15"/>
  <c r="AB246" i="15"/>
  <c r="AV246" i="15" s="1"/>
  <c r="AR302" i="15"/>
  <c r="AB302" i="15"/>
  <c r="AV302" i="15" s="1"/>
  <c r="AR239" i="15"/>
  <c r="AB239" i="15"/>
  <c r="AV239" i="15" s="1"/>
  <c r="AR204" i="15"/>
  <c r="AB204" i="15"/>
  <c r="AV204" i="15" s="1"/>
  <c r="AR148" i="15"/>
  <c r="AB148" i="15"/>
  <c r="AV148" i="15" s="1"/>
  <c r="AR92" i="15"/>
  <c r="AB92" i="15"/>
  <c r="AV92" i="15" s="1"/>
  <c r="AR36" i="15"/>
  <c r="AB36" i="15"/>
  <c r="AV36" i="15" s="1"/>
  <c r="AR183" i="15"/>
  <c r="AB183" i="15"/>
  <c r="AV183" i="15" s="1"/>
  <c r="AR127" i="15"/>
  <c r="AB127" i="15"/>
  <c r="AV127" i="15" s="1"/>
  <c r="AR71" i="15"/>
  <c r="AB71" i="15"/>
  <c r="AV71" i="15" s="1"/>
  <c r="AR309" i="15"/>
  <c r="AB309" i="15"/>
  <c r="AV309" i="15" s="1"/>
  <c r="AR295" i="15"/>
  <c r="AB295" i="15"/>
  <c r="AV295" i="15" s="1"/>
  <c r="AR281" i="15"/>
  <c r="AB281" i="15"/>
  <c r="AV281" i="15" s="1"/>
  <c r="AR288" i="15"/>
  <c r="AB288" i="15"/>
  <c r="AV288" i="15" s="1"/>
  <c r="AR190" i="15"/>
  <c r="AB190" i="15"/>
  <c r="AV190" i="15" s="1"/>
  <c r="AR134" i="15"/>
  <c r="AB134" i="15"/>
  <c r="AV134" i="15" s="1"/>
  <c r="AR78" i="15"/>
  <c r="AB78" i="15"/>
  <c r="AV78" i="15" s="1"/>
  <c r="AR225" i="15"/>
  <c r="AB225" i="15"/>
  <c r="AV225" i="15" s="1"/>
  <c r="AR169" i="15"/>
  <c r="AB169" i="15"/>
  <c r="AV169" i="15" s="1"/>
  <c r="AR113" i="15"/>
  <c r="AB113" i="15"/>
  <c r="AV113" i="15" s="1"/>
  <c r="AR57" i="15"/>
  <c r="AB57" i="15"/>
  <c r="AV57" i="15" s="1"/>
  <c r="AR274" i="15"/>
  <c r="AB274" i="15"/>
  <c r="AV274" i="15" s="1"/>
  <c r="AR330" i="15"/>
  <c r="AB330" i="15"/>
  <c r="AV330" i="15" s="1"/>
  <c r="AR267" i="15"/>
  <c r="AB267" i="15"/>
  <c r="AV267" i="15" s="1"/>
  <c r="AR232" i="15"/>
  <c r="AB232" i="15"/>
  <c r="AV232" i="15" s="1"/>
  <c r="AR176" i="15"/>
  <c r="AB176" i="15"/>
  <c r="AV176" i="15" s="1"/>
  <c r="AR120" i="15"/>
  <c r="AB120" i="15"/>
  <c r="AV120" i="15" s="1"/>
  <c r="AR64" i="15"/>
  <c r="AB64" i="15"/>
  <c r="AV64" i="15" s="1"/>
  <c r="AR211" i="15"/>
  <c r="AB211" i="15"/>
  <c r="AV211" i="15" s="1"/>
  <c r="AR155" i="15"/>
  <c r="AB155" i="15"/>
  <c r="AV155" i="15" s="1"/>
  <c r="AR99" i="15"/>
  <c r="AB99" i="15"/>
  <c r="AV99" i="15" s="1"/>
  <c r="AR43" i="15"/>
  <c r="AB43" i="15"/>
  <c r="AV43" i="15" s="1"/>
  <c r="AR260" i="15"/>
  <c r="AB260" i="15"/>
  <c r="AV260" i="15" s="1"/>
  <c r="AR316" i="15"/>
  <c r="AB316" i="15"/>
  <c r="AV316" i="15" s="1"/>
  <c r="AR253" i="15"/>
  <c r="AB253" i="15"/>
  <c r="AV253" i="15" s="1"/>
  <c r="AR218" i="15"/>
  <c r="AB218" i="15"/>
  <c r="AV218" i="15" s="1"/>
  <c r="AR162" i="15"/>
  <c r="AB162" i="15"/>
  <c r="AV162" i="15" s="1"/>
  <c r="AR106" i="15"/>
  <c r="AB106" i="15"/>
  <c r="AV106" i="15" s="1"/>
  <c r="AR50" i="15"/>
  <c r="AB50" i="15"/>
  <c r="AV50" i="15" s="1"/>
  <c r="AR197" i="15"/>
  <c r="AB197" i="15"/>
  <c r="AV197" i="15" s="1"/>
  <c r="AR141" i="15"/>
  <c r="AB141" i="15"/>
  <c r="AV141" i="15" s="1"/>
  <c r="AR85" i="15"/>
  <c r="AB85" i="15"/>
  <c r="AV85" i="15" s="1"/>
  <c r="AR29" i="15"/>
  <c r="AB29" i="15"/>
  <c r="AV29" i="15" s="1"/>
  <c r="AR1398" i="15"/>
  <c r="AB1398" i="15"/>
  <c r="AV1398" i="15" s="1"/>
  <c r="AR1377" i="15"/>
  <c r="AB1377" i="15"/>
  <c r="AV1377" i="15" s="1"/>
  <c r="AR1405" i="15"/>
  <c r="AB1405" i="15"/>
  <c r="AV1405" i="15" s="1"/>
  <c r="AR1370" i="15"/>
  <c r="AB1370" i="15"/>
  <c r="AV1370" i="15" s="1"/>
  <c r="AR1356" i="15"/>
  <c r="AB1356" i="15"/>
  <c r="AV1356" i="15" s="1"/>
  <c r="AR1384" i="15"/>
  <c r="AB1384" i="15"/>
  <c r="AV1384" i="15" s="1"/>
  <c r="AR1412" i="15"/>
  <c r="AB1412" i="15"/>
  <c r="AV1412" i="15" s="1"/>
  <c r="AR1363" i="15"/>
  <c r="AB1363" i="15"/>
  <c r="AV1363" i="15" s="1"/>
  <c r="AR1391" i="15"/>
  <c r="AB1391" i="15"/>
  <c r="AV1391" i="15" s="1"/>
  <c r="AR1419" i="15"/>
  <c r="AB1419" i="15"/>
  <c r="AV1419" i="15" s="1"/>
  <c r="AR22" i="15"/>
  <c r="AB22" i="15"/>
  <c r="AV22" i="15" s="1"/>
  <c r="BG336" i="15"/>
  <c r="F338" i="15" l="1"/>
  <c r="BK336" i="15"/>
  <c r="BK341" i="15" s="1"/>
  <c r="BE336" i="15"/>
  <c r="R336" i="15"/>
  <c r="R359" i="15" l="1"/>
  <c r="R357" i="15"/>
  <c r="BL336" i="15"/>
  <c r="BL341" i="15" s="1"/>
  <c r="BL342" i="15" s="1"/>
  <c r="BP336" i="15" s="1"/>
  <c r="T336" i="15" l="1"/>
  <c r="U336" i="15"/>
  <c r="T357" i="15" l="1"/>
  <c r="T359" i="15"/>
  <c r="T355" i="15"/>
  <c r="U359" i="15"/>
  <c r="U355" i="15"/>
  <c r="U357" i="15"/>
  <c r="AB15" i="15"/>
  <c r="F339" i="15"/>
  <c r="CG5" i="15"/>
  <c r="CG4" i="15"/>
  <c r="CA4" i="15"/>
  <c r="BZ4" i="15"/>
  <c r="CD4" i="15" s="1"/>
  <c r="BY4" i="15"/>
  <c r="CC4" i="15" s="1"/>
  <c r="BQ4" i="15"/>
  <c r="BR14" i="15" l="1"/>
  <c r="BT14" i="15" s="1"/>
  <c r="BU4" i="15" s="1"/>
  <c r="Q345" i="15"/>
  <c r="R345" i="15"/>
  <c r="T345" i="15"/>
  <c r="U345" i="15"/>
  <c r="CI13" i="15"/>
  <c r="BU11" i="15"/>
  <c r="BR4" i="15"/>
  <c r="BS4" i="15" s="1"/>
  <c r="BS14" i="15" l="1"/>
  <c r="BU5" i="15"/>
  <c r="CI5" i="15"/>
  <c r="CI6" i="15"/>
  <c r="CI7" i="15"/>
  <c r="CI8" i="15"/>
  <c r="CC5" i="15"/>
  <c r="CD5" i="15"/>
  <c r="CC6" i="15"/>
  <c r="CD6" i="15"/>
  <c r="CC7" i="15"/>
  <c r="CD7" i="15"/>
  <c r="CC8" i="15"/>
  <c r="CD8" i="15"/>
  <c r="BR5" i="15" l="1"/>
  <c r="BS5" i="15" s="1"/>
  <c r="CI4" i="15" l="1"/>
  <c r="CH11" i="15" s="1"/>
  <c r="BV5" i="15"/>
  <c r="BV4" i="15"/>
  <c r="BU14" i="15" l="1"/>
  <c r="BV14" i="15" s="1"/>
  <c r="CI11" i="15"/>
  <c r="BF336" i="15"/>
  <c r="BF341" i="15" s="1"/>
  <c r="AF355" i="15" l="1"/>
  <c r="AF359" i="15"/>
  <c r="AF357" i="15"/>
  <c r="AD359" i="15"/>
  <c r="AD355" i="15"/>
  <c r="AD357" i="15"/>
  <c r="AF36" i="15"/>
  <c r="AF71" i="15"/>
  <c r="AF99" i="15"/>
  <c r="AF50" i="15"/>
  <c r="AF78" i="15"/>
  <c r="AF106" i="15"/>
  <c r="AF29" i="15"/>
  <c r="AF64" i="15"/>
  <c r="AF113" i="15"/>
  <c r="AF57" i="15"/>
  <c r="AF92" i="15"/>
  <c r="AF127" i="15"/>
  <c r="AF176" i="15"/>
  <c r="AF43" i="15"/>
  <c r="AF120" i="15"/>
  <c r="AF134" i="15"/>
  <c r="AF162" i="15"/>
  <c r="AF197" i="15"/>
  <c r="AF218" i="15"/>
  <c r="AF232" i="15"/>
  <c r="AF183" i="15"/>
  <c r="AF141" i="15"/>
  <c r="AF211" i="15"/>
  <c r="AF239" i="15"/>
  <c r="AF190" i="15"/>
  <c r="AF225" i="15"/>
  <c r="AF281" i="15"/>
  <c r="AF274" i="15"/>
  <c r="AF246" i="15"/>
  <c r="AF295" i="15"/>
  <c r="AF302" i="15"/>
  <c r="AF309" i="15"/>
  <c r="AF316" i="15"/>
  <c r="AF330" i="15"/>
  <c r="AF85" i="15"/>
  <c r="AF260" i="15"/>
  <c r="AF155" i="15"/>
  <c r="AF204" i="15"/>
  <c r="AF323" i="15"/>
  <c r="AF288" i="15"/>
  <c r="AF169" i="15"/>
  <c r="AF148" i="15"/>
  <c r="AF253" i="15"/>
  <c r="AF267" i="15"/>
  <c r="AD15" i="15"/>
  <c r="AD50" i="15"/>
  <c r="AD78" i="15"/>
  <c r="AD106" i="15"/>
  <c r="AD29" i="15"/>
  <c r="AD85" i="15"/>
  <c r="AD43" i="15"/>
  <c r="AD113" i="15"/>
  <c r="AD120" i="15"/>
  <c r="AD127" i="15"/>
  <c r="AD134" i="15"/>
  <c r="AD141" i="15"/>
  <c r="AD148" i="15"/>
  <c r="AD155" i="15"/>
  <c r="AD162" i="15"/>
  <c r="AD169" i="15"/>
  <c r="AD71" i="15"/>
  <c r="AD92" i="15"/>
  <c r="AD99" i="15"/>
  <c r="AD36" i="15"/>
  <c r="AD183" i="15"/>
  <c r="AD211" i="15"/>
  <c r="AD239" i="15"/>
  <c r="AD57" i="15"/>
  <c r="AD190" i="15"/>
  <c r="AD253" i="15"/>
  <c r="AD260" i="15"/>
  <c r="AD267" i="15"/>
  <c r="AD274" i="15"/>
  <c r="AD281" i="15"/>
  <c r="AD288" i="15"/>
  <c r="AD197" i="15"/>
  <c r="AD232" i="15"/>
  <c r="AD64" i="15"/>
  <c r="AD176" i="15"/>
  <c r="AD204" i="15"/>
  <c r="AD218" i="15"/>
  <c r="AD246" i="15"/>
  <c r="AD295" i="15"/>
  <c r="AD302" i="15"/>
  <c r="AD309" i="15"/>
  <c r="AD316" i="15"/>
  <c r="AD323" i="15"/>
  <c r="AD330" i="15"/>
  <c r="AD225" i="15"/>
  <c r="AF1419" i="15"/>
  <c r="AF1391" i="15"/>
  <c r="AF1398" i="15"/>
  <c r="AF1405" i="15"/>
  <c r="AF1412" i="15"/>
  <c r="AD1405" i="15"/>
  <c r="AD1412" i="15"/>
  <c r="AD1419" i="15"/>
  <c r="AD1391" i="15"/>
  <c r="AD1398" i="15"/>
  <c r="AF1377" i="15"/>
  <c r="AF1384" i="15"/>
  <c r="AD1377" i="15"/>
  <c r="AD1384" i="15"/>
  <c r="AF1363" i="15"/>
  <c r="AF1370" i="15"/>
  <c r="AD1363" i="15"/>
  <c r="AD1370" i="15"/>
  <c r="AF1356" i="15"/>
  <c r="AD1356" i="15"/>
  <c r="AF22" i="15"/>
  <c r="AD22" i="15"/>
  <c r="AF15" i="15"/>
  <c r="DO15" i="15" s="1"/>
  <c r="BG341" i="15"/>
  <c r="BH336" i="15"/>
  <c r="BH341" i="15" s="1"/>
  <c r="AG15" i="15" l="1"/>
  <c r="AK15" i="15" s="1"/>
  <c r="Z15" i="15" s="1"/>
  <c r="DU15" i="15" s="1"/>
  <c r="AG267" i="15"/>
  <c r="AX267" i="15" s="1"/>
  <c r="AG64" i="15"/>
  <c r="AX64" i="15" s="1"/>
  <c r="AG92" i="15"/>
  <c r="AX92" i="15" s="1"/>
  <c r="AG127" i="15"/>
  <c r="AX127" i="15" s="1"/>
  <c r="AG50" i="15"/>
  <c r="AX50" i="15" s="1"/>
  <c r="AG309" i="15"/>
  <c r="AX309" i="15" s="1"/>
  <c r="AG232" i="15"/>
  <c r="AX232" i="15" s="1"/>
  <c r="AG190" i="15"/>
  <c r="AX190" i="15" s="1"/>
  <c r="AG71" i="15"/>
  <c r="AX71" i="15" s="1"/>
  <c r="AG120" i="15"/>
  <c r="AX120" i="15" s="1"/>
  <c r="AG330" i="15"/>
  <c r="AX330" i="15" s="1"/>
  <c r="AG36" i="15"/>
  <c r="AX36" i="15" s="1"/>
  <c r="AG176" i="15"/>
  <c r="AX176" i="15" s="1"/>
  <c r="AG99" i="15"/>
  <c r="AX99" i="15" s="1"/>
  <c r="AG316" i="15"/>
  <c r="AX316" i="15" s="1"/>
  <c r="AG253" i="15"/>
  <c r="AX253" i="15" s="1"/>
  <c r="AG302" i="15"/>
  <c r="AX302" i="15" s="1"/>
  <c r="AG197" i="15"/>
  <c r="AX197" i="15" s="1"/>
  <c r="AG57" i="15"/>
  <c r="AX57" i="15" s="1"/>
  <c r="AG169" i="15"/>
  <c r="AX169" i="15" s="1"/>
  <c r="AG113" i="15"/>
  <c r="AX113" i="15" s="1"/>
  <c r="AG246" i="15"/>
  <c r="AX246" i="15" s="1"/>
  <c r="AG281" i="15"/>
  <c r="AX281" i="15" s="1"/>
  <c r="AG211" i="15"/>
  <c r="AX211" i="15" s="1"/>
  <c r="AG155" i="15"/>
  <c r="AX155" i="15" s="1"/>
  <c r="AG85" i="15"/>
  <c r="AX85" i="15" s="1"/>
  <c r="AG204" i="15"/>
  <c r="AX204" i="15" s="1"/>
  <c r="AG141" i="15"/>
  <c r="AX141" i="15" s="1"/>
  <c r="AG106" i="15"/>
  <c r="AX106" i="15" s="1"/>
  <c r="AG323" i="15"/>
  <c r="AX323" i="15" s="1"/>
  <c r="AG260" i="15"/>
  <c r="AX260" i="15" s="1"/>
  <c r="AG134" i="15"/>
  <c r="AX134" i="15" s="1"/>
  <c r="AG78" i="15"/>
  <c r="AX78" i="15" s="1"/>
  <c r="AG295" i="15"/>
  <c r="AX295" i="15" s="1"/>
  <c r="AG288" i="15"/>
  <c r="AX288" i="15" s="1"/>
  <c r="AG239" i="15"/>
  <c r="AX239" i="15" s="1"/>
  <c r="AG162" i="15"/>
  <c r="AX162" i="15" s="1"/>
  <c r="AG43" i="15"/>
  <c r="AX43" i="15" s="1"/>
  <c r="AG225" i="15"/>
  <c r="AX225" i="15" s="1"/>
  <c r="AG218" i="15"/>
  <c r="AX218" i="15" s="1"/>
  <c r="AG274" i="15"/>
  <c r="AX274" i="15" s="1"/>
  <c r="AG183" i="15"/>
  <c r="AX183" i="15" s="1"/>
  <c r="AG148" i="15"/>
  <c r="AX148" i="15" s="1"/>
  <c r="AG29" i="15"/>
  <c r="AX29" i="15" s="1"/>
  <c r="AG1419" i="15"/>
  <c r="AX1419" i="15" s="1"/>
  <c r="AG1412" i="15"/>
  <c r="AX1412" i="15" s="1"/>
  <c r="AG1398" i="15"/>
  <c r="AX1398" i="15" s="1"/>
  <c r="AG1405" i="15"/>
  <c r="AX1405" i="15" s="1"/>
  <c r="AG1377" i="15"/>
  <c r="AX1377" i="15" s="1"/>
  <c r="AG1391" i="15"/>
  <c r="AX1391" i="15" s="1"/>
  <c r="AG1384" i="15"/>
  <c r="AX1384" i="15" s="1"/>
  <c r="AG1363" i="15"/>
  <c r="AX1363" i="15" s="1"/>
  <c r="AG1370" i="15"/>
  <c r="AX1370" i="15" s="1"/>
  <c r="AG1356" i="15"/>
  <c r="AX1356" i="15" s="1"/>
  <c r="AG22" i="15"/>
  <c r="AX22" i="15" s="1"/>
  <c r="AD336" i="15"/>
  <c r="AD345" i="15" s="1"/>
  <c r="AF336" i="15"/>
  <c r="AF345" i="15" s="1"/>
  <c r="BM336" i="15"/>
  <c r="BM341" i="15" s="1"/>
  <c r="AK323" i="15" l="1"/>
  <c r="Y323" i="15" s="1"/>
  <c r="AK155" i="15"/>
  <c r="Y155" i="15" s="1"/>
  <c r="AK71" i="15"/>
  <c r="Y71" i="15" s="1"/>
  <c r="AK64" i="15"/>
  <c r="Z64" i="15" s="1"/>
  <c r="AK106" i="15"/>
  <c r="Y106" i="15" s="1"/>
  <c r="AK316" i="15"/>
  <c r="Y316" i="15" s="1"/>
  <c r="AK295" i="15"/>
  <c r="AE295" i="15" s="1"/>
  <c r="AK225" i="15"/>
  <c r="AZ225" i="15" s="1"/>
  <c r="AK78" i="15"/>
  <c r="AE78" i="15" s="1"/>
  <c r="AK232" i="15"/>
  <c r="AE232" i="15" s="1"/>
  <c r="AK43" i="15"/>
  <c r="AE43" i="15" s="1"/>
  <c r="AK267" i="15"/>
  <c r="AZ267" i="15" s="1"/>
  <c r="AK260" i="15"/>
  <c r="AZ260" i="15" s="1"/>
  <c r="AK85" i="15"/>
  <c r="AZ85" i="15" s="1"/>
  <c r="AK148" i="15"/>
  <c r="AZ148" i="15" s="1"/>
  <c r="AK36" i="15"/>
  <c r="AZ36" i="15" s="1"/>
  <c r="AK127" i="15"/>
  <c r="AZ127" i="15" s="1"/>
  <c r="AK92" i="15"/>
  <c r="Z92" i="15" s="1"/>
  <c r="AK183" i="15"/>
  <c r="AZ183" i="15" s="1"/>
  <c r="AK162" i="15"/>
  <c r="Y162" i="15" s="1"/>
  <c r="AK239" i="15"/>
  <c r="AE239" i="15" s="1"/>
  <c r="AK204" i="15"/>
  <c r="Z204" i="15" s="1"/>
  <c r="AK169" i="15"/>
  <c r="AZ169" i="15" s="1"/>
  <c r="AK134" i="15"/>
  <c r="AZ134" i="15" s="1"/>
  <c r="AK120" i="15"/>
  <c r="Z120" i="15" s="1"/>
  <c r="AK218" i="15"/>
  <c r="AK50" i="15"/>
  <c r="AK197" i="15"/>
  <c r="AK211" i="15"/>
  <c r="AK253" i="15"/>
  <c r="AK190" i="15"/>
  <c r="AK113" i="15"/>
  <c r="AK176" i="15"/>
  <c r="AK29" i="15"/>
  <c r="AK141" i="15"/>
  <c r="AK281" i="15"/>
  <c r="AK274" i="15"/>
  <c r="AK302" i="15"/>
  <c r="AK309" i="15"/>
  <c r="AK288" i="15"/>
  <c r="AK246" i="15"/>
  <c r="AK57" i="15"/>
  <c r="AK99" i="15"/>
  <c r="AK330" i="15"/>
  <c r="Y15" i="15"/>
  <c r="DT15" i="15" s="1"/>
  <c r="AE15" i="15"/>
  <c r="AK1405" i="15"/>
  <c r="AE1405" i="15" s="1"/>
  <c r="AK1377" i="15"/>
  <c r="AZ1377" i="15" s="1"/>
  <c r="AK1419" i="15"/>
  <c r="Y1419" i="15" s="1"/>
  <c r="AK1391" i="15"/>
  <c r="AE1391" i="15" s="1"/>
  <c r="AK1412" i="15"/>
  <c r="AZ1412" i="15" s="1"/>
  <c r="AK1363" i="15"/>
  <c r="AZ1363" i="15" s="1"/>
  <c r="AK1398" i="15"/>
  <c r="AK1384" i="15"/>
  <c r="AK1370" i="15"/>
  <c r="AK1356" i="15"/>
  <c r="AK22" i="15"/>
  <c r="Z22" i="15" s="1"/>
  <c r="AM15" i="15"/>
  <c r="AN15" i="15"/>
  <c r="AO15" i="15"/>
  <c r="AR15" i="15"/>
  <c r="Z323" i="15" l="1"/>
  <c r="AE323" i="15"/>
  <c r="AW323" i="15" s="1"/>
  <c r="AZ323" i="15"/>
  <c r="Z20" i="15"/>
  <c r="Z155" i="15"/>
  <c r="Z160" i="15" s="1"/>
  <c r="Z232" i="15"/>
  <c r="AZ64" i="15"/>
  <c r="AZ43" i="15"/>
  <c r="Y239" i="15"/>
  <c r="AE260" i="15"/>
  <c r="AW260" i="15" s="1"/>
  <c r="AE267" i="15"/>
  <c r="AW267" i="15" s="1"/>
  <c r="Y267" i="15"/>
  <c r="AE155" i="15"/>
  <c r="AW155" i="15" s="1"/>
  <c r="Y260" i="15"/>
  <c r="AZ155" i="15"/>
  <c r="AE106" i="15"/>
  <c r="AW106" i="15" s="1"/>
  <c r="AE71" i="15"/>
  <c r="AW71" i="15" s="1"/>
  <c r="AZ71" i="15"/>
  <c r="Z43" i="15"/>
  <c r="Z106" i="15"/>
  <c r="AA106" i="15" s="1"/>
  <c r="Z267" i="15"/>
  <c r="AE64" i="15"/>
  <c r="AW64" i="15" s="1"/>
  <c r="AZ106" i="15"/>
  <c r="Z71" i="15"/>
  <c r="AA71" i="15" s="1"/>
  <c r="Y64" i="15"/>
  <c r="AA64" i="15" s="1"/>
  <c r="Z295" i="15"/>
  <c r="Y43" i="15"/>
  <c r="Y295" i="15"/>
  <c r="Z316" i="15"/>
  <c r="Z321" i="15" s="1"/>
  <c r="AZ316" i="15"/>
  <c r="AZ295" i="15"/>
  <c r="Z134" i="15"/>
  <c r="Y78" i="15"/>
  <c r="Z78" i="15"/>
  <c r="AE225" i="15"/>
  <c r="AW225" i="15" s="1"/>
  <c r="AE316" i="15"/>
  <c r="AW316" i="15" s="1"/>
  <c r="AZ78" i="15"/>
  <c r="AE36" i="15"/>
  <c r="AW36" i="15" s="1"/>
  <c r="Z225" i="15"/>
  <c r="Y232" i="15"/>
  <c r="AZ232" i="15"/>
  <c r="Y225" i="15"/>
  <c r="Z36" i="15"/>
  <c r="AE169" i="15"/>
  <c r="AW169" i="15" s="1"/>
  <c r="AE134" i="15"/>
  <c r="AW134" i="15" s="1"/>
  <c r="Y36" i="15"/>
  <c r="Y134" i="15"/>
  <c r="AE120" i="15"/>
  <c r="AW120" i="15" s="1"/>
  <c r="Y169" i="15"/>
  <c r="AZ162" i="15"/>
  <c r="Z169" i="15"/>
  <c r="AE85" i="15"/>
  <c r="AW85" i="15" s="1"/>
  <c r="Z162" i="15"/>
  <c r="AA162" i="15" s="1"/>
  <c r="Z85" i="15"/>
  <c r="Z260" i="15"/>
  <c r="Z239" i="15"/>
  <c r="Y120" i="15"/>
  <c r="AA120" i="15" s="1"/>
  <c r="AZ120" i="15"/>
  <c r="AE148" i="15"/>
  <c r="AW148" i="15" s="1"/>
  <c r="Y92" i="15"/>
  <c r="AA92" i="15" s="1"/>
  <c r="Z127" i="15"/>
  <c r="AZ92" i="15"/>
  <c r="AE127" i="15"/>
  <c r="AW127" i="15" s="1"/>
  <c r="Z148" i="15"/>
  <c r="Y148" i="15"/>
  <c r="Y127" i="15"/>
  <c r="Y85" i="15"/>
  <c r="Y204" i="15"/>
  <c r="AA204" i="15" s="1"/>
  <c r="AE183" i="15"/>
  <c r="AW183" i="15" s="1"/>
  <c r="AZ204" i="15"/>
  <c r="Z183" i="15"/>
  <c r="AZ239" i="15"/>
  <c r="AE204" i="15"/>
  <c r="AW204" i="15" s="1"/>
  <c r="AE162" i="15"/>
  <c r="AW162" i="15" s="1"/>
  <c r="AE92" i="15"/>
  <c r="AW92" i="15" s="1"/>
  <c r="Y183" i="15"/>
  <c r="AZ211" i="15"/>
  <c r="Y211" i="15"/>
  <c r="Z211" i="15"/>
  <c r="AE211" i="15"/>
  <c r="AZ330" i="15"/>
  <c r="Y330" i="15"/>
  <c r="Z330" i="15"/>
  <c r="AE330" i="15"/>
  <c r="Z328" i="15"/>
  <c r="AA323" i="15"/>
  <c r="AZ99" i="15"/>
  <c r="Z99" i="15"/>
  <c r="Y99" i="15"/>
  <c r="AE99" i="15"/>
  <c r="AZ50" i="15"/>
  <c r="Z50" i="15"/>
  <c r="Y50" i="15"/>
  <c r="AE50" i="15"/>
  <c r="AZ57" i="15"/>
  <c r="Z57" i="15"/>
  <c r="Y57" i="15"/>
  <c r="AE57" i="15"/>
  <c r="AW295" i="15"/>
  <c r="AZ246" i="15"/>
  <c r="Z246" i="15"/>
  <c r="Y246" i="15"/>
  <c r="AE246" i="15"/>
  <c r="AW43" i="15"/>
  <c r="AZ176" i="15"/>
  <c r="Y176" i="15"/>
  <c r="Z176" i="15"/>
  <c r="AE176" i="15"/>
  <c r="AZ281" i="15"/>
  <c r="Z281" i="15"/>
  <c r="Y281" i="15"/>
  <c r="AE281" i="15"/>
  <c r="AZ113" i="15"/>
  <c r="Z113" i="15"/>
  <c r="Y113" i="15"/>
  <c r="AE113" i="15"/>
  <c r="AZ274" i="15"/>
  <c r="Y274" i="15"/>
  <c r="Z274" i="15"/>
  <c r="AE274" i="15"/>
  <c r="AW232" i="15"/>
  <c r="AW239" i="15"/>
  <c r="AZ288" i="15"/>
  <c r="Z288" i="15"/>
  <c r="Y288" i="15"/>
  <c r="AE288" i="15"/>
  <c r="AW78" i="15"/>
  <c r="AZ309" i="15"/>
  <c r="Y309" i="15"/>
  <c r="Z309" i="15"/>
  <c r="AE309" i="15"/>
  <c r="AZ141" i="15"/>
  <c r="Z141" i="15"/>
  <c r="Y141" i="15"/>
  <c r="AE141" i="15"/>
  <c r="AZ190" i="15"/>
  <c r="Y190" i="15"/>
  <c r="Z190" i="15"/>
  <c r="AE190" i="15"/>
  <c r="AZ197" i="15"/>
  <c r="Z197" i="15"/>
  <c r="Y197" i="15"/>
  <c r="AE197" i="15"/>
  <c r="AZ302" i="15"/>
  <c r="Y302" i="15"/>
  <c r="Z302" i="15"/>
  <c r="AE302" i="15"/>
  <c r="AZ29" i="15"/>
  <c r="Y29" i="15"/>
  <c r="Z29" i="15"/>
  <c r="AE29" i="15"/>
  <c r="AZ253" i="15"/>
  <c r="Z253" i="15"/>
  <c r="Y253" i="15"/>
  <c r="AE253" i="15"/>
  <c r="AZ218" i="15"/>
  <c r="Y218" i="15"/>
  <c r="Z218" i="15"/>
  <c r="AE218" i="15"/>
  <c r="Z1377" i="15"/>
  <c r="AA15" i="15"/>
  <c r="AC15" i="15" s="1"/>
  <c r="Y1405" i="15"/>
  <c r="Z1405" i="15"/>
  <c r="AZ1405" i="15"/>
  <c r="AE1419" i="15"/>
  <c r="AW1419" i="15" s="1"/>
  <c r="AZ1419" i="15"/>
  <c r="AE1377" i="15"/>
  <c r="AW1377" i="15" s="1"/>
  <c r="Y1377" i="15"/>
  <c r="Z1419" i="15"/>
  <c r="Z1424" i="15" s="1"/>
  <c r="AZ1391" i="15"/>
  <c r="Y1391" i="15"/>
  <c r="Z1391" i="15"/>
  <c r="AE1412" i="15"/>
  <c r="AW1412" i="15" s="1"/>
  <c r="Y1412" i="15"/>
  <c r="Z1412" i="15"/>
  <c r="Z1363" i="15"/>
  <c r="Y1363" i="15"/>
  <c r="AE1363" i="15"/>
  <c r="AW1363" i="15" s="1"/>
  <c r="AW1405" i="15"/>
  <c r="AW1391" i="15"/>
  <c r="AZ1398" i="15"/>
  <c r="Z1398" i="15"/>
  <c r="Y1398" i="15"/>
  <c r="AE1398" i="15"/>
  <c r="AZ1384" i="15"/>
  <c r="Z1384" i="15"/>
  <c r="Y1384" i="15"/>
  <c r="AE1384" i="15"/>
  <c r="AZ1370" i="15"/>
  <c r="Z1370" i="15"/>
  <c r="Y1370" i="15"/>
  <c r="AE1370" i="15"/>
  <c r="AZ1356" i="15"/>
  <c r="Z1356" i="15"/>
  <c r="Y1356" i="15"/>
  <c r="AE1356" i="15"/>
  <c r="AE22" i="15"/>
  <c r="Y22" i="15"/>
  <c r="AZ22" i="15"/>
  <c r="AK336" i="15"/>
  <c r="AK345" i="15" s="1"/>
  <c r="AP15" i="15"/>
  <c r="AM336" i="15"/>
  <c r="AO336" i="15"/>
  <c r="AN336" i="15"/>
  <c r="AQ15" i="15"/>
  <c r="AA155" i="15" l="1"/>
  <c r="AC155" i="15" s="1"/>
  <c r="AH155" i="15" s="1"/>
  <c r="AW22" i="15"/>
  <c r="AA22" i="15"/>
  <c r="AC22" i="15" s="1"/>
  <c r="AH22" i="15" s="1"/>
  <c r="AA232" i="15"/>
  <c r="AC232" i="15" s="1"/>
  <c r="AH232" i="15" s="1"/>
  <c r="AA295" i="15"/>
  <c r="AC295" i="15" s="1"/>
  <c r="AH295" i="15" s="1"/>
  <c r="AL295" i="15" s="1"/>
  <c r="Z272" i="15"/>
  <c r="AA239" i="15"/>
  <c r="AC239" i="15" s="1"/>
  <c r="AA43" i="15"/>
  <c r="AC43" i="15" s="1"/>
  <c r="AH43" i="15" s="1"/>
  <c r="AA260" i="15"/>
  <c r="AC260" i="15" s="1"/>
  <c r="AH260" i="15" s="1"/>
  <c r="Z237" i="15"/>
  <c r="Z111" i="15"/>
  <c r="AA316" i="15"/>
  <c r="AC316" i="15" s="1"/>
  <c r="AA267" i="15"/>
  <c r="AC267" i="15" s="1"/>
  <c r="AH267" i="15" s="1"/>
  <c r="Z48" i="15"/>
  <c r="Z300" i="15"/>
  <c r="AA78" i="15"/>
  <c r="AC78" i="15" s="1"/>
  <c r="AH78" i="15" s="1"/>
  <c r="Z69" i="15"/>
  <c r="Z76" i="15"/>
  <c r="Z125" i="15"/>
  <c r="AA169" i="15"/>
  <c r="AC169" i="15" s="1"/>
  <c r="AH169" i="15" s="1"/>
  <c r="Z83" i="15"/>
  <c r="AA134" i="15"/>
  <c r="AC134" i="15" s="1"/>
  <c r="Z167" i="15"/>
  <c r="Z41" i="15"/>
  <c r="Z174" i="15"/>
  <c r="AA36" i="15"/>
  <c r="AC36" i="15" s="1"/>
  <c r="AH36" i="15" s="1"/>
  <c r="Z139" i="15"/>
  <c r="AA127" i="15"/>
  <c r="AC127" i="15" s="1"/>
  <c r="AH127" i="15" s="1"/>
  <c r="AA225" i="15"/>
  <c r="AC225" i="15" s="1"/>
  <c r="AH225" i="15" s="1"/>
  <c r="AA1377" i="15"/>
  <c r="AC1377" i="15" s="1"/>
  <c r="AH1377" i="15" s="1"/>
  <c r="Z97" i="15"/>
  <c r="Z153" i="15"/>
  <c r="Z230" i="15"/>
  <c r="Z188" i="15"/>
  <c r="Z132" i="15"/>
  <c r="AA85" i="15"/>
  <c r="AC85" i="15" s="1"/>
  <c r="AH85" i="15" s="1"/>
  <c r="Z209" i="15"/>
  <c r="Z244" i="15"/>
  <c r="Z90" i="15"/>
  <c r="Z265" i="15"/>
  <c r="AA183" i="15"/>
  <c r="AC183" i="15" s="1"/>
  <c r="AA148" i="15"/>
  <c r="AC148" i="15" s="1"/>
  <c r="AH148" i="15" s="1"/>
  <c r="AW29" i="15"/>
  <c r="AW197" i="15"/>
  <c r="Z314" i="15"/>
  <c r="AA309" i="15"/>
  <c r="Z335" i="15"/>
  <c r="AA330" i="15"/>
  <c r="AA288" i="15"/>
  <c r="Z293" i="15"/>
  <c r="AC204" i="15"/>
  <c r="AH204" i="15" s="1"/>
  <c r="AL204" i="15" s="1"/>
  <c r="Z286" i="15"/>
  <c r="AA281" i="15"/>
  <c r="AA50" i="15"/>
  <c r="Z55" i="15"/>
  <c r="AA176" i="15"/>
  <c r="Z181" i="15"/>
  <c r="AW274" i="15"/>
  <c r="AW211" i="15"/>
  <c r="AW253" i="15"/>
  <c r="AA190" i="15"/>
  <c r="Z195" i="15"/>
  <c r="Z279" i="15"/>
  <c r="AA274" i="15"/>
  <c r="AW99" i="15"/>
  <c r="AC323" i="15"/>
  <c r="AH323" i="15" s="1"/>
  <c r="AA211" i="15"/>
  <c r="Z216" i="15"/>
  <c r="AW190" i="15"/>
  <c r="AW50" i="15"/>
  <c r="AA99" i="15"/>
  <c r="Z104" i="15"/>
  <c r="Z307" i="15"/>
  <c r="AA302" i="15"/>
  <c r="AA218" i="15"/>
  <c r="Z223" i="15"/>
  <c r="AA29" i="15"/>
  <c r="Z34" i="15"/>
  <c r="Z258" i="15"/>
  <c r="AA253" i="15"/>
  <c r="AC120" i="15"/>
  <c r="AW302" i="15"/>
  <c r="AW141" i="15"/>
  <c r="AW309" i="15"/>
  <c r="AW113" i="15"/>
  <c r="AW176" i="15"/>
  <c r="AW246" i="15"/>
  <c r="AW57" i="15"/>
  <c r="AW330" i="15"/>
  <c r="AW218" i="15"/>
  <c r="AW288" i="15"/>
  <c r="AA197" i="15"/>
  <c r="Z202" i="15"/>
  <c r="AC162" i="15"/>
  <c r="AW281" i="15"/>
  <c r="AA141" i="15"/>
  <c r="Z146" i="15"/>
  <c r="AC106" i="15"/>
  <c r="AA113" i="15"/>
  <c r="Z118" i="15"/>
  <c r="AA246" i="15"/>
  <c r="Z251" i="15"/>
  <c r="AC64" i="15"/>
  <c r="AC92" i="15"/>
  <c r="AH92" i="15" s="1"/>
  <c r="AA57" i="15"/>
  <c r="Z62" i="15"/>
  <c r="AC71" i="15"/>
  <c r="AH71" i="15" s="1"/>
  <c r="AA1370" i="15"/>
  <c r="AC1370" i="15" s="1"/>
  <c r="AH1370" i="15" s="1"/>
  <c r="Z1382" i="15"/>
  <c r="AA1356" i="15"/>
  <c r="AC1356" i="15" s="1"/>
  <c r="AH1356" i="15" s="1"/>
  <c r="AA1384" i="15"/>
  <c r="AC1384" i="15" s="1"/>
  <c r="AH1384" i="15" s="1"/>
  <c r="AA1405" i="15"/>
  <c r="AA1412" i="15"/>
  <c r="AA1419" i="15"/>
  <c r="Z1410" i="15"/>
  <c r="AA1391" i="15"/>
  <c r="AA1398" i="15"/>
  <c r="AA1363" i="15"/>
  <c r="AH15" i="15"/>
  <c r="Z1396" i="15"/>
  <c r="Z1417" i="15"/>
  <c r="Z1368" i="15"/>
  <c r="Z1375" i="15"/>
  <c r="Z1403" i="15"/>
  <c r="AW1398" i="15"/>
  <c r="AW1384" i="15"/>
  <c r="Z1389" i="15"/>
  <c r="AW1370" i="15"/>
  <c r="Z1361" i="15"/>
  <c r="AW1356" i="15"/>
  <c r="Z27" i="15"/>
  <c r="Y336" i="15"/>
  <c r="AP336" i="15"/>
  <c r="AR336" i="15"/>
  <c r="AQ336" i="15"/>
  <c r="Y345" i="15" l="1"/>
  <c r="AJ10" i="25"/>
  <c r="AK10" i="25" s="1"/>
  <c r="AJ9" i="25"/>
  <c r="AK9" i="25" s="1"/>
  <c r="AL232" i="15"/>
  <c r="AJ232" i="15" s="1"/>
  <c r="AH106" i="15"/>
  <c r="AL106" i="15" s="1"/>
  <c r="AH316" i="15"/>
  <c r="AL316" i="15" s="1"/>
  <c r="AI204" i="15"/>
  <c r="AY204" i="15" s="1"/>
  <c r="N204" i="15"/>
  <c r="AJ204" i="15"/>
  <c r="N295" i="15"/>
  <c r="AI295" i="15"/>
  <c r="AY295" i="15" s="1"/>
  <c r="AJ295" i="15"/>
  <c r="AH64" i="15"/>
  <c r="AL64" i="15" s="1"/>
  <c r="AL260" i="15"/>
  <c r="AC190" i="15"/>
  <c r="AH190" i="15" s="1"/>
  <c r="AC281" i="15"/>
  <c r="AC99" i="15"/>
  <c r="AH99" i="15" s="1"/>
  <c r="AL99" i="15" s="1"/>
  <c r="AC50" i="15"/>
  <c r="AH50" i="15" s="1"/>
  <c r="AL50" i="15" s="1"/>
  <c r="AH162" i="15"/>
  <c r="AL162" i="15" s="1"/>
  <c r="AL169" i="15"/>
  <c r="AL155" i="15"/>
  <c r="AC246" i="15"/>
  <c r="AC141" i="15"/>
  <c r="AH141" i="15" s="1"/>
  <c r="AC197" i="15"/>
  <c r="AH197" i="15" s="1"/>
  <c r="AL36" i="15"/>
  <c r="AL225" i="15"/>
  <c r="AL267" i="15"/>
  <c r="AL127" i="15"/>
  <c r="AC288" i="15"/>
  <c r="AH288" i="15" s="1"/>
  <c r="AC274" i="15"/>
  <c r="AL43" i="15"/>
  <c r="AC218" i="15"/>
  <c r="AL323" i="15"/>
  <c r="AC302" i="15"/>
  <c r="AH302" i="15" s="1"/>
  <c r="AC330" i="15"/>
  <c r="AH330" i="15" s="1"/>
  <c r="AC29" i="15"/>
  <c r="AL71" i="15"/>
  <c r="AH134" i="15"/>
  <c r="AL134" i="15" s="1"/>
  <c r="AL148" i="15"/>
  <c r="AC57" i="15"/>
  <c r="AH57" i="15" s="1"/>
  <c r="AC113" i="15"/>
  <c r="AH113" i="15" s="1"/>
  <c r="AH183" i="15"/>
  <c r="AL183" i="15" s="1"/>
  <c r="AH239" i="15"/>
  <c r="AL239" i="15" s="1"/>
  <c r="AL85" i="15"/>
  <c r="AC176" i="15"/>
  <c r="AL78" i="15"/>
  <c r="AC211" i="15"/>
  <c r="AH211" i="15" s="1"/>
  <c r="AC253" i="15"/>
  <c r="AH253" i="15" s="1"/>
  <c r="AL253" i="15" s="1"/>
  <c r="AL92" i="15"/>
  <c r="AH120" i="15"/>
  <c r="AL120" i="15" s="1"/>
  <c r="AC309" i="15"/>
  <c r="AL15" i="15"/>
  <c r="AC1398" i="15"/>
  <c r="AH1398" i="15" s="1"/>
  <c r="AL1398" i="15" s="1"/>
  <c r="AC1405" i="15"/>
  <c r="AH1405" i="15" s="1"/>
  <c r="AL1405" i="15" s="1"/>
  <c r="AC1419" i="15"/>
  <c r="AH1419" i="15" s="1"/>
  <c r="AC1391" i="15"/>
  <c r="AH1391" i="15" s="1"/>
  <c r="AC1363" i="15"/>
  <c r="AA336" i="15"/>
  <c r="AA345" i="15" s="1"/>
  <c r="AC1412" i="15"/>
  <c r="AL1377" i="15"/>
  <c r="AJ1377" i="15" s="1"/>
  <c r="AL1384" i="15"/>
  <c r="AL1370" i="15"/>
  <c r="AL1356" i="15"/>
  <c r="X336" i="15"/>
  <c r="AN9" i="25" l="1"/>
  <c r="AO9" i="25"/>
  <c r="AO10" i="25"/>
  <c r="AN10" i="25"/>
  <c r="X357" i="15"/>
  <c r="X359" i="15"/>
  <c r="X355" i="15"/>
  <c r="X345" i="15"/>
  <c r="AI232" i="15"/>
  <c r="AY232" i="15" s="1"/>
  <c r="N232" i="15"/>
  <c r="O232" i="15" s="1"/>
  <c r="BS18" i="15"/>
  <c r="BR18" i="15"/>
  <c r="AL211" i="15"/>
  <c r="AI211" i="15" s="1"/>
  <c r="AY211" i="15" s="1"/>
  <c r="N316" i="15"/>
  <c r="O316" i="15" s="1"/>
  <c r="AJ316" i="15"/>
  <c r="AI316" i="15"/>
  <c r="AY316" i="15" s="1"/>
  <c r="AI106" i="15"/>
  <c r="AY106" i="15" s="1"/>
  <c r="AJ106" i="15"/>
  <c r="N106" i="15"/>
  <c r="S110" i="15" s="1"/>
  <c r="AH246" i="15"/>
  <c r="AL246" i="15" s="1"/>
  <c r="AI246" i="15" s="1"/>
  <c r="AY246" i="15" s="1"/>
  <c r="AH274" i="15"/>
  <c r="AL274" i="15" s="1"/>
  <c r="N274" i="15" s="1"/>
  <c r="AI183" i="15"/>
  <c r="AY183" i="15" s="1"/>
  <c r="N183" i="15"/>
  <c r="AJ183" i="15"/>
  <c r="AI162" i="15"/>
  <c r="AY162" i="15" s="1"/>
  <c r="N162" i="15"/>
  <c r="AJ162" i="15"/>
  <c r="N64" i="15"/>
  <c r="AI64" i="15"/>
  <c r="AY64" i="15" s="1"/>
  <c r="AJ64" i="15"/>
  <c r="AI120" i="15"/>
  <c r="AY120" i="15" s="1"/>
  <c r="N120" i="15"/>
  <c r="AJ120" i="15"/>
  <c r="AI239" i="15"/>
  <c r="AY239" i="15" s="1"/>
  <c r="N239" i="15"/>
  <c r="AJ239" i="15"/>
  <c r="AI99" i="15"/>
  <c r="AY99" i="15" s="1"/>
  <c r="N99" i="15"/>
  <c r="AJ99" i="15"/>
  <c r="AI43" i="15"/>
  <c r="AY43" i="15" s="1"/>
  <c r="N43" i="15"/>
  <c r="AJ43" i="15"/>
  <c r="AI36" i="15"/>
  <c r="AY36" i="15" s="1"/>
  <c r="N36" i="15"/>
  <c r="AJ36" i="15"/>
  <c r="AI148" i="15"/>
  <c r="AY148" i="15" s="1"/>
  <c r="N148" i="15"/>
  <c r="AJ148" i="15"/>
  <c r="AH309" i="15"/>
  <c r="AL309" i="15" s="1"/>
  <c r="AI71" i="15"/>
  <c r="AY71" i="15" s="1"/>
  <c r="N71" i="15"/>
  <c r="AJ71" i="15"/>
  <c r="AL141" i="15"/>
  <c r="N260" i="15"/>
  <c r="AI260" i="15"/>
  <c r="AY260" i="15" s="1"/>
  <c r="AJ260" i="15"/>
  <c r="AI78" i="15"/>
  <c r="AY78" i="15" s="1"/>
  <c r="N78" i="15"/>
  <c r="AJ78" i="15"/>
  <c r="AI155" i="15"/>
  <c r="AY155" i="15" s="1"/>
  <c r="N155" i="15"/>
  <c r="AJ155" i="15"/>
  <c r="AI169" i="15"/>
  <c r="AY169" i="15" s="1"/>
  <c r="N169" i="15"/>
  <c r="AJ169" i="15"/>
  <c r="N92" i="15"/>
  <c r="AI92" i="15"/>
  <c r="AY92" i="15" s="1"/>
  <c r="AJ92" i="15"/>
  <c r="AL302" i="15"/>
  <c r="N323" i="15"/>
  <c r="AI323" i="15"/>
  <c r="AY323" i="15" s="1"/>
  <c r="AJ323" i="15"/>
  <c r="AL288" i="15"/>
  <c r="CV204" i="15"/>
  <c r="DB204" i="15" s="1"/>
  <c r="S208" i="15"/>
  <c r="O204" i="15"/>
  <c r="AI225" i="15"/>
  <c r="AY225" i="15" s="1"/>
  <c r="N225" i="15"/>
  <c r="AJ225" i="15"/>
  <c r="AI134" i="15"/>
  <c r="AY134" i="15" s="1"/>
  <c r="N134" i="15"/>
  <c r="AJ134" i="15"/>
  <c r="N253" i="15"/>
  <c r="AI253" i="15"/>
  <c r="AY253" i="15" s="1"/>
  <c r="AJ253" i="15"/>
  <c r="N85" i="15"/>
  <c r="AI85" i="15"/>
  <c r="AY85" i="15" s="1"/>
  <c r="AJ85" i="15"/>
  <c r="AL197" i="15"/>
  <c r="AL190" i="15"/>
  <c r="O295" i="15"/>
  <c r="CV295" i="15"/>
  <c r="DB295" i="15" s="1"/>
  <c r="S299" i="15"/>
  <c r="AI50" i="15"/>
  <c r="AY50" i="15" s="1"/>
  <c r="N50" i="15"/>
  <c r="AJ50" i="15"/>
  <c r="AI127" i="15"/>
  <c r="AY127" i="15" s="1"/>
  <c r="N127" i="15"/>
  <c r="AJ127" i="15"/>
  <c r="AL57" i="15"/>
  <c r="AL330" i="15"/>
  <c r="AH281" i="15"/>
  <c r="AL281" i="15" s="1"/>
  <c r="AH176" i="15"/>
  <c r="AL176" i="15" s="1"/>
  <c r="AL113" i="15"/>
  <c r="AH29" i="15"/>
  <c r="AL29" i="15" s="1"/>
  <c r="AH218" i="15"/>
  <c r="AL218" i="15" s="1"/>
  <c r="N267" i="15"/>
  <c r="AI267" i="15"/>
  <c r="AY267" i="15" s="1"/>
  <c r="AJ267" i="15"/>
  <c r="AH1363" i="15"/>
  <c r="AL1363" i="15" s="1"/>
  <c r="N1405" i="15"/>
  <c r="CV1405" i="15" s="1"/>
  <c r="DB1405" i="15" s="1"/>
  <c r="AI1405" i="15"/>
  <c r="AY1405" i="15" s="1"/>
  <c r="AJ1405" i="15"/>
  <c r="AH1412" i="15"/>
  <c r="AL1412" i="15" s="1"/>
  <c r="AL1419" i="15"/>
  <c r="AL1391" i="15"/>
  <c r="AI1391" i="15" s="1"/>
  <c r="AY1391" i="15" s="1"/>
  <c r="AI1377" i="15"/>
  <c r="AY1377" i="15" s="1"/>
  <c r="N1377" i="15"/>
  <c r="S1381" i="15" s="1"/>
  <c r="AL22" i="15"/>
  <c r="AI22" i="15" s="1"/>
  <c r="AY22" i="15" s="1"/>
  <c r="N1398" i="15"/>
  <c r="CV1398" i="15" s="1"/>
  <c r="AI1398" i="15"/>
  <c r="AY1398" i="15" s="1"/>
  <c r="AJ1398" i="15"/>
  <c r="N1370" i="15"/>
  <c r="CV1370" i="15" s="1"/>
  <c r="AI1370" i="15"/>
  <c r="AY1370" i="15" s="1"/>
  <c r="AJ1370" i="15"/>
  <c r="N1356" i="15"/>
  <c r="CV1356" i="15" s="1"/>
  <c r="AI1356" i="15"/>
  <c r="AY1356" i="15" s="1"/>
  <c r="AJ1356" i="15"/>
  <c r="W336" i="15"/>
  <c r="AU15" i="15"/>
  <c r="W355" i="15" l="1"/>
  <c r="W359" i="15"/>
  <c r="W357" i="15"/>
  <c r="W345" i="15"/>
  <c r="CV232" i="15"/>
  <c r="DB232" i="15" s="1"/>
  <c r="S236" i="15"/>
  <c r="N211" i="15"/>
  <c r="S215" i="15" s="1"/>
  <c r="AJ211" i="15"/>
  <c r="CV316" i="15"/>
  <c r="DB316" i="15" s="1"/>
  <c r="S320" i="15"/>
  <c r="N246" i="15"/>
  <c r="S250" i="15" s="1"/>
  <c r="AJ246" i="15"/>
  <c r="AJ274" i="15"/>
  <c r="AI274" i="15"/>
  <c r="AY274" i="15" s="1"/>
  <c r="CV106" i="15"/>
  <c r="DB106" i="15" s="1"/>
  <c r="O106" i="15"/>
  <c r="AI218" i="15"/>
  <c r="AY218" i="15" s="1"/>
  <c r="N218" i="15"/>
  <c r="AJ218" i="15"/>
  <c r="AI29" i="15"/>
  <c r="AY29" i="15" s="1"/>
  <c r="N29" i="15"/>
  <c r="AJ29" i="15"/>
  <c r="N309" i="15"/>
  <c r="AI309" i="15"/>
  <c r="AY309" i="15" s="1"/>
  <c r="AJ309" i="15"/>
  <c r="N281" i="15"/>
  <c r="AI281" i="15"/>
  <c r="AY281" i="15" s="1"/>
  <c r="AJ281" i="15"/>
  <c r="S47" i="15"/>
  <c r="CV43" i="15"/>
  <c r="DB43" i="15" s="1"/>
  <c r="O43" i="15"/>
  <c r="CV148" i="15"/>
  <c r="DB148" i="15" s="1"/>
  <c r="O148" i="15"/>
  <c r="S152" i="15"/>
  <c r="CV120" i="15"/>
  <c r="DB120" i="15" s="1"/>
  <c r="O120" i="15"/>
  <c r="S124" i="15"/>
  <c r="CV127" i="15"/>
  <c r="DB127" i="15" s="1"/>
  <c r="O127" i="15"/>
  <c r="S131" i="15"/>
  <c r="N288" i="15"/>
  <c r="AI288" i="15"/>
  <c r="AY288" i="15" s="1"/>
  <c r="AJ288" i="15"/>
  <c r="CV155" i="15"/>
  <c r="DB155" i="15" s="1"/>
  <c r="O155" i="15"/>
  <c r="S159" i="15"/>
  <c r="CV162" i="15"/>
  <c r="DB162" i="15" s="1"/>
  <c r="O162" i="15"/>
  <c r="S166" i="15"/>
  <c r="CV267" i="15"/>
  <c r="DB267" i="15" s="1"/>
  <c r="O267" i="15"/>
  <c r="S271" i="15"/>
  <c r="AI190" i="15"/>
  <c r="AY190" i="15" s="1"/>
  <c r="N190" i="15"/>
  <c r="AJ190" i="15"/>
  <c r="S103" i="15"/>
  <c r="O99" i="15"/>
  <c r="CV99" i="15"/>
  <c r="DB99" i="15" s="1"/>
  <c r="AI176" i="15"/>
  <c r="AY176" i="15" s="1"/>
  <c r="N176" i="15"/>
  <c r="AJ176" i="15"/>
  <c r="S68" i="15"/>
  <c r="O64" i="15"/>
  <c r="CV64" i="15"/>
  <c r="DB64" i="15" s="1"/>
  <c r="O260" i="15"/>
  <c r="S264" i="15"/>
  <c r="CV260" i="15"/>
  <c r="DB260" i="15" s="1"/>
  <c r="DD295" i="15"/>
  <c r="CV253" i="15"/>
  <c r="DB253" i="15" s="1"/>
  <c r="O253" i="15"/>
  <c r="S257" i="15"/>
  <c r="CV225" i="15"/>
  <c r="DB225" i="15" s="1"/>
  <c r="O225" i="15"/>
  <c r="S229" i="15"/>
  <c r="N330" i="15"/>
  <c r="AI330" i="15"/>
  <c r="AY330" i="15" s="1"/>
  <c r="AJ330" i="15"/>
  <c r="AI197" i="15"/>
  <c r="AY197" i="15" s="1"/>
  <c r="N197" i="15"/>
  <c r="AJ197" i="15"/>
  <c r="CV134" i="15"/>
  <c r="DB134" i="15" s="1"/>
  <c r="O134" i="15"/>
  <c r="S138" i="15"/>
  <c r="S96" i="15"/>
  <c r="O92" i="15"/>
  <c r="CV92" i="15"/>
  <c r="DB92" i="15" s="1"/>
  <c r="S75" i="15"/>
  <c r="O71" i="15"/>
  <c r="CV71" i="15"/>
  <c r="DB71" i="15" s="1"/>
  <c r="S40" i="15"/>
  <c r="CV36" i="15"/>
  <c r="DB36" i="15" s="1"/>
  <c r="O36" i="15"/>
  <c r="AI57" i="15"/>
  <c r="AY57" i="15" s="1"/>
  <c r="N57" i="15"/>
  <c r="AJ57" i="15"/>
  <c r="O323" i="15"/>
  <c r="CV323" i="15"/>
  <c r="DB323" i="15" s="1"/>
  <c r="S327" i="15"/>
  <c r="S82" i="15"/>
  <c r="O78" i="15"/>
  <c r="CV78" i="15"/>
  <c r="DB78" i="15" s="1"/>
  <c r="O274" i="15"/>
  <c r="S278" i="15"/>
  <c r="CV274" i="15"/>
  <c r="DB274" i="15" s="1"/>
  <c r="AI113" i="15"/>
  <c r="AY113" i="15" s="1"/>
  <c r="N113" i="15"/>
  <c r="AJ113" i="15"/>
  <c r="S54" i="15"/>
  <c r="CV50" i="15"/>
  <c r="DB50" i="15" s="1"/>
  <c r="O50" i="15"/>
  <c r="CV169" i="15"/>
  <c r="DB169" i="15" s="1"/>
  <c r="O169" i="15"/>
  <c r="S173" i="15"/>
  <c r="CV239" i="15"/>
  <c r="DB239" i="15" s="1"/>
  <c r="S243" i="15"/>
  <c r="O239" i="15"/>
  <c r="CV183" i="15"/>
  <c r="DB183" i="15" s="1"/>
  <c r="S187" i="15"/>
  <c r="O183" i="15"/>
  <c r="N302" i="15"/>
  <c r="AI302" i="15"/>
  <c r="AY302" i="15" s="1"/>
  <c r="AJ302" i="15"/>
  <c r="AI141" i="15"/>
  <c r="AY141" i="15" s="1"/>
  <c r="N141" i="15"/>
  <c r="AJ141" i="15"/>
  <c r="S89" i="15"/>
  <c r="CV85" i="15"/>
  <c r="DB85" i="15" s="1"/>
  <c r="O85" i="15"/>
  <c r="DD204" i="15"/>
  <c r="DB1370" i="15"/>
  <c r="DB1398" i="15"/>
  <c r="O1377" i="15"/>
  <c r="CV1377" i="15"/>
  <c r="DB1356" i="15"/>
  <c r="N1363" i="15"/>
  <c r="CV1363" i="15" s="1"/>
  <c r="DB1363" i="15" s="1"/>
  <c r="AJ1363" i="15"/>
  <c r="AI1363" i="15"/>
  <c r="AY1363" i="15" s="1"/>
  <c r="N1412" i="15"/>
  <c r="CV1412" i="15" s="1"/>
  <c r="DB1412" i="15" s="1"/>
  <c r="AJ1412" i="15"/>
  <c r="AI1412" i="15"/>
  <c r="AY1412" i="15" s="1"/>
  <c r="O1405" i="15"/>
  <c r="DD1405" i="15" s="1"/>
  <c r="S1409" i="15"/>
  <c r="AJ1419" i="15"/>
  <c r="AI1419" i="15"/>
  <c r="AY1419" i="15" s="1"/>
  <c r="N1419" i="15"/>
  <c r="CV1419" i="15" s="1"/>
  <c r="DB1419" i="15" s="1"/>
  <c r="N1391" i="15"/>
  <c r="CV1391" i="15" s="1"/>
  <c r="DB1391" i="15" s="1"/>
  <c r="AJ1391" i="15"/>
  <c r="N22" i="15"/>
  <c r="AJ22" i="15"/>
  <c r="O1398" i="15"/>
  <c r="DD1398" i="15" s="1"/>
  <c r="S1402" i="15"/>
  <c r="N1384" i="15"/>
  <c r="CV1384" i="15" s="1"/>
  <c r="DB1384" i="15" s="1"/>
  <c r="AI1384" i="15"/>
  <c r="AY1384" i="15" s="1"/>
  <c r="AJ1384" i="15"/>
  <c r="S1374" i="15"/>
  <c r="O1370" i="15"/>
  <c r="DD1370" i="15" s="1"/>
  <c r="S1360" i="15"/>
  <c r="O1356" i="15"/>
  <c r="DD1356" i="15" s="1"/>
  <c r="AU336" i="15"/>
  <c r="AT15" i="15"/>
  <c r="DD232" i="15" l="1"/>
  <c r="CV211" i="15"/>
  <c r="DB211" i="15" s="1"/>
  <c r="O211" i="15"/>
  <c r="DD211" i="15" s="1"/>
  <c r="O246" i="15"/>
  <c r="DD162" i="15"/>
  <c r="DD106" i="15"/>
  <c r="CV246" i="15"/>
  <c r="DB246" i="15" s="1"/>
  <c r="DD183" i="15"/>
  <c r="DD127" i="15"/>
  <c r="DD43" i="15"/>
  <c r="DD316" i="15"/>
  <c r="DD225" i="15"/>
  <c r="DD85" i="15"/>
  <c r="DD120" i="15"/>
  <c r="DD50" i="15"/>
  <c r="DD274" i="15"/>
  <c r="DD253" i="15"/>
  <c r="DD260" i="15"/>
  <c r="DD239" i="15"/>
  <c r="DD36" i="15"/>
  <c r="DD155" i="15"/>
  <c r="DD92" i="15"/>
  <c r="CV141" i="15"/>
  <c r="DB141" i="15" s="1"/>
  <c r="O141" i="15"/>
  <c r="S145" i="15"/>
  <c r="O330" i="15"/>
  <c r="S334" i="15"/>
  <c r="CV330" i="15"/>
  <c r="DB330" i="15" s="1"/>
  <c r="CV176" i="15"/>
  <c r="DB176" i="15" s="1"/>
  <c r="O176" i="15"/>
  <c r="S180" i="15"/>
  <c r="DD64" i="15"/>
  <c r="O309" i="15"/>
  <c r="CV309" i="15"/>
  <c r="DB309" i="15" s="1"/>
  <c r="S313" i="15"/>
  <c r="CV190" i="15"/>
  <c r="DB190" i="15" s="1"/>
  <c r="S194" i="15"/>
  <c r="O190" i="15"/>
  <c r="S33" i="15"/>
  <c r="CV29" i="15"/>
  <c r="DB29" i="15" s="1"/>
  <c r="O29" i="15"/>
  <c r="CV113" i="15"/>
  <c r="DB113" i="15" s="1"/>
  <c r="O113" i="15"/>
  <c r="S117" i="15"/>
  <c r="DD134" i="15"/>
  <c r="DD267" i="15"/>
  <c r="S61" i="15"/>
  <c r="CV57" i="15"/>
  <c r="DB57" i="15" s="1"/>
  <c r="O57" i="15"/>
  <c r="O281" i="15"/>
  <c r="CV281" i="15"/>
  <c r="DB281" i="15" s="1"/>
  <c r="S285" i="15"/>
  <c r="CV218" i="15"/>
  <c r="DB218" i="15" s="1"/>
  <c r="S222" i="15"/>
  <c r="O218" i="15"/>
  <c r="CV197" i="15"/>
  <c r="DB197" i="15" s="1"/>
  <c r="O197" i="15"/>
  <c r="S201" i="15"/>
  <c r="DD78" i="15"/>
  <c r="O302" i="15"/>
  <c r="CV302" i="15"/>
  <c r="DB302" i="15" s="1"/>
  <c r="S306" i="15"/>
  <c r="DD169" i="15"/>
  <c r="DD323" i="15"/>
  <c r="DD71" i="15"/>
  <c r="DD99" i="15"/>
  <c r="O288" i="15"/>
  <c r="CV288" i="15"/>
  <c r="DB288" i="15" s="1"/>
  <c r="S292" i="15"/>
  <c r="DD148" i="15"/>
  <c r="DD1377" i="15"/>
  <c r="DB1377" i="15"/>
  <c r="S26" i="15"/>
  <c r="CV22" i="15"/>
  <c r="DB22" i="15" s="1"/>
  <c r="S1367" i="15"/>
  <c r="O1363" i="15"/>
  <c r="DD1363" i="15" s="1"/>
  <c r="O22" i="15"/>
  <c r="O1419" i="15"/>
  <c r="DD1419" i="15" s="1"/>
  <c r="S1423" i="15"/>
  <c r="S1416" i="15"/>
  <c r="O1412" i="15"/>
  <c r="DD1412" i="15" s="1"/>
  <c r="S1395" i="15"/>
  <c r="O1391" i="15"/>
  <c r="DD1391" i="15" s="1"/>
  <c r="S1388" i="15"/>
  <c r="O1384" i="15"/>
  <c r="DD1384" i="15" s="1"/>
  <c r="AT336" i="15"/>
  <c r="DD197" i="15" l="1"/>
  <c r="DD57" i="15"/>
  <c r="DD29" i="15"/>
  <c r="DD113" i="15"/>
  <c r="DD246" i="15"/>
  <c r="DD141" i="15"/>
  <c r="DD302" i="15"/>
  <c r="DD218" i="15"/>
  <c r="DD281" i="15"/>
  <c r="DD330" i="15"/>
  <c r="DD309" i="15"/>
  <c r="DD288" i="15"/>
  <c r="DD190" i="15"/>
  <c r="DD176" i="15"/>
  <c r="DD22" i="15"/>
  <c r="O1426" i="15"/>
  <c r="O1428" i="15" s="1"/>
  <c r="AS15" i="15"/>
  <c r="O1429" i="15" l="1"/>
  <c r="O1431" i="15" s="1"/>
  <c r="O1427" i="15"/>
  <c r="AV15" i="15"/>
  <c r="O1430" i="15" l="1"/>
  <c r="O1432" i="15" s="1"/>
  <c r="CW7" i="15" s="1"/>
  <c r="BN336" i="15"/>
  <c r="V336" i="15"/>
  <c r="V355" i="15" l="1"/>
  <c r="V357" i="15"/>
  <c r="V359" i="15"/>
  <c r="V345" i="15"/>
  <c r="AS336" i="15"/>
  <c r="BR336" i="15"/>
  <c r="BR337" i="15" s="1"/>
  <c r="BN341" i="15"/>
  <c r="BP337" i="15"/>
  <c r="AV336" i="15" l="1"/>
  <c r="AB336" i="15"/>
  <c r="AB345" i="15" s="1"/>
  <c r="AG336" i="15" l="1"/>
  <c r="AG345" i="15" s="1"/>
  <c r="AW15" i="15"/>
  <c r="AZ15" i="15"/>
  <c r="AX15" i="15" l="1"/>
  <c r="AX336" i="15" s="1"/>
  <c r="AE336" i="15" l="1"/>
  <c r="AE345" i="15" s="1"/>
  <c r="AW336" i="15"/>
  <c r="AH336" i="15" l="1"/>
  <c r="AH345" i="15" s="1"/>
  <c r="Z336" i="15"/>
  <c r="AC336" i="15"/>
  <c r="AC345" i="15" s="1"/>
  <c r="Z345" i="15" l="1"/>
  <c r="AJ11" i="25"/>
  <c r="AK11" i="25" s="1"/>
  <c r="R6" i="25"/>
  <c r="BT18" i="15"/>
  <c r="AI15" i="15"/>
  <c r="AY15" i="15" s="1"/>
  <c r="AL336" i="15"/>
  <c r="AL345" i="15" s="1"/>
  <c r="N15" i="15"/>
  <c r="AJ15" i="15"/>
  <c r="AJ336" i="15" s="1"/>
  <c r="AJ345" i="15" s="1"/>
  <c r="AZ336" i="15"/>
  <c r="AN11" i="25" l="1"/>
  <c r="AO11" i="25"/>
  <c r="DJ15" i="15"/>
  <c r="DI15" i="15"/>
  <c r="DX15" i="15"/>
  <c r="CV15" i="15"/>
  <c r="DB15" i="15" s="1"/>
  <c r="DB13" i="15" s="1"/>
  <c r="DA5" i="15" s="1"/>
  <c r="O15" i="15"/>
  <c r="S19" i="15"/>
  <c r="S336" i="15" s="1"/>
  <c r="AY336" i="15"/>
  <c r="AI336" i="15"/>
  <c r="AI345" i="15" s="1"/>
  <c r="AQ8" i="25" l="1"/>
  <c r="AR8" i="25" s="1"/>
  <c r="AJ8" i="25"/>
  <c r="AK8" i="25" s="1"/>
  <c r="AX8" i="25"/>
  <c r="BE8" i="25"/>
  <c r="S345" i="15"/>
  <c r="D6" i="25"/>
  <c r="DR15" i="15"/>
  <c r="DP15" i="15"/>
  <c r="DS15" i="15"/>
  <c r="DH2" i="17"/>
  <c r="DJ2" i="17"/>
  <c r="DY15" i="15"/>
  <c r="DI2" i="17"/>
  <c r="DQ15" i="15"/>
  <c r="CT75" i="17"/>
  <c r="CU75" i="17" s="1"/>
  <c r="CV13" i="15"/>
  <c r="CT64" i="17"/>
  <c r="CU64" i="17" s="1"/>
  <c r="CT62" i="17"/>
  <c r="CU62" i="17" s="1"/>
  <c r="CT60" i="17"/>
  <c r="CU60" i="17" s="1"/>
  <c r="CT52" i="17"/>
  <c r="CU52" i="17" s="1"/>
  <c r="CT44" i="17"/>
  <c r="CU44" i="17" s="1"/>
  <c r="CT36" i="17"/>
  <c r="CU36" i="17" s="1"/>
  <c r="CT28" i="17"/>
  <c r="CU28" i="17" s="1"/>
  <c r="CT20" i="17"/>
  <c r="CU20" i="17" s="1"/>
  <c r="CT12" i="17"/>
  <c r="CU12" i="17" s="1"/>
  <c r="CT4" i="17"/>
  <c r="CU4" i="17" s="1"/>
  <c r="CT82" i="17"/>
  <c r="CU82" i="17" s="1"/>
  <c r="CT74" i="17"/>
  <c r="CU74" i="17" s="1"/>
  <c r="CT67" i="17"/>
  <c r="CU67" i="17" s="1"/>
  <c r="CT59" i="17"/>
  <c r="CU59" i="17" s="1"/>
  <c r="CT51" i="17"/>
  <c r="CU51" i="17" s="1"/>
  <c r="CT43" i="17"/>
  <c r="CU43" i="17" s="1"/>
  <c r="CT35" i="17"/>
  <c r="CU35" i="17" s="1"/>
  <c r="CT27" i="17"/>
  <c r="CU27" i="17" s="1"/>
  <c r="CT19" i="17"/>
  <c r="CU19" i="17" s="1"/>
  <c r="CT11" i="17"/>
  <c r="CU11" i="17" s="1"/>
  <c r="CT3" i="17"/>
  <c r="CU3" i="17" s="1"/>
  <c r="CT81" i="17"/>
  <c r="CU81" i="17" s="1"/>
  <c r="CT73" i="17"/>
  <c r="CU73" i="17" s="1"/>
  <c r="CT66" i="17"/>
  <c r="CU66" i="17" s="1"/>
  <c r="CT58" i="17"/>
  <c r="CU58" i="17" s="1"/>
  <c r="CT50" i="17"/>
  <c r="CU50" i="17" s="1"/>
  <c r="CT42" i="17"/>
  <c r="CU42" i="17" s="1"/>
  <c r="CT34" i="17"/>
  <c r="CU34" i="17" s="1"/>
  <c r="CT26" i="17"/>
  <c r="CU26" i="17" s="1"/>
  <c r="CT18" i="17"/>
  <c r="CU18" i="17" s="1"/>
  <c r="CT10" i="17"/>
  <c r="CU10" i="17" s="1"/>
  <c r="CT88" i="17"/>
  <c r="CU88" i="17" s="1"/>
  <c r="CT80" i="17"/>
  <c r="CU80" i="17" s="1"/>
  <c r="CT72" i="17"/>
  <c r="CU72" i="17" s="1"/>
  <c r="CT65" i="17"/>
  <c r="CU65" i="17" s="1"/>
  <c r="CT57" i="17"/>
  <c r="CU57" i="17" s="1"/>
  <c r="CT49" i="17"/>
  <c r="CU49" i="17" s="1"/>
  <c r="CT41" i="17"/>
  <c r="CU41" i="17" s="1"/>
  <c r="CT33" i="17"/>
  <c r="CU33" i="17" s="1"/>
  <c r="CT25" i="17"/>
  <c r="CU25" i="17" s="1"/>
  <c r="CT17" i="17"/>
  <c r="CU17" i="17" s="1"/>
  <c r="CT9" i="17"/>
  <c r="CU9" i="17" s="1"/>
  <c r="CT87" i="17"/>
  <c r="CU87" i="17" s="1"/>
  <c r="CT79" i="17"/>
  <c r="CU79" i="17" s="1"/>
  <c r="CT71" i="17"/>
  <c r="CU71" i="17" s="1"/>
  <c r="CT56" i="17"/>
  <c r="CU56" i="17" s="1"/>
  <c r="CT48" i="17"/>
  <c r="CU48" i="17" s="1"/>
  <c r="CT40" i="17"/>
  <c r="CU40" i="17" s="1"/>
  <c r="CT32" i="17"/>
  <c r="CU32" i="17" s="1"/>
  <c r="CT24" i="17"/>
  <c r="CU24" i="17" s="1"/>
  <c r="CT16" i="17"/>
  <c r="CU16" i="17" s="1"/>
  <c r="CT8" i="17"/>
  <c r="CU8" i="17" s="1"/>
  <c r="CT86" i="17"/>
  <c r="CU86" i="17" s="1"/>
  <c r="CT78" i="17"/>
  <c r="CU78" i="17" s="1"/>
  <c r="CT70" i="17"/>
  <c r="CU70" i="17" s="1"/>
  <c r="CT63" i="17"/>
  <c r="CU63" i="17" s="1"/>
  <c r="CT55" i="17"/>
  <c r="CU55" i="17" s="1"/>
  <c r="CT47" i="17"/>
  <c r="CU47" i="17" s="1"/>
  <c r="CT39" i="17"/>
  <c r="CU39" i="17" s="1"/>
  <c r="CT31" i="17"/>
  <c r="CU31" i="17" s="1"/>
  <c r="CT23" i="17"/>
  <c r="CU23" i="17" s="1"/>
  <c r="CT15" i="17"/>
  <c r="CU15" i="17" s="1"/>
  <c r="CT7" i="17"/>
  <c r="CU7" i="17" s="1"/>
  <c r="CT85" i="17"/>
  <c r="CU85" i="17" s="1"/>
  <c r="CT77" i="17"/>
  <c r="CU77" i="17" s="1"/>
  <c r="CT69" i="17"/>
  <c r="CU69" i="17" s="1"/>
  <c r="CT54" i="17"/>
  <c r="CU54" i="17" s="1"/>
  <c r="CT46" i="17"/>
  <c r="CU46" i="17" s="1"/>
  <c r="CT38" i="17"/>
  <c r="CU38" i="17" s="1"/>
  <c r="CT30" i="17"/>
  <c r="CU30" i="17" s="1"/>
  <c r="CT22" i="17"/>
  <c r="CU22" i="17" s="1"/>
  <c r="CT14" i="17"/>
  <c r="CU14" i="17" s="1"/>
  <c r="CT6" i="17"/>
  <c r="CU6" i="17" s="1"/>
  <c r="CT84" i="17"/>
  <c r="CU84" i="17" s="1"/>
  <c r="CT76" i="17"/>
  <c r="CU76" i="17" s="1"/>
  <c r="CT68" i="17"/>
  <c r="CU68" i="17" s="1"/>
  <c r="CT61" i="17"/>
  <c r="CU61" i="17" s="1"/>
  <c r="CT53" i="17"/>
  <c r="CU53" i="17" s="1"/>
  <c r="CT45" i="17"/>
  <c r="CU45" i="17" s="1"/>
  <c r="CT37" i="17"/>
  <c r="CU37" i="17" s="1"/>
  <c r="CT29" i="17"/>
  <c r="CU29" i="17" s="1"/>
  <c r="CT21" i="17"/>
  <c r="CU21" i="17" s="1"/>
  <c r="CT13" i="17"/>
  <c r="CU13" i="17" s="1"/>
  <c r="CT5" i="17"/>
  <c r="CU5" i="17" s="1"/>
  <c r="CT83" i="17"/>
  <c r="CU83" i="17" s="1"/>
  <c r="O337" i="15"/>
  <c r="O339" i="15" s="1"/>
  <c r="CT2" i="17"/>
  <c r="DD15" i="15"/>
  <c r="DD13" i="15" s="1"/>
  <c r="DA6" i="15" s="1"/>
  <c r="DA9" i="15"/>
  <c r="AB355" i="15" l="1"/>
  <c r="BF8" i="25"/>
  <c r="AY8" i="25"/>
  <c r="AK13" i="25"/>
  <c r="AO8" i="25"/>
  <c r="AN8" i="25"/>
  <c r="AR13" i="25"/>
  <c r="AV8" i="25"/>
  <c r="AU8" i="25"/>
  <c r="AB359" i="15"/>
  <c r="AG359" i="15" s="1"/>
  <c r="AK359" i="15" s="1"/>
  <c r="AB357" i="15"/>
  <c r="AG357" i="15" s="1"/>
  <c r="AK357" i="15" s="1"/>
  <c r="AG355" i="15"/>
  <c r="AK355" i="15" s="1"/>
  <c r="AE355" i="15" s="1"/>
  <c r="DK2" i="17"/>
  <c r="DL2" i="17"/>
  <c r="DN2" i="17"/>
  <c r="DO2" i="17"/>
  <c r="DP2" i="17"/>
  <c r="DM2" i="17"/>
  <c r="DR2" i="17"/>
  <c r="DX2" i="17"/>
  <c r="DW2" i="17"/>
  <c r="DS2" i="17"/>
  <c r="DU2" i="17"/>
  <c r="DV2" i="17"/>
  <c r="DQ2" i="17"/>
  <c r="DT2" i="17"/>
  <c r="CU2" i="17"/>
  <c r="CY2" i="17" s="1"/>
  <c r="O338" i="15"/>
  <c r="O340" i="15"/>
  <c r="O342" i="15" s="1"/>
  <c r="AY13" i="25" l="1"/>
  <c r="BB8" i="25"/>
  <c r="BC8" i="25"/>
  <c r="AV13" i="25"/>
  <c r="AU13" i="25"/>
  <c r="AO13" i="25"/>
  <c r="AN13" i="25"/>
  <c r="BF13" i="25"/>
  <c r="BJ8" i="25"/>
  <c r="BI8" i="25"/>
  <c r="Y357" i="15"/>
  <c r="AE357" i="15"/>
  <c r="Z357" i="15"/>
  <c r="AX11" i="25" s="1"/>
  <c r="AY11" i="25" s="1"/>
  <c r="Y359" i="15"/>
  <c r="AE359" i="15"/>
  <c r="Z359" i="15"/>
  <c r="BE11" i="25" s="1"/>
  <c r="BF11" i="25" s="1"/>
  <c r="Z355" i="15"/>
  <c r="AQ11" i="25" s="1"/>
  <c r="AR11" i="25" s="1"/>
  <c r="Y355" i="15"/>
  <c r="CZ3" i="17"/>
  <c r="CY3" i="17"/>
  <c r="CZ2" i="17"/>
  <c r="O341" i="15"/>
  <c r="BJ11" i="25" l="1"/>
  <c r="BI11" i="25"/>
  <c r="AA359" i="15"/>
  <c r="AC359" i="15" s="1"/>
  <c r="AH359" i="15" s="1"/>
  <c r="AL359" i="15" s="1"/>
  <c r="AI359" i="15" s="1"/>
  <c r="BE10" i="25"/>
  <c r="BF10" i="25" s="1"/>
  <c r="BE9" i="25"/>
  <c r="BC11" i="25"/>
  <c r="BB11" i="25"/>
  <c r="AX10" i="25"/>
  <c r="AY10" i="25" s="1"/>
  <c r="AX9" i="25"/>
  <c r="BJ13" i="25"/>
  <c r="BI13" i="25"/>
  <c r="BB13" i="25"/>
  <c r="BC13" i="25"/>
  <c r="AV11" i="25"/>
  <c r="AU11" i="25"/>
  <c r="AQ10" i="25"/>
  <c r="AR10" i="25" s="1"/>
  <c r="AQ9" i="25"/>
  <c r="AA357" i="15"/>
  <c r="AC357" i="15" s="1"/>
  <c r="AH357" i="15" s="1"/>
  <c r="AA355" i="15"/>
  <c r="H6" i="25"/>
  <c r="L6" i="25"/>
  <c r="DA3" i="17"/>
  <c r="DA2" i="17"/>
  <c r="CZ4" i="17"/>
  <c r="CY4" i="17"/>
  <c r="B6" i="25"/>
  <c r="F6" i="25" s="1"/>
  <c r="O343" i="15"/>
  <c r="J6" i="25"/>
  <c r="AJ359" i="15" l="1"/>
  <c r="BF9" i="25"/>
  <c r="BJ10" i="25"/>
  <c r="BI10" i="25"/>
  <c r="AB365" i="15"/>
  <c r="AJ19" i="25"/>
  <c r="AK19" i="25" s="1"/>
  <c r="AJ6" i="25"/>
  <c r="AY9" i="25"/>
  <c r="BB10" i="25"/>
  <c r="BC10" i="25"/>
  <c r="AV10" i="25"/>
  <c r="AU10" i="25"/>
  <c r="AR9" i="25"/>
  <c r="AL357" i="15"/>
  <c r="AI357" i="15" s="1"/>
  <c r="AC355" i="15"/>
  <c r="AH355" i="15" s="1"/>
  <c r="AC362" i="15"/>
  <c r="T362" i="15"/>
  <c r="W362" i="15" s="1"/>
  <c r="U349" i="15"/>
  <c r="V342" i="15"/>
  <c r="AD342" i="15"/>
  <c r="W342" i="15"/>
  <c r="X342" i="15"/>
  <c r="AF342" i="15"/>
  <c r="U342" i="15"/>
  <c r="Q342" i="15"/>
  <c r="R342" i="15"/>
  <c r="T342" i="15"/>
  <c r="AK342" i="15"/>
  <c r="Y342" i="15"/>
  <c r="AA342" i="15"/>
  <c r="AB342" i="15"/>
  <c r="AG342" i="15"/>
  <c r="AE342" i="15"/>
  <c r="AC342" i="15"/>
  <c r="Z342" i="15"/>
  <c r="AH342" i="15"/>
  <c r="AL342" i="15"/>
  <c r="AJ342" i="15"/>
  <c r="AI342" i="15"/>
  <c r="S342" i="15"/>
  <c r="CW2" i="17"/>
  <c r="DA4" i="17"/>
  <c r="CW3" i="17"/>
  <c r="G6" i="25"/>
  <c r="V6" i="25"/>
  <c r="V9" i="25"/>
  <c r="CW6" i="15"/>
  <c r="X6" i="25"/>
  <c r="Y6" i="25" s="1"/>
  <c r="Y339" i="15"/>
  <c r="K6" i="25"/>
  <c r="E6" i="25"/>
  <c r="I6" i="25"/>
  <c r="S6" i="25"/>
  <c r="BG338" i="15"/>
  <c r="S339" i="15"/>
  <c r="Z339" i="15"/>
  <c r="AB339" i="15"/>
  <c r="W339" i="15"/>
  <c r="BJ338" i="15"/>
  <c r="AJ339" i="15"/>
  <c r="V339" i="15"/>
  <c r="BE338" i="15"/>
  <c r="AD339" i="15"/>
  <c r="AL339" i="15"/>
  <c r="BK338" i="15"/>
  <c r="R339" i="15"/>
  <c r="AC339" i="15"/>
  <c r="AH339" i="15"/>
  <c r="BF338" i="15"/>
  <c r="BM338" i="15"/>
  <c r="BH338" i="15"/>
  <c r="T339" i="15"/>
  <c r="AI339" i="15"/>
  <c r="Q339" i="15"/>
  <c r="U339" i="15"/>
  <c r="AF339" i="15"/>
  <c r="BL338" i="15"/>
  <c r="AE339" i="15"/>
  <c r="AG339" i="15"/>
  <c r="AK339" i="15"/>
  <c r="BN338" i="15"/>
  <c r="X339" i="15"/>
  <c r="M6" i="25"/>
  <c r="AD362" i="15" l="1"/>
  <c r="AB364" i="15"/>
  <c r="BE19" i="25"/>
  <c r="BF19" i="25" s="1"/>
  <c r="BI19" i="25" s="1"/>
  <c r="AJ357" i="15"/>
  <c r="AO19" i="25"/>
  <c r="AN19" i="25"/>
  <c r="BJ19" i="25"/>
  <c r="BC9" i="25"/>
  <c r="BB9" i="25"/>
  <c r="AJ24" i="25"/>
  <c r="AK24" i="25" s="1"/>
  <c r="AJ18" i="25"/>
  <c r="AK18" i="25" s="1"/>
  <c r="AK6" i="25"/>
  <c r="AL19" i="25" s="1"/>
  <c r="AJ17" i="25"/>
  <c r="AJ12" i="25"/>
  <c r="BJ9" i="25"/>
  <c r="BI9" i="25"/>
  <c r="AU9" i="25"/>
  <c r="AV9" i="25"/>
  <c r="AL355" i="15"/>
  <c r="BD355" i="15" s="1"/>
  <c r="N6" i="25"/>
  <c r="P6" i="25" s="1"/>
  <c r="T6" i="25" s="1"/>
  <c r="CW9" i="15"/>
  <c r="DC8" i="15" s="1"/>
  <c r="AX19" i="25" l="1"/>
  <c r="AY19" i="25" s="1"/>
  <c r="AL24" i="25"/>
  <c r="AO24" i="25"/>
  <c r="AN24" i="25"/>
  <c r="AK17" i="25"/>
  <c r="AJ20" i="25"/>
  <c r="AN6" i="25"/>
  <c r="AO6" i="25"/>
  <c r="AK15" i="25"/>
  <c r="AL9" i="25"/>
  <c r="AL10" i="25"/>
  <c r="AL11" i="25"/>
  <c r="AL8" i="25"/>
  <c r="AL13" i="25" s="1"/>
  <c r="AJ13" i="25"/>
  <c r="AK12" i="25"/>
  <c r="AO18" i="25"/>
  <c r="AN18" i="25"/>
  <c r="AL18" i="25"/>
  <c r="BB19" i="25"/>
  <c r="BC19" i="25"/>
  <c r="AQ19" i="25"/>
  <c r="AR19" i="25" s="1"/>
  <c r="AC363" i="15"/>
  <c r="AJ355" i="15"/>
  <c r="AI355" i="15"/>
  <c r="O6" i="25"/>
  <c r="U6" i="25"/>
  <c r="Z6" i="25"/>
  <c r="AA6" i="25" s="1"/>
  <c r="Q6" i="25"/>
  <c r="V8" i="25"/>
  <c r="V10" i="25" s="1"/>
  <c r="V11" i="25" s="1"/>
  <c r="V12" i="25" s="1"/>
  <c r="V13" i="25" s="1"/>
  <c r="DC9" i="15"/>
  <c r="DC5" i="15"/>
  <c r="DC6" i="15"/>
  <c r="DC7" i="15"/>
  <c r="W6" i="25"/>
  <c r="AC365" i="15" l="1"/>
  <c r="AC364" i="15"/>
  <c r="AL12" i="25"/>
  <c r="AN12" i="25"/>
  <c r="AO12" i="25"/>
  <c r="AJ15" i="25"/>
  <c r="AJ22" i="25"/>
  <c r="AJ26" i="25" s="1"/>
  <c r="AL15" i="25"/>
  <c r="AL17" i="25"/>
  <c r="AL20" i="25" s="1"/>
  <c r="AL22" i="25" s="1"/>
  <c r="AL26" i="25" s="1"/>
  <c r="AN17" i="25"/>
  <c r="AK20" i="25"/>
  <c r="AO17" i="25"/>
  <c r="AN15" i="25"/>
  <c r="AO15" i="25"/>
  <c r="AQ6" i="25"/>
  <c r="AD363" i="15"/>
  <c r="AE363" i="15" s="1"/>
  <c r="AV19" i="25"/>
  <c r="AU19" i="25"/>
  <c r="AH364" i="15" l="1"/>
  <c r="AD364" i="15"/>
  <c r="AX6" i="25"/>
  <c r="AD365" i="15"/>
  <c r="BE6" i="25"/>
  <c r="AO20" i="25"/>
  <c r="AN20" i="25"/>
  <c r="AK22" i="25"/>
  <c r="AQ17" i="25"/>
  <c r="AQ12" i="25"/>
  <c r="AQ18" i="25"/>
  <c r="AR18" i="25" s="1"/>
  <c r="AQ24" i="25"/>
  <c r="AR24" i="25" s="1"/>
  <c r="AR6" i="25"/>
  <c r="BE18" i="25" l="1"/>
  <c r="BF18" i="25" s="1"/>
  <c r="BE17" i="25"/>
  <c r="BE12" i="25"/>
  <c r="BE24" i="25"/>
  <c r="BF24" i="25" s="1"/>
  <c r="BF6" i="25"/>
  <c r="AX18" i="25"/>
  <c r="AY18" i="25" s="1"/>
  <c r="AY6" i="25"/>
  <c r="AX24" i="25"/>
  <c r="AY24" i="25" s="1"/>
  <c r="AX17" i="25"/>
  <c r="AX12" i="25"/>
  <c r="AK26" i="25"/>
  <c r="AN22" i="25"/>
  <c r="AO22" i="25"/>
  <c r="AV24" i="25"/>
  <c r="AU24" i="25"/>
  <c r="AS24" i="25"/>
  <c r="AS18" i="25"/>
  <c r="AV18" i="25"/>
  <c r="AU18" i="25"/>
  <c r="AR12" i="25"/>
  <c r="AQ13" i="25"/>
  <c r="AQ15" i="25" s="1"/>
  <c r="AU6" i="25"/>
  <c r="AR15" i="25"/>
  <c r="AV6" i="25"/>
  <c r="AS8" i="25"/>
  <c r="AS13" i="25" s="1"/>
  <c r="AS11" i="25"/>
  <c r="AS10" i="25"/>
  <c r="AS9" i="25"/>
  <c r="AS19" i="25"/>
  <c r="AR17" i="25"/>
  <c r="AQ20" i="25"/>
  <c r="AX13" i="25" l="1"/>
  <c r="AY12" i="25"/>
  <c r="AZ10" i="25"/>
  <c r="BC6" i="25"/>
  <c r="BB6" i="25"/>
  <c r="AZ9" i="25"/>
  <c r="AZ19" i="25"/>
  <c r="AZ11" i="25"/>
  <c r="AY15" i="25"/>
  <c r="AZ8" i="25"/>
  <c r="AZ13" i="25" s="1"/>
  <c r="AZ15" i="25" s="1"/>
  <c r="BC18" i="25"/>
  <c r="AZ18" i="25"/>
  <c r="BB18" i="25"/>
  <c r="BJ6" i="25"/>
  <c r="BG8" i="25"/>
  <c r="BG13" i="25" s="1"/>
  <c r="BG15" i="25" s="1"/>
  <c r="BG10" i="25"/>
  <c r="BG9" i="25"/>
  <c r="BF15" i="25"/>
  <c r="BG19" i="25"/>
  <c r="BI6" i="25"/>
  <c r="BG11" i="25"/>
  <c r="AY17" i="25"/>
  <c r="AX20" i="25"/>
  <c r="BI24" i="25"/>
  <c r="BJ24" i="25"/>
  <c r="BG24" i="25"/>
  <c r="BE20" i="25"/>
  <c r="BF17" i="25"/>
  <c r="BC24" i="25"/>
  <c r="BB24" i="25"/>
  <c r="AZ24" i="25"/>
  <c r="BF12" i="25"/>
  <c r="BE13" i="25"/>
  <c r="BI18" i="25"/>
  <c r="BJ18" i="25"/>
  <c r="BG18" i="25"/>
  <c r="AF362" i="15"/>
  <c r="AO26" i="25"/>
  <c r="AN26" i="25"/>
  <c r="AS15" i="25"/>
  <c r="AV12" i="25"/>
  <c r="AU12" i="25"/>
  <c r="AS12" i="25"/>
  <c r="AQ22" i="25"/>
  <c r="AQ26" i="25" s="1"/>
  <c r="AU15" i="25"/>
  <c r="AV15" i="25"/>
  <c r="AR20" i="25"/>
  <c r="AV17" i="25"/>
  <c r="AU17" i="25"/>
  <c r="AS17" i="25"/>
  <c r="AS20" i="25" s="1"/>
  <c r="AS22" i="25" s="1"/>
  <c r="AS26" i="25" s="1"/>
  <c r="BI12" i="25" l="1"/>
  <c r="BJ12" i="25"/>
  <c r="BG12" i="25"/>
  <c r="BJ17" i="25"/>
  <c r="BI17" i="25"/>
  <c r="BG17" i="25"/>
  <c r="BG20" i="25" s="1"/>
  <c r="BG22" i="25" s="1"/>
  <c r="BG26" i="25" s="1"/>
  <c r="BF20" i="25"/>
  <c r="BC15" i="25"/>
  <c r="BB15" i="25"/>
  <c r="AY20" i="25"/>
  <c r="AZ17" i="25"/>
  <c r="AZ20" i="25" s="1"/>
  <c r="AZ22" i="25" s="1"/>
  <c r="AZ26" i="25" s="1"/>
  <c r="BC17" i="25"/>
  <c r="BB17" i="25"/>
  <c r="BB12" i="25"/>
  <c r="AZ12" i="25"/>
  <c r="BC12" i="25"/>
  <c r="BI15" i="25"/>
  <c r="BJ15" i="25"/>
  <c r="BE15" i="25"/>
  <c r="BE22" i="25"/>
  <c r="BE26" i="25" s="1"/>
  <c r="AX22" i="25"/>
  <c r="AX26" i="25" s="1"/>
  <c r="AX15" i="25"/>
  <c r="AR22" i="25"/>
  <c r="AU20" i="25"/>
  <c r="AV20" i="25"/>
  <c r="BB20" i="25" l="1"/>
  <c r="AY22" i="25"/>
  <c r="BC20" i="25"/>
  <c r="BF22" i="25"/>
  <c r="BJ20" i="25"/>
  <c r="BI20" i="25"/>
  <c r="AR26" i="25"/>
  <c r="AF363" i="15" s="1"/>
  <c r="AG363" i="15" s="1"/>
  <c r="AV22" i="25"/>
  <c r="AU22" i="25"/>
  <c r="BF26" i="25" l="1"/>
  <c r="BI22" i="25"/>
  <c r="BJ22" i="25"/>
  <c r="AY26" i="25"/>
  <c r="BC22" i="25"/>
  <c r="BB22" i="25"/>
  <c r="AV26" i="25"/>
  <c r="AU26" i="25"/>
  <c r="BC26" i="25" l="1"/>
  <c r="AF364" i="15"/>
  <c r="BB26" i="25"/>
  <c r="AF365" i="15"/>
  <c r="BI26" i="25"/>
  <c r="BJ26" i="25"/>
</calcChain>
</file>

<file path=xl/sharedStrings.xml><?xml version="1.0" encoding="utf-8"?>
<sst xmlns="http://schemas.openxmlformats.org/spreadsheetml/2006/main" count="8356" uniqueCount="594">
  <si>
    <t xml:space="preserve">ITEM </t>
  </si>
  <si>
    <t>FECHA</t>
  </si>
  <si>
    <t>CNT</t>
  </si>
  <si>
    <t>MAQ</t>
  </si>
  <si>
    <t>ENSAMBLE</t>
  </si>
  <si>
    <t>OBSERVACIONES</t>
  </si>
  <si>
    <t>VR</t>
  </si>
  <si>
    <t>VR UNT</t>
  </si>
  <si>
    <t>VR TOTAL</t>
  </si>
  <si>
    <t>X</t>
  </si>
  <si>
    <t xml:space="preserve">OBSERVACIONES </t>
  </si>
  <si>
    <t xml:space="preserve">CLIENTE </t>
  </si>
  <si>
    <t>CORTE 1</t>
  </si>
  <si>
    <t>CORTE 2</t>
  </si>
  <si>
    <t>CORTE 3</t>
  </si>
  <si>
    <t>CORTE 4</t>
  </si>
  <si>
    <t>CORTE 5</t>
  </si>
  <si>
    <t xml:space="preserve">LINEA CLIENTE </t>
  </si>
  <si>
    <t>CORTE 6</t>
  </si>
  <si>
    <t xml:space="preserve">PROYECTO </t>
  </si>
  <si>
    <t>CORTE 7</t>
  </si>
  <si>
    <t xml:space="preserve">ELABORADO POR </t>
  </si>
  <si>
    <t xml:space="preserve">VALIDEZ DE OFERTA </t>
  </si>
  <si>
    <t>CORTE 8</t>
  </si>
  <si>
    <t>CORTE 9</t>
  </si>
  <si>
    <t xml:space="preserve">UBICACIÓN </t>
  </si>
  <si>
    <t>CORTE 10</t>
  </si>
  <si>
    <t xml:space="preserve">SISTEMA </t>
  </si>
  <si>
    <t xml:space="preserve">CRISTAL </t>
  </si>
  <si>
    <t>UTILIDAD</t>
  </si>
  <si>
    <t xml:space="preserve">ACABADO ALUMINIO </t>
  </si>
  <si>
    <t xml:space="preserve">PERFILES </t>
  </si>
  <si>
    <t>N.A</t>
  </si>
  <si>
    <t>CRISTAL</t>
  </si>
  <si>
    <t xml:space="preserve">ALUMINIO </t>
  </si>
  <si>
    <t xml:space="preserve">CERRADURA </t>
  </si>
  <si>
    <t>BACKOFFICE</t>
  </si>
  <si>
    <t>M.O</t>
  </si>
  <si>
    <t>COSTOS DIRECTOS</t>
  </si>
  <si>
    <t xml:space="preserve">TOTAL ESTRUCTURAS COTIZADAS </t>
  </si>
  <si>
    <t xml:space="preserve">ADMINISTRACION 4% </t>
  </si>
  <si>
    <t xml:space="preserve">TOTAL M2 COTIZADOS </t>
  </si>
  <si>
    <t xml:space="preserve">IMPREVISTOS 1 % </t>
  </si>
  <si>
    <t>LOS VALORES UNITARIOS YA INCLUYEN AIU E IVA SOBRE UTILIDAD</t>
  </si>
  <si>
    <t xml:space="preserve">UTILIDAD 5% </t>
  </si>
  <si>
    <t xml:space="preserve">SUB TOTAL </t>
  </si>
  <si>
    <t xml:space="preserve">ING. ANDRES CANDELA </t>
  </si>
  <si>
    <t xml:space="preserve">IVA 19% SOBRE UTILIDAD </t>
  </si>
  <si>
    <t xml:space="preserve">VALOR TOTAL </t>
  </si>
  <si>
    <t xml:space="preserve">PUERTA CORREDIZA LINEA PREMIUM TIPO EUROPEO SISTEMA VENECIA SERIE 70 </t>
  </si>
  <si>
    <t xml:space="preserve">COMPOSICION LAMINADO CRUDO 4 MM INC + PVB 0,38 MM INC + 4 MM INC </t>
  </si>
  <si>
    <t xml:space="preserve">VENTANA CORREDIZA LINEA PREMIUM TIPO EUROPEO SISTEMA VENECIA SERIE 50 </t>
  </si>
  <si>
    <t>PUERTA CORREDIZA LINEA PREMIUM TIPO EUROPEO SISTEMA VENECIA SERIE 70 TIPO POKET</t>
  </si>
  <si>
    <t>COMPOSICION CONTROL SOLAR QUALITY GLASS PREMIUM LAMINADO CRUDO 4 MM INC + PVB 0,38 MM INC + 4 MM CL167</t>
  </si>
  <si>
    <t xml:space="preserve">CUERPO PROYECTANTE LINEA PREMIUM TIPO EUROPEO SISTEMA VENECIA SERIE 40 </t>
  </si>
  <si>
    <t>DIVISIONES DE BAÑO CON ACCESORIOS EN ACERO INOXIDABLE</t>
  </si>
  <si>
    <t xml:space="preserve">COMPOSICION MONOLITICO TEMPLADO 8 MM INC </t>
  </si>
  <si>
    <t xml:space="preserve">COMPOSICION MONOLITICO TEMPLADO 10 MM INC </t>
  </si>
  <si>
    <t xml:space="preserve">SISTEMAS </t>
  </si>
  <si>
    <t xml:space="preserve">CERRADURAS </t>
  </si>
  <si>
    <t xml:space="preserve">CRISTALES </t>
  </si>
  <si>
    <t xml:space="preserve">FORMA DE PAGO </t>
  </si>
  <si>
    <t xml:space="preserve">CIERRE EMBUTIDO DE IMPACTO AUTOMATICO </t>
  </si>
  <si>
    <t>PROFESIONALES</t>
  </si>
  <si>
    <t xml:space="preserve">CREDITO </t>
  </si>
  <si>
    <t xml:space="preserve">COMPOSICION LAMINADO CRUDO 5 MM INC + PVB 0,38 MM INC + 5 MM INC </t>
  </si>
  <si>
    <t xml:space="preserve">CLIENTE FINAL </t>
  </si>
  <si>
    <t>ACORDADA</t>
  </si>
  <si>
    <t xml:space="preserve">PUERTA CORREDIZA LINEA PREMIUM TIPO EUROPEO SISTEMA VENECIA SERIE 100 </t>
  </si>
  <si>
    <t xml:space="preserve">CUERPO FIJO LINEA PREMIUM TIPO EUROPEO SISTEMA VENECIA SERIE 40 </t>
  </si>
  <si>
    <t>MANIJA CREMONA ITALIANA</t>
  </si>
  <si>
    <t xml:space="preserve">PUERTA BATIENTE LINEA PREMIUM TIPO EUROPEO SISTEMA VENECIA SERIE 40 </t>
  </si>
  <si>
    <t xml:space="preserve">MANIJA DOBLE CONFORT </t>
  </si>
  <si>
    <t>COMPOSICION CONTROL SOLAR QUALITY GLASS PREMIUM LAMINADO CRUDO 4 MM INC + PVB 0,38 MM INC + 4 MM CL120</t>
  </si>
  <si>
    <t xml:space="preserve">VENTANA CORREDIZA LINEA CLASSIC  SISTEMA PRIMAVERA SERIE SG 3  </t>
  </si>
  <si>
    <t>COMPOSICION CONTROL SOLAR QUALITY GLASS PREMIUM LAMINADO CRUDO 4 MM INC + PVB 0,38 MM INC + 4 MM CL150</t>
  </si>
  <si>
    <t xml:space="preserve">PUERTA CORREDIZA LINEA CLASSIC  SISTEMA PRIMAVERA SERIE SG 5  </t>
  </si>
  <si>
    <t xml:space="preserve">COMPOSICION CONTROL SOLAR QUALITY GLASS CLASSIC LAMINADO CRUDO 4 MM INC + PVB 0,38 MM INC + 4 MM GREEN </t>
  </si>
  <si>
    <t xml:space="preserve">PUERTA CORREDIZA LINEA CLASSIC  SISTEMA PRIMAVERA SERIE SG 8  </t>
  </si>
  <si>
    <t>COMPOSICION CONTROL SOLAR QUALITY GLASS CLASSIC LAMINADO CRUDO 4 MM INC + PVB 0,38 MM INC + 4 MM BLUE</t>
  </si>
  <si>
    <t>COMPOSICION CONTROL SOLAR QUALITY GLASS CLASSIC LAMINADO CRUDO 4 MM INC + PVB 0,38 MM INC + 4 MM BRONZE</t>
  </si>
  <si>
    <t xml:space="preserve">FACHADA FLOTANTE LINEA STICK SISTEMA S&amp;G45 PIEL DE VIDRIO </t>
  </si>
  <si>
    <t xml:space="preserve">FACHADA ENTRE PLACAS LINEA STICK SISTEMA S&amp;G45 PIEL DE VIDRIO </t>
  </si>
  <si>
    <t xml:space="preserve">COMPOSICION MONOLITICO TEMPLADO 6 MM INC </t>
  </si>
  <si>
    <t xml:space="preserve">COMPOSICION MONOLITICO TEMPLADO 4 MM INC </t>
  </si>
  <si>
    <t>CUERPO PROYECTANTE LINEA CLASSIC SISTEMA PRIMAVERA SERIE SG 4</t>
  </si>
  <si>
    <t>MANIJA LUJO BASIC</t>
  </si>
  <si>
    <t xml:space="preserve">COMPOSICION MONOLITICO CRUDO 6 MM INC </t>
  </si>
  <si>
    <t>PUERTA BATIENTE LINEA CLASSIC SISTEMA PRIMAVERA SERIE SG 4</t>
  </si>
  <si>
    <t xml:space="preserve">COMPOSICION MONOLITICO CRUDO 4 MM INC </t>
  </si>
  <si>
    <t xml:space="preserve">CUERPO FIJO LINEA CLASSIC SISTEMA PRIMAVERA SERIE      SG 3  </t>
  </si>
  <si>
    <t>COMPOSICION MONOLITICO CRUDO 4 MM MINI BOREAL</t>
  </si>
  <si>
    <t xml:space="preserve">SISTEMA REJILLA </t>
  </si>
  <si>
    <t>ACCE</t>
  </si>
  <si>
    <t xml:space="preserve">COSTO MATERIA PRIMA </t>
  </si>
  <si>
    <t>% DESP ALU</t>
  </si>
  <si>
    <t>EMPQ</t>
  </si>
  <si>
    <t>TRANS</t>
  </si>
  <si>
    <t xml:space="preserve">COSTO LOGISTICO </t>
  </si>
  <si>
    <t>IMPREV</t>
  </si>
  <si>
    <t xml:space="preserve">COSTO ADM </t>
  </si>
  <si>
    <t xml:space="preserve">PRECIO VENTA </t>
  </si>
  <si>
    <t xml:space="preserve">VENTA </t>
  </si>
  <si>
    <t>INSTA</t>
  </si>
  <si>
    <t>CENTRO DE COSTOS UNT</t>
  </si>
  <si>
    <t>CENTRO DE COSTOS TOTALES</t>
  </si>
  <si>
    <t>V1</t>
  </si>
  <si>
    <t>V2</t>
  </si>
  <si>
    <t>V3</t>
  </si>
  <si>
    <t>V4</t>
  </si>
  <si>
    <t>V5</t>
  </si>
  <si>
    <t>V6</t>
  </si>
  <si>
    <t>V7</t>
  </si>
  <si>
    <t>V8</t>
  </si>
  <si>
    <t>V9</t>
  </si>
  <si>
    <t>V10</t>
  </si>
  <si>
    <t>V11</t>
  </si>
  <si>
    <t>V12</t>
  </si>
  <si>
    <t>V13</t>
  </si>
  <si>
    <t>V14</t>
  </si>
  <si>
    <t xml:space="preserve">FECHA INICIO </t>
  </si>
  <si>
    <t>COSTO VENTA</t>
  </si>
  <si>
    <t xml:space="preserve">COMPOSICION MONOLITICO TEMPLADO 5 MM INC </t>
  </si>
  <si>
    <t>FACHADA FLOTANTE LINEA STICK SISTEMA SG45 TAPA Y PISAVIDRIO</t>
  </si>
  <si>
    <t xml:space="preserve">VR SILICONA </t>
  </si>
  <si>
    <t xml:space="preserve">INSUMOS VARIOS </t>
  </si>
  <si>
    <t xml:space="preserve">CNT TUBOS </t>
  </si>
  <si>
    <t xml:space="preserve">M2 CINTA </t>
  </si>
  <si>
    <t>ML EMBALAJE</t>
  </si>
  <si>
    <t xml:space="preserve">PESO KG </t>
  </si>
  <si>
    <t>ESTRUCTURA</t>
  </si>
  <si>
    <t>TRANSPORTE</t>
  </si>
  <si>
    <t>ESP. CRISTAL</t>
  </si>
  <si>
    <t>VR TRANSP</t>
  </si>
  <si>
    <t>TOTAL</t>
  </si>
  <si>
    <t>CALI</t>
  </si>
  <si>
    <t xml:space="preserve">CNT TON </t>
  </si>
  <si>
    <t>BGA</t>
  </si>
  <si>
    <t>BTA</t>
  </si>
  <si>
    <t>CNT VIAJES</t>
  </si>
  <si>
    <t>CIUDAD</t>
  </si>
  <si>
    <t xml:space="preserve">PARTICIPA </t>
  </si>
  <si>
    <t xml:space="preserve">VR SALARIO </t>
  </si>
  <si>
    <t xml:space="preserve">VR DIA </t>
  </si>
  <si>
    <t>VR ACTIVIDAD</t>
  </si>
  <si>
    <t xml:space="preserve">FECHA FIN </t>
  </si>
  <si>
    <t>MONTAJE</t>
  </si>
  <si>
    <t xml:space="preserve">VR PRESTACIONES </t>
  </si>
  <si>
    <t xml:space="preserve">% CARGA </t>
  </si>
  <si>
    <t xml:space="preserve">VR BACK </t>
  </si>
  <si>
    <t>VR BACK/M2</t>
  </si>
  <si>
    <t>COSTA</t>
  </si>
  <si>
    <t xml:space="preserve">SISO </t>
  </si>
  <si>
    <t xml:space="preserve">VIATICOS </t>
  </si>
  <si>
    <t>VR HAB</t>
  </si>
  <si>
    <t>VR TOTAL HAB</t>
  </si>
  <si>
    <t xml:space="preserve">CIUDAD </t>
  </si>
  <si>
    <t>VR IDA Y VUELTA</t>
  </si>
  <si>
    <t>Nº RETORNOS</t>
  </si>
  <si>
    <t xml:space="preserve">VR TOTAL </t>
  </si>
  <si>
    <t xml:space="preserve">VR VIATICOS </t>
  </si>
  <si>
    <t>VR VIATICOS M2</t>
  </si>
  <si>
    <t>VIATICOS INTERMUNICIPALES</t>
  </si>
  <si>
    <t xml:space="preserve">UNIDAD DE NEGOCIO </t>
  </si>
  <si>
    <t>BENEFICIO</t>
  </si>
  <si>
    <t>PUERTA CORREDIZA LINEA CLASSIC SISTEMA 8025</t>
  </si>
  <si>
    <t>CUERPO PROYECTANTE LINEA CLASSIC SISTEMA 3831</t>
  </si>
  <si>
    <t>CUERPO FIJO LINEA CLASSIC SISTEMA 3831</t>
  </si>
  <si>
    <t>CEO</t>
  </si>
  <si>
    <t>BACKOFFICE OPERATIVO</t>
  </si>
  <si>
    <t xml:space="preserve">Nº PERSONAS </t>
  </si>
  <si>
    <t>M2</t>
  </si>
  <si>
    <t xml:space="preserve">VR BACK ADM </t>
  </si>
  <si>
    <t xml:space="preserve">DESCRIPCIÓN </t>
  </si>
  <si>
    <t xml:space="preserve">CONFIGURACIÓN </t>
  </si>
  <si>
    <t>CUERPO FIJO LINEA CLASSIC SISTEMA PRIMAVERA SERIE SG 4</t>
  </si>
  <si>
    <t>UNA CARA</t>
  </si>
  <si>
    <t>DOS CARAS</t>
  </si>
  <si>
    <t>CINTA DE PROTECCIÓN</t>
  </si>
  <si>
    <t xml:space="preserve">VR PELÍCULA </t>
  </si>
  <si>
    <t xml:space="preserve">PELÍCULA PROTECCIÓN </t>
  </si>
  <si>
    <t>DURACIÓN PRODUCCIÓN</t>
  </si>
  <si>
    <t>DURACIÓN MONTAJE</t>
  </si>
  <si>
    <t xml:space="preserve">DURACIÓN TOTAL </t>
  </si>
  <si>
    <t>OCUPACIÓN DIAS</t>
  </si>
  <si>
    <t xml:space="preserve">VR DÍA ALIMENTACIÓN </t>
  </si>
  <si>
    <t xml:space="preserve">VR DÍA </t>
  </si>
  <si>
    <t xml:space="preserve">Nº DÍAS </t>
  </si>
  <si>
    <t>VR TOTAL ALIMENTACIÓN</t>
  </si>
  <si>
    <t xml:space="preserve">Nº MÓDULOS </t>
  </si>
  <si>
    <t xml:space="preserve">COMISIÓN </t>
  </si>
  <si>
    <t xml:space="preserve">COSTO LOGÍSTICO </t>
  </si>
  <si>
    <t>UBICACIÓN</t>
  </si>
  <si>
    <t>ÍTEM</t>
  </si>
  <si>
    <t xml:space="preserve">FECHA ELABORACIÓN </t>
  </si>
  <si>
    <t>&gt;1000</t>
  </si>
  <si>
    <t>PROTECCIÓN</t>
  </si>
  <si>
    <t>PUERTA CORREDIZA CON ACCESIORIOS INOX</t>
  </si>
  <si>
    <t>MANIJA INOX</t>
  </si>
  <si>
    <t xml:space="preserve">COMPOSICION MONOLITICO CRUDO 5 MM INC </t>
  </si>
  <si>
    <t>CUERPO FIJO CON ACCESORIOS INOX</t>
  </si>
  <si>
    <t>PUERTA BATIENTE CON ACCESORIOS INOX</t>
  </si>
  <si>
    <t>PUERTA DOBLE BATIENTE CON ACCESORIOS INOX</t>
  </si>
  <si>
    <t>SI</t>
  </si>
  <si>
    <t>NO</t>
  </si>
  <si>
    <t>SANDBLASTING</t>
  </si>
  <si>
    <t>ALFAJÍA</t>
  </si>
  <si>
    <t>VIS</t>
  </si>
  <si>
    <t>ELABORADO</t>
  </si>
  <si>
    <t>VIDRIO M2</t>
  </si>
  <si>
    <t>SISTEMA M2</t>
  </si>
  <si>
    <t>N.A.</t>
  </si>
  <si>
    <t>NO INCLUYE ALFAJIA</t>
  </si>
  <si>
    <t>MARCO EN SG47</t>
  </si>
  <si>
    <t>MARCO EN SG58</t>
  </si>
  <si>
    <t>INCLUYE  ENGANCHES MIXTOS</t>
  </si>
  <si>
    <t>INCLUYE ENGANCHES SENCILLOS</t>
  </si>
  <si>
    <t>INCLUYE ENGANCHES TOTALMENTE REFORZADOS</t>
  </si>
  <si>
    <t>VERTICOS 636 Y 688</t>
  </si>
  <si>
    <t>VERTICOS 688 Y 1860</t>
  </si>
  <si>
    <t>SISTEMA DESLIZANTE</t>
  </si>
  <si>
    <t>SISTEMA BATIENTE</t>
  </si>
  <si>
    <t>INCLUYE TUBULAR SGT-101-103-117</t>
  </si>
  <si>
    <t>INCLUYE DIVISORES</t>
  </si>
  <si>
    <t>NO INCLUYE TUBO SUPERIOR</t>
  </si>
  <si>
    <t>CON PERSIANA SGB0315</t>
  </si>
  <si>
    <t>FACHADA FLOTANTE LINEA STICK SISTEMA SG101</t>
  </si>
  <si>
    <t>FACHADA FLOTANTE LINEA STICK SISTEMA SG103</t>
  </si>
  <si>
    <t>PUERTA BATIENTE LINEA CLASSIC SISTEMA SERIE SG 3890</t>
  </si>
  <si>
    <t>SISTEMA DE BARANDA EMBEBIDA, SE REQUIERE BOLSILLO CON PROFUNDIDAD MINIMA DE 15 CM, NO INCLUYE FIJACIÓN, SE ENTREGA INSTALADO Y LISTO PARA FIJAR, NO INCLUYE TUBO SUPERIOR</t>
  </si>
  <si>
    <t>Ventanas y Puertas Corredizas</t>
  </si>
  <si>
    <t>Ventaneria</t>
  </si>
  <si>
    <t>Concepto</t>
  </si>
  <si>
    <t>SISTEMA</t>
  </si>
  <si>
    <t>Incluye: Lucetas, alfajias, tubulares, cristal, armada de marcos, recibidores y/o seguros.</t>
  </si>
  <si>
    <t>Ventanas Proyectantes</t>
  </si>
  <si>
    <t>Sistemas combinados de naves y fijos, Incluye cuadre de accesorios.</t>
  </si>
  <si>
    <t>Ventanas Fijas</t>
  </si>
  <si>
    <t>Incluye: Lucetas, alfajias, tubulares, cristal, armada de marcos, recibidores y/o seguros. Hasta 3 m2</t>
  </si>
  <si>
    <t>ANGEO</t>
  </si>
  <si>
    <t>DIVISIONES DE BAÑO</t>
  </si>
  <si>
    <t>Sistemas de lujo (cristal templado y accesorios), Corredizos y Embisagrados INOX</t>
  </si>
  <si>
    <t>PUERTAS CORREDIZAS</t>
  </si>
  <si>
    <t>Puertas con marco de aluminio, no corredizas</t>
  </si>
  <si>
    <t>Sistemas colgante, plegable, embisagrada y pivotantes</t>
  </si>
  <si>
    <t>PASAMANOS</t>
  </si>
  <si>
    <t>incluye vidrio o barandillas, epoxico y anclajes)</t>
  </si>
  <si>
    <t>SISTEMAS CON ACCESORIOS EN ACERO INOX</t>
  </si>
  <si>
    <t>Incluye Cristal Templado, Zócalo, Accesorios, bisagras hidraulicas, pivotes, manijas, cerraduras, cajas y todo elemento que lleve Hasta cristal de 10mm</t>
  </si>
  <si>
    <t>FACHADAS</t>
  </si>
  <si>
    <t>con siliconas en las juntas obligatorio, (Incluye: Tapas sellos totales, silicona perimetral y en uniones, anclajes, chazos expansivos, tornos, basculantes o cualquier apertura o ventilació, rejillas, niveles, plomos, cortafuego estándar con lata inferior, lana, tubo adicional, con chapeta deslizable.</t>
  </si>
  <si>
    <t>con horizontales y verticales a la vista, silicona perimetral y en uniones, anclajes, chazos expansivos, tornos, basculantes o cualquier apertura o ventilación, rejillas, niveles, plomos, cortafuego estándar con lata inferior, lana, tubo adicional, con chapeta deslizable.</t>
  </si>
  <si>
    <t>Intalación (m2)</t>
  </si>
  <si>
    <t>Ensamble (2h)</t>
  </si>
  <si>
    <t>Ensamble (3h)</t>
  </si>
  <si>
    <t>Ensamble (4h)</t>
  </si>
  <si>
    <t>Hoja Adic</t>
  </si>
  <si>
    <t>Ensamble (m2)</t>
  </si>
  <si>
    <t>FACHADA</t>
  </si>
  <si>
    <t>2HOJAS</t>
  </si>
  <si>
    <t>3HOJAS</t>
  </si>
  <si>
    <t>4HOJAS</t>
  </si>
  <si>
    <t>HOJA ADIC</t>
  </si>
  <si>
    <t>VR M2</t>
  </si>
  <si>
    <t>CIUDADES</t>
  </si>
  <si>
    <t xml:space="preserve">EMBALAJE </t>
  </si>
  <si>
    <t xml:space="preserve">SILICONA </t>
  </si>
  <si>
    <t xml:space="preserve">PELICULA PROTECCION </t>
  </si>
  <si>
    <t xml:space="preserve">TRANSPORTE </t>
  </si>
  <si>
    <t xml:space="preserve">CARTON </t>
  </si>
  <si>
    <t>PROVEEDOR</t>
  </si>
  <si>
    <t>PELEX</t>
  </si>
  <si>
    <t xml:space="preserve">VR ML </t>
  </si>
  <si>
    <t xml:space="preserve">FACTOR CONVERSION </t>
  </si>
  <si>
    <t xml:space="preserve">ML TUBO </t>
  </si>
  <si>
    <t xml:space="preserve">VR TUBO SILICONA </t>
  </si>
  <si>
    <t>VR SILICONA ML</t>
  </si>
  <si>
    <t>VR ML X VEN</t>
  </si>
  <si>
    <t>ANCHO M</t>
  </si>
  <si>
    <t>ALTO M</t>
  </si>
  <si>
    <t>AREA M2</t>
  </si>
  <si>
    <t>VR ROLLO</t>
  </si>
  <si>
    <t xml:space="preserve">VR VIAJE </t>
  </si>
  <si>
    <t>CAPACIDAD CARGA KG</t>
  </si>
  <si>
    <t>% DE CARGA</t>
  </si>
  <si>
    <t xml:space="preserve">VR KG </t>
  </si>
  <si>
    <t xml:space="preserve">RUBRO </t>
  </si>
  <si>
    <t xml:space="preserve">VR DIA ALIMENTACION </t>
  </si>
  <si>
    <t>VR TIRA</t>
  </si>
  <si>
    <t>CUCUTA</t>
  </si>
  <si>
    <t>LUCETA</t>
  </si>
  <si>
    <t>VR EMBALAJE</t>
  </si>
  <si>
    <t>ADICIÓN "OPC"</t>
  </si>
  <si>
    <t>TRANSPORTES INTERMUNICIPALES</t>
  </si>
  <si>
    <t>MATERIALES Y EQUIPOS</t>
  </si>
  <si>
    <t>VR HAB, MOVILIZACION</t>
  </si>
  <si>
    <t>Extraido del formato equipos</t>
  </si>
  <si>
    <t>VR MAT Y EQU M2</t>
  </si>
  <si>
    <t>AREA</t>
  </si>
  <si>
    <t xml:space="preserve">VENTANA CORREDIZA LINEA PREMIUM TIPO EUROPEO SISTEMA VENECIA SERIE 70 </t>
  </si>
  <si>
    <t xml:space="preserve">VENTANA CORREDIZA LINEA CLASSIC  SISTEMA PRIMAVERA SERIE SG 5  </t>
  </si>
  <si>
    <t>SISTEMA DESLIZANTE TWIN DN</t>
  </si>
  <si>
    <t>SISTEMA APILABLE SIGMA</t>
  </si>
  <si>
    <t>SISTEMA PLEGABLE TAURO</t>
  </si>
  <si>
    <t>CIERRADURA TWIN DN</t>
  </si>
  <si>
    <t>SISTEMA SG CLARABOYA</t>
  </si>
  <si>
    <t>gr</t>
  </si>
  <si>
    <t>cm3</t>
  </si>
  <si>
    <t>medidas del perfil F Para 1m</t>
  </si>
  <si>
    <t>CUÑETE</t>
  </si>
  <si>
    <t>gr/cm3</t>
  </si>
  <si>
    <t>RENDIMIENTO SIKA FORCE</t>
  </si>
  <si>
    <t>valor por mL de pasamanos</t>
  </si>
  <si>
    <t xml:space="preserve">VENTANA CORREDIZA LINEA PREMIUM TIPO EUROPEO SISTEMA VENECIA SERIE 100 </t>
  </si>
  <si>
    <t>FPP 002</t>
  </si>
  <si>
    <t xml:space="preserve">PROPUESTA ECONOMICA </t>
  </si>
  <si>
    <t>CODIGO</t>
  </si>
  <si>
    <t>VERSION</t>
  </si>
  <si>
    <t xml:space="preserve">ELABORO </t>
  </si>
  <si>
    <t>APROBO</t>
  </si>
  <si>
    <t>5 DIAS C</t>
  </si>
  <si>
    <t xml:space="preserve">ING ANDRES C. </t>
  </si>
  <si>
    <t xml:space="preserve">CUERPO PROYECTANTE LINEA PREMIUM EUROPEO SISTEMA LSA 0932 </t>
  </si>
  <si>
    <t>VENTANA CORREDIZA LINEA PREMIUM EUROPEO SISTEMA LSA 9060</t>
  </si>
  <si>
    <t>PUERTA CORREDIZA LINEA PREMIUM EUROPEO SISTEMA LSA 9052</t>
  </si>
  <si>
    <t xml:space="preserve">CUERPO FIJO LINEA PREMIUM EUROPEO SISTEMA LSA 0932 </t>
  </si>
  <si>
    <t xml:space="preserve">CERRADURA MONO-PUNTO </t>
  </si>
  <si>
    <t xml:space="preserve">CERRADURA MULTI-PUNTO </t>
  </si>
  <si>
    <t xml:space="preserve">P&amp;G </t>
  </si>
  <si>
    <t>INGRESOS</t>
  </si>
  <si>
    <t>%</t>
  </si>
  <si>
    <t>COSTO</t>
  </si>
  <si>
    <t>UTILIDAD B</t>
  </si>
  <si>
    <t>GASTOS V</t>
  </si>
  <si>
    <t xml:space="preserve">GASTOS ADM </t>
  </si>
  <si>
    <t>GASTOS TOTALES</t>
  </si>
  <si>
    <t>UTILIDAD A.IMP</t>
  </si>
  <si>
    <t xml:space="preserve">DEPRECIACION </t>
  </si>
  <si>
    <t>EBITDA</t>
  </si>
  <si>
    <t>IMPUESTOS</t>
  </si>
  <si>
    <t>GASTOS FINANCIEROS</t>
  </si>
  <si>
    <t xml:space="preserve">UTILIDAD NETA </t>
  </si>
  <si>
    <t xml:space="preserve">ANTICIPO 60% </t>
  </si>
  <si>
    <t xml:space="preserve">SILVER </t>
  </si>
  <si>
    <t>BRONZE</t>
  </si>
  <si>
    <t>GOLD</t>
  </si>
  <si>
    <t>PLATINUM</t>
  </si>
  <si>
    <t>CUSTOM</t>
  </si>
  <si>
    <t>CONFORT</t>
  </si>
  <si>
    <t>F.LISTA ALUMINIO</t>
  </si>
  <si>
    <t>%DIF LISTA ACTUAL</t>
  </si>
  <si>
    <t>F.LISTA ACC</t>
  </si>
  <si>
    <t>%LISTA ACTUAL</t>
  </si>
  <si>
    <t>F.LISTA VIDRIOS</t>
  </si>
  <si>
    <t>VENTANA CORREDIZA LINEA TRADICIONAL SISTEMA SG 5020</t>
  </si>
  <si>
    <t>CERRADURA TIPO DUMMY</t>
  </si>
  <si>
    <t>PUERTA CORREDIZA LINEA TRADICIONAL SISTEMA  SG 744</t>
  </si>
  <si>
    <t>VENTANA CORREDIZA LINEA TRADICIONAL SISTEMA SG 744</t>
  </si>
  <si>
    <t>VENTANA CORREDIZA LINEA TRADICIONAL SISTEMA SG 8025</t>
  </si>
  <si>
    <t>PUERTA CORREDIZA LINEA TRADICIONAL SISTEMA  SG 8025</t>
  </si>
  <si>
    <t>PUERTA CORREDIZA LINEA TRADICIONAL SISTEMA  SG 7038</t>
  </si>
  <si>
    <t>CUERPO FIJO LINEA TRADICIONAL SISTEMA SG 3831</t>
  </si>
  <si>
    <t>CUERPO PROYECTANTE LINEA TRADICIONAL SISTEMA SG 3831</t>
  </si>
  <si>
    <t>MANIJA VIRAGE</t>
  </si>
  <si>
    <t>CUERPO FIJO TUBULAR SG</t>
  </si>
  <si>
    <t>RUITOQUE</t>
  </si>
  <si>
    <t>RUITOQ BAJO</t>
  </si>
  <si>
    <t>F/BLANCA</t>
  </si>
  <si>
    <t>P/CUESTA</t>
  </si>
  <si>
    <t>VALOR KILO ALUMINIO</t>
  </si>
  <si>
    <t xml:space="preserve">CUERPO BATIENTE LINEA PREMIUM TIPO EUROPEO SISTEMA VENECIA SERIE 40 </t>
  </si>
  <si>
    <t>CUERPO BATIENTE LINEA CLASSIC SISTEMA PRIMAVERA SERIE SG 4</t>
  </si>
  <si>
    <t xml:space="preserve">PUERTA DOBLE BATIENTE LINEA PREMIUM TIPO EUROPEO SISTEMA VENECIA SERIE 40 </t>
  </si>
  <si>
    <t>PUERTA DOBLE BATIENTE LINEA CLASSIC SISTEMA SERIE SG 3890</t>
  </si>
  <si>
    <t>IMPREVISTOS</t>
  </si>
  <si>
    <t>DIVERSOS (PUBLICIDAD Y MERCADEO</t>
  </si>
  <si>
    <t xml:space="preserve">GASTOS DE VENTA </t>
  </si>
  <si>
    <t xml:space="preserve">VR MES </t>
  </si>
  <si>
    <t xml:space="preserve">VR ANUAL </t>
  </si>
  <si>
    <t>% PESO PP</t>
  </si>
  <si>
    <t>COSTOS INDIRECTOS</t>
  </si>
  <si>
    <t>RUBRO</t>
  </si>
  <si>
    <t>FLETES, TRANSPORTE Y ACARREOS</t>
  </si>
  <si>
    <t>UTENSILIOS SST</t>
  </si>
  <si>
    <t xml:space="preserve">COTIZACION </t>
  </si>
  <si>
    <t xml:space="preserve">EMPAQUE Y CINTA PROTECCION </t>
  </si>
  <si>
    <t xml:space="preserve">INDUSTRIA Y COMERCIO </t>
  </si>
  <si>
    <t xml:space="preserve">CAMARA DE COMERCIO </t>
  </si>
  <si>
    <t>LISTA PRECIOS</t>
  </si>
  <si>
    <t>PYG</t>
  </si>
  <si>
    <t>VIATICOS</t>
  </si>
  <si>
    <t>VENTA SIN PYG</t>
  </si>
  <si>
    <t>VENTA FINAL</t>
  </si>
  <si>
    <t xml:space="preserve">VENTA FINAL </t>
  </si>
  <si>
    <t>TOTAL M.O</t>
  </si>
  <si>
    <t>IMPREV PYG</t>
  </si>
  <si>
    <t>BENEFICIO PYG</t>
  </si>
  <si>
    <t>REVISAR POLITICAS DE VENTA / INICIO DE MONTAJE / POSTVENTA</t>
  </si>
  <si>
    <t xml:space="preserve">SE COMPARA CON COTIZACION </t>
  </si>
  <si>
    <t>TOTAL MINIMO</t>
  </si>
  <si>
    <t>HONORARIOS ENSAMBLE</t>
  </si>
  <si>
    <t>HONORARIOS INSTALACION</t>
  </si>
  <si>
    <t>ENSAM PYG</t>
  </si>
  <si>
    <t>INST PYG</t>
  </si>
  <si>
    <t>TOTAL M.O PYG</t>
  </si>
  <si>
    <t>AL</t>
  </si>
  <si>
    <t>AN</t>
  </si>
  <si>
    <t>TIEMPOS TEORICOS</t>
  </si>
  <si>
    <t>TIEMPOS PYG</t>
  </si>
  <si>
    <t>PL</t>
  </si>
  <si>
    <t>PRO</t>
  </si>
  <si>
    <t>DESP</t>
  </si>
  <si>
    <t>MT</t>
  </si>
  <si>
    <t>ENT</t>
  </si>
  <si>
    <t xml:space="preserve">PROCESO EJECUCION </t>
  </si>
  <si>
    <t>OR</t>
  </si>
  <si>
    <t>AD</t>
  </si>
  <si>
    <t>MD</t>
  </si>
  <si>
    <t>EL</t>
  </si>
  <si>
    <t>ADICIONALES</t>
  </si>
  <si>
    <t>PTE X LIQUIDAR</t>
  </si>
  <si>
    <t>LIQUIDADO</t>
  </si>
  <si>
    <t xml:space="preserve">RESUMEN </t>
  </si>
  <si>
    <t xml:space="preserve">VR CONTRATO </t>
  </si>
  <si>
    <t xml:space="preserve">VR MODIFICACIONES </t>
  </si>
  <si>
    <t xml:space="preserve">VR ADICIONALES </t>
  </si>
  <si>
    <t xml:space="preserve">VR FINAL </t>
  </si>
  <si>
    <t xml:space="preserve">VR EJECUTADO </t>
  </si>
  <si>
    <t xml:space="preserve">VR PTE EJECUCION </t>
  </si>
  <si>
    <t xml:space="preserve">VR PAGADO </t>
  </si>
  <si>
    <t xml:space="preserve">VR PTE PAGO </t>
  </si>
  <si>
    <t xml:space="preserve">SISTEMA PERGOLA SG </t>
  </si>
  <si>
    <t>BARANDA DE APLIQUE CON ACCESORIOS INOX SIN TUBO SUPERIOR</t>
  </si>
  <si>
    <t>BARANDA DE APLIQUE CON ACCESORIOS INOX CON TUBO SUPERIOR INOX</t>
  </si>
  <si>
    <t>BARANDA DE APLIQUE CON ACCESORIOS INOX CON TUBO SUPERIOR EN ALUMINIO SG</t>
  </si>
  <si>
    <t>BARANDA EMBEBIDA SIN TUBO SUPERIOR</t>
  </si>
  <si>
    <t>BARANDA EMBEBIDA CON TUBO SUPERIOR EN INOX</t>
  </si>
  <si>
    <t>BARANDA EMBEBIDA CON TUBO SUPERIOR EN ALUMINIO SG</t>
  </si>
  <si>
    <t>BARANDILLA CON TUBO SUPERIOR EN INOX</t>
  </si>
  <si>
    <t>BARANDILLA SIN TUBO SUPERIOR</t>
  </si>
  <si>
    <t>VR ELIMINADOS</t>
  </si>
  <si>
    <t>VR FACTURADO</t>
  </si>
  <si>
    <t>JUNTA D.</t>
  </si>
  <si>
    <t>AN (MT)</t>
  </si>
  <si>
    <t>AL (MT)</t>
  </si>
  <si>
    <t xml:space="preserve">CERRADURA MULTI-PUNTO MANIJA ITALIANA </t>
  </si>
  <si>
    <t xml:space="preserve">CIERRE EMBUTIDO DE IMPACTO </t>
  </si>
  <si>
    <t xml:space="preserve">VENTANA CORREDIZA LINEA CLASSIC  SISTEMA PRIMAVERA SERIE SG 8  </t>
  </si>
  <si>
    <t xml:space="preserve">FACHADA ENTRE PLACAS LINEA STICK SISTEMA SG45 TAPA Y PISAVIDRIO </t>
  </si>
  <si>
    <t xml:space="preserve">FACHADA FLOTANTE LINEA STICK SISTEMA SG45 PIEL DE VIDRIO </t>
  </si>
  <si>
    <t xml:space="preserve">FACHADA ENTRE PLACAS LINEA STICK SISTEMA SG45 PIEL DE VIDRIO </t>
  </si>
  <si>
    <t xml:space="preserve">ID PRESUPUESTO </t>
  </si>
  <si>
    <t>ALUCOLOR POLIESTER NEGRO MATE PP13</t>
  </si>
  <si>
    <t xml:space="preserve">ALUCOLOR POLIESTER PINTURA GRIS  </t>
  </si>
  <si>
    <t>ALUCOLOR POLIESTER BLANCO PP003</t>
  </si>
  <si>
    <t>ALUCOLOR POLIESTER PINTURA CHAMPAÑA</t>
  </si>
  <si>
    <t>ANODIZADO BLANCO MATE AN001</t>
  </si>
  <si>
    <t>INCREMENTO MANO DE OBRA</t>
  </si>
  <si>
    <t xml:space="preserve"> BARANDILLA CON TUBO SUPERIOR EN INOX</t>
  </si>
  <si>
    <t>CERRADURA TAURO</t>
  </si>
  <si>
    <t>CERRADURA SIGMA</t>
  </si>
  <si>
    <t>AUX CONTABLE</t>
  </si>
  <si>
    <t>GASTOS DE PERSONAL</t>
  </si>
  <si>
    <t xml:space="preserve">COMISIONES </t>
  </si>
  <si>
    <t xml:space="preserve">MANTENIMIENTOS VEHICULO </t>
  </si>
  <si>
    <t xml:space="preserve">GASTOS DE VIAJE </t>
  </si>
  <si>
    <t>HONORARIOS</t>
  </si>
  <si>
    <t xml:space="preserve">ARRENDAMIENTOS </t>
  </si>
  <si>
    <t>SERVICIOS</t>
  </si>
  <si>
    <t>SEGUROS</t>
  </si>
  <si>
    <t>DIVERSOS</t>
  </si>
  <si>
    <t>GASTOS LEGALES</t>
  </si>
  <si>
    <t>ADECUACION E INSTALACION</t>
  </si>
  <si>
    <t xml:space="preserve">COMBUSTIBLES </t>
  </si>
  <si>
    <t>VALLE</t>
  </si>
  <si>
    <t>VR REF SIS M2</t>
  </si>
  <si>
    <t xml:space="preserve">CLIENTE GERENCIA </t>
  </si>
  <si>
    <t>CLIENTE T1</t>
  </si>
  <si>
    <t>CLIENTE T2</t>
  </si>
  <si>
    <t>CLIENTE T3</t>
  </si>
  <si>
    <t>TIPO CLIENTE</t>
  </si>
  <si>
    <t>UTN</t>
  </si>
  <si>
    <t xml:space="preserve">CLIENTE RECURRENTE, VALORA CALIDAD </t>
  </si>
  <si>
    <t xml:space="preserve">OBSERVACION </t>
  </si>
  <si>
    <t xml:space="preserve">CLIENTE QUE BUSCA SOLO PRECIO </t>
  </si>
  <si>
    <t xml:space="preserve">CONSTRUCTOR Y RESIDENCIAL PREMIUM </t>
  </si>
  <si>
    <t xml:space="preserve">CONSTRUCTOR Y RESIDENCIAL CLASSIC </t>
  </si>
  <si>
    <t xml:space="preserve">LINEA PRODUCCION </t>
  </si>
  <si>
    <r>
      <rPr>
        <b/>
        <sz val="20"/>
        <color rgb="FFFF0000"/>
        <rFont val="TTHoves-Light"/>
      </rPr>
      <t>NOTA.</t>
    </r>
    <r>
      <rPr>
        <sz val="20"/>
        <color rgb="FFFF0000"/>
        <rFont val="TTHoves-Light"/>
      </rPr>
      <t xml:space="preserve"> </t>
    </r>
    <r>
      <rPr>
        <b/>
        <sz val="20"/>
        <color theme="1"/>
        <rFont val="TTHoves-Light"/>
      </rPr>
      <t xml:space="preserve">SI EL PROYECTO ES FUERA DE BGA SE DEBE CONTEMPLAR LOS VIATICOS DEL SUPERVISOR DE MONTAJE POR EL TIEMPO QUE DURE EL MISMO </t>
    </r>
  </si>
  <si>
    <t>VR M2 VENTA</t>
  </si>
  <si>
    <t>ANTQ</t>
  </si>
  <si>
    <t>M2 REFERENCIA</t>
  </si>
  <si>
    <t>LINEA</t>
  </si>
  <si>
    <t>LA</t>
  </si>
  <si>
    <t>LI</t>
  </si>
  <si>
    <t>GLB</t>
  </si>
  <si>
    <t xml:space="preserve">COMPOSICION LAMINADO CRUDO 4 MM INC + PVB 0,38 MM GRIS + 4 MM INC </t>
  </si>
  <si>
    <t xml:space="preserve">COMPOSICION LAMINADO CRUDO 5 MM INC + PVB 0,38 MM GRIS + 5 MM INC </t>
  </si>
  <si>
    <t>ALU</t>
  </si>
  <si>
    <t>ACC</t>
  </si>
  <si>
    <t>VIDRIO</t>
  </si>
  <si>
    <t>GAST VENTA</t>
  </si>
  <si>
    <t>GAST FINANC</t>
  </si>
  <si>
    <t>COSTOS IND</t>
  </si>
  <si>
    <t>INSTALACION</t>
  </si>
  <si>
    <t>RAD</t>
  </si>
  <si>
    <t>SUBTOTAL</t>
  </si>
  <si>
    <t>M2 INOX</t>
  </si>
  <si>
    <t>M2 ALU</t>
  </si>
  <si>
    <t>CANTIDAD</t>
  </si>
  <si>
    <t>VR INOX</t>
  </si>
  <si>
    <t>VR ALU</t>
  </si>
  <si>
    <t>Correccion</t>
  </si>
  <si>
    <t>BARANDA EN BOTELLAS  CON ACCESORIOS INOX SIN TUBO SUPERIOR</t>
  </si>
  <si>
    <t>BARANDA EN BOTELLAS  CON ACCESORIOS INOX CON TUBO SUPERIOR</t>
  </si>
  <si>
    <t>HONORARIOS TECNICOS</t>
  </si>
  <si>
    <t>MANTENIMIENTO Y REPARACIONES</t>
  </si>
  <si>
    <t>GASTOS DE REPRESENTACION</t>
  </si>
  <si>
    <t>% SOBRE PRECIO VENTA</t>
  </si>
  <si>
    <t>% SOBRE COSTO</t>
  </si>
  <si>
    <t>COSTO X M2</t>
  </si>
  <si>
    <t xml:space="preserve">FACTURACION ANTES DESPACHO 30% </t>
  </si>
  <si>
    <t>ENTREGA 10%</t>
  </si>
  <si>
    <t>TIEMPO DESPACHO A OBRA 45 DIAS HAB DESPUES DE FIRMA DE ACTA DE VANOS TIEMPO MONTAJE A CONVENIR SEGÚN AVANCE DE OBRA MINIMO (2) SEMANAS</t>
  </si>
  <si>
    <t>IVAN CANDELA</t>
  </si>
  <si>
    <t>MAYO 2024</t>
  </si>
  <si>
    <t>ENERO 2023</t>
  </si>
  <si>
    <t>ENERO / ORIENTE</t>
  </si>
  <si>
    <t>LUISA HERNÁNDEZ</t>
  </si>
  <si>
    <t>VERSIONES</t>
  </si>
  <si>
    <t>COSTO UNT</t>
  </si>
  <si>
    <t>VALOR  COSTO</t>
  </si>
  <si>
    <t>VALOR TOTAL</t>
  </si>
  <si>
    <t xml:space="preserve">VALOR ADICIONAL </t>
  </si>
  <si>
    <t xml:space="preserve">VALOR FINAL </t>
  </si>
  <si>
    <t xml:space="preserve">VARIACION </t>
  </si>
  <si>
    <t>FAC UNT</t>
  </si>
  <si>
    <t>ENTRADA</t>
  </si>
  <si>
    <t xml:space="preserve">VIDRIO LAMINADO </t>
  </si>
  <si>
    <t xml:space="preserve">HERRAJES DE LUJO </t>
  </si>
  <si>
    <t>APERTURA MULTIPLE</t>
  </si>
  <si>
    <t>CAMBIO ACABADO ALUMINIO</t>
  </si>
  <si>
    <t xml:space="preserve">HERRAJES DE LUJO + APERTURA MULTIPLE </t>
  </si>
  <si>
    <t>CNT PERFILES</t>
  </si>
  <si>
    <t>CNT PUERTAS</t>
  </si>
  <si>
    <t>DIF VIDRIO</t>
  </si>
  <si>
    <t xml:space="preserve">VALOR UNITARIO </t>
  </si>
  <si>
    <t>SG BIOCONFORT</t>
  </si>
  <si>
    <t xml:space="preserve">PRESUPUESTO ANUAL COMPAÑÍA </t>
  </si>
  <si>
    <t>VALOR ABSOLUTO</t>
  </si>
  <si>
    <t>VR X M2</t>
  </si>
  <si>
    <t>VARIACION VS PPTO ANUAL COMPAÑÍA</t>
  </si>
  <si>
    <t>MATERIA PRIMA</t>
  </si>
  <si>
    <t xml:space="preserve">M.O PRODUCCION </t>
  </si>
  <si>
    <t>M.O TECNICA</t>
  </si>
  <si>
    <t xml:space="preserve">M.O INSTALACION </t>
  </si>
  <si>
    <t>TOTAL COSTO</t>
  </si>
  <si>
    <t xml:space="preserve">UTILIDAD BRUTA OPERACIONAL </t>
  </si>
  <si>
    <t>GASTOS ADM</t>
  </si>
  <si>
    <t>GASTOS VENTAS</t>
  </si>
  <si>
    <t>TOTAL GASTOS</t>
  </si>
  <si>
    <t>UTILIDAD ANTES DE IMPUESTOS</t>
  </si>
  <si>
    <t>UTILIDAD NETA</t>
  </si>
  <si>
    <t>PRESUPUESTO PROYECTO (ESENCIAL)</t>
  </si>
  <si>
    <t>PRESUPUESTO PROYECTO (SG BIOCONFORT)</t>
  </si>
  <si>
    <t>PRESUPUESTO PROYECTO ((SIGNATURE APERTURA MULTIPLE)</t>
  </si>
  <si>
    <t>PRESUPUESTO PROYECTO ((SIGNATURE CAMBIO ACABADO)</t>
  </si>
  <si>
    <t xml:space="preserve">VENTANA CORREDIZA LINEA PREMIUM TIPO EUROPEO VENECIA MONZA </t>
  </si>
  <si>
    <t>PUERTA CORREDIZA LINEA PREMIUM TIPO EUROPEO VENECIA NAPOLES</t>
  </si>
  <si>
    <t>PUERTA CORREDIZA LINEA PREMIUM TIPO EUROPEO VENECIA MONACO</t>
  </si>
  <si>
    <t>CUERPO FIJO LINEA PREMIUM TIPO EUROPEO VENECIA FERMO</t>
  </si>
  <si>
    <t>CUERPO PROYECTANTE LINEA PREMIUM TIPO EUROPEO VENECIA FERMO</t>
  </si>
  <si>
    <t>PUERTA BATIENTE LINEA PREMIUM TIPO EUROPEO VENECIA FERMO</t>
  </si>
  <si>
    <t>VENTANA CORREDIZA LINEA CLASSIC PRIMAVERA LAGO</t>
  </si>
  <si>
    <t>PUERTA CORREDIZA LINEA CLASSIC PRIMAVERA LAGO</t>
  </si>
  <si>
    <t>VENTANA CORREDIZA LINEA CLASSIC PRIMAVERA LUCCA</t>
  </si>
  <si>
    <t>PUERTA CORREDIZA LINEA CLASSIC PRIMAVERA LUCCA</t>
  </si>
  <si>
    <t>CUERPO BATIENTE LINEA PREMIUM TIPO EUROPEO VENECIA FERMO</t>
  </si>
  <si>
    <t>PUERTA DOBLE BATIENTE LINEA PREMIUM TIPO EUROPEO VENECIA FERMO</t>
  </si>
  <si>
    <t>CUERPO FIJO LINEA CLASSIC PRIMAVERA SIENA</t>
  </si>
  <si>
    <t>CUERPO PROYECTANTE LINEA CLASSIC PRIMAVERA SIENA</t>
  </si>
  <si>
    <t>CUERPO BATIENTE LINEA CLASSIC PRIMAVERA SIENA</t>
  </si>
  <si>
    <t>PUERTA BATIENTE LINEA CLASSIC PRIMAVERA SIENA</t>
  </si>
  <si>
    <t>PUERTA CORREDIZA LINEA PREMIUM TIPO EUROPEO VENECIA NAPOLES TIPO POKET</t>
  </si>
  <si>
    <t>VENTANA CORREDIZA LINEA PREMIUM TIPO EUROPEO VENECIA NAPOLES</t>
  </si>
  <si>
    <t>VENTANA CORREDIZA LINEA PREMIUM TIPO EUROPEO VENECIA MONACO</t>
  </si>
  <si>
    <t>VERSIÓN</t>
  </si>
  <si>
    <t>SG CLASSIC</t>
  </si>
  <si>
    <t>SG ESENCIAL</t>
  </si>
  <si>
    <t>SG SIGNATURE</t>
  </si>
  <si>
    <t xml:space="preserve">SG ESENCIAL </t>
  </si>
  <si>
    <t>SG SIGNATURE - APERTURA MULTIPLE</t>
  </si>
  <si>
    <t>SG SIGNATURE - CAMBIO ACABADO ALUMINIO</t>
  </si>
  <si>
    <r>
      <t>VERSIONES PROYECTO "</t>
    </r>
    <r>
      <rPr>
        <b/>
        <i/>
        <sz val="16"/>
        <color rgb="FFFF0000"/>
        <rFont val="TTHoves-Light"/>
      </rPr>
      <t>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</si>
</sst>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quot;$&quot;\ * #,##0_-;\-&quot;$&quot;\ * #,##0_-;_-&quot;$&quot;\ * &quot;-&quot;_-;_-@_-"/>
    <numFmt numFmtId="41" formatCode="_-* #,##0_-;\-* #,##0_-;_-* &quot;-&quot;_-;_-@_-"/>
    <numFmt numFmtId="44" formatCode="_-&quot;$&quot;\ * #,##0.00_-;\-&quot;$&quot;\ * #,##0.00_-;_-&quot;$&quot;\ * &quot;-&quot;??_-;_-@_-"/>
    <numFmt numFmtId="164" formatCode="_(&quot;$&quot;* #,##0_);_(&quot;$&quot;* \(#,##0\);_(&quot;$&quot;* &quot;-&quot;_);_(@_)"/>
    <numFmt numFmtId="165" formatCode="_(* #,##0_);_(* \(#,##0\);_(* &quot;-&quot;_);_(@_)"/>
    <numFmt numFmtId="166" formatCode="_(&quot;$&quot;* #,##0.00_);_(&quot;$&quot;* \(#,##0.00\);_(&quot;$&quot;* &quot;-&quot;??_);_(@_)"/>
    <numFmt numFmtId="167" formatCode="_-* #,##0\ _€_-;\-* #,##0\ _€_-;_-* &quot;-&quot;??\ _€_-;_-@_-"/>
    <numFmt numFmtId="168" formatCode="_(&quot;$&quot;\ * #,##0_);_(&quot;$&quot;\ * \(#,##0\);_(&quot;$&quot;\ * &quot;-&quot;??_);_(@_)"/>
    <numFmt numFmtId="169" formatCode="0.0"/>
    <numFmt numFmtId="170" formatCode="_-&quot;$&quot;* #,##0_-;\-&quot;$&quot;* #,##0_-;_-&quot;$&quot;* &quot;-&quot;??_-;_-@_-"/>
    <numFmt numFmtId="171" formatCode="0.0%"/>
    <numFmt numFmtId="172" formatCode="_-&quot;$&quot;* #,##0_-;\-&quot;$&quot;* #,##0_-;_-&quot;$&quot;* &quot;-&quot;_-;_-@"/>
    <numFmt numFmtId="173" formatCode="_-&quot;$&quot;* #,##0.0_-;\-&quot;$&quot;* #,##0.0_-;_-&quot;$&quot;* &quot;-&quot;?_-;_-@_-"/>
    <numFmt numFmtId="174" formatCode="_-&quot;$&quot;* #,##0.00_-;\-&quot;$&quot;* #,##0.00_-;_-&quot;$&quot;* &quot;-&quot;_-;_-@_-"/>
    <numFmt numFmtId="175" formatCode="_-&quot;$&quot;\ * #,##0_-;\-&quot;$&quot;\ * #,##0_-;_-&quot;$&quot;\ * &quot;-&quot;??_-;_-@_-"/>
    <numFmt numFmtId="176" formatCode="0.0000"/>
    <numFmt numFmtId="177" formatCode="0.000%"/>
  </numFmts>
  <fonts count="5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8"/>
      <name val="Calibri"/>
      <family val="2"/>
      <scheme val="minor"/>
    </font>
    <font>
      <b/>
      <sz val="22"/>
      <color theme="1"/>
      <name val="TTHoves-Light"/>
    </font>
    <font>
      <b/>
      <sz val="20"/>
      <color theme="1"/>
      <name val="TTHoves-Light"/>
    </font>
    <font>
      <sz val="28"/>
      <color theme="1"/>
      <name val="TTHoves-Light"/>
    </font>
    <font>
      <sz val="22"/>
      <color theme="4"/>
      <name val="TTHoves-Light"/>
    </font>
    <font>
      <sz val="22"/>
      <color theme="1"/>
      <name val="TTHoves-Light"/>
    </font>
    <font>
      <b/>
      <sz val="10"/>
      <color theme="1"/>
      <name val="TTHoves-Light"/>
    </font>
    <font>
      <sz val="26"/>
      <color theme="1"/>
      <name val="TTHoves-Light"/>
    </font>
    <font>
      <sz val="14"/>
      <color theme="1"/>
      <name val="TTHoves-Light"/>
    </font>
    <font>
      <sz val="10"/>
      <color theme="1"/>
      <name val="TTHoves-Light"/>
    </font>
    <font>
      <b/>
      <sz val="18"/>
      <color theme="1"/>
      <name val="TTHoves-Light"/>
    </font>
    <font>
      <b/>
      <sz val="14"/>
      <color theme="1"/>
      <name val="TTHoves-Light"/>
    </font>
    <font>
      <b/>
      <sz val="36"/>
      <color theme="1"/>
      <name val="TTHoves-Light"/>
    </font>
    <font>
      <sz val="18"/>
      <color theme="1"/>
      <name val="TTHoves-Light"/>
    </font>
    <font>
      <b/>
      <i/>
      <sz val="16"/>
      <color theme="1"/>
      <name val="TTHoves-Light"/>
    </font>
    <font>
      <sz val="16"/>
      <color theme="1"/>
      <name val="TTHoves-Light"/>
    </font>
    <font>
      <b/>
      <sz val="24"/>
      <color theme="1"/>
      <name val="TTHoves-Light"/>
    </font>
    <font>
      <b/>
      <sz val="20"/>
      <color theme="8"/>
      <name val="TTHoves-Light"/>
    </font>
    <font>
      <b/>
      <sz val="12"/>
      <color theme="1"/>
      <name val="TTHoves-Light"/>
    </font>
    <font>
      <sz val="12"/>
      <color theme="1"/>
      <name val="TTHoves-Light"/>
    </font>
    <font>
      <b/>
      <sz val="14"/>
      <name val="TTHoves-Light"/>
    </font>
    <font>
      <b/>
      <sz val="16"/>
      <color theme="1"/>
      <name val="TTHoves-Light"/>
    </font>
    <font>
      <b/>
      <sz val="20"/>
      <color rgb="FFFF0000"/>
      <name val="TTHoves-Light"/>
    </font>
    <font>
      <b/>
      <sz val="16"/>
      <color rgb="FFFF0000"/>
      <name val="TTHoves-Light"/>
    </font>
    <font>
      <b/>
      <i/>
      <sz val="20"/>
      <color rgb="FFFF0000"/>
      <name val="TTHoves-Light"/>
    </font>
    <font>
      <sz val="14"/>
      <name val="TTHoves-Light"/>
    </font>
    <font>
      <i/>
      <sz val="16"/>
      <color rgb="FFFF0000"/>
      <name val="TTHoves-Light"/>
    </font>
    <font>
      <b/>
      <sz val="14"/>
      <color rgb="FFFF0000"/>
      <name val="TTHoves-Light"/>
    </font>
    <font>
      <sz val="10"/>
      <name val="TTHoves-Light"/>
    </font>
    <font>
      <b/>
      <i/>
      <sz val="18"/>
      <color theme="1"/>
      <name val="TTHoves-Light"/>
    </font>
    <font>
      <sz val="18"/>
      <name val="TTHoves-Light"/>
    </font>
    <font>
      <sz val="18"/>
      <color theme="4"/>
      <name val="TTHoves-Light"/>
    </font>
    <font>
      <b/>
      <sz val="20"/>
      <color rgb="FFFF0000"/>
      <name val="TTHoves-Medium"/>
    </font>
    <font>
      <b/>
      <i/>
      <sz val="14"/>
      <color theme="1"/>
      <name val="TTHoves-Light"/>
    </font>
    <font>
      <sz val="14"/>
      <color rgb="FF000000"/>
      <name val="TTHoves-Light"/>
    </font>
    <font>
      <i/>
      <sz val="14"/>
      <color theme="1"/>
      <name val="TTHoves-Light"/>
    </font>
    <font>
      <sz val="11"/>
      <color theme="1"/>
      <name val="TTHoves-Light"/>
    </font>
    <font>
      <b/>
      <sz val="16"/>
      <color rgb="FF000000"/>
      <name val="TTHoves-Light"/>
    </font>
    <font>
      <sz val="12"/>
      <color rgb="FF000000"/>
      <name val="TTHoves-Light"/>
    </font>
    <font>
      <b/>
      <i/>
      <sz val="16"/>
      <color rgb="FFFF0000"/>
      <name val="TTHoves-Light"/>
    </font>
    <font>
      <b/>
      <sz val="12"/>
      <color rgb="FF000000"/>
      <name val="TTHoves-Light"/>
    </font>
    <font>
      <sz val="20"/>
      <color theme="1"/>
      <name val="TTHoves-Light"/>
    </font>
    <font>
      <sz val="20"/>
      <color rgb="FFFF0000"/>
      <name val="TTHoves-Light"/>
    </font>
    <font>
      <b/>
      <sz val="12"/>
      <color rgb="FFFF0000"/>
      <name val="TTHoves-Light"/>
    </font>
    <font>
      <sz val="24"/>
      <color theme="1"/>
      <name val="TTHoves-Light"/>
    </font>
    <font>
      <i/>
      <sz val="16"/>
      <color theme="1"/>
      <name val="TTHoves-Light"/>
    </font>
    <font>
      <b/>
      <sz val="11"/>
      <color theme="1"/>
      <name val="TTHoves-Light"/>
    </font>
    <font>
      <i/>
      <sz val="18"/>
      <color theme="1"/>
      <name val="TTHoves-Light"/>
    </font>
  </fonts>
  <fills count="12">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0"/>
        <bgColor theme="0"/>
      </patternFill>
    </fill>
    <fill>
      <patternFill patternType="solid">
        <fgColor rgb="FFFFFFFF"/>
        <bgColor rgb="FF000000"/>
      </patternFill>
    </fill>
    <fill>
      <patternFill patternType="solid">
        <fgColor theme="4"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0"/>
        <bgColor rgb="FF000000"/>
      </patternFill>
    </fill>
  </fills>
  <borders count="84">
    <border>
      <left/>
      <right/>
      <top/>
      <bottom/>
      <diagonal/>
    </border>
    <border>
      <left style="thin">
        <color indexed="64"/>
      </left>
      <right style="thin">
        <color indexed="64"/>
      </right>
      <top/>
      <bottom/>
      <diagonal/>
    </border>
    <border>
      <left/>
      <right style="thin">
        <color theme="1"/>
      </right>
      <top/>
      <bottom/>
      <diagonal/>
    </border>
    <border>
      <left style="thin">
        <color theme="1"/>
      </left>
      <right/>
      <top/>
      <bottom/>
      <diagonal/>
    </border>
    <border>
      <left/>
      <right/>
      <top style="thin">
        <color theme="1"/>
      </top>
      <bottom style="thin">
        <color theme="1"/>
      </bottom>
      <diagonal/>
    </border>
    <border>
      <left/>
      <right style="thin">
        <color theme="1"/>
      </right>
      <top style="thin">
        <color theme="1"/>
      </top>
      <bottom style="thin">
        <color theme="1"/>
      </bottom>
      <diagonal/>
    </border>
    <border>
      <left/>
      <right/>
      <top/>
      <bottom style="thin">
        <color theme="1"/>
      </bottom>
      <diagonal/>
    </border>
    <border>
      <left/>
      <right style="thin">
        <color theme="1"/>
      </right>
      <top style="thin">
        <color theme="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right/>
      <top style="thin">
        <color theme="1"/>
      </top>
      <bottom/>
      <diagonal/>
    </border>
    <border>
      <left style="medium">
        <color rgb="FFFF0000"/>
      </left>
      <right/>
      <top/>
      <bottom/>
      <diagonal/>
    </border>
    <border>
      <left/>
      <right style="medium">
        <color rgb="FFFF0000"/>
      </right>
      <top/>
      <bottom style="thin">
        <color theme="1"/>
      </bottom>
      <diagonal/>
    </border>
    <border>
      <left/>
      <right/>
      <top style="thin">
        <color indexed="64"/>
      </top>
      <bottom style="thin">
        <color theme="1"/>
      </bottom>
      <diagonal/>
    </border>
    <border>
      <left style="thin">
        <color theme="1"/>
      </left>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theme="1"/>
      </top>
      <bottom style="thin">
        <color theme="1"/>
      </bottom>
      <diagonal/>
    </border>
    <border>
      <left style="thin">
        <color theme="1"/>
      </left>
      <right style="thin">
        <color theme="1"/>
      </right>
      <top/>
      <bottom style="thin">
        <color theme="1"/>
      </bottom>
      <diagonal/>
    </border>
    <border>
      <left/>
      <right style="thin">
        <color theme="1"/>
      </right>
      <top style="thin">
        <color indexed="64"/>
      </top>
      <bottom/>
      <diagonal/>
    </border>
    <border>
      <left style="thin">
        <color indexed="64"/>
      </left>
      <right style="thin">
        <color indexed="64"/>
      </right>
      <top style="thin">
        <color indexed="64"/>
      </top>
      <bottom style="thin">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right/>
      <top style="thin">
        <color theme="2" tint="-0.249977111117893"/>
      </top>
      <bottom style="thin">
        <color theme="0" tint="-0.34998626667073579"/>
      </bottom>
      <diagonal/>
    </border>
    <border>
      <left/>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2" tint="-0.249977111117893"/>
      </left>
      <right style="thin">
        <color theme="2" tint="-0.249977111117893"/>
      </right>
      <top style="thin">
        <color theme="0" tint="-0.34998626667073579"/>
      </top>
      <bottom style="thin">
        <color theme="2" tint="-0.249977111117893"/>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2" tint="-0.249977111117893"/>
      </bottom>
      <diagonal/>
    </border>
    <border>
      <left/>
      <right style="thin">
        <color theme="0" tint="-0.34998626667073579"/>
      </right>
      <top/>
      <bottom style="thin">
        <color theme="2" tint="-0.249977111117893"/>
      </bottom>
      <diagonal/>
    </border>
    <border>
      <left style="thin">
        <color theme="0" tint="-0.34998626667073579"/>
      </left>
      <right/>
      <top style="thin">
        <color theme="2" tint="-0.249977111117893"/>
      </top>
      <bottom style="thin">
        <color theme="0" tint="-0.34998626667073579"/>
      </bottom>
      <diagonal/>
    </border>
    <border>
      <left/>
      <right style="thin">
        <color theme="0" tint="-0.34998626667073579"/>
      </right>
      <top style="thin">
        <color theme="2" tint="-0.249977111117893"/>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theme="6"/>
      </left>
      <right style="thin">
        <color theme="0" tint="-0.34998626667073579"/>
      </right>
      <top style="medium">
        <color theme="6"/>
      </top>
      <bottom style="medium">
        <color theme="6"/>
      </bottom>
      <diagonal/>
    </border>
    <border>
      <left style="thin">
        <color theme="0" tint="-0.34998626667073579"/>
      </left>
      <right style="thin">
        <color theme="0" tint="-0.34998626667073579"/>
      </right>
      <top style="medium">
        <color theme="6"/>
      </top>
      <bottom style="medium">
        <color theme="6"/>
      </bottom>
      <diagonal/>
    </border>
    <border>
      <left/>
      <right style="medium">
        <color theme="6"/>
      </right>
      <top style="medium">
        <color theme="6"/>
      </top>
      <bottom style="medium">
        <color theme="6"/>
      </bottom>
      <diagonal/>
    </border>
    <border>
      <left style="medium">
        <color theme="6"/>
      </left>
      <right style="medium">
        <color theme="6"/>
      </right>
      <top style="medium">
        <color theme="6"/>
      </top>
      <bottom/>
      <diagonal/>
    </border>
    <border>
      <left style="medium">
        <color theme="6"/>
      </left>
      <right style="medium">
        <color theme="6"/>
      </right>
      <top/>
      <bottom style="medium">
        <color theme="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2" tint="-0.249977111117893"/>
      </right>
      <top style="thin">
        <color theme="0" tint="-0.34998626667073579"/>
      </top>
      <bottom/>
      <diagonal/>
    </border>
    <border>
      <left/>
      <right style="thin">
        <color theme="2" tint="-0.249977111117893"/>
      </right>
      <top/>
      <bottom/>
      <diagonal/>
    </border>
    <border>
      <left/>
      <right style="thin">
        <color theme="2" tint="-0.249977111117893"/>
      </right>
      <top/>
      <bottom style="thin">
        <color theme="2" tint="-0.249977111117893"/>
      </bottom>
      <diagonal/>
    </border>
    <border>
      <left style="thin">
        <color theme="0" tint="-0.34998626667073579"/>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34998626667073579"/>
      </left>
      <right style="thin">
        <color theme="2" tint="-0.34998626667073579"/>
      </right>
      <top style="thin">
        <color theme="2" tint="-0.34998626667073579"/>
      </top>
      <bottom style="thin">
        <color theme="2" tint="-0.34998626667073579"/>
      </bottom>
      <diagonal/>
    </border>
    <border>
      <left style="thin">
        <color theme="2" tint="-0.34998626667073579"/>
      </left>
      <right/>
      <top style="thin">
        <color theme="2" tint="-0.34998626667073579"/>
      </top>
      <bottom style="thin">
        <color theme="2" tint="-0.34998626667073579"/>
      </bottom>
      <diagonal/>
    </border>
    <border>
      <left/>
      <right/>
      <top style="thin">
        <color theme="2" tint="-0.34998626667073579"/>
      </top>
      <bottom style="thin">
        <color theme="2" tint="-0.34998626667073579"/>
      </bottom>
      <diagonal/>
    </border>
    <border>
      <left/>
      <right style="thin">
        <color theme="2" tint="-0.34998626667073579"/>
      </right>
      <top style="thin">
        <color theme="2" tint="-0.34998626667073579"/>
      </top>
      <bottom style="thin">
        <color theme="2" tint="-0.34998626667073579"/>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34998626667073579"/>
      </right>
      <top style="thin">
        <color theme="0" tint="-0.34998626667073579"/>
      </top>
      <bottom/>
      <diagonal/>
    </border>
    <border>
      <left style="thin">
        <color theme="0" tint="-0.249977111117893"/>
      </left>
      <right style="thin">
        <color theme="0" tint="-0.34998626667073579"/>
      </right>
      <top/>
      <bottom/>
      <diagonal/>
    </border>
    <border>
      <left style="thin">
        <color theme="0" tint="-0.249977111117893"/>
      </left>
      <right style="thin">
        <color theme="0" tint="-0.34998626667073579"/>
      </right>
      <top/>
      <bottom style="thin">
        <color theme="0" tint="-0.249977111117893"/>
      </bottom>
      <diagonal/>
    </border>
    <border>
      <left style="thin">
        <color theme="0" tint="-0.249977111117893"/>
      </left>
      <right style="thin">
        <color theme="0" tint="-0.249977111117893"/>
      </right>
      <top style="thin">
        <color theme="0" tint="-0.34998626667073579"/>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thin">
        <color theme="2" tint="-0.34998626667073579"/>
      </top>
      <bottom/>
      <diagonal/>
    </border>
    <border>
      <left/>
      <right style="thin">
        <color theme="0" tint="-0.34998626667073579"/>
      </right>
      <top style="thin">
        <color theme="2" tint="-0.34998626667073579"/>
      </top>
      <bottom/>
      <diagonal/>
    </border>
    <border>
      <left/>
      <right/>
      <top/>
      <bottom style="thin">
        <color theme="2" tint="-0.34998626667073579"/>
      </bottom>
      <diagonal/>
    </border>
    <border>
      <left/>
      <right style="thin">
        <color theme="0" tint="-0.34998626667073579"/>
      </right>
      <top/>
      <bottom style="thin">
        <color theme="2" tint="-0.34998626667073579"/>
      </bottom>
      <diagonal/>
    </border>
    <border>
      <left/>
      <right style="medium">
        <color rgb="FFFF0000"/>
      </right>
      <top/>
      <bottom/>
      <diagonal/>
    </border>
    <border>
      <left/>
      <right/>
      <top/>
      <bottom style="thin">
        <color theme="2" tint="-9.9978637043366805E-2"/>
      </bottom>
      <diagonal/>
    </border>
    <border>
      <left/>
      <right style="thin">
        <color theme="2" tint="-9.9978637043366805E-2"/>
      </right>
      <top/>
      <bottom/>
      <diagonal/>
    </border>
    <border>
      <left/>
      <right style="thin">
        <color theme="2" tint="-9.9978637043366805E-2"/>
      </right>
      <top/>
      <bottom style="thin">
        <color theme="2" tint="-9.9978637043366805E-2"/>
      </bottom>
      <diagonal/>
    </border>
  </borders>
  <cellStyleXfs count="66">
    <xf numFmtId="0" fontId="0" fillId="0" borderId="0"/>
    <xf numFmtId="164" fontId="4" fillId="0" borderId="0" applyFont="0" applyFill="0" applyBorder="0" applyAlignment="0" applyProtection="0"/>
    <xf numFmtId="0" fontId="3" fillId="0" borderId="0"/>
    <xf numFmtId="164" fontId="3" fillId="0" borderId="0" applyFont="0" applyFill="0" applyBorder="0" applyAlignment="0" applyProtection="0"/>
    <xf numFmtId="9" fontId="4" fillId="0" borderId="0" applyFont="0" applyFill="0" applyBorder="0" applyAlignment="0" applyProtection="0"/>
    <xf numFmtId="165" fontId="4" fillId="0" borderId="0" applyFont="0" applyFill="0" applyBorder="0" applyAlignment="0" applyProtection="0"/>
    <xf numFmtId="0" fontId="4" fillId="0" borderId="0"/>
    <xf numFmtId="164" fontId="2" fillId="0" borderId="0" applyFont="0" applyFill="0" applyBorder="0" applyAlignment="0" applyProtection="0"/>
    <xf numFmtId="165" fontId="2" fillId="0" borderId="0" applyFont="0" applyFill="0" applyBorder="0" applyAlignment="0" applyProtection="0"/>
    <xf numFmtId="0" fontId="2" fillId="0" borderId="0"/>
    <xf numFmtId="166" fontId="4" fillId="0" borderId="0" applyFont="0" applyFill="0" applyBorder="0" applyAlignment="0" applyProtection="0"/>
    <xf numFmtId="0" fontId="4" fillId="0" borderId="0"/>
    <xf numFmtId="9" fontId="2" fillId="0" borderId="0" applyFont="0" applyFill="0" applyBorder="0" applyAlignment="0" applyProtection="0"/>
    <xf numFmtId="164" fontId="2" fillId="0" borderId="0" applyFont="0" applyFill="0" applyBorder="0" applyAlignment="0" applyProtection="0"/>
    <xf numFmtId="42" fontId="4" fillId="0" borderId="0" applyFont="0" applyFill="0" applyBorder="0" applyAlignment="0" applyProtection="0"/>
    <xf numFmtId="164" fontId="1" fillId="0" borderId="0" applyFont="0" applyFill="0" applyBorder="0" applyAlignment="0" applyProtection="0"/>
    <xf numFmtId="44" fontId="4" fillId="0" borderId="0" applyFont="0" applyFill="0" applyBorder="0" applyAlignment="0" applyProtection="0"/>
    <xf numFmtId="0" fontId="1" fillId="0" borderId="0"/>
    <xf numFmtId="42" fontId="1" fillId="0" borderId="0" applyFont="0" applyFill="0" applyBorder="0" applyAlignment="0" applyProtection="0"/>
    <xf numFmtId="41" fontId="4"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 fillId="0" borderId="0"/>
    <xf numFmtId="44" fontId="4" fillId="0" borderId="0" applyFont="0" applyFill="0" applyBorder="0" applyAlignment="0" applyProtection="0"/>
    <xf numFmtId="9" fontId="1" fillId="0" borderId="0" applyFont="0" applyFill="0" applyBorder="0" applyAlignment="0" applyProtection="0"/>
    <xf numFmtId="42" fontId="1" fillId="0" borderId="0" applyFont="0" applyFill="0" applyBorder="0" applyAlignment="0" applyProtection="0"/>
    <xf numFmtId="42" fontId="4" fillId="0" borderId="0" applyFont="0" applyFill="0" applyBorder="0" applyAlignment="0" applyProtection="0"/>
    <xf numFmtId="42" fontId="1" fillId="0" borderId="0" applyFont="0" applyFill="0" applyBorder="0" applyAlignment="0" applyProtection="0"/>
    <xf numFmtId="44" fontId="4" fillId="0" borderId="0" applyFont="0" applyFill="0" applyBorder="0" applyAlignment="0" applyProtection="0"/>
    <xf numFmtId="0" fontId="1" fillId="0" borderId="0"/>
    <xf numFmtId="42" fontId="1" fillId="0" borderId="0" applyFont="0" applyFill="0" applyBorder="0" applyAlignment="0" applyProtection="0"/>
    <xf numFmtId="41" fontId="4"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 fillId="0" borderId="0"/>
    <xf numFmtId="44" fontId="4" fillId="0" borderId="0" applyFont="0" applyFill="0" applyBorder="0" applyAlignment="0" applyProtection="0"/>
    <xf numFmtId="9" fontId="1" fillId="0" borderId="0" applyFont="0" applyFill="0" applyBorder="0" applyAlignment="0" applyProtection="0"/>
    <xf numFmtId="42" fontId="1" fillId="0" borderId="0" applyFont="0" applyFill="0" applyBorder="0" applyAlignment="0" applyProtection="0"/>
    <xf numFmtId="42" fontId="4" fillId="0" borderId="0" applyFont="0" applyFill="0" applyBorder="0" applyAlignment="0" applyProtection="0"/>
    <xf numFmtId="42" fontId="1"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4" fontId="4" fillId="0" borderId="0" applyFont="0" applyFill="0" applyBorder="0" applyAlignment="0" applyProtection="0"/>
    <xf numFmtId="42" fontId="1" fillId="0" borderId="0" applyFont="0" applyFill="0" applyBorder="0" applyAlignment="0" applyProtection="0"/>
    <xf numFmtId="41" fontId="4"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4" fontId="4" fillId="0" borderId="0" applyFont="0" applyFill="0" applyBorder="0" applyAlignment="0" applyProtection="0"/>
    <xf numFmtId="42" fontId="1" fillId="0" borderId="0" applyFont="0" applyFill="0" applyBorder="0" applyAlignment="0" applyProtection="0"/>
    <xf numFmtId="42" fontId="4" fillId="0" borderId="0" applyFont="0" applyFill="0" applyBorder="0" applyAlignment="0" applyProtection="0"/>
    <xf numFmtId="42" fontId="1" fillId="0" borderId="0" applyFont="0" applyFill="0" applyBorder="0" applyAlignment="0" applyProtection="0"/>
    <xf numFmtId="44" fontId="4" fillId="0" borderId="0" applyFont="0" applyFill="0" applyBorder="0" applyAlignment="0" applyProtection="0"/>
    <xf numFmtId="42" fontId="1" fillId="0" borderId="0" applyFont="0" applyFill="0" applyBorder="0" applyAlignment="0" applyProtection="0"/>
    <xf numFmtId="41" fontId="4"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4" fontId="4" fillId="0" borderId="0" applyFont="0" applyFill="0" applyBorder="0" applyAlignment="0" applyProtection="0"/>
    <xf numFmtId="42" fontId="1" fillId="0" borderId="0" applyFont="0" applyFill="0" applyBorder="0" applyAlignment="0" applyProtection="0"/>
    <xf numFmtId="42" fontId="4" fillId="0" borderId="0" applyFont="0" applyFill="0" applyBorder="0" applyAlignment="0" applyProtection="0"/>
    <xf numFmtId="42" fontId="1"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cellStyleXfs>
  <cellXfs count="761">
    <xf numFmtId="0" fontId="0" fillId="0" borderId="0" xfId="0"/>
    <xf numFmtId="164" fontId="11" fillId="2" borderId="0" xfId="7" applyFont="1" applyFill="1" applyBorder="1" applyAlignment="1" applyProtection="1">
      <alignment horizontal="center" vertical="center" wrapText="1"/>
    </xf>
    <xf numFmtId="0" fontId="12" fillId="2" borderId="0" xfId="6" applyFont="1" applyFill="1" applyAlignment="1" applyProtection="1">
      <alignment vertical="top" wrapText="1"/>
      <protection locked="0"/>
    </xf>
    <xf numFmtId="0" fontId="13" fillId="2" borderId="0" xfId="6" applyFont="1" applyFill="1" applyAlignment="1" applyProtection="1">
      <alignment vertical="top" wrapText="1"/>
      <protection locked="0"/>
    </xf>
    <xf numFmtId="0" fontId="12" fillId="2" borderId="14" xfId="6" applyFont="1" applyFill="1" applyBorder="1" applyAlignment="1" applyProtection="1">
      <alignment vertical="top" wrapText="1"/>
      <protection locked="0"/>
    </xf>
    <xf numFmtId="0" fontId="14" fillId="2" borderId="48" xfId="6" applyFont="1" applyFill="1" applyBorder="1" applyAlignment="1" applyProtection="1">
      <alignment horizontal="center" vertical="center"/>
      <protection locked="0"/>
    </xf>
    <xf numFmtId="0" fontId="14" fillId="2" borderId="0" xfId="6" applyFont="1" applyFill="1" applyAlignment="1" applyProtection="1">
      <alignment horizontal="center" vertical="center"/>
      <protection locked="0"/>
    </xf>
    <xf numFmtId="0" fontId="15" fillId="2" borderId="34" xfId="6" applyFont="1" applyFill="1" applyBorder="1" applyAlignment="1" applyProtection="1">
      <alignment vertical="center"/>
      <protection locked="0"/>
    </xf>
    <xf numFmtId="0" fontId="15" fillId="2" borderId="0" xfId="6" applyFont="1" applyFill="1" applyAlignment="1" applyProtection="1">
      <alignment vertical="center"/>
      <protection locked="0"/>
    </xf>
    <xf numFmtId="0" fontId="15" fillId="2" borderId="48" xfId="6" applyFont="1" applyFill="1" applyBorder="1" applyAlignment="1" applyProtection="1">
      <alignment vertical="center"/>
      <protection locked="0"/>
    </xf>
    <xf numFmtId="0" fontId="14" fillId="2" borderId="34" xfId="6" applyFont="1" applyFill="1" applyBorder="1" applyAlignment="1" applyProtection="1">
      <alignment horizontal="center" vertical="center"/>
      <protection locked="0"/>
    </xf>
    <xf numFmtId="0" fontId="14" fillId="2" borderId="42" xfId="6" applyFont="1" applyFill="1" applyBorder="1" applyAlignment="1" applyProtection="1">
      <alignment horizontal="center" vertical="center"/>
      <protection locked="0"/>
    </xf>
    <xf numFmtId="0" fontId="14" fillId="2" borderId="35" xfId="6" applyFont="1" applyFill="1" applyBorder="1" applyAlignment="1" applyProtection="1">
      <alignment horizontal="center" vertical="center"/>
      <protection locked="0"/>
    </xf>
    <xf numFmtId="164" fontId="14" fillId="2" borderId="0" xfId="1" applyFont="1" applyFill="1" applyBorder="1" applyAlignment="1" applyProtection="1">
      <alignment horizontal="center" vertical="center"/>
      <protection locked="0"/>
    </xf>
    <xf numFmtId="0" fontId="13" fillId="2" borderId="0" xfId="6" applyFont="1" applyFill="1" applyAlignment="1" applyProtection="1">
      <alignment horizontal="center" vertical="center"/>
      <protection locked="0"/>
    </xf>
    <xf numFmtId="0" fontId="16" fillId="2" borderId="34" xfId="6" applyFont="1" applyFill="1" applyBorder="1" applyAlignment="1" applyProtection="1">
      <alignment horizontal="center" vertical="center" wrapText="1"/>
      <protection locked="0"/>
    </xf>
    <xf numFmtId="0" fontId="16" fillId="2" borderId="0" xfId="6" applyFont="1" applyFill="1" applyAlignment="1" applyProtection="1">
      <alignment horizontal="center" vertical="center" wrapText="1"/>
      <protection locked="0"/>
    </xf>
    <xf numFmtId="0" fontId="16" fillId="4" borderId="0" xfId="0" applyFont="1" applyFill="1" applyAlignment="1">
      <alignment horizontal="center" vertical="center" wrapText="1"/>
    </xf>
    <xf numFmtId="0" fontId="16" fillId="2" borderId="0" xfId="6" applyFont="1" applyFill="1" applyAlignment="1" applyProtection="1">
      <alignment horizontal="center" vertical="center"/>
      <protection locked="0"/>
    </xf>
    <xf numFmtId="0" fontId="16" fillId="2" borderId="32" xfId="6" applyFont="1" applyFill="1" applyBorder="1" applyAlignment="1" applyProtection="1">
      <alignment horizontal="center" vertical="center"/>
      <protection locked="0"/>
    </xf>
    <xf numFmtId="0" fontId="16" fillId="2" borderId="32" xfId="6" applyFont="1" applyFill="1" applyBorder="1" applyAlignment="1" applyProtection="1">
      <alignment horizontal="center" vertical="center" wrapText="1"/>
      <protection locked="0"/>
    </xf>
    <xf numFmtId="0" fontId="16" fillId="3" borderId="32" xfId="6" applyFont="1" applyFill="1" applyBorder="1" applyAlignment="1" applyProtection="1">
      <alignment horizontal="center" vertical="center"/>
      <protection locked="0"/>
    </xf>
    <xf numFmtId="0" fontId="12" fillId="2" borderId="40" xfId="6" applyFont="1" applyFill="1" applyBorder="1" applyAlignment="1" applyProtection="1">
      <alignment vertical="top" wrapText="1"/>
      <protection locked="0"/>
    </xf>
    <xf numFmtId="0" fontId="12" fillId="2" borderId="30" xfId="6" applyFont="1" applyFill="1" applyBorder="1" applyAlignment="1" applyProtection="1">
      <alignment vertical="top" wrapText="1"/>
      <protection locked="0"/>
    </xf>
    <xf numFmtId="0" fontId="13" fillId="2" borderId="30" xfId="6" applyFont="1" applyFill="1" applyBorder="1" applyAlignment="1" applyProtection="1">
      <alignment vertical="top" wrapText="1"/>
      <protection locked="0"/>
    </xf>
    <xf numFmtId="0" fontId="12" fillId="2" borderId="41" xfId="6" applyFont="1" applyFill="1" applyBorder="1" applyAlignment="1" applyProtection="1">
      <alignment vertical="top" wrapText="1"/>
      <protection locked="0"/>
    </xf>
    <xf numFmtId="0" fontId="16" fillId="2" borderId="40" xfId="6" applyFont="1" applyFill="1" applyBorder="1" applyAlignment="1" applyProtection="1">
      <alignment horizontal="center" vertical="center" wrapText="1"/>
      <protection locked="0"/>
    </xf>
    <xf numFmtId="0" fontId="16" fillId="2" borderId="30" xfId="6" applyFont="1" applyFill="1" applyBorder="1" applyAlignment="1" applyProtection="1">
      <alignment horizontal="center" vertical="center" wrapText="1"/>
      <protection locked="0"/>
    </xf>
    <xf numFmtId="0" fontId="16" fillId="4" borderId="30" xfId="0" applyFont="1" applyFill="1" applyBorder="1" applyAlignment="1">
      <alignment horizontal="center" vertical="center" wrapText="1"/>
    </xf>
    <xf numFmtId="0" fontId="16" fillId="2" borderId="41" xfId="6" applyFont="1" applyFill="1" applyBorder="1" applyAlignment="1" applyProtection="1">
      <alignment horizontal="center" vertical="center"/>
      <protection locked="0"/>
    </xf>
    <xf numFmtId="0" fontId="13" fillId="2" borderId="30" xfId="6" applyFont="1" applyFill="1" applyBorder="1" applyAlignment="1" applyProtection="1">
      <alignment horizontal="center" vertical="center"/>
      <protection locked="0"/>
    </xf>
    <xf numFmtId="0" fontId="16" fillId="2" borderId="41" xfId="6" applyFont="1" applyFill="1" applyBorder="1" applyAlignment="1" applyProtection="1">
      <alignment horizontal="center" vertical="center" wrapText="1"/>
      <protection locked="0"/>
    </xf>
    <xf numFmtId="0" fontId="13" fillId="2" borderId="32" xfId="6" applyFont="1" applyFill="1" applyBorder="1" applyAlignment="1" applyProtection="1">
      <alignment horizontal="center" vertical="center"/>
      <protection locked="0"/>
    </xf>
    <xf numFmtId="164" fontId="13" fillId="2" borderId="32" xfId="1" applyFont="1" applyFill="1" applyBorder="1" applyAlignment="1" applyProtection="1">
      <alignment horizontal="center" vertical="center"/>
      <protection locked="0"/>
    </xf>
    <xf numFmtId="9" fontId="13" fillId="3" borderId="32" xfId="4" applyFont="1" applyFill="1" applyBorder="1" applyAlignment="1" applyProtection="1">
      <alignment horizontal="center" vertical="center"/>
      <protection locked="0"/>
    </xf>
    <xf numFmtId="1" fontId="13" fillId="3" borderId="32" xfId="6" applyNumberFormat="1" applyFont="1" applyFill="1" applyBorder="1" applyAlignment="1" applyProtection="1">
      <alignment horizontal="center" vertical="center"/>
      <protection locked="0"/>
    </xf>
    <xf numFmtId="164" fontId="13" fillId="2" borderId="0" xfId="1" applyFont="1" applyFill="1" applyBorder="1" applyAlignment="1" applyProtection="1">
      <alignment horizontal="center" vertical="center"/>
      <protection locked="0"/>
    </xf>
    <xf numFmtId="0" fontId="13" fillId="3" borderId="32" xfId="6" applyFont="1" applyFill="1" applyBorder="1" applyAlignment="1" applyProtection="1">
      <alignment horizontal="center" vertical="center"/>
      <protection locked="0"/>
    </xf>
    <xf numFmtId="164" fontId="13" fillId="2" borderId="32" xfId="6" applyNumberFormat="1" applyFont="1" applyFill="1" applyBorder="1" applyAlignment="1" applyProtection="1">
      <alignment horizontal="center" vertical="center"/>
      <protection locked="0"/>
    </xf>
    <xf numFmtId="0" fontId="12" fillId="2" borderId="34" xfId="6" applyFont="1" applyFill="1" applyBorder="1" applyAlignment="1" applyProtection="1">
      <alignment vertical="top" wrapText="1"/>
      <protection locked="0"/>
    </xf>
    <xf numFmtId="0" fontId="12" fillId="2" borderId="35" xfId="6" applyFont="1" applyFill="1" applyBorder="1" applyAlignment="1" applyProtection="1">
      <alignment vertical="top" wrapText="1"/>
      <protection locked="0"/>
    </xf>
    <xf numFmtId="0" fontId="16" fillId="2" borderId="35" xfId="6" applyFont="1" applyFill="1" applyBorder="1" applyAlignment="1" applyProtection="1">
      <alignment horizontal="center" vertical="center"/>
      <protection locked="0"/>
    </xf>
    <xf numFmtId="0" fontId="16" fillId="2" borderId="35" xfId="6" applyFont="1" applyFill="1" applyBorder="1" applyAlignment="1" applyProtection="1">
      <alignment horizontal="center" vertical="center" wrapText="1"/>
      <protection locked="0"/>
    </xf>
    <xf numFmtId="9" fontId="20" fillId="2" borderId="46" xfId="4" applyFont="1" applyFill="1" applyBorder="1" applyAlignment="1" applyProtection="1">
      <alignment horizontal="center" vertical="center"/>
      <protection locked="0"/>
    </xf>
    <xf numFmtId="0" fontId="13" fillId="2" borderId="34" xfId="6" applyFont="1" applyFill="1" applyBorder="1" applyAlignment="1" applyProtection="1">
      <alignment horizontal="center" vertical="center"/>
      <protection locked="0"/>
    </xf>
    <xf numFmtId="164" fontId="13" fillId="4" borderId="0" xfId="1" applyFont="1" applyFill="1" applyBorder="1" applyAlignment="1">
      <alignment horizontal="center" vertical="center"/>
    </xf>
    <xf numFmtId="164" fontId="13" fillId="2" borderId="35" xfId="6" applyNumberFormat="1" applyFont="1" applyFill="1" applyBorder="1" applyAlignment="1" applyProtection="1">
      <alignment horizontal="center" vertical="center"/>
      <protection locked="0"/>
    </xf>
    <xf numFmtId="9" fontId="13" fillId="2" borderId="0" xfId="4" applyFont="1" applyFill="1" applyBorder="1" applyAlignment="1" applyProtection="1">
      <alignment horizontal="center" vertical="center"/>
      <protection locked="0"/>
    </xf>
    <xf numFmtId="174" fontId="13" fillId="2" borderId="35" xfId="1" applyNumberFormat="1" applyFont="1" applyFill="1" applyBorder="1" applyAlignment="1" applyProtection="1">
      <alignment horizontal="center" vertical="center"/>
      <protection locked="0"/>
    </xf>
    <xf numFmtId="0" fontId="13" fillId="2" borderId="44" xfId="6" applyFont="1" applyFill="1" applyBorder="1" applyAlignment="1" applyProtection="1">
      <alignment horizontal="center" vertical="center"/>
      <protection locked="0"/>
    </xf>
    <xf numFmtId="1" fontId="13" fillId="2" borderId="0" xfId="6" applyNumberFormat="1" applyFont="1" applyFill="1" applyAlignment="1" applyProtection="1">
      <alignment horizontal="center" vertical="center"/>
      <protection locked="0"/>
    </xf>
    <xf numFmtId="0" fontId="14" fillId="2" borderId="0" xfId="6" applyFont="1" applyFill="1" applyAlignment="1" applyProtection="1">
      <alignment horizontal="center"/>
      <protection locked="0"/>
    </xf>
    <xf numFmtId="9" fontId="20" fillId="2" borderId="48" xfId="4" applyFont="1" applyFill="1" applyBorder="1" applyAlignment="1" applyProtection="1">
      <alignment horizontal="center" vertical="center"/>
      <protection locked="0"/>
    </xf>
    <xf numFmtId="164" fontId="16" fillId="2" borderId="32" xfId="1" applyFont="1" applyFill="1" applyBorder="1" applyAlignment="1" applyProtection="1">
      <alignment horizontal="center" vertical="center"/>
      <protection locked="0"/>
    </xf>
    <xf numFmtId="0" fontId="7" fillId="2" borderId="0" xfId="6" applyFont="1" applyFill="1" applyAlignment="1" applyProtection="1">
      <alignment horizontal="center" vertical="center" wrapText="1"/>
      <protection locked="0"/>
    </xf>
    <xf numFmtId="0" fontId="16" fillId="2" borderId="34" xfId="0" applyFont="1" applyFill="1" applyBorder="1" applyAlignment="1">
      <alignment horizontal="center" vertical="center"/>
    </xf>
    <xf numFmtId="0" fontId="16" fillId="2" borderId="0" xfId="0" applyFont="1" applyFill="1" applyAlignment="1">
      <alignment horizontal="center" vertical="center"/>
    </xf>
    <xf numFmtId="0" fontId="16" fillId="2" borderId="35" xfId="0" applyFont="1" applyFill="1" applyBorder="1" applyAlignment="1">
      <alignment horizontal="center" vertical="center"/>
    </xf>
    <xf numFmtId="1" fontId="13" fillId="2" borderId="32" xfId="5" applyNumberFormat="1" applyFont="1" applyFill="1" applyBorder="1" applyAlignment="1" applyProtection="1">
      <alignment horizontal="center" vertical="center"/>
      <protection locked="0"/>
    </xf>
    <xf numFmtId="0" fontId="7" fillId="2" borderId="0" xfId="6" applyFont="1" applyFill="1" applyAlignment="1" applyProtection="1">
      <alignment vertical="center" wrapText="1"/>
      <protection locked="0"/>
    </xf>
    <xf numFmtId="164" fontId="11" fillId="2" borderId="0" xfId="7" applyFont="1" applyFill="1" applyBorder="1" applyAlignment="1" applyProtection="1">
      <alignment horizontal="center" wrapText="1"/>
    </xf>
    <xf numFmtId="0" fontId="14" fillId="2" borderId="48" xfId="6" applyFont="1" applyFill="1" applyBorder="1" applyAlignment="1" applyProtection="1">
      <alignment horizontal="center"/>
      <protection locked="0"/>
    </xf>
    <xf numFmtId="0" fontId="13" fillId="2" borderId="34" xfId="0" applyFont="1" applyFill="1" applyBorder="1" applyAlignment="1">
      <alignment horizontal="center" vertical="center" wrapText="1"/>
    </xf>
    <xf numFmtId="0" fontId="23" fillId="6" borderId="32" xfId="6" applyFont="1" applyFill="1" applyBorder="1" applyAlignment="1" applyProtection="1">
      <alignment horizontal="center" vertical="center" wrapText="1"/>
      <protection locked="0"/>
    </xf>
    <xf numFmtId="0" fontId="24" fillId="2" borderId="32" xfId="6" applyFont="1" applyFill="1" applyBorder="1" applyAlignment="1" applyProtection="1">
      <alignment horizontal="center" vertical="center"/>
      <protection locked="0"/>
    </xf>
    <xf numFmtId="0" fontId="13" fillId="2" borderId="35" xfId="0" applyFont="1" applyFill="1" applyBorder="1" applyAlignment="1">
      <alignment horizontal="center" vertical="center"/>
    </xf>
    <xf numFmtId="1" fontId="13" fillId="2" borderId="0" xfId="5" applyNumberFormat="1" applyFont="1" applyFill="1" applyBorder="1" applyAlignment="1" applyProtection="1">
      <alignment horizontal="center" vertical="center"/>
      <protection locked="0"/>
    </xf>
    <xf numFmtId="0" fontId="14" fillId="2" borderId="34" xfId="6" applyFont="1" applyFill="1" applyBorder="1" applyAlignment="1" applyProtection="1">
      <alignment horizontal="center"/>
      <protection locked="0"/>
    </xf>
    <xf numFmtId="9" fontId="14" fillId="2" borderId="48" xfId="6" applyNumberFormat="1" applyFont="1" applyFill="1" applyBorder="1" applyAlignment="1" applyProtection="1">
      <alignment horizontal="center"/>
      <protection locked="0"/>
    </xf>
    <xf numFmtId="0" fontId="13" fillId="2" borderId="35" xfId="6" applyFont="1" applyFill="1" applyBorder="1" applyAlignment="1" applyProtection="1">
      <alignment horizontal="center" vertical="center"/>
      <protection locked="0"/>
    </xf>
    <xf numFmtId="9" fontId="20" fillId="2" borderId="47" xfId="4" applyFont="1" applyFill="1" applyBorder="1" applyAlignment="1" applyProtection="1">
      <alignment horizontal="center" vertical="center"/>
      <protection locked="0"/>
    </xf>
    <xf numFmtId="164" fontId="14" fillId="2" borderId="0" xfId="1" applyFont="1" applyFill="1" applyBorder="1" applyAlignment="1" applyProtection="1">
      <alignment horizontal="center"/>
      <protection locked="0"/>
    </xf>
    <xf numFmtId="164" fontId="13" fillId="2" borderId="0" xfId="7" applyFont="1" applyFill="1" applyBorder="1" applyAlignment="1" applyProtection="1">
      <alignment horizontal="center" vertical="center"/>
    </xf>
    <xf numFmtId="14" fontId="20" fillId="2" borderId="0" xfId="6" applyNumberFormat="1" applyFont="1" applyFill="1" applyAlignment="1" applyProtection="1">
      <alignment horizontal="center" vertical="center"/>
      <protection locked="0"/>
    </xf>
    <xf numFmtId="0" fontId="13" fillId="2" borderId="48" xfId="6" applyFont="1" applyFill="1" applyBorder="1" applyAlignment="1" applyProtection="1">
      <alignment horizontal="center" vertical="center"/>
      <protection locked="0"/>
    </xf>
    <xf numFmtId="164" fontId="13" fillId="2" borderId="34" xfId="1" applyFont="1" applyFill="1" applyBorder="1" applyAlignment="1">
      <alignment horizontal="center" vertical="center" wrapText="1"/>
    </xf>
    <xf numFmtId="164" fontId="13" fillId="2" borderId="35" xfId="1" applyFont="1" applyFill="1" applyBorder="1" applyAlignment="1">
      <alignment horizontal="center" vertical="center"/>
    </xf>
    <xf numFmtId="0" fontId="16" fillId="2" borderId="31" xfId="6" applyFont="1" applyFill="1" applyBorder="1" applyAlignment="1" applyProtection="1">
      <alignment horizontal="center" vertical="center"/>
      <protection locked="0"/>
    </xf>
    <xf numFmtId="0" fontId="21" fillId="2" borderId="0" xfId="6" applyFont="1" applyFill="1" applyAlignment="1" applyProtection="1">
      <alignment vertical="center" wrapText="1"/>
      <protection locked="0"/>
    </xf>
    <xf numFmtId="0" fontId="16" fillId="2" borderId="0" xfId="6" applyFont="1" applyFill="1" applyAlignment="1" applyProtection="1">
      <alignment vertical="center" wrapText="1"/>
      <protection locked="0"/>
    </xf>
    <xf numFmtId="0" fontId="21" fillId="2" borderId="45" xfId="6" applyFont="1" applyFill="1" applyBorder="1" applyAlignment="1" applyProtection="1">
      <alignment vertical="center" wrapText="1"/>
      <protection locked="0"/>
    </xf>
    <xf numFmtId="0" fontId="20" fillId="2" borderId="0" xfId="6" applyFont="1" applyFill="1" applyAlignment="1" applyProtection="1">
      <alignment horizontal="center" vertical="center" wrapText="1"/>
      <protection locked="0"/>
    </xf>
    <xf numFmtId="0" fontId="13" fillId="4" borderId="42" xfId="0" applyFont="1" applyFill="1" applyBorder="1" applyAlignment="1">
      <alignment horizontal="center" vertical="center"/>
    </xf>
    <xf numFmtId="0" fontId="13" fillId="2" borderId="43" xfId="6" applyFont="1" applyFill="1" applyBorder="1" applyAlignment="1" applyProtection="1">
      <alignment horizontal="center" vertical="center"/>
      <protection locked="0"/>
    </xf>
    <xf numFmtId="0" fontId="13" fillId="2" borderId="42" xfId="6" applyFont="1" applyFill="1" applyBorder="1" applyAlignment="1" applyProtection="1">
      <alignment horizontal="center" vertical="center"/>
      <protection locked="0"/>
    </xf>
    <xf numFmtId="164" fontId="13" fillId="2" borderId="31" xfId="1" applyFont="1" applyFill="1" applyBorder="1" applyAlignment="1" applyProtection="1">
      <alignment horizontal="center" vertical="center"/>
      <protection locked="0"/>
    </xf>
    <xf numFmtId="1" fontId="13" fillId="2" borderId="31" xfId="5" applyNumberFormat="1" applyFont="1" applyFill="1" applyBorder="1" applyAlignment="1" applyProtection="1">
      <alignment horizontal="center" vertical="center"/>
      <protection locked="0"/>
    </xf>
    <xf numFmtId="9" fontId="13" fillId="2" borderId="31" xfId="4" applyFont="1" applyFill="1" applyBorder="1" applyAlignment="1" applyProtection="1">
      <alignment horizontal="center" vertical="center"/>
      <protection locked="0"/>
    </xf>
    <xf numFmtId="174" fontId="13" fillId="2" borderId="43" xfId="1" applyNumberFormat="1" applyFont="1" applyFill="1" applyBorder="1" applyAlignment="1" applyProtection="1">
      <alignment horizontal="center" vertical="center"/>
      <protection locked="0"/>
    </xf>
    <xf numFmtId="164" fontId="25" fillId="2" borderId="0" xfId="1" applyFont="1" applyFill="1" applyBorder="1" applyAlignment="1" applyProtection="1">
      <alignment horizontal="center" vertical="center"/>
      <protection locked="0"/>
    </xf>
    <xf numFmtId="164" fontId="16" fillId="2" borderId="0" xfId="7" applyFont="1" applyFill="1" applyBorder="1" applyAlignment="1" applyProtection="1">
      <alignment horizontal="center" vertical="center" wrapText="1"/>
    </xf>
    <xf numFmtId="9" fontId="26" fillId="2" borderId="32" xfId="6" applyNumberFormat="1" applyFont="1" applyFill="1" applyBorder="1" applyAlignment="1" applyProtection="1">
      <alignment horizontal="center" vertical="center" wrapText="1"/>
      <protection locked="0"/>
    </xf>
    <xf numFmtId="10" fontId="16" fillId="2" borderId="32" xfId="4" applyNumberFormat="1" applyFont="1" applyFill="1" applyBorder="1" applyAlignment="1" applyProtection="1">
      <alignment horizontal="center" vertical="center"/>
      <protection locked="0"/>
    </xf>
    <xf numFmtId="49" fontId="13" fillId="2" borderId="36" xfId="6" applyNumberFormat="1" applyFont="1" applyFill="1" applyBorder="1" applyAlignment="1" applyProtection="1">
      <alignment horizontal="center" vertical="center"/>
      <protection locked="0"/>
    </xf>
    <xf numFmtId="0" fontId="13" fillId="2" borderId="27" xfId="6" applyFont="1" applyFill="1" applyBorder="1" applyAlignment="1" applyProtection="1">
      <alignment horizontal="center" vertical="center"/>
      <protection locked="0"/>
    </xf>
    <xf numFmtId="14" fontId="13" fillId="2" borderId="27" xfId="6" applyNumberFormat="1" applyFont="1" applyFill="1" applyBorder="1" applyAlignment="1" applyProtection="1">
      <alignment horizontal="center" vertical="center"/>
      <protection locked="0"/>
    </xf>
    <xf numFmtId="14" fontId="13" fillId="2" borderId="27" xfId="6" applyNumberFormat="1" applyFont="1" applyFill="1" applyBorder="1" applyAlignment="1" applyProtection="1">
      <alignment horizontal="center" vertical="center" wrapText="1"/>
      <protection locked="0"/>
    </xf>
    <xf numFmtId="14" fontId="13" fillId="2" borderId="37" xfId="6" applyNumberFormat="1" applyFont="1" applyFill="1" applyBorder="1" applyAlignment="1" applyProtection="1">
      <alignment horizontal="center" vertical="center"/>
      <protection locked="0"/>
    </xf>
    <xf numFmtId="9" fontId="27" fillId="2" borderId="32" xfId="6" applyNumberFormat="1" applyFont="1" applyFill="1" applyBorder="1" applyAlignment="1" applyProtection="1">
      <alignment horizontal="center" vertical="center" wrapText="1"/>
      <protection locked="0"/>
    </xf>
    <xf numFmtId="171" fontId="27" fillId="2" borderId="32" xfId="6" applyNumberFormat="1" applyFont="1" applyFill="1" applyBorder="1" applyAlignment="1" applyProtection="1">
      <alignment horizontal="center" vertical="center" wrapText="1"/>
      <protection locked="0"/>
    </xf>
    <xf numFmtId="9" fontId="28" fillId="2" borderId="18" xfId="6" applyNumberFormat="1" applyFont="1" applyFill="1" applyBorder="1" applyAlignment="1" applyProtection="1">
      <alignment horizontal="center" vertical="center" wrapText="1"/>
      <protection locked="0"/>
    </xf>
    <xf numFmtId="9" fontId="28" fillId="2" borderId="6" xfId="6" applyNumberFormat="1" applyFont="1" applyFill="1" applyBorder="1" applyAlignment="1" applyProtection="1">
      <alignment horizontal="center" vertical="center" wrapText="1"/>
      <protection locked="0"/>
    </xf>
    <xf numFmtId="171" fontId="28" fillId="2" borderId="19" xfId="6" applyNumberFormat="1" applyFont="1" applyFill="1" applyBorder="1" applyAlignment="1" applyProtection="1">
      <alignment horizontal="center" vertical="center" wrapText="1"/>
      <protection locked="0"/>
    </xf>
    <xf numFmtId="9" fontId="28" fillId="2" borderId="19" xfId="6" applyNumberFormat="1" applyFont="1" applyFill="1" applyBorder="1" applyAlignment="1" applyProtection="1">
      <alignment horizontal="center" vertical="center" wrapText="1"/>
      <protection locked="0"/>
    </xf>
    <xf numFmtId="0" fontId="16" fillId="2" borderId="17" xfId="6" applyFont="1" applyFill="1" applyBorder="1" applyAlignment="1">
      <alignment vertical="center"/>
    </xf>
    <xf numFmtId="44" fontId="13" fillId="3" borderId="32" xfId="16" applyFont="1" applyFill="1" applyBorder="1" applyAlignment="1" applyProtection="1">
      <alignment horizontal="center" vertical="center"/>
      <protection locked="0"/>
    </xf>
    <xf numFmtId="0" fontId="13" fillId="2" borderId="32" xfId="6" applyFont="1" applyFill="1" applyBorder="1" applyAlignment="1" applyProtection="1">
      <alignment horizontal="center" vertical="center" wrapText="1"/>
      <protection locked="0"/>
    </xf>
    <xf numFmtId="0" fontId="29" fillId="2" borderId="44" xfId="6" applyFont="1" applyFill="1" applyBorder="1" applyAlignment="1" applyProtection="1">
      <alignment horizontal="center" vertical="center"/>
      <protection locked="0"/>
    </xf>
    <xf numFmtId="0" fontId="29" fillId="2" borderId="29" xfId="6" applyFont="1" applyFill="1" applyBorder="1" applyAlignment="1" applyProtection="1">
      <alignment horizontal="center" vertical="center"/>
      <protection locked="0"/>
    </xf>
    <xf numFmtId="164" fontId="29" fillId="2" borderId="45" xfId="1" applyFont="1" applyFill="1" applyBorder="1" applyAlignment="1" applyProtection="1">
      <alignment horizontal="center" vertical="center"/>
      <protection locked="0"/>
    </xf>
    <xf numFmtId="0" fontId="13" fillId="2" borderId="6" xfId="6" applyFont="1" applyFill="1" applyBorder="1" applyAlignment="1" applyProtection="1">
      <alignment horizontal="center" vertical="center"/>
      <protection locked="0"/>
    </xf>
    <xf numFmtId="164" fontId="31" fillId="2" borderId="32" xfId="7" applyFont="1" applyFill="1" applyBorder="1" applyAlignment="1" applyProtection="1">
      <alignment horizontal="center" vertical="center" wrapText="1"/>
    </xf>
    <xf numFmtId="164" fontId="31" fillId="0" borderId="32" xfId="7" applyFont="1" applyFill="1" applyBorder="1" applyAlignment="1" applyProtection="1">
      <alignment horizontal="center" vertical="center" wrapText="1"/>
    </xf>
    <xf numFmtId="164" fontId="13" fillId="2" borderId="19" xfId="7" applyFont="1" applyFill="1" applyBorder="1" applyAlignment="1" applyProtection="1">
      <alignment horizontal="center" vertical="center" wrapText="1"/>
    </xf>
    <xf numFmtId="164" fontId="13" fillId="2" borderId="23" xfId="7" applyFont="1" applyFill="1" applyBorder="1" applyAlignment="1" applyProtection="1">
      <alignment horizontal="center" vertical="center" wrapText="1"/>
    </xf>
    <xf numFmtId="164" fontId="13" fillId="2" borderId="6" xfId="7" applyFont="1" applyFill="1" applyBorder="1" applyAlignment="1" applyProtection="1">
      <alignment horizontal="center" vertical="center" wrapText="1"/>
    </xf>
    <xf numFmtId="1" fontId="31" fillId="0" borderId="32" xfId="5" applyNumberFormat="1" applyFont="1" applyFill="1" applyBorder="1" applyAlignment="1" applyProtection="1">
      <alignment horizontal="center" vertical="center" wrapText="1"/>
    </xf>
    <xf numFmtId="1" fontId="31" fillId="0" borderId="32" xfId="6" applyNumberFormat="1" applyFont="1" applyBorder="1" applyAlignment="1" applyProtection="1">
      <alignment horizontal="center" vertical="center"/>
      <protection locked="0"/>
    </xf>
    <xf numFmtId="1" fontId="31" fillId="0" borderId="32" xfId="7" applyNumberFormat="1" applyFont="1" applyFill="1" applyBorder="1" applyAlignment="1" applyProtection="1">
      <alignment horizontal="center" vertical="center" wrapText="1"/>
    </xf>
    <xf numFmtId="164" fontId="26" fillId="2" borderId="49" xfId="16" applyNumberFormat="1" applyFont="1" applyFill="1" applyBorder="1" applyAlignment="1" applyProtection="1">
      <alignment horizontal="center" vertical="center"/>
      <protection locked="0"/>
    </xf>
    <xf numFmtId="0" fontId="16" fillId="2" borderId="50" xfId="6" applyFont="1" applyFill="1" applyBorder="1" applyAlignment="1" applyProtection="1">
      <alignment horizontal="center" vertical="center" wrapText="1"/>
      <protection locked="0"/>
    </xf>
    <xf numFmtId="0" fontId="26" fillId="2" borderId="51" xfId="6" applyFont="1" applyFill="1" applyBorder="1" applyAlignment="1" applyProtection="1">
      <alignment horizontal="center" vertical="center"/>
      <protection locked="0"/>
    </xf>
    <xf numFmtId="164" fontId="14" fillId="2" borderId="0" xfId="7" applyFont="1" applyFill="1" applyBorder="1" applyAlignment="1" applyProtection="1">
      <alignment horizontal="center" vertical="center"/>
    </xf>
    <xf numFmtId="9" fontId="29" fillId="2" borderId="0" xfId="4" applyFont="1" applyFill="1" applyBorder="1" applyAlignment="1">
      <alignment horizontal="center" vertical="center"/>
    </xf>
    <xf numFmtId="166" fontId="14" fillId="2" borderId="14" xfId="6" applyNumberFormat="1" applyFont="1" applyFill="1" applyBorder="1" applyAlignment="1">
      <alignment horizontal="center" vertical="center"/>
    </xf>
    <xf numFmtId="166" fontId="14" fillId="2" borderId="0" xfId="6" applyNumberFormat="1" applyFont="1" applyFill="1" applyAlignment="1">
      <alignment horizontal="center" vertical="center"/>
    </xf>
    <xf numFmtId="0" fontId="16" fillId="2" borderId="43" xfId="6" applyFont="1" applyFill="1" applyBorder="1" applyAlignment="1" applyProtection="1">
      <alignment horizontal="center" vertical="center" wrapText="1"/>
      <protection locked="0"/>
    </xf>
    <xf numFmtId="176" fontId="20" fillId="2" borderId="0" xfId="6" applyNumberFormat="1" applyFont="1" applyFill="1" applyAlignment="1" applyProtection="1">
      <alignment horizontal="center" vertical="center"/>
      <protection locked="0"/>
    </xf>
    <xf numFmtId="0" fontId="14" fillId="2" borderId="0" xfId="6" applyFont="1" applyFill="1" applyAlignment="1">
      <alignment horizontal="center" vertical="center"/>
    </xf>
    <xf numFmtId="9" fontId="13" fillId="2" borderId="0" xfId="4" applyFont="1" applyFill="1" applyBorder="1" applyAlignment="1">
      <alignment horizontal="center" vertical="center"/>
    </xf>
    <xf numFmtId="168" fontId="13" fillId="2" borderId="14" xfId="6" applyNumberFormat="1" applyFont="1" applyFill="1" applyBorder="1" applyAlignment="1">
      <alignment horizontal="center" vertical="center"/>
    </xf>
    <xf numFmtId="168" fontId="13" fillId="2" borderId="0" xfId="6" applyNumberFormat="1" applyFont="1" applyFill="1" applyAlignment="1">
      <alignment horizontal="center" vertical="center"/>
    </xf>
    <xf numFmtId="9" fontId="13" fillId="2" borderId="34" xfId="4" applyFont="1" applyFill="1" applyBorder="1" applyAlignment="1">
      <alignment horizontal="center" vertical="center"/>
    </xf>
    <xf numFmtId="9" fontId="14" fillId="2" borderId="48" xfId="4" applyFont="1" applyFill="1" applyBorder="1" applyAlignment="1" applyProtection="1">
      <alignment horizontal="center" vertical="center"/>
      <protection locked="0"/>
    </xf>
    <xf numFmtId="9" fontId="16" fillId="2" borderId="32" xfId="4" applyFont="1" applyFill="1" applyBorder="1" applyAlignment="1">
      <alignment horizontal="center" vertical="center" wrapText="1"/>
    </xf>
    <xf numFmtId="49" fontId="20" fillId="2" borderId="32" xfId="4" applyNumberFormat="1" applyFont="1" applyFill="1" applyBorder="1" applyAlignment="1">
      <alignment horizontal="center" vertical="center" wrapText="1"/>
    </xf>
    <xf numFmtId="168" fontId="14" fillId="2" borderId="0" xfId="6" applyNumberFormat="1" applyFont="1" applyFill="1" applyAlignment="1">
      <alignment horizontal="center" vertical="center"/>
    </xf>
    <xf numFmtId="168" fontId="14" fillId="2" borderId="14" xfId="6" applyNumberFormat="1" applyFont="1" applyFill="1" applyBorder="1" applyAlignment="1">
      <alignment horizontal="center" vertical="center"/>
    </xf>
    <xf numFmtId="177" fontId="20" fillId="2" borderId="44" xfId="4" applyNumberFormat="1" applyFont="1" applyFill="1" applyBorder="1" applyAlignment="1">
      <alignment horizontal="center" vertical="center"/>
    </xf>
    <xf numFmtId="168" fontId="20" fillId="2" borderId="32" xfId="6" applyNumberFormat="1" applyFont="1" applyFill="1" applyBorder="1" applyAlignment="1">
      <alignment horizontal="center" vertical="center"/>
    </xf>
    <xf numFmtId="2" fontId="20" fillId="2" borderId="0" xfId="6" applyNumberFormat="1" applyFont="1" applyFill="1" applyAlignment="1">
      <alignment horizontal="center" vertical="center"/>
    </xf>
    <xf numFmtId="2" fontId="14" fillId="2" borderId="0" xfId="6" applyNumberFormat="1" applyFont="1" applyFill="1" applyAlignment="1">
      <alignment horizontal="center" vertical="center"/>
    </xf>
    <xf numFmtId="2" fontId="14" fillId="2" borderId="14" xfId="6" applyNumberFormat="1" applyFont="1" applyFill="1" applyBorder="1" applyAlignment="1">
      <alignment horizontal="center" vertical="center"/>
    </xf>
    <xf numFmtId="1" fontId="20" fillId="2" borderId="32" xfId="5" applyNumberFormat="1" applyFont="1" applyFill="1" applyBorder="1" applyAlignment="1" applyProtection="1">
      <alignment horizontal="center" vertical="center"/>
      <protection locked="0"/>
    </xf>
    <xf numFmtId="169" fontId="13" fillId="2" borderId="32" xfId="6" applyNumberFormat="1" applyFont="1" applyFill="1" applyBorder="1" applyAlignment="1" applyProtection="1">
      <alignment horizontal="center" vertical="center"/>
      <protection locked="0"/>
    </xf>
    <xf numFmtId="1" fontId="13" fillId="2" borderId="32" xfId="6" applyNumberFormat="1" applyFont="1" applyFill="1" applyBorder="1" applyAlignment="1" applyProtection="1">
      <alignment horizontal="center" vertical="center"/>
      <protection locked="0"/>
    </xf>
    <xf numFmtId="0" fontId="14" fillId="2" borderId="35" xfId="6" applyFont="1" applyFill="1" applyBorder="1" applyAlignment="1">
      <alignment horizontal="center" vertical="center"/>
    </xf>
    <xf numFmtId="0" fontId="14" fillId="2" borderId="34" xfId="6" applyFont="1" applyFill="1" applyBorder="1" applyAlignment="1">
      <alignment horizontal="center" vertical="center"/>
    </xf>
    <xf numFmtId="9" fontId="20" fillId="2" borderId="32" xfId="4" applyFont="1" applyFill="1" applyBorder="1" applyAlignment="1">
      <alignment horizontal="center" vertical="center"/>
    </xf>
    <xf numFmtId="169" fontId="28" fillId="2" borderId="32" xfId="6" applyNumberFormat="1" applyFont="1" applyFill="1" applyBorder="1" applyAlignment="1" applyProtection="1">
      <alignment horizontal="center" vertical="center"/>
      <protection locked="0"/>
    </xf>
    <xf numFmtId="0" fontId="13" fillId="2" borderId="0" xfId="6" applyFont="1" applyFill="1" applyAlignment="1">
      <alignment horizontal="center" vertical="center"/>
    </xf>
    <xf numFmtId="0" fontId="14" fillId="2" borderId="14" xfId="6" applyFont="1" applyFill="1" applyBorder="1" applyAlignment="1">
      <alignment horizontal="center" vertical="center"/>
    </xf>
    <xf numFmtId="10" fontId="20" fillId="2" borderId="32" xfId="4" applyNumberFormat="1" applyFont="1" applyFill="1" applyBorder="1" applyAlignment="1">
      <alignment horizontal="center" vertical="center"/>
    </xf>
    <xf numFmtId="0" fontId="14" fillId="2" borderId="48" xfId="6" applyFont="1" applyFill="1" applyBorder="1" applyAlignment="1">
      <alignment horizontal="center" vertical="center"/>
    </xf>
    <xf numFmtId="164" fontId="14" fillId="2" borderId="0" xfId="1" applyFont="1" applyFill="1" applyBorder="1" applyAlignment="1">
      <alignment horizontal="center" vertical="center"/>
    </xf>
    <xf numFmtId="175" fontId="20" fillId="2" borderId="32" xfId="16" applyNumberFormat="1" applyFont="1" applyFill="1" applyBorder="1" applyAlignment="1">
      <alignment horizontal="center" vertical="center"/>
    </xf>
    <xf numFmtId="170" fontId="14" fillId="2" borderId="0" xfId="6" applyNumberFormat="1" applyFont="1" applyFill="1" applyAlignment="1">
      <alignment horizontal="center" vertical="center"/>
    </xf>
    <xf numFmtId="170" fontId="13" fillId="2" borderId="0" xfId="6" applyNumberFormat="1" applyFont="1" applyFill="1" applyAlignment="1">
      <alignment horizontal="center" vertical="center"/>
    </xf>
    <xf numFmtId="170" fontId="14" fillId="2" borderId="14" xfId="6" applyNumberFormat="1" applyFont="1" applyFill="1" applyBorder="1" applyAlignment="1">
      <alignment horizontal="center" vertical="center"/>
    </xf>
    <xf numFmtId="164" fontId="15" fillId="2" borderId="0" xfId="7" applyFont="1" applyFill="1" applyBorder="1" applyAlignment="1" applyProtection="1">
      <alignment horizontal="center" vertical="center"/>
    </xf>
    <xf numFmtId="0" fontId="15" fillId="2" borderId="44" xfId="6" applyFont="1" applyFill="1" applyBorder="1" applyAlignment="1">
      <alignment horizontal="center" vertical="center"/>
    </xf>
    <xf numFmtId="0" fontId="15" fillId="2" borderId="29" xfId="6" applyFont="1" applyFill="1" applyBorder="1" applyAlignment="1">
      <alignment horizontal="center" vertical="center"/>
    </xf>
    <xf numFmtId="0" fontId="15" fillId="2" borderId="45" xfId="6" applyFont="1" applyFill="1" applyBorder="1" applyAlignment="1">
      <alignment horizontal="center" vertical="center"/>
    </xf>
    <xf numFmtId="0" fontId="15" fillId="2" borderId="46" xfId="6" applyFont="1" applyFill="1" applyBorder="1" applyAlignment="1">
      <alignment horizontal="center" vertical="center"/>
    </xf>
    <xf numFmtId="0" fontId="15" fillId="2" borderId="32" xfId="6" applyFont="1" applyFill="1" applyBorder="1" applyAlignment="1">
      <alignment horizontal="center" vertical="center"/>
    </xf>
    <xf numFmtId="9" fontId="15" fillId="2" borderId="44" xfId="6" applyNumberFormat="1" applyFont="1" applyFill="1" applyBorder="1" applyAlignment="1" applyProtection="1">
      <alignment horizontal="center" vertical="center" wrapText="1"/>
      <protection locked="0"/>
    </xf>
    <xf numFmtId="164" fontId="15" fillId="2" borderId="47" xfId="7" applyFont="1" applyFill="1" applyBorder="1" applyAlignment="1" applyProtection="1">
      <alignment vertical="center" wrapText="1"/>
    </xf>
    <xf numFmtId="0" fontId="15" fillId="2" borderId="12" xfId="6" applyFont="1" applyFill="1" applyBorder="1" applyAlignment="1">
      <alignment horizontal="center" vertical="center"/>
    </xf>
    <xf numFmtId="0" fontId="15" fillId="2" borderId="0" xfId="6" applyFont="1" applyFill="1" applyAlignment="1">
      <alignment horizontal="center" vertical="center"/>
    </xf>
    <xf numFmtId="0" fontId="15" fillId="2" borderId="21" xfId="6" applyFont="1" applyFill="1" applyBorder="1" applyAlignment="1">
      <alignment horizontal="center" vertical="center"/>
    </xf>
    <xf numFmtId="0" fontId="15" fillId="2" borderId="20" xfId="6" applyFont="1" applyFill="1" applyBorder="1" applyAlignment="1">
      <alignment horizontal="center" vertical="center"/>
    </xf>
    <xf numFmtId="0" fontId="15" fillId="2" borderId="22" xfId="6" applyFont="1" applyFill="1" applyBorder="1" applyAlignment="1">
      <alignment horizontal="center" vertical="center"/>
    </xf>
    <xf numFmtId="0" fontId="15" fillId="2" borderId="4" xfId="6" applyFont="1" applyFill="1" applyBorder="1" applyAlignment="1">
      <alignment horizontal="center" vertical="center"/>
    </xf>
    <xf numFmtId="0" fontId="15" fillId="2" borderId="17" xfId="6" applyFont="1" applyFill="1" applyBorder="1" applyAlignment="1">
      <alignment horizontal="center" vertical="center"/>
    </xf>
    <xf numFmtId="0" fontId="15" fillId="2" borderId="48" xfId="6" applyFont="1" applyFill="1" applyBorder="1" applyAlignment="1" applyProtection="1">
      <alignment horizontal="center" vertical="center"/>
      <protection locked="0"/>
    </xf>
    <xf numFmtId="0" fontId="18" fillId="2" borderId="0" xfId="6" applyFont="1" applyFill="1" applyAlignment="1" applyProtection="1">
      <alignment horizontal="center" vertical="center"/>
      <protection locked="0"/>
    </xf>
    <xf numFmtId="0" fontId="15" fillId="2" borderId="32" xfId="6" applyFont="1" applyFill="1" applyBorder="1" applyAlignment="1" applyProtection="1">
      <alignment horizontal="center" vertical="center" wrapText="1"/>
      <protection locked="0"/>
    </xf>
    <xf numFmtId="0" fontId="15" fillId="2" borderId="32" xfId="6" applyFont="1" applyFill="1" applyBorder="1" applyAlignment="1" applyProtection="1">
      <alignment horizontal="center" vertical="center"/>
      <protection locked="0"/>
    </xf>
    <xf numFmtId="14" fontId="18" fillId="3" borderId="32" xfId="6" applyNumberFormat="1" applyFont="1" applyFill="1" applyBorder="1" applyAlignment="1" applyProtection="1">
      <alignment horizontal="center" vertical="center"/>
      <protection locked="0"/>
    </xf>
    <xf numFmtId="1" fontId="18" fillId="3" borderId="32" xfId="6" applyNumberFormat="1" applyFont="1" applyFill="1" applyBorder="1" applyAlignment="1" applyProtection="1">
      <alignment horizontal="center" vertical="center"/>
      <protection locked="0"/>
    </xf>
    <xf numFmtId="164" fontId="18" fillId="2" borderId="32" xfId="6" applyNumberFormat="1" applyFont="1" applyFill="1" applyBorder="1" applyAlignment="1" applyProtection="1">
      <alignment horizontal="center" vertical="center"/>
      <protection locked="0"/>
    </xf>
    <xf numFmtId="164" fontId="18" fillId="2" borderId="32" xfId="1" applyFont="1" applyFill="1" applyBorder="1" applyAlignment="1" applyProtection="1">
      <alignment horizontal="center" vertical="center"/>
      <protection locked="0"/>
    </xf>
    <xf numFmtId="0" fontId="15" fillId="2" borderId="35" xfId="6" applyFont="1" applyFill="1" applyBorder="1" applyAlignment="1" applyProtection="1">
      <alignment horizontal="center" vertical="center"/>
      <protection locked="0"/>
    </xf>
    <xf numFmtId="0" fontId="15" fillId="2" borderId="0" xfId="6" applyFont="1" applyFill="1" applyAlignment="1" applyProtection="1">
      <alignment horizontal="center" vertical="center"/>
      <protection locked="0"/>
    </xf>
    <xf numFmtId="0" fontId="18" fillId="2" borderId="35" xfId="6" applyFont="1" applyFill="1" applyBorder="1" applyAlignment="1" applyProtection="1">
      <alignment horizontal="center" vertical="center"/>
      <protection locked="0"/>
    </xf>
    <xf numFmtId="0" fontId="18" fillId="2" borderId="34" xfId="6" applyFont="1" applyFill="1" applyBorder="1" applyAlignment="1" applyProtection="1">
      <alignment horizontal="center" vertical="center"/>
      <protection locked="0"/>
    </xf>
    <xf numFmtId="0" fontId="15" fillId="2" borderId="42" xfId="6" applyFont="1" applyFill="1" applyBorder="1" applyAlignment="1" applyProtection="1">
      <alignment horizontal="center" vertical="center"/>
      <protection locked="0"/>
    </xf>
    <xf numFmtId="0" fontId="15" fillId="2" borderId="31" xfId="6" applyFont="1" applyFill="1" applyBorder="1" applyAlignment="1" applyProtection="1">
      <alignment horizontal="center" vertical="center"/>
      <protection locked="0"/>
    </xf>
    <xf numFmtId="0" fontId="15" fillId="2" borderId="43" xfId="6" applyFont="1" applyFill="1" applyBorder="1" applyAlignment="1" applyProtection="1">
      <alignment horizontal="center" vertical="center"/>
      <protection locked="0"/>
    </xf>
    <xf numFmtId="0" fontId="34" fillId="2" borderId="42" xfId="6" applyFont="1" applyFill="1" applyBorder="1" applyAlignment="1" applyProtection="1">
      <alignment horizontal="center" vertical="center"/>
      <protection locked="0"/>
    </xf>
    <xf numFmtId="164" fontId="34" fillId="2" borderId="43" xfId="1" applyFont="1" applyFill="1" applyBorder="1" applyAlignment="1" applyProtection="1">
      <alignment horizontal="center" vertical="center"/>
      <protection locked="0"/>
    </xf>
    <xf numFmtId="0" fontId="15" fillId="2" borderId="12" xfId="6" applyFont="1" applyFill="1" applyBorder="1" applyAlignment="1" applyProtection="1">
      <alignment horizontal="center" vertical="center"/>
      <protection locked="0"/>
    </xf>
    <xf numFmtId="164" fontId="18" fillId="2" borderId="0" xfId="7" applyFont="1" applyFill="1" applyBorder="1" applyAlignment="1" applyProtection="1">
      <alignment horizontal="center" vertical="center"/>
    </xf>
    <xf numFmtId="172" fontId="18" fillId="4" borderId="32" xfId="0" applyNumberFormat="1" applyFont="1" applyFill="1" applyBorder="1" applyAlignment="1">
      <alignment horizontal="center" vertical="center"/>
    </xf>
    <xf numFmtId="172" fontId="18" fillId="4" borderId="44" xfId="0" applyNumberFormat="1" applyFont="1" applyFill="1" applyBorder="1" applyAlignment="1">
      <alignment horizontal="center" vertical="center"/>
    </xf>
    <xf numFmtId="164" fontId="18" fillId="2" borderId="40" xfId="7" applyFont="1" applyFill="1" applyBorder="1" applyAlignment="1" applyProtection="1">
      <alignment horizontal="center" vertical="center" wrapText="1"/>
    </xf>
    <xf numFmtId="173" fontId="18" fillId="2" borderId="30" xfId="4" applyNumberFormat="1" applyFont="1" applyFill="1" applyBorder="1" applyAlignment="1" applyProtection="1">
      <alignment horizontal="center" vertical="center" wrapText="1"/>
    </xf>
    <xf numFmtId="164" fontId="18" fillId="2" borderId="41" xfId="1" applyFont="1" applyFill="1" applyBorder="1" applyAlignment="1" applyProtection="1">
      <alignment horizontal="center" vertical="center" wrapText="1"/>
    </xf>
    <xf numFmtId="164" fontId="18" fillId="2" borderId="32" xfId="1" applyFont="1" applyFill="1" applyBorder="1" applyAlignment="1" applyProtection="1">
      <alignment horizontal="center" vertical="center" wrapText="1"/>
    </xf>
    <xf numFmtId="164" fontId="18" fillId="2" borderId="47" xfId="7" applyFont="1" applyFill="1" applyBorder="1" applyAlignment="1" applyProtection="1">
      <alignment vertical="center" wrapText="1"/>
    </xf>
    <xf numFmtId="164" fontId="18" fillId="2" borderId="34" xfId="4" applyNumberFormat="1" applyFont="1" applyFill="1" applyBorder="1" applyAlignment="1" applyProtection="1">
      <alignment horizontal="center" vertical="center" wrapText="1"/>
    </xf>
    <xf numFmtId="164" fontId="18" fillId="2" borderId="0" xfId="4" applyNumberFormat="1" applyFont="1" applyFill="1" applyBorder="1" applyAlignment="1" applyProtection="1">
      <alignment horizontal="center" vertical="center" wrapText="1"/>
    </xf>
    <xf numFmtId="175" fontId="18" fillId="2" borderId="0" xfId="16" applyNumberFormat="1" applyFont="1" applyFill="1" applyBorder="1" applyAlignment="1" applyProtection="1">
      <alignment horizontal="center" vertical="center" wrapText="1"/>
    </xf>
    <xf numFmtId="164" fontId="18" fillId="2" borderId="46" xfId="4" applyNumberFormat="1" applyFont="1" applyFill="1" applyBorder="1" applyAlignment="1" applyProtection="1">
      <alignment horizontal="center" vertical="center" wrapText="1"/>
    </xf>
    <xf numFmtId="164" fontId="18" fillId="2" borderId="0" xfId="6" applyNumberFormat="1" applyFont="1" applyFill="1" applyAlignment="1" applyProtection="1">
      <alignment horizontal="center" vertical="center"/>
      <protection locked="0"/>
    </xf>
    <xf numFmtId="164" fontId="35" fillId="2" borderId="46" xfId="4" applyNumberFormat="1" applyFont="1" applyFill="1" applyBorder="1" applyAlignment="1" applyProtection="1">
      <alignment horizontal="center" vertical="center" wrapText="1"/>
    </xf>
    <xf numFmtId="164" fontId="18" fillId="2" borderId="0" xfId="7" applyFont="1" applyFill="1" applyBorder="1" applyAlignment="1" applyProtection="1">
      <alignment horizontal="center" vertical="center" wrapText="1"/>
    </xf>
    <xf numFmtId="164" fontId="18" fillId="2" borderId="13" xfId="7" applyFont="1" applyFill="1" applyBorder="1" applyAlignment="1" applyProtection="1">
      <alignment horizontal="center" vertical="center" wrapText="1"/>
    </xf>
    <xf numFmtId="164" fontId="18" fillId="2" borderId="24" xfId="7" applyFont="1" applyFill="1" applyBorder="1" applyAlignment="1" applyProtection="1">
      <alignment horizontal="center" vertical="center" wrapText="1"/>
    </xf>
    <xf numFmtId="164" fontId="18" fillId="2" borderId="7" xfId="7" applyFont="1" applyFill="1" applyBorder="1" applyAlignment="1" applyProtection="1">
      <alignment horizontal="center" vertical="center" wrapText="1"/>
    </xf>
    <xf numFmtId="0" fontId="18" fillId="2" borderId="48" xfId="6" applyFont="1" applyFill="1" applyBorder="1" applyAlignment="1" applyProtection="1">
      <alignment horizontal="center" vertical="center"/>
      <protection locked="0"/>
    </xf>
    <xf numFmtId="0" fontId="18" fillId="2" borderId="0" xfId="6" applyFont="1" applyFill="1" applyAlignment="1" applyProtection="1">
      <alignment horizontal="center"/>
      <protection locked="0"/>
    </xf>
    <xf numFmtId="0" fontId="18" fillId="3" borderId="32" xfId="6" applyFont="1" applyFill="1" applyBorder="1" applyAlignment="1" applyProtection="1">
      <alignment horizontal="center" vertical="center"/>
      <protection locked="0"/>
    </xf>
    <xf numFmtId="173" fontId="18" fillId="4" borderId="32" xfId="0" applyNumberFormat="1" applyFont="1" applyFill="1" applyBorder="1" applyAlignment="1">
      <alignment horizontal="center" vertical="center"/>
    </xf>
    <xf numFmtId="173" fontId="18" fillId="2" borderId="44" xfId="6" applyNumberFormat="1" applyFont="1" applyFill="1" applyBorder="1" applyAlignment="1" applyProtection="1">
      <alignment horizontal="center" vertical="center"/>
      <protection locked="0"/>
    </xf>
    <xf numFmtId="0" fontId="18" fillId="2" borderId="32" xfId="6" applyFont="1" applyFill="1" applyBorder="1" applyAlignment="1" applyProtection="1">
      <alignment horizontal="center" vertical="center"/>
      <protection locked="0"/>
    </xf>
    <xf numFmtId="164" fontId="18" fillId="2" borderId="32" xfId="1" applyFont="1" applyFill="1" applyBorder="1" applyAlignment="1" applyProtection="1">
      <alignment horizontal="center" vertical="center"/>
    </xf>
    <xf numFmtId="164" fontId="18" fillId="3" borderId="32" xfId="7" applyFont="1" applyFill="1" applyBorder="1" applyAlignment="1" applyProtection="1">
      <alignment horizontal="center" vertical="center" wrapText="1"/>
    </xf>
    <xf numFmtId="164" fontId="18" fillId="3" borderId="44" xfId="7" applyFont="1" applyFill="1" applyBorder="1" applyAlignment="1" applyProtection="1">
      <alignment horizontal="center" vertical="center" wrapText="1"/>
    </xf>
    <xf numFmtId="169" fontId="18" fillId="8" borderId="34" xfId="7" applyNumberFormat="1" applyFont="1" applyFill="1" applyBorder="1" applyAlignment="1" applyProtection="1">
      <alignment horizontal="center" vertical="center" wrapText="1"/>
    </xf>
    <xf numFmtId="164" fontId="18" fillId="2" borderId="35" xfId="7" applyFont="1" applyFill="1" applyBorder="1" applyAlignment="1" applyProtection="1">
      <alignment horizontal="center" vertical="center" wrapText="1"/>
    </xf>
    <xf numFmtId="164" fontId="15" fillId="2" borderId="32" xfId="7" applyFont="1" applyFill="1" applyBorder="1" applyAlignment="1" applyProtection="1">
      <alignment horizontal="center" vertical="center" wrapText="1"/>
    </xf>
    <xf numFmtId="164" fontId="15" fillId="6" borderId="32" xfId="7" applyFont="1" applyFill="1" applyBorder="1" applyAlignment="1" applyProtection="1">
      <alignment horizontal="center" vertical="center" wrapText="1"/>
    </xf>
    <xf numFmtId="164" fontId="15" fillId="6" borderId="46" xfId="7" applyFont="1" applyFill="1" applyBorder="1" applyAlignment="1" applyProtection="1">
      <alignment horizontal="center" vertical="center" wrapText="1"/>
    </xf>
    <xf numFmtId="164" fontId="18" fillId="2" borderId="46" xfId="7" applyFont="1" applyFill="1" applyBorder="1" applyAlignment="1" applyProtection="1">
      <alignment vertical="center" wrapText="1"/>
    </xf>
    <xf numFmtId="164" fontId="18" fillId="2" borderId="34" xfId="7" applyFont="1" applyFill="1" applyBorder="1" applyAlignment="1" applyProtection="1">
      <alignment vertical="center" wrapText="1"/>
    </xf>
    <xf numFmtId="164" fontId="18" fillId="2" borderId="34" xfId="7" applyFont="1" applyFill="1" applyBorder="1" applyAlignment="1" applyProtection="1">
      <alignment horizontal="center" vertical="center" wrapText="1"/>
    </xf>
    <xf numFmtId="164" fontId="18" fillId="2" borderId="48" xfId="7" applyFont="1" applyFill="1" applyBorder="1" applyAlignment="1" applyProtection="1">
      <alignment horizontal="center" vertical="center" wrapText="1"/>
    </xf>
    <xf numFmtId="164" fontId="18" fillId="2" borderId="2" xfId="7" applyFont="1" applyFill="1" applyBorder="1" applyAlignment="1" applyProtection="1">
      <alignment horizontal="center" vertical="center" wrapText="1"/>
    </xf>
    <xf numFmtId="164" fontId="18" fillId="2" borderId="3" xfId="7" applyFont="1" applyFill="1" applyBorder="1" applyAlignment="1" applyProtection="1">
      <alignment horizontal="center" vertical="center" wrapText="1"/>
    </xf>
    <xf numFmtId="0" fontId="15" fillId="7" borderId="32" xfId="6" applyFont="1" applyFill="1" applyBorder="1" applyAlignment="1" applyProtection="1">
      <alignment horizontal="center" vertical="center"/>
      <protection locked="0"/>
    </xf>
    <xf numFmtId="0" fontId="15" fillId="7" borderId="44" xfId="6" applyFont="1" applyFill="1" applyBorder="1" applyAlignment="1" applyProtection="1">
      <alignment horizontal="center" vertical="center"/>
      <protection locked="0"/>
    </xf>
    <xf numFmtId="164" fontId="18" fillId="2" borderId="0" xfId="1" applyFont="1" applyFill="1" applyBorder="1" applyAlignment="1" applyProtection="1">
      <alignment horizontal="center" vertical="center"/>
      <protection locked="0"/>
    </xf>
    <xf numFmtId="0" fontId="15" fillId="6" borderId="32" xfId="6" applyFont="1" applyFill="1" applyBorder="1" applyAlignment="1" applyProtection="1">
      <alignment horizontal="center" vertical="center"/>
      <protection locked="0"/>
    </xf>
    <xf numFmtId="164" fontId="18" fillId="2" borderId="44" xfId="7" applyFont="1" applyFill="1" applyBorder="1" applyAlignment="1" applyProtection="1">
      <alignment horizontal="center" vertical="center" wrapText="1"/>
    </xf>
    <xf numFmtId="164" fontId="18" fillId="8" borderId="34" xfId="7" applyFont="1" applyFill="1" applyBorder="1" applyAlignment="1" applyProtection="1">
      <alignment horizontal="center" vertical="center" wrapText="1"/>
    </xf>
    <xf numFmtId="164" fontId="15" fillId="6" borderId="48" xfId="7" applyFont="1" applyFill="1" applyBorder="1" applyAlignment="1" applyProtection="1">
      <alignment horizontal="center" vertical="center" wrapText="1"/>
    </xf>
    <xf numFmtId="164" fontId="18" fillId="2" borderId="48" xfId="7" applyFont="1" applyFill="1" applyBorder="1" applyAlignment="1" applyProtection="1">
      <alignment vertical="center" wrapText="1"/>
    </xf>
    <xf numFmtId="164" fontId="35" fillId="2" borderId="48" xfId="4" applyNumberFormat="1" applyFont="1" applyFill="1" applyBorder="1" applyAlignment="1" applyProtection="1">
      <alignment horizontal="center" vertical="center" wrapText="1"/>
    </xf>
    <xf numFmtId="164" fontId="18" fillId="2" borderId="32" xfId="7" applyFont="1" applyFill="1" applyBorder="1" applyAlignment="1" applyProtection="1">
      <alignment horizontal="center" vertical="center" wrapText="1"/>
    </xf>
    <xf numFmtId="44" fontId="18" fillId="2" borderId="48" xfId="16" applyFont="1" applyFill="1" applyBorder="1" applyAlignment="1" applyProtection="1">
      <alignment horizontal="center" vertical="center"/>
      <protection locked="0"/>
    </xf>
    <xf numFmtId="0" fontId="15" fillId="2" borderId="34" xfId="6" applyFont="1" applyFill="1" applyBorder="1" applyAlignment="1" applyProtection="1">
      <alignment horizontal="center" vertical="center"/>
      <protection locked="0"/>
    </xf>
    <xf numFmtId="0" fontId="18" fillId="2" borderId="32" xfId="7" applyNumberFormat="1" applyFont="1" applyFill="1" applyBorder="1" applyAlignment="1" applyProtection="1">
      <alignment horizontal="center" vertical="center" wrapText="1"/>
    </xf>
    <xf numFmtId="164" fontId="18" fillId="2" borderId="42" xfId="7" applyFont="1" applyFill="1" applyBorder="1" applyAlignment="1" applyProtection="1">
      <alignment horizontal="center" vertical="center" wrapText="1"/>
    </xf>
    <xf numFmtId="164" fontId="18" fillId="2" borderId="31" xfId="7" applyFont="1" applyFill="1" applyBorder="1" applyAlignment="1" applyProtection="1">
      <alignment horizontal="center" vertical="center" wrapText="1"/>
    </xf>
    <xf numFmtId="164" fontId="18" fillId="2" borderId="43" xfId="7" applyFont="1" applyFill="1" applyBorder="1" applyAlignment="1" applyProtection="1">
      <alignment horizontal="center" vertical="center" wrapText="1"/>
    </xf>
    <xf numFmtId="164" fontId="18" fillId="2" borderId="32" xfId="7" applyFont="1" applyFill="1" applyBorder="1" applyAlignment="1" applyProtection="1">
      <alignment vertical="center" wrapText="1"/>
    </xf>
    <xf numFmtId="164" fontId="18" fillId="2" borderId="42" xfId="7" applyFont="1" applyFill="1" applyBorder="1" applyAlignment="1" applyProtection="1">
      <alignment vertical="center" wrapText="1"/>
    </xf>
    <xf numFmtId="164" fontId="18" fillId="2" borderId="12" xfId="7" applyFont="1" applyFill="1" applyBorder="1" applyAlignment="1" applyProtection="1">
      <alignment horizontal="center" vertical="center" wrapText="1"/>
    </xf>
    <xf numFmtId="164" fontId="18" fillId="2" borderId="21" xfId="7" applyFont="1" applyFill="1" applyBorder="1" applyAlignment="1" applyProtection="1">
      <alignment horizontal="center" vertical="center" wrapText="1"/>
    </xf>
    <xf numFmtId="164" fontId="18" fillId="2" borderId="20" xfId="7" applyFont="1" applyFill="1" applyBorder="1" applyAlignment="1" applyProtection="1">
      <alignment horizontal="center" vertical="center" wrapText="1"/>
    </xf>
    <xf numFmtId="0" fontId="15" fillId="2" borderId="46" xfId="6" applyFont="1" applyFill="1" applyBorder="1" applyAlignment="1" applyProtection="1">
      <alignment horizontal="center" vertical="center"/>
      <protection locked="0"/>
    </xf>
    <xf numFmtId="0" fontId="18" fillId="2" borderId="12" xfId="6" applyFont="1" applyFill="1" applyBorder="1" applyAlignment="1" applyProtection="1">
      <alignment horizontal="center" vertical="center"/>
      <protection locked="0"/>
    </xf>
    <xf numFmtId="0" fontId="15" fillId="2" borderId="32" xfId="6" applyFont="1" applyFill="1" applyBorder="1" applyAlignment="1">
      <alignment horizontal="center" vertical="center" wrapText="1"/>
    </xf>
    <xf numFmtId="0" fontId="15" fillId="2" borderId="44" xfId="6" applyFont="1" applyFill="1" applyBorder="1" applyAlignment="1" applyProtection="1">
      <alignment horizontal="center" vertical="center"/>
      <protection locked="0"/>
    </xf>
    <xf numFmtId="0" fontId="15" fillId="2" borderId="16" xfId="6" applyFont="1" applyFill="1" applyBorder="1" applyAlignment="1" applyProtection="1">
      <alignment horizontal="center" vertical="center"/>
      <protection locked="0"/>
    </xf>
    <xf numFmtId="0" fontId="18" fillId="2" borderId="30" xfId="6" applyFont="1" applyFill="1" applyBorder="1" applyAlignment="1" applyProtection="1">
      <alignment horizontal="center" vertical="center"/>
      <protection locked="0"/>
    </xf>
    <xf numFmtId="0" fontId="18" fillId="2" borderId="31" xfId="6" applyFont="1" applyFill="1" applyBorder="1" applyAlignment="1" applyProtection="1">
      <alignment horizontal="center" vertical="center"/>
      <protection locked="0"/>
    </xf>
    <xf numFmtId="170" fontId="18" fillId="2" borderId="0" xfId="6" applyNumberFormat="1" applyFont="1" applyFill="1" applyAlignment="1">
      <alignment horizontal="center" vertical="center"/>
    </xf>
    <xf numFmtId="170" fontId="18" fillId="2" borderId="14" xfId="6" applyNumberFormat="1" applyFont="1" applyFill="1" applyBorder="1" applyAlignment="1">
      <alignment horizontal="center" vertical="center"/>
    </xf>
    <xf numFmtId="0" fontId="18" fillId="2" borderId="48" xfId="6" applyFont="1" applyFill="1" applyBorder="1" applyAlignment="1">
      <alignment horizontal="center" vertical="center"/>
    </xf>
    <xf numFmtId="0" fontId="18" fillId="2" borderId="0" xfId="6" applyFont="1" applyFill="1" applyAlignment="1">
      <alignment horizontal="center" vertical="center"/>
    </xf>
    <xf numFmtId="0" fontId="18" fillId="2" borderId="34" xfId="6" applyFont="1" applyFill="1" applyBorder="1" applyAlignment="1">
      <alignment horizontal="center" vertical="center"/>
    </xf>
    <xf numFmtId="0" fontId="18" fillId="2" borderId="35" xfId="6" applyFont="1" applyFill="1" applyBorder="1" applyAlignment="1">
      <alignment horizontal="center" vertical="center"/>
    </xf>
    <xf numFmtId="164" fontId="18" fillId="2" borderId="0" xfId="1" applyFont="1" applyFill="1" applyBorder="1" applyAlignment="1">
      <alignment horizontal="center" vertical="center"/>
    </xf>
    <xf numFmtId="0" fontId="15" fillId="2" borderId="29" xfId="6" applyFont="1" applyFill="1" applyBorder="1" applyAlignment="1" applyProtection="1">
      <alignment horizontal="center" vertical="center"/>
      <protection locked="0"/>
    </xf>
    <xf numFmtId="0" fontId="15" fillId="2" borderId="45" xfId="6" applyFont="1" applyFill="1" applyBorder="1" applyAlignment="1" applyProtection="1">
      <alignment horizontal="center" vertical="center"/>
      <protection locked="0"/>
    </xf>
    <xf numFmtId="175" fontId="18" fillId="2" borderId="30" xfId="16" applyNumberFormat="1" applyFont="1" applyFill="1" applyBorder="1" applyAlignment="1" applyProtection="1">
      <alignment horizontal="center" vertical="center" wrapText="1"/>
    </xf>
    <xf numFmtId="164" fontId="18" fillId="2" borderId="30" xfId="6" applyNumberFormat="1" applyFont="1" applyFill="1" applyBorder="1" applyAlignment="1" applyProtection="1">
      <alignment horizontal="center" vertical="center"/>
      <protection locked="0"/>
    </xf>
    <xf numFmtId="164" fontId="18" fillId="2" borderId="35" xfId="1" applyFont="1" applyFill="1" applyBorder="1" applyAlignment="1" applyProtection="1">
      <alignment horizontal="center" vertical="center"/>
      <protection locked="0"/>
    </xf>
    <xf numFmtId="164" fontId="18" fillId="2" borderId="47" xfId="7" applyFont="1" applyFill="1" applyBorder="1" applyAlignment="1" applyProtection="1">
      <alignment horizontal="center" vertical="center" wrapText="1"/>
    </xf>
    <xf numFmtId="0" fontId="18" fillId="2" borderId="43" xfId="6" applyFont="1" applyFill="1" applyBorder="1" applyAlignment="1" applyProtection="1">
      <alignment horizontal="center" vertical="center"/>
      <protection locked="0"/>
    </xf>
    <xf numFmtId="0" fontId="18" fillId="2" borderId="42" xfId="6" applyFont="1" applyFill="1" applyBorder="1" applyAlignment="1" applyProtection="1">
      <alignment horizontal="center" vertical="center"/>
      <protection locked="0"/>
    </xf>
    <xf numFmtId="164" fontId="13" fillId="2" borderId="0" xfId="1" applyFont="1" applyFill="1" applyAlignment="1">
      <alignment horizontal="center" vertical="center" wrapText="1"/>
    </xf>
    <xf numFmtId="0" fontId="13" fillId="2" borderId="32" xfId="0" applyFont="1" applyFill="1" applyBorder="1" applyAlignment="1">
      <alignment horizontal="center" vertical="center" wrapText="1"/>
    </xf>
    <xf numFmtId="164" fontId="13" fillId="2" borderId="32" xfId="1" applyFont="1" applyFill="1" applyBorder="1" applyAlignment="1">
      <alignment horizontal="center" vertical="center" wrapText="1"/>
    </xf>
    <xf numFmtId="171" fontId="13" fillId="2" borderId="32" xfId="4" applyNumberFormat="1" applyFont="1" applyFill="1" applyBorder="1" applyAlignment="1">
      <alignment horizontal="center" vertical="center" wrapText="1"/>
    </xf>
    <xf numFmtId="0" fontId="13" fillId="2" borderId="0" xfId="0" applyFont="1" applyFill="1" applyAlignment="1">
      <alignment horizontal="center" vertical="center" wrapText="1"/>
    </xf>
    <xf numFmtId="9" fontId="13" fillId="2" borderId="0" xfId="4" applyFont="1" applyFill="1" applyAlignment="1">
      <alignment horizontal="center" vertical="center" wrapText="1"/>
    </xf>
    <xf numFmtId="0" fontId="13" fillId="2" borderId="0" xfId="0" applyFont="1" applyFill="1" applyAlignment="1">
      <alignment horizontal="left" vertical="center" wrapText="1"/>
    </xf>
    <xf numFmtId="164" fontId="13" fillId="2" borderId="0" xfId="1" applyFont="1" applyFill="1" applyBorder="1" applyAlignment="1">
      <alignment horizontal="center" vertical="center" wrapText="1"/>
    </xf>
    <xf numFmtId="0" fontId="16" fillId="2" borderId="25" xfId="0" applyFont="1" applyFill="1" applyBorder="1" applyAlignment="1">
      <alignment horizontal="center" vertical="center" wrapText="1"/>
    </xf>
    <xf numFmtId="164" fontId="16" fillId="2" borderId="25" xfId="1" applyFont="1" applyFill="1" applyBorder="1" applyAlignment="1">
      <alignment horizontal="center" vertical="center" wrapText="1"/>
    </xf>
    <xf numFmtId="164" fontId="16" fillId="2" borderId="10" xfId="1" applyFont="1" applyFill="1" applyBorder="1" applyAlignment="1">
      <alignment horizontal="center" vertical="center" wrapText="1"/>
    </xf>
    <xf numFmtId="0" fontId="13" fillId="2" borderId="25" xfId="0" applyFont="1" applyFill="1" applyBorder="1" applyAlignment="1">
      <alignment horizontal="left" vertical="center" wrapText="1"/>
    </xf>
    <xf numFmtId="164" fontId="13" fillId="2" borderId="25" xfId="1" applyFont="1" applyFill="1" applyBorder="1" applyAlignment="1">
      <alignment vertical="center" wrapText="1"/>
    </xf>
    <xf numFmtId="164" fontId="13" fillId="2" borderId="11" xfId="1" applyFont="1" applyFill="1" applyBorder="1" applyAlignment="1">
      <alignment horizontal="center" vertical="center" wrapText="1"/>
    </xf>
    <xf numFmtId="164" fontId="13" fillId="2" borderId="10" xfId="1" applyFont="1" applyFill="1" applyBorder="1" applyAlignment="1">
      <alignment horizontal="center" vertical="center" wrapText="1"/>
    </xf>
    <xf numFmtId="164" fontId="13" fillId="2" borderId="25" xfId="1" applyFont="1" applyFill="1" applyBorder="1" applyAlignment="1">
      <alignment horizontal="center" vertical="center" wrapText="1"/>
    </xf>
    <xf numFmtId="0" fontId="13" fillId="2" borderId="25"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20" fillId="2" borderId="0" xfId="0" applyFont="1" applyFill="1" applyAlignment="1">
      <alignment horizontal="center" vertical="center" wrapText="1"/>
    </xf>
    <xf numFmtId="0" fontId="16" fillId="2" borderId="0" xfId="0" applyFont="1" applyFill="1" applyAlignment="1">
      <alignment horizontal="center" vertical="center" wrapText="1"/>
    </xf>
    <xf numFmtId="164" fontId="16" fillId="2" borderId="32" xfId="0" applyNumberFormat="1" applyFont="1" applyFill="1" applyBorder="1" applyAlignment="1">
      <alignment horizontal="center" vertical="center" wrapText="1"/>
    </xf>
    <xf numFmtId="171" fontId="16" fillId="2" borderId="32" xfId="4" applyNumberFormat="1" applyFont="1" applyFill="1" applyBorder="1" applyAlignment="1">
      <alignment horizontal="center" vertical="center" wrapText="1"/>
    </xf>
    <xf numFmtId="164" fontId="16" fillId="2" borderId="32" xfId="1" applyFont="1" applyFill="1" applyBorder="1" applyAlignment="1">
      <alignment horizontal="center" vertical="center" wrapText="1"/>
    </xf>
    <xf numFmtId="0" fontId="32" fillId="2" borderId="25" xfId="0" applyFont="1" applyFill="1" applyBorder="1" applyAlignment="1">
      <alignment horizontal="center" vertical="center" wrapText="1"/>
    </xf>
    <xf numFmtId="171" fontId="32" fillId="2" borderId="25" xfId="4" applyNumberFormat="1" applyFont="1" applyFill="1" applyBorder="1" applyAlignment="1">
      <alignment horizontal="center" vertical="center" wrapText="1"/>
    </xf>
    <xf numFmtId="0" fontId="13" fillId="2" borderId="32" xfId="0" applyFont="1" applyFill="1" applyBorder="1" applyAlignment="1">
      <alignment horizontal="left" vertical="center" wrapText="1"/>
    </xf>
    <xf numFmtId="0" fontId="26" fillId="2" borderId="0" xfId="9" applyFont="1" applyFill="1" applyAlignment="1">
      <alignment horizontal="left" vertical="center" wrapText="1"/>
    </xf>
    <xf numFmtId="0" fontId="20" fillId="2" borderId="0" xfId="0" applyFont="1" applyFill="1" applyAlignment="1">
      <alignment horizontal="left" vertical="center" wrapText="1"/>
    </xf>
    <xf numFmtId="0" fontId="13" fillId="2" borderId="0" xfId="9" applyFont="1" applyFill="1" applyAlignment="1">
      <alignment horizontal="left" vertical="center" wrapText="1"/>
    </xf>
    <xf numFmtId="9" fontId="13" fillId="2" borderId="0" xfId="9" applyNumberFormat="1" applyFont="1" applyFill="1" applyAlignment="1">
      <alignment horizontal="left" vertical="center" wrapText="1"/>
    </xf>
    <xf numFmtId="164" fontId="13" fillId="2" borderId="0" xfId="1" applyFont="1" applyFill="1" applyBorder="1" applyAlignment="1">
      <alignment horizontal="left" vertical="center" wrapText="1"/>
    </xf>
    <xf numFmtId="0" fontId="13" fillId="2" borderId="0" xfId="6" applyFont="1" applyFill="1" applyAlignment="1" applyProtection="1">
      <alignment horizontal="left" vertical="center"/>
      <protection locked="0"/>
    </xf>
    <xf numFmtId="0" fontId="38" fillId="2" borderId="54" xfId="0" applyFont="1" applyFill="1" applyBorder="1" applyAlignment="1">
      <alignment horizontal="left" vertical="center"/>
    </xf>
    <xf numFmtId="0" fontId="38" fillId="2" borderId="54" xfId="0" applyFont="1" applyFill="1" applyBorder="1" applyAlignment="1">
      <alignment horizontal="left" vertical="center" wrapText="1"/>
    </xf>
    <xf numFmtId="0" fontId="38" fillId="2" borderId="54" xfId="6" applyFont="1" applyFill="1" applyBorder="1" applyAlignment="1" applyProtection="1">
      <alignment horizontal="left" vertical="center" wrapText="1"/>
      <protection locked="0"/>
    </xf>
    <xf numFmtId="0" fontId="38" fillId="2" borderId="54" xfId="6" applyFont="1" applyFill="1" applyBorder="1" applyAlignment="1" applyProtection="1">
      <alignment horizontal="left" vertical="center"/>
      <protection locked="0"/>
    </xf>
    <xf numFmtId="0" fontId="40" fillId="2" borderId="0" xfId="0" applyFont="1" applyFill="1" applyAlignment="1">
      <alignment horizontal="left" vertical="center" wrapText="1"/>
    </xf>
    <xf numFmtId="0" fontId="13" fillId="2" borderId="54" xfId="6" applyFont="1" applyFill="1" applyBorder="1" applyAlignment="1" applyProtection="1">
      <alignment horizontal="left" vertical="center"/>
      <protection locked="0"/>
    </xf>
    <xf numFmtId="0" fontId="13" fillId="2" borderId="54" xfId="0" applyFont="1" applyFill="1" applyBorder="1" applyAlignment="1">
      <alignment horizontal="left" vertical="center" wrapText="1"/>
    </xf>
    <xf numFmtId="164" fontId="13" fillId="2" borderId="54" xfId="1" applyFont="1" applyFill="1" applyBorder="1" applyAlignment="1">
      <alignment horizontal="left" vertical="center" wrapText="1"/>
    </xf>
    <xf numFmtId="164" fontId="13" fillId="2" borderId="54" xfId="1" applyFont="1" applyFill="1" applyBorder="1" applyAlignment="1" applyProtection="1">
      <alignment horizontal="left" vertical="center"/>
      <protection locked="0"/>
    </xf>
    <xf numFmtId="164" fontId="13" fillId="2" borderId="54" xfId="0" applyNumberFormat="1" applyFont="1" applyFill="1" applyBorder="1" applyAlignment="1">
      <alignment horizontal="left" vertical="center" wrapText="1"/>
    </xf>
    <xf numFmtId="1" fontId="13" fillId="2" borderId="54" xfId="5" applyNumberFormat="1" applyFont="1" applyFill="1" applyBorder="1" applyAlignment="1">
      <alignment horizontal="left" vertical="center" wrapText="1"/>
    </xf>
    <xf numFmtId="1" fontId="13" fillId="2" borderId="54" xfId="5" applyNumberFormat="1" applyFont="1" applyFill="1" applyBorder="1" applyAlignment="1" applyProtection="1">
      <alignment horizontal="left" vertical="center"/>
      <protection locked="0"/>
    </xf>
    <xf numFmtId="9" fontId="13" fillId="2" borderId="54" xfId="4" applyFont="1" applyFill="1" applyBorder="1" applyAlignment="1" applyProtection="1">
      <alignment horizontal="left" vertical="center"/>
      <protection locked="0"/>
    </xf>
    <xf numFmtId="174" fontId="13" fillId="2" borderId="54" xfId="1" applyNumberFormat="1" applyFont="1" applyFill="1" applyBorder="1" applyAlignment="1" applyProtection="1">
      <alignment horizontal="left" vertical="center"/>
      <protection locked="0"/>
    </xf>
    <xf numFmtId="164" fontId="13" fillId="2" borderId="54" xfId="1" applyFont="1" applyFill="1" applyBorder="1" applyAlignment="1">
      <alignment horizontal="left" vertical="center"/>
    </xf>
    <xf numFmtId="0" fontId="16" fillId="2" borderId="0" xfId="9" applyFont="1" applyFill="1" applyAlignment="1">
      <alignment horizontal="left" vertical="center" wrapText="1"/>
    </xf>
    <xf numFmtId="0" fontId="16" fillId="2" borderId="0" xfId="6" applyFont="1" applyFill="1" applyAlignment="1" applyProtection="1">
      <alignment horizontal="left" vertical="center" wrapText="1"/>
      <protection locked="0"/>
    </xf>
    <xf numFmtId="44" fontId="13" fillId="2" borderId="0" xfId="16" applyFont="1" applyFill="1" applyBorder="1" applyAlignment="1">
      <alignment horizontal="left" vertical="center" wrapText="1"/>
    </xf>
    <xf numFmtId="164" fontId="13" fillId="2" borderId="0" xfId="6" applyNumberFormat="1" applyFont="1" applyFill="1" applyAlignment="1" applyProtection="1">
      <alignment horizontal="left" vertical="center" wrapText="1"/>
      <protection locked="0"/>
    </xf>
    <xf numFmtId="164" fontId="13" fillId="2" borderId="0" xfId="1" applyFont="1" applyFill="1" applyBorder="1" applyAlignment="1" applyProtection="1">
      <alignment horizontal="left" vertical="center"/>
      <protection locked="0"/>
    </xf>
    <xf numFmtId="164" fontId="16" fillId="2" borderId="54" xfId="1" applyFont="1" applyFill="1" applyBorder="1" applyAlignment="1" applyProtection="1">
      <alignment horizontal="left" vertical="center"/>
      <protection locked="0"/>
    </xf>
    <xf numFmtId="1" fontId="13" fillId="2" borderId="0" xfId="5" applyNumberFormat="1" applyFont="1" applyFill="1" applyBorder="1" applyAlignment="1" applyProtection="1">
      <alignment horizontal="left" vertical="center"/>
      <protection locked="0"/>
    </xf>
    <xf numFmtId="9" fontId="13" fillId="2" borderId="0" xfId="4" applyFont="1" applyFill="1" applyBorder="1" applyAlignment="1" applyProtection="1">
      <alignment horizontal="left" vertical="center"/>
      <protection locked="0"/>
    </xf>
    <xf numFmtId="174" fontId="13" fillId="2" borderId="0" xfId="1" applyNumberFormat="1" applyFont="1" applyFill="1" applyBorder="1" applyAlignment="1" applyProtection="1">
      <alignment horizontal="left" vertical="center"/>
      <protection locked="0"/>
    </xf>
    <xf numFmtId="0" fontId="16" fillId="2" borderId="0" xfId="0" applyFont="1" applyFill="1" applyAlignment="1">
      <alignment horizontal="left" vertical="center" wrapText="1"/>
    </xf>
    <xf numFmtId="0" fontId="16" fillId="2" borderId="0" xfId="6" applyFont="1" applyFill="1" applyAlignment="1" applyProtection="1">
      <alignment horizontal="left" vertical="center"/>
      <protection locked="0"/>
    </xf>
    <xf numFmtId="164" fontId="18" fillId="0" borderId="32" xfId="1" applyFont="1" applyFill="1" applyBorder="1" applyAlignment="1" applyProtection="1">
      <alignment horizontal="center" vertical="center" wrapText="1"/>
    </xf>
    <xf numFmtId="0" fontId="41" fillId="2" borderId="0" xfId="0" applyFont="1" applyFill="1"/>
    <xf numFmtId="164" fontId="15" fillId="9" borderId="32" xfId="7" applyFont="1" applyFill="1" applyBorder="1" applyAlignment="1" applyProtection="1">
      <alignment horizontal="center" vertical="center" wrapText="1"/>
    </xf>
    <xf numFmtId="0" fontId="37" fillId="2" borderId="34" xfId="6" applyFont="1" applyFill="1" applyBorder="1" applyAlignment="1" applyProtection="1">
      <alignment horizontal="left" vertical="center"/>
      <protection locked="0"/>
    </xf>
    <xf numFmtId="0" fontId="15" fillId="2" borderId="0" xfId="6" applyFont="1" applyFill="1" applyAlignment="1" applyProtection="1">
      <alignment horizontal="left" vertical="center"/>
      <protection locked="0"/>
    </xf>
    <xf numFmtId="0" fontId="15" fillId="2" borderId="34" xfId="6" applyFont="1" applyFill="1" applyBorder="1" applyAlignment="1" applyProtection="1">
      <alignment horizontal="left" vertical="center"/>
      <protection locked="0"/>
    </xf>
    <xf numFmtId="0" fontId="15" fillId="2" borderId="32" xfId="6" applyFont="1" applyFill="1" applyBorder="1" applyAlignment="1">
      <alignment horizontal="left" vertical="center"/>
    </xf>
    <xf numFmtId="164" fontId="13" fillId="2" borderId="40" xfId="1" applyFont="1" applyFill="1" applyBorder="1" applyAlignment="1">
      <alignment horizontal="center" vertical="center" wrapText="1"/>
    </xf>
    <xf numFmtId="164" fontId="13" fillId="2" borderId="30" xfId="1" applyFont="1" applyFill="1" applyBorder="1" applyAlignment="1">
      <alignment horizontal="center" vertical="center" wrapText="1"/>
    </xf>
    <xf numFmtId="164" fontId="13" fillId="2" borderId="41" xfId="1" applyFont="1" applyFill="1" applyBorder="1" applyAlignment="1">
      <alignment horizontal="center" vertical="center" wrapText="1"/>
    </xf>
    <xf numFmtId="164" fontId="13" fillId="2" borderId="35" xfId="1" applyFont="1" applyFill="1" applyBorder="1" applyAlignment="1">
      <alignment horizontal="center" vertical="center" wrapText="1"/>
    </xf>
    <xf numFmtId="164" fontId="13" fillId="2" borderId="42" xfId="1" applyFont="1" applyFill="1" applyBorder="1" applyAlignment="1">
      <alignment horizontal="center" vertical="center" wrapText="1"/>
    </xf>
    <xf numFmtId="164" fontId="13" fillId="2" borderId="31" xfId="1" applyFont="1" applyFill="1" applyBorder="1" applyAlignment="1">
      <alignment horizontal="center" vertical="center" wrapText="1"/>
    </xf>
    <xf numFmtId="164" fontId="13" fillId="2" borderId="43" xfId="1" applyFont="1" applyFill="1" applyBorder="1" applyAlignment="1">
      <alignment horizontal="center" vertical="center" wrapText="1"/>
    </xf>
    <xf numFmtId="164" fontId="16" fillId="2" borderId="44" xfId="1" applyFont="1" applyFill="1" applyBorder="1" applyAlignment="1" applyProtection="1">
      <alignment horizontal="center" vertical="center" wrapText="1"/>
      <protection locked="0"/>
    </xf>
    <xf numFmtId="164" fontId="16" fillId="2" borderId="29" xfId="1" applyFont="1" applyFill="1" applyBorder="1" applyAlignment="1" applyProtection="1">
      <alignment horizontal="center" vertical="center" wrapText="1"/>
      <protection locked="0"/>
    </xf>
    <xf numFmtId="164" fontId="16" fillId="2" borderId="45" xfId="1" applyFont="1" applyFill="1" applyBorder="1" applyAlignment="1" applyProtection="1">
      <alignment horizontal="center" vertical="center" wrapText="1"/>
      <protection locked="0"/>
    </xf>
    <xf numFmtId="9" fontId="26" fillId="2" borderId="0" xfId="4" applyFont="1" applyFill="1" applyAlignment="1">
      <alignment horizontal="center" vertical="center" wrapText="1"/>
    </xf>
    <xf numFmtId="175" fontId="13" fillId="2" borderId="44" xfId="16" applyNumberFormat="1" applyFont="1" applyFill="1" applyBorder="1" applyAlignment="1">
      <alignment horizontal="left" vertical="center" wrapText="1"/>
    </xf>
    <xf numFmtId="175" fontId="13" fillId="2" borderId="29" xfId="16" applyNumberFormat="1" applyFont="1" applyFill="1" applyBorder="1" applyAlignment="1">
      <alignment horizontal="left" vertical="center" wrapText="1"/>
    </xf>
    <xf numFmtId="175" fontId="13" fillId="2" borderId="45" xfId="16" applyNumberFormat="1" applyFont="1" applyFill="1" applyBorder="1" applyAlignment="1">
      <alignment horizontal="left" vertical="center" wrapText="1"/>
    </xf>
    <xf numFmtId="168" fontId="23" fillId="2" borderId="32" xfId="6" applyNumberFormat="1" applyFont="1" applyFill="1" applyBorder="1" applyAlignment="1">
      <alignment horizontal="center" vertical="center"/>
    </xf>
    <xf numFmtId="168" fontId="23" fillId="2" borderId="32" xfId="6" applyNumberFormat="1" applyFont="1" applyFill="1" applyBorder="1" applyAlignment="1">
      <alignment horizontal="center" vertical="center" wrapText="1"/>
    </xf>
    <xf numFmtId="175" fontId="24" fillId="2" borderId="32" xfId="16" applyNumberFormat="1" applyFont="1" applyFill="1" applyBorder="1" applyAlignment="1">
      <alignment horizontal="center" vertical="center"/>
    </xf>
    <xf numFmtId="168" fontId="15" fillId="2" borderId="0" xfId="10" applyNumberFormat="1" applyFont="1" applyFill="1" applyBorder="1" applyAlignment="1" applyProtection="1">
      <alignment horizontal="right" vertical="center"/>
      <protection locked="0"/>
    </xf>
    <xf numFmtId="168" fontId="15" fillId="2" borderId="0" xfId="10" applyNumberFormat="1" applyFont="1" applyFill="1" applyBorder="1" applyAlignment="1" applyProtection="1">
      <alignment horizontal="right" vertical="center" wrapText="1"/>
      <protection locked="0"/>
    </xf>
    <xf numFmtId="168" fontId="15" fillId="2" borderId="31" xfId="10" applyNumberFormat="1" applyFont="1" applyFill="1" applyBorder="1" applyAlignment="1" applyProtection="1">
      <alignment horizontal="right" vertical="center"/>
      <protection locked="0"/>
    </xf>
    <xf numFmtId="49" fontId="6" fillId="2" borderId="0" xfId="6" applyNumberFormat="1" applyFont="1" applyFill="1" applyAlignment="1" applyProtection="1">
      <alignment horizontal="center" vertical="center" wrapText="1"/>
      <protection locked="0"/>
    </xf>
    <xf numFmtId="0" fontId="6" fillId="2" borderId="0" xfId="6" applyFont="1" applyFill="1" applyAlignment="1" applyProtection="1">
      <alignment horizontal="center" vertical="center" wrapText="1"/>
      <protection locked="0"/>
    </xf>
    <xf numFmtId="49" fontId="7" fillId="2" borderId="34" xfId="6" applyNumberFormat="1" applyFont="1" applyFill="1" applyBorder="1" applyAlignment="1" applyProtection="1">
      <alignment horizontal="center" vertical="center" wrapText="1"/>
      <protection locked="0"/>
    </xf>
    <xf numFmtId="49" fontId="15" fillId="2" borderId="62" xfId="6" applyNumberFormat="1" applyFont="1" applyFill="1" applyBorder="1" applyAlignment="1" applyProtection="1">
      <alignment horizontal="center" vertical="center"/>
      <protection locked="0"/>
    </xf>
    <xf numFmtId="0" fontId="15" fillId="2" borderId="63" xfId="6" applyFont="1" applyFill="1" applyBorder="1" applyAlignment="1" applyProtection="1">
      <alignment horizontal="center" vertical="center"/>
      <protection locked="0"/>
    </xf>
    <xf numFmtId="49" fontId="18" fillId="2" borderId="40" xfId="6" applyNumberFormat="1" applyFont="1" applyFill="1" applyBorder="1" applyAlignment="1" applyProtection="1">
      <alignment horizontal="center" vertical="center" wrapText="1"/>
      <protection locked="0"/>
    </xf>
    <xf numFmtId="0" fontId="18" fillId="2" borderId="30" xfId="11" applyFont="1" applyFill="1" applyBorder="1" applyAlignment="1">
      <alignment horizontal="center" vertical="center" wrapText="1"/>
    </xf>
    <xf numFmtId="49" fontId="18" fillId="2" borderId="34" xfId="6" applyNumberFormat="1" applyFont="1" applyFill="1" applyBorder="1" applyAlignment="1" applyProtection="1">
      <alignment horizontal="center" vertical="center" wrapText="1"/>
      <protection locked="0"/>
    </xf>
    <xf numFmtId="0" fontId="18" fillId="2" borderId="0" xfId="6" applyFont="1" applyFill="1" applyAlignment="1" applyProtection="1">
      <alignment horizontal="center" vertical="center" wrapText="1"/>
      <protection locked="0"/>
    </xf>
    <xf numFmtId="49" fontId="18" fillId="2" borderId="42" xfId="6" applyNumberFormat="1" applyFont="1" applyFill="1" applyBorder="1" applyAlignment="1" applyProtection="1">
      <alignment horizontal="center" vertical="center" wrapText="1"/>
      <protection locked="0"/>
    </xf>
    <xf numFmtId="0" fontId="18" fillId="2" borderId="31" xfId="6" applyFont="1" applyFill="1" applyBorder="1" applyAlignment="1" applyProtection="1">
      <alignment horizontal="center" vertical="center" wrapText="1"/>
      <protection locked="0"/>
    </xf>
    <xf numFmtId="49" fontId="13" fillId="2" borderId="40" xfId="6" applyNumberFormat="1" applyFont="1" applyFill="1" applyBorder="1" applyAlignment="1" applyProtection="1">
      <alignment horizontal="center" vertical="center" wrapText="1"/>
      <protection locked="0"/>
    </xf>
    <xf numFmtId="0" fontId="13" fillId="2" borderId="30" xfId="6" applyFont="1" applyFill="1" applyBorder="1" applyAlignment="1" applyProtection="1">
      <alignment horizontal="center" vertical="center" wrapText="1"/>
      <protection locked="0"/>
    </xf>
    <xf numFmtId="49" fontId="36" fillId="2" borderId="34" xfId="6" applyNumberFormat="1" applyFont="1" applyFill="1" applyBorder="1" applyAlignment="1" applyProtection="1">
      <alignment horizontal="center" vertical="justify" wrapText="1"/>
      <protection locked="0"/>
    </xf>
    <xf numFmtId="49" fontId="18" fillId="2" borderId="42" xfId="6" applyNumberFormat="1" applyFont="1" applyFill="1" applyBorder="1" applyAlignment="1" applyProtection="1">
      <alignment horizontal="center" vertical="justify" wrapText="1"/>
      <protection locked="0"/>
    </xf>
    <xf numFmtId="49" fontId="14" fillId="2" borderId="0" xfId="6" applyNumberFormat="1" applyFont="1" applyFill="1" applyAlignment="1" applyProtection="1">
      <alignment horizontal="center" vertical="justify" wrapText="1"/>
      <protection locked="0"/>
    </xf>
    <xf numFmtId="0" fontId="14" fillId="2" borderId="0" xfId="6" applyFont="1" applyFill="1" applyAlignment="1" applyProtection="1">
      <alignment horizontal="center" vertical="justify" wrapText="1"/>
      <protection locked="0"/>
    </xf>
    <xf numFmtId="49" fontId="14" fillId="2" borderId="0" xfId="6" applyNumberFormat="1" applyFont="1" applyFill="1" applyAlignment="1">
      <alignment horizontal="center" vertical="center"/>
    </xf>
    <xf numFmtId="49" fontId="14" fillId="2" borderId="0" xfId="6" applyNumberFormat="1" applyFont="1" applyFill="1" applyAlignment="1" applyProtection="1">
      <alignment horizontal="center" vertical="center"/>
      <protection locked="0"/>
    </xf>
    <xf numFmtId="0" fontId="18" fillId="2" borderId="32" xfId="6" applyFont="1" applyFill="1" applyBorder="1" applyAlignment="1">
      <alignment horizontal="center" vertical="center"/>
    </xf>
    <xf numFmtId="49" fontId="18" fillId="2" borderId="0" xfId="6" applyNumberFormat="1" applyFont="1" applyFill="1" applyAlignment="1" applyProtection="1">
      <alignment horizontal="center" vertical="center"/>
      <protection locked="0"/>
    </xf>
    <xf numFmtId="49" fontId="15" fillId="2" borderId="38" xfId="6" applyNumberFormat="1" applyFont="1" applyFill="1" applyBorder="1" applyAlignment="1" applyProtection="1">
      <alignment horizontal="center" vertical="center"/>
      <protection locked="0"/>
    </xf>
    <xf numFmtId="0" fontId="15" fillId="2" borderId="28" xfId="6" applyFont="1" applyFill="1" applyBorder="1" applyAlignment="1" applyProtection="1">
      <alignment horizontal="center" vertical="center"/>
      <protection locked="0"/>
    </xf>
    <xf numFmtId="49" fontId="18" fillId="2" borderId="40" xfId="6" applyNumberFormat="1" applyFont="1" applyFill="1" applyBorder="1" applyAlignment="1" applyProtection="1">
      <alignment horizontal="center" vertical="center"/>
      <protection locked="0"/>
    </xf>
    <xf numFmtId="49" fontId="18" fillId="2" borderId="34" xfId="6" applyNumberFormat="1" applyFont="1" applyFill="1" applyBorder="1" applyAlignment="1" applyProtection="1">
      <alignment horizontal="center" vertical="center"/>
      <protection locked="0"/>
    </xf>
    <xf numFmtId="49" fontId="18" fillId="2" borderId="42" xfId="6" applyNumberFormat="1" applyFont="1" applyFill="1" applyBorder="1" applyAlignment="1" applyProtection="1">
      <alignment horizontal="center" vertical="center"/>
      <protection locked="0"/>
    </xf>
    <xf numFmtId="167" fontId="14" fillId="2" borderId="0" xfId="6" applyNumberFormat="1" applyFont="1" applyFill="1" applyAlignment="1" applyProtection="1">
      <alignment horizontal="center" vertical="center"/>
      <protection locked="0"/>
    </xf>
    <xf numFmtId="0" fontId="7" fillId="2" borderId="0" xfId="6" applyFont="1" applyFill="1" applyAlignment="1" applyProtection="1">
      <alignment wrapText="1"/>
      <protection locked="0"/>
    </xf>
    <xf numFmtId="0" fontId="8" fillId="2" borderId="0" xfId="6" applyFont="1" applyFill="1" applyAlignment="1" applyProtection="1">
      <alignment vertical="top" wrapText="1"/>
      <protection locked="0"/>
    </xf>
    <xf numFmtId="0" fontId="22" fillId="2" borderId="0" xfId="6" applyFont="1" applyFill="1" applyAlignment="1" applyProtection="1">
      <alignment vertical="center" wrapText="1"/>
      <protection locked="0"/>
    </xf>
    <xf numFmtId="0" fontId="13" fillId="2" borderId="27" xfId="6" applyFont="1" applyFill="1" applyBorder="1" applyAlignment="1" applyProtection="1">
      <alignment vertical="center"/>
      <protection locked="0"/>
    </xf>
    <xf numFmtId="14" fontId="13" fillId="2" borderId="27" xfId="6" applyNumberFormat="1" applyFont="1" applyFill="1" applyBorder="1" applyAlignment="1" applyProtection="1">
      <alignment vertical="center"/>
      <protection locked="0"/>
    </xf>
    <xf numFmtId="0" fontId="15" fillId="2" borderId="63" xfId="6" applyFont="1" applyFill="1" applyBorder="1" applyAlignment="1" applyProtection="1">
      <alignment vertical="center"/>
      <protection locked="0"/>
    </xf>
    <xf numFmtId="0" fontId="35" fillId="2" borderId="30" xfId="6" applyFont="1" applyFill="1" applyBorder="1" applyAlignment="1" applyProtection="1">
      <alignment vertical="center"/>
      <protection locked="0"/>
    </xf>
    <xf numFmtId="0" fontId="35" fillId="2" borderId="0" xfId="6" applyFont="1" applyFill="1" applyAlignment="1" applyProtection="1">
      <alignment vertical="center"/>
      <protection locked="0"/>
    </xf>
    <xf numFmtId="0" fontId="18" fillId="2" borderId="0" xfId="11" applyFont="1" applyFill="1" applyAlignment="1">
      <alignment vertical="center" wrapText="1"/>
    </xf>
    <xf numFmtId="0" fontId="35" fillId="2" borderId="0" xfId="6" applyFont="1" applyFill="1" applyAlignment="1" applyProtection="1">
      <alignment vertical="center" wrapText="1"/>
      <protection locked="0"/>
    </xf>
    <xf numFmtId="0" fontId="35" fillId="2" borderId="31" xfId="6" applyFont="1" applyFill="1" applyBorder="1" applyAlignment="1" applyProtection="1">
      <alignment vertical="center"/>
      <protection locked="0"/>
    </xf>
    <xf numFmtId="0" fontId="30" fillId="2" borderId="30" xfId="6" applyFont="1" applyFill="1" applyBorder="1" applyAlignment="1" applyProtection="1">
      <alignment vertical="center"/>
      <protection locked="0"/>
    </xf>
    <xf numFmtId="0" fontId="13" fillId="2" borderId="30" xfId="11" applyFont="1" applyFill="1" applyBorder="1" applyAlignment="1">
      <alignment vertical="center" wrapText="1"/>
    </xf>
    <xf numFmtId="0" fontId="18" fillId="2" borderId="0" xfId="6" applyFont="1" applyFill="1" applyAlignment="1" applyProtection="1">
      <alignment vertical="justify" wrapText="1"/>
      <protection locked="0"/>
    </xf>
    <xf numFmtId="0" fontId="33" fillId="2" borderId="0" xfId="6" applyFont="1" applyFill="1" applyAlignment="1" applyProtection="1">
      <alignment vertical="justify" wrapText="1"/>
      <protection locked="0"/>
    </xf>
    <xf numFmtId="0" fontId="14" fillId="2" borderId="0" xfId="6" applyFont="1" applyFill="1" applyAlignment="1" applyProtection="1">
      <alignment vertical="justify" wrapText="1"/>
      <protection locked="0"/>
    </xf>
    <xf numFmtId="166" fontId="13" fillId="2" borderId="0" xfId="6" applyNumberFormat="1" applyFont="1" applyFill="1" applyAlignment="1" applyProtection="1">
      <alignment vertical="justify" wrapText="1"/>
      <protection locked="0"/>
    </xf>
    <xf numFmtId="0" fontId="15" fillId="2" borderId="32" xfId="6" applyFont="1" applyFill="1" applyBorder="1" applyAlignment="1">
      <alignment vertical="center"/>
    </xf>
    <xf numFmtId="0" fontId="18" fillId="2" borderId="32" xfId="6" applyFont="1" applyFill="1" applyBorder="1" applyAlignment="1">
      <alignment vertical="center"/>
    </xf>
    <xf numFmtId="0" fontId="35" fillId="2" borderId="32" xfId="6" applyFont="1" applyFill="1" applyBorder="1" applyAlignment="1" applyProtection="1">
      <alignment vertical="center"/>
      <protection locked="0"/>
    </xf>
    <xf numFmtId="0" fontId="33" fillId="2" borderId="0" xfId="6" applyFont="1" applyFill="1" applyAlignment="1" applyProtection="1">
      <alignment vertical="center"/>
      <protection locked="0"/>
    </xf>
    <xf numFmtId="0" fontId="14" fillId="2" borderId="0" xfId="6" applyFont="1" applyFill="1" applyAlignment="1" applyProtection="1">
      <alignment vertical="center"/>
      <protection locked="0"/>
    </xf>
    <xf numFmtId="0" fontId="18" fillId="2" borderId="0" xfId="6" applyFont="1" applyFill="1" applyAlignment="1" applyProtection="1">
      <alignment vertical="center"/>
      <protection locked="0"/>
    </xf>
    <xf numFmtId="0" fontId="15" fillId="2" borderId="28" xfId="6" applyFont="1" applyFill="1" applyBorder="1" applyAlignment="1" applyProtection="1">
      <alignment vertical="center"/>
      <protection locked="0"/>
    </xf>
    <xf numFmtId="0" fontId="18" fillId="2" borderId="30" xfId="6" applyFont="1" applyFill="1" applyBorder="1" applyAlignment="1" applyProtection="1">
      <alignment vertical="center"/>
      <protection locked="0"/>
    </xf>
    <xf numFmtId="0" fontId="18" fillId="2" borderId="31" xfId="6" applyFont="1" applyFill="1" applyBorder="1" applyAlignment="1" applyProtection="1">
      <alignment vertical="center"/>
      <protection locked="0"/>
    </xf>
    <xf numFmtId="0" fontId="8" fillId="2" borderId="0" xfId="6" applyFont="1" applyFill="1" applyAlignment="1" applyProtection="1">
      <alignment horizontal="center" vertical="top" wrapText="1"/>
      <protection locked="0"/>
    </xf>
    <xf numFmtId="0" fontId="9" fillId="2" borderId="0" xfId="6" applyFont="1" applyFill="1" applyAlignment="1" applyProtection="1">
      <alignment horizontal="center" vertical="center" wrapText="1"/>
      <protection locked="0"/>
    </xf>
    <xf numFmtId="0" fontId="10" fillId="2" borderId="0" xfId="6" applyFont="1" applyFill="1" applyAlignment="1" applyProtection="1">
      <alignment horizontal="center" vertical="center" wrapText="1"/>
      <protection locked="0"/>
    </xf>
    <xf numFmtId="0" fontId="22" fillId="2" borderId="0" xfId="6" applyFont="1" applyFill="1" applyAlignment="1" applyProtection="1">
      <alignment horizontal="center" vertical="center" wrapText="1"/>
      <protection locked="0"/>
    </xf>
    <xf numFmtId="0" fontId="13" fillId="2" borderId="0" xfId="6" applyFont="1" applyFill="1" applyAlignment="1" applyProtection="1">
      <alignment horizontal="center" vertical="center" wrapText="1"/>
      <protection locked="0"/>
    </xf>
    <xf numFmtId="0" fontId="13" fillId="2" borderId="35" xfId="6" applyFont="1" applyFill="1" applyBorder="1" applyAlignment="1" applyProtection="1">
      <alignment horizontal="center" vertical="center" wrapText="1"/>
      <protection locked="0"/>
    </xf>
    <xf numFmtId="2" fontId="15" fillId="2" borderId="63" xfId="6" applyNumberFormat="1" applyFont="1" applyFill="1" applyBorder="1" applyAlignment="1" applyProtection="1">
      <alignment horizontal="center" vertical="center" wrapText="1"/>
      <protection locked="0"/>
    </xf>
    <xf numFmtId="167" fontId="15" fillId="2" borderId="63" xfId="10" applyNumberFormat="1" applyFont="1" applyFill="1" applyBorder="1" applyAlignment="1" applyProtection="1">
      <alignment horizontal="center" vertical="center"/>
      <protection locked="0"/>
    </xf>
    <xf numFmtId="168" fontId="15" fillId="2" borderId="64" xfId="10" applyNumberFormat="1" applyFont="1" applyFill="1" applyBorder="1" applyAlignment="1" applyProtection="1">
      <alignment horizontal="center" vertical="center"/>
      <protection locked="0"/>
    </xf>
    <xf numFmtId="169" fontId="13" fillId="2" borderId="30" xfId="6" applyNumberFormat="1" applyFont="1" applyFill="1" applyBorder="1" applyAlignment="1" applyProtection="1">
      <alignment horizontal="center" vertical="center"/>
      <protection locked="0"/>
    </xf>
    <xf numFmtId="2" fontId="13" fillId="2" borderId="30" xfId="6" applyNumberFormat="1" applyFont="1" applyFill="1" applyBorder="1" applyAlignment="1" applyProtection="1">
      <alignment horizontal="center" vertical="center" wrapText="1"/>
      <protection locked="0"/>
    </xf>
    <xf numFmtId="0" fontId="18" fillId="2" borderId="0" xfId="6" applyFont="1" applyFill="1" applyAlignment="1" applyProtection="1">
      <alignment horizontal="center" vertical="justify" wrapText="1"/>
      <protection locked="0"/>
    </xf>
    <xf numFmtId="168" fontId="15" fillId="2" borderId="0" xfId="10" applyNumberFormat="1" applyFont="1" applyFill="1" applyBorder="1" applyAlignment="1" applyProtection="1">
      <alignment horizontal="center" vertical="center"/>
      <protection locked="0"/>
    </xf>
    <xf numFmtId="168" fontId="18" fillId="2" borderId="35" xfId="10" applyNumberFormat="1" applyFont="1" applyFill="1" applyBorder="1" applyAlignment="1" applyProtection="1">
      <alignment horizontal="center" vertical="center"/>
      <protection locked="0"/>
    </xf>
    <xf numFmtId="168" fontId="15" fillId="2" borderId="0" xfId="10" applyNumberFormat="1" applyFont="1" applyFill="1" applyBorder="1" applyAlignment="1" applyProtection="1">
      <alignment horizontal="center" vertical="center" wrapText="1"/>
      <protection locked="0"/>
    </xf>
    <xf numFmtId="168" fontId="15" fillId="2" borderId="31" xfId="10" applyNumberFormat="1" applyFont="1" applyFill="1" applyBorder="1" applyAlignment="1" applyProtection="1">
      <alignment horizontal="center" vertical="center"/>
      <protection locked="0"/>
    </xf>
    <xf numFmtId="168" fontId="18" fillId="2" borderId="43" xfId="10" applyNumberFormat="1" applyFont="1" applyFill="1" applyBorder="1" applyAlignment="1" applyProtection="1">
      <alignment horizontal="center" vertical="center"/>
      <protection locked="0"/>
    </xf>
    <xf numFmtId="0" fontId="11" fillId="2" borderId="0" xfId="6" applyFont="1" applyFill="1" applyAlignment="1" applyProtection="1">
      <alignment horizontal="center" vertical="center"/>
      <protection locked="0"/>
    </xf>
    <xf numFmtId="168" fontId="11" fillId="2" borderId="0" xfId="10" applyNumberFormat="1" applyFont="1" applyFill="1" applyBorder="1" applyAlignment="1" applyProtection="1">
      <alignment horizontal="center" vertical="center"/>
      <protection locked="0"/>
    </xf>
    <xf numFmtId="167" fontId="11" fillId="2" borderId="0" xfId="6" applyNumberFormat="1" applyFont="1" applyFill="1" applyAlignment="1" applyProtection="1">
      <alignment horizontal="center" vertical="center"/>
      <protection locked="0"/>
    </xf>
    <xf numFmtId="168" fontId="26" fillId="2" borderId="0" xfId="6" applyNumberFormat="1" applyFont="1" applyFill="1" applyAlignment="1" applyProtection="1">
      <alignment horizontal="center" vertical="center"/>
      <protection locked="0"/>
    </xf>
    <xf numFmtId="170" fontId="14" fillId="2" borderId="0" xfId="6" applyNumberFormat="1" applyFont="1" applyFill="1" applyAlignment="1" applyProtection="1">
      <alignment horizontal="center" vertical="center"/>
      <protection locked="0"/>
    </xf>
    <xf numFmtId="168" fontId="18" fillId="2" borderId="0" xfId="10" applyNumberFormat="1" applyFont="1" applyFill="1" applyBorder="1" applyAlignment="1" applyProtection="1">
      <alignment horizontal="center" vertical="center"/>
      <protection locked="0"/>
    </xf>
    <xf numFmtId="167" fontId="18" fillId="2" borderId="0" xfId="6" applyNumberFormat="1" applyFont="1" applyFill="1" applyAlignment="1" applyProtection="1">
      <alignment horizontal="center" vertical="center"/>
      <protection locked="0"/>
    </xf>
    <xf numFmtId="170" fontId="18" fillId="2" borderId="0" xfId="6" applyNumberFormat="1" applyFont="1" applyFill="1" applyAlignment="1" applyProtection="1">
      <alignment horizontal="center" vertical="center"/>
      <protection locked="0"/>
    </xf>
    <xf numFmtId="2" fontId="15" fillId="2" borderId="28" xfId="6" applyNumberFormat="1" applyFont="1" applyFill="1" applyBorder="1" applyAlignment="1" applyProtection="1">
      <alignment horizontal="center" vertical="center"/>
      <protection locked="0"/>
    </xf>
    <xf numFmtId="2" fontId="15" fillId="2" borderId="28" xfId="6" applyNumberFormat="1" applyFont="1" applyFill="1" applyBorder="1" applyAlignment="1" applyProtection="1">
      <alignment horizontal="center" vertical="center" wrapText="1"/>
      <protection locked="0"/>
    </xf>
    <xf numFmtId="167" fontId="15" fillId="2" borderId="28" xfId="10" applyNumberFormat="1" applyFont="1" applyFill="1" applyBorder="1" applyAlignment="1" applyProtection="1">
      <alignment horizontal="center" vertical="center"/>
      <protection locked="0"/>
    </xf>
    <xf numFmtId="168" fontId="15" fillId="2" borderId="39" xfId="10" applyNumberFormat="1" applyFont="1" applyFill="1" applyBorder="1" applyAlignment="1" applyProtection="1">
      <alignment horizontal="center" vertical="center"/>
      <protection locked="0"/>
    </xf>
    <xf numFmtId="167" fontId="18" fillId="2" borderId="30" xfId="6" applyNumberFormat="1" applyFont="1" applyFill="1" applyBorder="1" applyAlignment="1" applyProtection="1">
      <alignment horizontal="center" vertical="center"/>
      <protection locked="0"/>
    </xf>
    <xf numFmtId="170" fontId="18" fillId="2" borderId="41" xfId="6" applyNumberFormat="1" applyFont="1" applyFill="1" applyBorder="1" applyAlignment="1" applyProtection="1">
      <alignment horizontal="center" vertical="center"/>
      <protection locked="0"/>
    </xf>
    <xf numFmtId="0" fontId="46" fillId="0" borderId="33" xfId="0" applyFont="1" applyBorder="1" applyAlignment="1">
      <alignment horizontal="center" vertical="center"/>
    </xf>
    <xf numFmtId="0" fontId="46" fillId="2" borderId="61" xfId="6" applyFont="1" applyFill="1" applyBorder="1" applyAlignment="1" applyProtection="1">
      <alignment horizontal="center" vertical="center" wrapText="1"/>
      <protection locked="0"/>
    </xf>
    <xf numFmtId="0" fontId="46" fillId="0" borderId="26" xfId="0" applyFont="1" applyBorder="1" applyAlignment="1">
      <alignment horizontal="center" vertical="center"/>
    </xf>
    <xf numFmtId="14" fontId="46" fillId="2" borderId="61" xfId="6" applyNumberFormat="1" applyFont="1" applyFill="1" applyBorder="1" applyAlignment="1" applyProtection="1">
      <alignment horizontal="center" vertical="center" wrapText="1"/>
      <protection locked="0"/>
    </xf>
    <xf numFmtId="14" fontId="18" fillId="2" borderId="35" xfId="6" applyNumberFormat="1" applyFont="1" applyFill="1" applyBorder="1" applyAlignment="1" applyProtection="1">
      <alignment horizontal="center" vertical="center"/>
      <protection locked="0"/>
    </xf>
    <xf numFmtId="0" fontId="26" fillId="2" borderId="0" xfId="9" applyFont="1" applyFill="1" applyAlignment="1">
      <alignment horizontal="center" vertical="center" wrapText="1"/>
    </xf>
    <xf numFmtId="0" fontId="13" fillId="2" borderId="0" xfId="9" applyFont="1" applyFill="1" applyAlignment="1">
      <alignment horizontal="center" vertical="center" wrapText="1"/>
    </xf>
    <xf numFmtId="164" fontId="26" fillId="2" borderId="0" xfId="1" applyFont="1" applyFill="1" applyAlignment="1">
      <alignment horizontal="center" vertical="center" wrapText="1"/>
    </xf>
    <xf numFmtId="0" fontId="16" fillId="2" borderId="0" xfId="9" applyFont="1" applyFill="1" applyAlignment="1">
      <alignment horizontal="center" vertical="center" wrapText="1"/>
    </xf>
    <xf numFmtId="164" fontId="16" fillId="2" borderId="0" xfId="1" applyFont="1" applyFill="1" applyAlignment="1">
      <alignment horizontal="center" vertical="center" wrapText="1"/>
    </xf>
    <xf numFmtId="164" fontId="16" fillId="2" borderId="0" xfId="9" applyNumberFormat="1" applyFont="1" applyFill="1" applyAlignment="1">
      <alignment horizontal="center" vertical="center" wrapText="1"/>
    </xf>
    <xf numFmtId="175" fontId="14" fillId="2" borderId="0" xfId="16" applyNumberFormat="1" applyFont="1" applyFill="1" applyAlignment="1" applyProtection="1">
      <alignment horizontal="center" vertical="center"/>
      <protection locked="0"/>
    </xf>
    <xf numFmtId="175" fontId="14" fillId="2" borderId="0" xfId="16" applyNumberFormat="1" applyFont="1" applyFill="1" applyAlignment="1" applyProtection="1">
      <alignment horizontal="center"/>
      <protection locked="0"/>
    </xf>
    <xf numFmtId="175" fontId="13" fillId="2" borderId="0" xfId="16" applyNumberFormat="1" applyFont="1" applyFill="1" applyAlignment="1" applyProtection="1">
      <alignment horizontal="center" vertical="center"/>
      <protection locked="0"/>
    </xf>
    <xf numFmtId="175" fontId="15" fillId="2" borderId="32" xfId="16" applyNumberFormat="1" applyFont="1" applyFill="1" applyBorder="1" applyAlignment="1" applyProtection="1">
      <alignment horizontal="center" vertical="center"/>
      <protection locked="0"/>
    </xf>
    <xf numFmtId="175" fontId="15" fillId="2" borderId="0" xfId="16" applyNumberFormat="1" applyFont="1" applyFill="1" applyAlignment="1" applyProtection="1">
      <alignment horizontal="center" vertical="center"/>
      <protection locked="0"/>
    </xf>
    <xf numFmtId="175" fontId="14" fillId="2" borderId="0" xfId="16" applyNumberFormat="1" applyFont="1" applyFill="1" applyAlignment="1">
      <alignment horizontal="center" vertical="center"/>
    </xf>
    <xf numFmtId="175" fontId="18" fillId="2" borderId="0" xfId="16" applyNumberFormat="1" applyFont="1" applyFill="1" applyAlignment="1">
      <alignment horizontal="center" vertical="center"/>
    </xf>
    <xf numFmtId="2" fontId="18" fillId="2" borderId="32" xfId="7" applyNumberFormat="1" applyFont="1" applyFill="1" applyBorder="1" applyAlignment="1" applyProtection="1">
      <alignment horizontal="center" vertical="center" wrapText="1"/>
    </xf>
    <xf numFmtId="164" fontId="15" fillId="2" borderId="32" xfId="7" applyFont="1" applyFill="1" applyBorder="1" applyAlignment="1" applyProtection="1">
      <alignment vertical="center" wrapText="1"/>
    </xf>
    <xf numFmtId="2" fontId="14" fillId="2" borderId="0" xfId="16" applyNumberFormat="1" applyFont="1" applyFill="1" applyAlignment="1" applyProtection="1">
      <alignment horizontal="center" vertical="center"/>
      <protection locked="0"/>
    </xf>
    <xf numFmtId="2" fontId="14" fillId="2" borderId="0" xfId="16" applyNumberFormat="1" applyFont="1" applyFill="1" applyAlignment="1" applyProtection="1">
      <alignment horizontal="center"/>
      <protection locked="0"/>
    </xf>
    <xf numFmtId="2" fontId="13" fillId="2" borderId="0" xfId="16" applyNumberFormat="1" applyFont="1" applyFill="1" applyAlignment="1" applyProtection="1">
      <alignment horizontal="center" vertical="center"/>
      <protection locked="0"/>
    </xf>
    <xf numFmtId="2" fontId="15" fillId="2" borderId="32" xfId="16" applyNumberFormat="1" applyFont="1" applyFill="1" applyBorder="1" applyAlignment="1" applyProtection="1">
      <alignment horizontal="center" vertical="center"/>
      <protection locked="0"/>
    </xf>
    <xf numFmtId="2" fontId="15" fillId="2" borderId="0" xfId="16" applyNumberFormat="1" applyFont="1" applyFill="1" applyAlignment="1" applyProtection="1">
      <alignment horizontal="center" vertical="center"/>
      <protection locked="0"/>
    </xf>
    <xf numFmtId="2" fontId="14" fillId="2" borderId="0" xfId="16" applyNumberFormat="1" applyFont="1" applyFill="1" applyAlignment="1">
      <alignment horizontal="center" vertical="center"/>
    </xf>
    <xf numFmtId="2" fontId="18" fillId="2" borderId="0" xfId="16" applyNumberFormat="1" applyFont="1" applyFill="1" applyAlignment="1">
      <alignment horizontal="center" vertical="center"/>
    </xf>
    <xf numFmtId="1" fontId="14" fillId="2" borderId="0" xfId="6" applyNumberFormat="1" applyFont="1" applyFill="1" applyAlignment="1" applyProtection="1">
      <alignment horizontal="center" vertical="center"/>
      <protection locked="0"/>
    </xf>
    <xf numFmtId="1" fontId="14" fillId="2" borderId="0" xfId="6" applyNumberFormat="1" applyFont="1" applyFill="1" applyAlignment="1" applyProtection="1">
      <alignment horizontal="center"/>
      <protection locked="0"/>
    </xf>
    <xf numFmtId="1" fontId="15" fillId="2" borderId="32" xfId="6" applyNumberFormat="1" applyFont="1" applyFill="1" applyBorder="1" applyAlignment="1" applyProtection="1">
      <alignment horizontal="center" vertical="center"/>
      <protection locked="0"/>
    </xf>
    <xf numFmtId="1" fontId="15" fillId="2" borderId="0" xfId="6" applyNumberFormat="1" applyFont="1" applyFill="1" applyAlignment="1" applyProtection="1">
      <alignment horizontal="center" vertical="center"/>
      <protection locked="0"/>
    </xf>
    <xf numFmtId="1" fontId="14" fillId="2" borderId="0" xfId="6" applyNumberFormat="1" applyFont="1" applyFill="1" applyAlignment="1">
      <alignment horizontal="center" vertical="center"/>
    </xf>
    <xf numFmtId="1" fontId="18" fillId="2" borderId="0" xfId="6" applyNumberFormat="1" applyFont="1" applyFill="1" applyAlignment="1">
      <alignment horizontal="center" vertical="center"/>
    </xf>
    <xf numFmtId="0" fontId="34" fillId="2" borderId="44" xfId="6" applyFont="1" applyFill="1" applyBorder="1" applyAlignment="1" applyProtection="1">
      <alignment horizontal="center" vertical="center"/>
      <protection locked="0"/>
    </xf>
    <xf numFmtId="164" fontId="34" fillId="2" borderId="29" xfId="1" applyFont="1" applyFill="1" applyBorder="1" applyAlignment="1" applyProtection="1">
      <alignment horizontal="center" vertical="center"/>
      <protection locked="0"/>
    </xf>
    <xf numFmtId="0" fontId="34" fillId="2" borderId="29" xfId="6" applyFont="1" applyFill="1" applyBorder="1" applyAlignment="1" applyProtection="1">
      <alignment horizontal="center" vertical="center"/>
      <protection locked="0"/>
    </xf>
    <xf numFmtId="164" fontId="34" fillId="2" borderId="45" xfId="1" applyFont="1" applyFill="1" applyBorder="1" applyAlignment="1" applyProtection="1">
      <alignment horizontal="center" vertical="center"/>
      <protection locked="0"/>
    </xf>
    <xf numFmtId="175" fontId="13" fillId="2" borderId="0" xfId="16" applyNumberFormat="1" applyFont="1" applyFill="1" applyAlignment="1">
      <alignment horizontal="left" vertical="center" wrapText="1"/>
    </xf>
    <xf numFmtId="169" fontId="15" fillId="2" borderId="32" xfId="16" applyNumberFormat="1" applyFont="1" applyFill="1" applyBorder="1" applyAlignment="1" applyProtection="1">
      <alignment horizontal="center" vertical="center"/>
      <protection locked="0"/>
    </xf>
    <xf numFmtId="169" fontId="13" fillId="2" borderId="0" xfId="9" applyNumberFormat="1" applyFont="1" applyFill="1" applyAlignment="1">
      <alignment horizontal="left" vertical="center" wrapText="1"/>
    </xf>
    <xf numFmtId="0" fontId="13" fillId="2" borderId="32" xfId="9" applyFont="1" applyFill="1" applyBorder="1" applyAlignment="1">
      <alignment horizontal="center" vertical="center" wrapText="1"/>
    </xf>
    <xf numFmtId="175" fontId="13" fillId="2" borderId="32" xfId="16" applyNumberFormat="1" applyFont="1" applyFill="1" applyBorder="1" applyAlignment="1">
      <alignment horizontal="center" vertical="center" wrapText="1"/>
    </xf>
    <xf numFmtId="169" fontId="13" fillId="2" borderId="32" xfId="9" applyNumberFormat="1" applyFont="1" applyFill="1" applyBorder="1" applyAlignment="1">
      <alignment horizontal="center" vertical="center" wrapText="1"/>
    </xf>
    <xf numFmtId="0" fontId="13" fillId="2" borderId="47" xfId="0" applyFont="1" applyFill="1" applyBorder="1" applyAlignment="1">
      <alignment horizontal="center" vertical="center" wrapText="1"/>
    </xf>
    <xf numFmtId="164" fontId="18" fillId="0" borderId="40" xfId="7" applyFont="1" applyFill="1" applyBorder="1" applyAlignment="1" applyProtection="1">
      <alignment horizontal="center" vertical="center" wrapText="1"/>
    </xf>
    <xf numFmtId="171" fontId="27" fillId="0" borderId="32" xfId="6" applyNumberFormat="1" applyFont="1" applyBorder="1" applyAlignment="1" applyProtection="1">
      <alignment horizontal="center" vertical="center" wrapText="1"/>
      <protection locked="0"/>
    </xf>
    <xf numFmtId="9" fontId="29" fillId="0" borderId="0" xfId="4" applyFont="1" applyFill="1" applyBorder="1" applyAlignment="1">
      <alignment horizontal="center" vertical="center"/>
    </xf>
    <xf numFmtId="164" fontId="29" fillId="2" borderId="0" xfId="1" applyFont="1" applyFill="1" applyBorder="1" applyAlignment="1">
      <alignment horizontal="center" vertical="center"/>
    </xf>
    <xf numFmtId="0" fontId="35" fillId="2" borderId="0" xfId="6" applyFont="1" applyFill="1" applyAlignment="1" applyProtection="1">
      <alignment horizontal="center" vertical="center" wrapText="1"/>
      <protection locked="0"/>
    </xf>
    <xf numFmtId="1" fontId="35" fillId="2" borderId="0" xfId="6" applyNumberFormat="1" applyFont="1" applyFill="1" applyAlignment="1" applyProtection="1">
      <alignment horizontal="center" vertical="center" wrapText="1"/>
      <protection locked="0"/>
    </xf>
    <xf numFmtId="9" fontId="27" fillId="10" borderId="32" xfId="6" applyNumberFormat="1" applyFont="1" applyFill="1" applyBorder="1" applyAlignment="1" applyProtection="1">
      <alignment horizontal="center" vertical="center" wrapText="1"/>
      <protection locked="0"/>
    </xf>
    <xf numFmtId="171" fontId="27" fillId="10" borderId="32" xfId="6" applyNumberFormat="1" applyFont="1" applyFill="1" applyBorder="1" applyAlignment="1" applyProtection="1">
      <alignment horizontal="center" vertical="center" wrapText="1"/>
      <protection locked="0"/>
    </xf>
    <xf numFmtId="0" fontId="38" fillId="10" borderId="54" xfId="0" applyFont="1" applyFill="1" applyBorder="1" applyAlignment="1">
      <alignment horizontal="left" vertical="center" wrapText="1"/>
    </xf>
    <xf numFmtId="0" fontId="38" fillId="10" borderId="54" xfId="0" applyFont="1" applyFill="1" applyBorder="1" applyAlignment="1">
      <alignment horizontal="left" vertical="center"/>
    </xf>
    <xf numFmtId="0" fontId="38" fillId="10" borderId="54" xfId="6" applyFont="1" applyFill="1" applyBorder="1" applyAlignment="1" applyProtection="1">
      <alignment horizontal="left" vertical="center" wrapText="1"/>
      <protection locked="0"/>
    </xf>
    <xf numFmtId="9" fontId="16" fillId="2" borderId="32" xfId="4" applyFont="1" applyFill="1" applyBorder="1" applyAlignment="1">
      <alignment horizontal="left" vertical="center" wrapText="1"/>
    </xf>
    <xf numFmtId="168" fontId="16" fillId="2" borderId="32" xfId="6" applyNumberFormat="1" applyFont="1" applyFill="1" applyBorder="1" applyAlignment="1">
      <alignment horizontal="left" vertical="center" wrapText="1"/>
    </xf>
    <xf numFmtId="168" fontId="32" fillId="2" borderId="32" xfId="6" applyNumberFormat="1" applyFont="1" applyFill="1" applyBorder="1" applyAlignment="1">
      <alignment horizontal="left" vertical="center" wrapText="1"/>
    </xf>
    <xf numFmtId="164" fontId="31" fillId="2" borderId="0" xfId="7" applyFont="1" applyFill="1" applyBorder="1" applyAlignment="1" applyProtection="1">
      <alignment horizontal="center" vertical="center" wrapText="1"/>
    </xf>
    <xf numFmtId="164" fontId="50" fillId="2" borderId="0" xfId="7" applyFont="1" applyFill="1" applyBorder="1" applyAlignment="1" applyProtection="1">
      <alignment horizontal="center" vertical="center" wrapText="1"/>
    </xf>
    <xf numFmtId="0" fontId="51" fillId="2" borderId="0" xfId="0" applyFont="1" applyFill="1" applyAlignment="1">
      <alignment horizontal="left" vertical="center"/>
    </xf>
    <xf numFmtId="0" fontId="51" fillId="2" borderId="0" xfId="0" applyFont="1" applyFill="1" applyAlignment="1">
      <alignment vertical="center"/>
    </xf>
    <xf numFmtId="164" fontId="51" fillId="2" borderId="0" xfId="1" applyFont="1" applyFill="1" applyAlignment="1">
      <alignment horizontal="center" vertical="center"/>
    </xf>
    <xf numFmtId="9" fontId="51" fillId="2" borderId="0" xfId="4" applyFont="1" applyFill="1" applyAlignment="1">
      <alignment horizontal="center" vertical="center"/>
    </xf>
    <xf numFmtId="9" fontId="41" fillId="2" borderId="0" xfId="4" applyFont="1" applyFill="1" applyAlignment="1">
      <alignment horizontal="center" vertical="center"/>
    </xf>
    <xf numFmtId="164" fontId="41" fillId="2" borderId="0" xfId="4" applyNumberFormat="1" applyFont="1" applyFill="1" applyAlignment="1">
      <alignment horizontal="center" vertical="center"/>
    </xf>
    <xf numFmtId="0" fontId="41" fillId="2" borderId="0" xfId="0" applyFont="1" applyFill="1" applyAlignment="1">
      <alignment vertical="center"/>
    </xf>
    <xf numFmtId="164" fontId="41" fillId="2" borderId="0" xfId="1" applyFont="1" applyFill="1" applyAlignment="1">
      <alignment horizontal="center" vertical="center"/>
    </xf>
    <xf numFmtId="164" fontId="51" fillId="2" borderId="0" xfId="4" applyNumberFormat="1" applyFont="1" applyFill="1" applyAlignment="1">
      <alignment horizontal="center" vertical="center"/>
    </xf>
    <xf numFmtId="168" fontId="43" fillId="2" borderId="26" xfId="6" applyNumberFormat="1" applyFont="1" applyFill="1" applyBorder="1" applyAlignment="1">
      <alignment horizontal="center" vertical="center" wrapText="1"/>
    </xf>
    <xf numFmtId="9" fontId="43" fillId="2" borderId="26" xfId="4" applyFont="1" applyFill="1" applyBorder="1" applyAlignment="1">
      <alignment horizontal="center" vertical="center" wrapText="1"/>
    </xf>
    <xf numFmtId="2" fontId="43" fillId="2" borderId="26" xfId="6" applyNumberFormat="1" applyFont="1" applyFill="1" applyBorder="1" applyAlignment="1">
      <alignment horizontal="center" vertical="center" wrapText="1"/>
    </xf>
    <xf numFmtId="166" fontId="43" fillId="2" borderId="26" xfId="6" applyNumberFormat="1" applyFont="1" applyFill="1" applyBorder="1" applyAlignment="1">
      <alignment horizontal="center" vertical="center" wrapText="1"/>
    </xf>
    <xf numFmtId="0" fontId="43" fillId="2" borderId="26" xfId="6" applyFont="1" applyFill="1" applyBorder="1" applyAlignment="1">
      <alignment horizontal="center" vertical="center" wrapText="1"/>
    </xf>
    <xf numFmtId="170" fontId="43" fillId="2" borderId="26" xfId="6" applyNumberFormat="1" applyFont="1" applyFill="1" applyBorder="1" applyAlignment="1">
      <alignment horizontal="center" vertical="center" wrapText="1"/>
    </xf>
    <xf numFmtId="164" fontId="43" fillId="11" borderId="26" xfId="1" applyFont="1" applyFill="1" applyBorder="1" applyAlignment="1">
      <alignment horizontal="center" vertical="center" wrapText="1"/>
    </xf>
    <xf numFmtId="9" fontId="44" fillId="11" borderId="26" xfId="4" applyFont="1" applyFill="1" applyBorder="1" applyAlignment="1">
      <alignment horizontal="center" vertical="center" wrapText="1"/>
    </xf>
    <xf numFmtId="0" fontId="41" fillId="2" borderId="0" xfId="1" applyNumberFormat="1" applyFont="1" applyFill="1" applyAlignment="1">
      <alignment horizontal="center" vertical="center"/>
    </xf>
    <xf numFmtId="0" fontId="43" fillId="11" borderId="0" xfId="0" applyFont="1" applyFill="1" applyAlignment="1">
      <alignment horizontal="center" vertical="center" wrapText="1"/>
    </xf>
    <xf numFmtId="9" fontId="43" fillId="11" borderId="0" xfId="4" applyFont="1" applyFill="1" applyBorder="1" applyAlignment="1">
      <alignment horizontal="center" vertical="center" wrapText="1"/>
    </xf>
    <xf numFmtId="170" fontId="43" fillId="11" borderId="0" xfId="0" applyNumberFormat="1" applyFont="1" applyFill="1" applyAlignment="1">
      <alignment horizontal="center" vertical="center" wrapText="1"/>
    </xf>
    <xf numFmtId="0" fontId="45" fillId="11" borderId="0" xfId="0" applyFont="1" applyFill="1" applyAlignment="1">
      <alignment horizontal="left" vertical="center" wrapText="1"/>
    </xf>
    <xf numFmtId="9" fontId="45" fillId="11" borderId="0" xfId="4" applyFont="1" applyFill="1" applyBorder="1" applyAlignment="1">
      <alignment horizontal="left" vertical="center" wrapText="1"/>
    </xf>
    <xf numFmtId="164" fontId="43" fillId="11" borderId="0" xfId="0" applyNumberFormat="1" applyFont="1" applyFill="1" applyAlignment="1">
      <alignment horizontal="center" vertical="center" wrapText="1"/>
    </xf>
    <xf numFmtId="0" fontId="43" fillId="11" borderId="0" xfId="0" applyFont="1" applyFill="1" applyAlignment="1">
      <alignment horizontal="left" vertical="center" wrapText="1"/>
    </xf>
    <xf numFmtId="9" fontId="43" fillId="11" borderId="0" xfId="4" applyFont="1" applyFill="1" applyBorder="1" applyAlignment="1">
      <alignment horizontal="left" vertical="center" wrapText="1"/>
    </xf>
    <xf numFmtId="9" fontId="43" fillId="11" borderId="0" xfId="4" applyFont="1" applyFill="1" applyBorder="1" applyAlignment="1">
      <alignment vertical="center" wrapText="1"/>
    </xf>
    <xf numFmtId="164" fontId="43" fillId="11" borderId="0" xfId="1" applyFont="1" applyFill="1" applyBorder="1" applyAlignment="1">
      <alignment horizontal="center" vertical="center" wrapText="1"/>
    </xf>
    <xf numFmtId="171" fontId="43" fillId="11" borderId="0" xfId="4" applyNumberFormat="1" applyFont="1" applyFill="1" applyAlignment="1">
      <alignment horizontal="center" vertical="center" wrapText="1"/>
    </xf>
    <xf numFmtId="9" fontId="48" fillId="11" borderId="0" xfId="4" applyFont="1" applyFill="1" applyAlignment="1">
      <alignment horizontal="center" vertical="center" wrapText="1"/>
    </xf>
    <xf numFmtId="9" fontId="50" fillId="2" borderId="0" xfId="4" applyFont="1" applyFill="1" applyBorder="1" applyAlignment="1" applyProtection="1">
      <alignment horizontal="center" vertical="center" wrapText="1"/>
    </xf>
    <xf numFmtId="9" fontId="44" fillId="2" borderId="0" xfId="4" applyFont="1" applyFill="1" applyBorder="1" applyAlignment="1" applyProtection="1">
      <alignment horizontal="center" vertical="center" wrapText="1"/>
    </xf>
    <xf numFmtId="164" fontId="50" fillId="2" borderId="0" xfId="7" applyFont="1" applyFill="1" applyBorder="1" applyAlignment="1" applyProtection="1">
      <alignment vertical="center" wrapText="1"/>
    </xf>
    <xf numFmtId="164" fontId="44" fillId="2" borderId="0" xfId="7" applyFont="1" applyFill="1" applyBorder="1" applyAlignment="1" applyProtection="1">
      <alignment vertical="center" wrapText="1"/>
    </xf>
    <xf numFmtId="1" fontId="44" fillId="2" borderId="0" xfId="7" applyNumberFormat="1" applyFont="1" applyFill="1" applyBorder="1" applyAlignment="1" applyProtection="1">
      <alignment horizontal="center" vertical="center" wrapText="1"/>
    </xf>
    <xf numFmtId="164" fontId="19" fillId="2" borderId="0" xfId="7" applyFont="1" applyFill="1" applyBorder="1" applyAlignment="1" applyProtection="1">
      <alignment horizontal="center" vertical="center" wrapText="1"/>
    </xf>
    <xf numFmtId="164" fontId="50" fillId="2" borderId="0" xfId="1" applyFont="1" applyFill="1" applyBorder="1" applyAlignment="1" applyProtection="1">
      <alignment horizontal="center" vertical="center" wrapText="1"/>
    </xf>
    <xf numFmtId="164" fontId="52" fillId="2" borderId="0" xfId="7" applyFont="1" applyFill="1" applyBorder="1" applyAlignment="1" applyProtection="1">
      <alignment horizontal="center" vertical="center" wrapText="1"/>
    </xf>
    <xf numFmtId="0" fontId="52" fillId="2" borderId="0" xfId="7" applyNumberFormat="1" applyFont="1" applyFill="1" applyBorder="1" applyAlignment="1" applyProtection="1">
      <alignment horizontal="center" vertical="center" wrapText="1"/>
    </xf>
    <xf numFmtId="164" fontId="34" fillId="2" borderId="81" xfId="7" applyFont="1" applyFill="1" applyBorder="1" applyAlignment="1" applyProtection="1">
      <alignment horizontal="center" vertical="center" wrapText="1"/>
    </xf>
    <xf numFmtId="170" fontId="11" fillId="2" borderId="0" xfId="6" applyNumberFormat="1" applyFont="1" applyFill="1" applyAlignment="1" applyProtection="1">
      <alignment horizontal="center" vertical="center"/>
      <protection locked="0"/>
    </xf>
    <xf numFmtId="164" fontId="19" fillId="2" borderId="0" xfId="7" applyFont="1" applyFill="1" applyBorder="1" applyAlignment="1" applyProtection="1">
      <alignment horizontal="right" vertical="center" wrapText="1"/>
    </xf>
    <xf numFmtId="0" fontId="26" fillId="2" borderId="0" xfId="34" applyFont="1" applyFill="1" applyAlignment="1">
      <alignment horizontal="left" vertical="center" wrapText="1"/>
    </xf>
    <xf numFmtId="0" fontId="13" fillId="2" borderId="0" xfId="34" applyFont="1" applyFill="1" applyAlignment="1">
      <alignment horizontal="left" vertical="center" wrapText="1"/>
    </xf>
    <xf numFmtId="0" fontId="39" fillId="2" borderId="0" xfId="0" applyFont="1" applyFill="1" applyAlignment="1">
      <alignment horizontal="left" vertical="center" wrapText="1"/>
    </xf>
    <xf numFmtId="0" fontId="39" fillId="5" borderId="25" xfId="0" applyFont="1" applyFill="1" applyBorder="1" applyAlignment="1">
      <alignment horizontal="left" vertical="center" wrapText="1"/>
    </xf>
    <xf numFmtId="0" fontId="13" fillId="2" borderId="25" xfId="34" applyFont="1" applyFill="1" applyBorder="1" applyAlignment="1">
      <alignment horizontal="left" vertical="center" wrapText="1"/>
    </xf>
    <xf numFmtId="9" fontId="52" fillId="2" borderId="0" xfId="4" applyFont="1" applyFill="1" applyBorder="1" applyAlignment="1" applyProtection="1">
      <alignment horizontal="center" vertical="center" wrapText="1"/>
    </xf>
    <xf numFmtId="164" fontId="19" fillId="2" borderId="0" xfId="7" applyFont="1" applyFill="1" applyBorder="1" applyAlignment="1" applyProtection="1">
      <alignment horizontal="center" vertical="center" wrapText="1"/>
    </xf>
    <xf numFmtId="164" fontId="50" fillId="2" borderId="0" xfId="7" applyFont="1" applyFill="1" applyBorder="1" applyAlignment="1" applyProtection="1">
      <alignment horizontal="center" vertical="center" wrapText="1"/>
    </xf>
    <xf numFmtId="164" fontId="34" fillId="2" borderId="81" xfId="7" applyFont="1" applyFill="1" applyBorder="1" applyAlignment="1" applyProtection="1">
      <alignment horizontal="center" vertical="center" wrapText="1"/>
    </xf>
    <xf numFmtId="164" fontId="34" fillId="2" borderId="83" xfId="7" applyFont="1" applyFill="1" applyBorder="1" applyAlignment="1" applyProtection="1">
      <alignment horizontal="center" vertical="center" wrapText="1"/>
    </xf>
    <xf numFmtId="164" fontId="50" fillId="2" borderId="0" xfId="7" applyFont="1" applyFill="1" applyBorder="1" applyAlignment="1" applyProtection="1">
      <alignment horizontal="left" vertical="center" wrapText="1"/>
    </xf>
    <xf numFmtId="164" fontId="52" fillId="2" borderId="0" xfId="7" applyFont="1" applyFill="1" applyBorder="1" applyAlignment="1" applyProtection="1">
      <alignment horizontal="left" vertical="center" wrapText="1"/>
    </xf>
    <xf numFmtId="164" fontId="52" fillId="2" borderId="82" xfId="7" applyFont="1" applyFill="1" applyBorder="1" applyAlignment="1" applyProtection="1">
      <alignment horizontal="left" vertical="center" wrapText="1"/>
    </xf>
    <xf numFmtId="164" fontId="31" fillId="2" borderId="0" xfId="7" applyFont="1" applyFill="1" applyBorder="1" applyAlignment="1" applyProtection="1">
      <alignment horizontal="left" vertical="center" wrapText="1"/>
    </xf>
    <xf numFmtId="0" fontId="18" fillId="2" borderId="0" xfId="6" applyFont="1" applyFill="1" applyAlignment="1" applyProtection="1">
      <alignment horizontal="center" vertical="center"/>
      <protection locked="0"/>
    </xf>
    <xf numFmtId="164" fontId="18" fillId="2" borderId="41" xfId="1" applyFont="1" applyFill="1" applyBorder="1" applyAlignment="1" applyProtection="1">
      <alignment horizontal="center" vertical="center"/>
      <protection locked="0"/>
    </xf>
    <xf numFmtId="164" fontId="18" fillId="2" borderId="35" xfId="1" applyFont="1" applyFill="1" applyBorder="1" applyAlignment="1" applyProtection="1">
      <alignment horizontal="center" vertical="center"/>
      <protection locked="0"/>
    </xf>
    <xf numFmtId="164" fontId="18" fillId="2" borderId="43" xfId="1" applyFont="1" applyFill="1" applyBorder="1" applyAlignment="1" applyProtection="1">
      <alignment horizontal="center" vertical="center"/>
      <protection locked="0"/>
    </xf>
    <xf numFmtId="0" fontId="18" fillId="2" borderId="34" xfId="6" applyFont="1" applyFill="1" applyBorder="1" applyAlignment="1" applyProtection="1">
      <alignment horizontal="center" vertical="center"/>
      <protection locked="0"/>
    </xf>
    <xf numFmtId="0" fontId="18" fillId="2" borderId="42" xfId="6" applyFont="1" applyFill="1" applyBorder="1" applyAlignment="1" applyProtection="1">
      <alignment horizontal="center" vertical="center"/>
      <protection locked="0"/>
    </xf>
    <xf numFmtId="0" fontId="18" fillId="2" borderId="40" xfId="6" applyFont="1" applyFill="1" applyBorder="1" applyAlignment="1" applyProtection="1">
      <alignment horizontal="center" vertical="center"/>
      <protection locked="0"/>
    </xf>
    <xf numFmtId="175" fontId="18" fillId="2" borderId="0" xfId="16" applyNumberFormat="1" applyFont="1" applyFill="1" applyAlignment="1" applyProtection="1">
      <alignment horizontal="center" vertical="center"/>
      <protection locked="0"/>
    </xf>
    <xf numFmtId="0" fontId="18" fillId="2" borderId="54" xfId="6" applyFont="1" applyFill="1" applyBorder="1" applyAlignment="1" applyProtection="1">
      <alignment horizontal="center" vertical="center"/>
      <protection locked="0"/>
    </xf>
    <xf numFmtId="1" fontId="18" fillId="2" borderId="0" xfId="6" applyNumberFormat="1" applyFont="1" applyFill="1" applyAlignment="1" applyProtection="1">
      <alignment horizontal="center" vertical="center"/>
      <protection locked="0"/>
    </xf>
    <xf numFmtId="175" fontId="18" fillId="2" borderId="46" xfId="16" applyNumberFormat="1" applyFont="1" applyFill="1" applyBorder="1" applyAlignment="1" applyProtection="1">
      <alignment horizontal="center" vertical="center"/>
      <protection locked="0"/>
    </xf>
    <xf numFmtId="175" fontId="18" fillId="2" borderId="48" xfId="16" applyNumberFormat="1" applyFont="1" applyFill="1" applyBorder="1" applyAlignment="1" applyProtection="1">
      <alignment horizontal="center" vertical="center"/>
      <protection locked="0"/>
    </xf>
    <xf numFmtId="175" fontId="18" fillId="2" borderId="47" xfId="16" applyNumberFormat="1" applyFont="1" applyFill="1" applyBorder="1" applyAlignment="1" applyProtection="1">
      <alignment horizontal="center" vertical="center"/>
      <protection locked="0"/>
    </xf>
    <xf numFmtId="44" fontId="18" fillId="2" borderId="46" xfId="16" applyFont="1" applyFill="1" applyBorder="1" applyAlignment="1" applyProtection="1">
      <alignment horizontal="center" vertical="center"/>
      <protection locked="0"/>
    </xf>
    <xf numFmtId="44" fontId="18" fillId="2" borderId="48" xfId="16" applyFont="1" applyFill="1" applyBorder="1" applyAlignment="1" applyProtection="1">
      <alignment horizontal="center" vertical="center"/>
      <protection locked="0"/>
    </xf>
    <xf numFmtId="44" fontId="18" fillId="2" borderId="47" xfId="16" applyFont="1" applyFill="1" applyBorder="1" applyAlignment="1" applyProtection="1">
      <alignment horizontal="center" vertical="center"/>
      <protection locked="0"/>
    </xf>
    <xf numFmtId="0" fontId="18" fillId="2" borderId="46" xfId="6" applyFont="1" applyFill="1" applyBorder="1" applyAlignment="1" applyProtection="1">
      <alignment horizontal="center" vertical="center"/>
      <protection locked="0"/>
    </xf>
    <xf numFmtId="0" fontId="18" fillId="2" borderId="48" xfId="6" applyFont="1" applyFill="1" applyBorder="1" applyAlignment="1" applyProtection="1">
      <alignment horizontal="center" vertical="center"/>
      <protection locked="0"/>
    </xf>
    <xf numFmtId="0" fontId="18" fillId="2" borderId="47" xfId="6" applyFont="1" applyFill="1" applyBorder="1" applyAlignment="1" applyProtection="1">
      <alignment horizontal="center" vertical="center"/>
      <protection locked="0"/>
    </xf>
    <xf numFmtId="0" fontId="26" fillId="2" borderId="32" xfId="6" applyFont="1" applyFill="1" applyBorder="1" applyAlignment="1" applyProtection="1">
      <alignment horizontal="center" vertical="center"/>
      <protection locked="0"/>
    </xf>
    <xf numFmtId="175" fontId="26" fillId="2" borderId="32" xfId="16" applyNumberFormat="1" applyFont="1" applyFill="1" applyBorder="1" applyAlignment="1" applyProtection="1">
      <alignment horizontal="center" vertical="center" wrapText="1"/>
      <protection locked="0"/>
    </xf>
    <xf numFmtId="175" fontId="26" fillId="2" borderId="32" xfId="16" applyNumberFormat="1" applyFont="1" applyFill="1" applyBorder="1" applyAlignment="1" applyProtection="1">
      <alignment horizontal="center" vertical="center"/>
      <protection locked="0"/>
    </xf>
    <xf numFmtId="1" fontId="26" fillId="2" borderId="32" xfId="6" applyNumberFormat="1" applyFont="1" applyFill="1" applyBorder="1" applyAlignment="1" applyProtection="1">
      <alignment horizontal="center" vertical="center"/>
      <protection locked="0"/>
    </xf>
    <xf numFmtId="164" fontId="20" fillId="2" borderId="0" xfId="1" applyFont="1" applyFill="1" applyBorder="1" applyAlignment="1" applyProtection="1">
      <alignment horizontal="left" vertical="center"/>
      <protection locked="0"/>
    </xf>
    <xf numFmtId="164" fontId="19" fillId="2" borderId="31" xfId="1" applyFont="1" applyFill="1" applyBorder="1" applyAlignment="1" applyProtection="1">
      <alignment horizontal="left" vertical="center"/>
      <protection locked="0"/>
    </xf>
    <xf numFmtId="164" fontId="19" fillId="2" borderId="44" xfId="1" applyFont="1" applyFill="1" applyBorder="1" applyAlignment="1" applyProtection="1">
      <alignment horizontal="center" vertical="center"/>
      <protection locked="0"/>
    </xf>
    <xf numFmtId="164" fontId="19" fillId="2" borderId="29" xfId="1" applyFont="1" applyFill="1" applyBorder="1" applyAlignment="1" applyProtection="1">
      <alignment horizontal="center" vertical="center"/>
      <protection locked="0"/>
    </xf>
    <xf numFmtId="164" fontId="19" fillId="2" borderId="45" xfId="1" applyFont="1" applyFill="1" applyBorder="1" applyAlignment="1" applyProtection="1">
      <alignment horizontal="center" vertical="center"/>
      <protection locked="0"/>
    </xf>
    <xf numFmtId="0" fontId="19" fillId="2" borderId="44" xfId="6" applyFont="1" applyFill="1" applyBorder="1" applyAlignment="1" applyProtection="1">
      <alignment horizontal="center" vertical="center"/>
      <protection locked="0"/>
    </xf>
    <xf numFmtId="0" fontId="19" fillId="2" borderId="45" xfId="6" applyFont="1" applyFill="1" applyBorder="1" applyAlignment="1" applyProtection="1">
      <alignment horizontal="center" vertical="center"/>
      <protection locked="0"/>
    </xf>
    <xf numFmtId="164" fontId="20" fillId="2" borderId="34" xfId="1" applyFont="1" applyFill="1" applyBorder="1" applyAlignment="1" applyProtection="1">
      <alignment horizontal="left" vertical="center"/>
      <protection locked="0"/>
    </xf>
    <xf numFmtId="164" fontId="20" fillId="2" borderId="35" xfId="1" applyFont="1" applyFill="1" applyBorder="1" applyAlignment="1" applyProtection="1">
      <alignment horizontal="left" vertical="center"/>
      <protection locked="0"/>
    </xf>
    <xf numFmtId="164" fontId="19" fillId="2" borderId="42" xfId="1" applyFont="1" applyFill="1" applyBorder="1" applyAlignment="1" applyProtection="1">
      <alignment horizontal="left" vertical="center"/>
      <protection locked="0"/>
    </xf>
    <xf numFmtId="164" fontId="20" fillId="2" borderId="0" xfId="6" applyNumberFormat="1" applyFont="1" applyFill="1" applyAlignment="1" applyProtection="1">
      <alignment horizontal="left" vertical="center"/>
      <protection locked="0"/>
    </xf>
    <xf numFmtId="164" fontId="20" fillId="2" borderId="35" xfId="6" applyNumberFormat="1" applyFont="1" applyFill="1" applyBorder="1" applyAlignment="1" applyProtection="1">
      <alignment horizontal="left" vertical="center"/>
      <protection locked="0"/>
    </xf>
    <xf numFmtId="164" fontId="19" fillId="2" borderId="31" xfId="6" applyNumberFormat="1" applyFont="1" applyFill="1" applyBorder="1" applyAlignment="1" applyProtection="1">
      <alignment horizontal="left" vertical="center"/>
      <protection locked="0"/>
    </xf>
    <xf numFmtId="164" fontId="19" fillId="2" borderId="43" xfId="6" applyNumberFormat="1" applyFont="1" applyFill="1" applyBorder="1" applyAlignment="1" applyProtection="1">
      <alignment horizontal="left" vertical="center"/>
      <protection locked="0"/>
    </xf>
    <xf numFmtId="0" fontId="18" fillId="2" borderId="30" xfId="6" applyFont="1" applyFill="1" applyBorder="1" applyAlignment="1" applyProtection="1">
      <alignment horizontal="center" vertical="center"/>
      <protection locked="0"/>
    </xf>
    <xf numFmtId="0" fontId="18" fillId="2" borderId="31" xfId="6" applyFont="1" applyFill="1" applyBorder="1" applyAlignment="1" applyProtection="1">
      <alignment horizontal="center" vertical="center"/>
      <protection locked="0"/>
    </xf>
    <xf numFmtId="9" fontId="18" fillId="2" borderId="0" xfId="4" applyFont="1" applyFill="1" applyBorder="1" applyAlignment="1">
      <alignment vertical="center" wrapText="1"/>
    </xf>
    <xf numFmtId="0" fontId="18" fillId="2" borderId="0" xfId="11" applyFont="1" applyFill="1" applyAlignment="1">
      <alignment vertical="center" wrapText="1"/>
    </xf>
    <xf numFmtId="0" fontId="18" fillId="2" borderId="31" xfId="11" applyFont="1" applyFill="1" applyBorder="1" applyAlignment="1">
      <alignment vertical="center" wrapText="1"/>
    </xf>
    <xf numFmtId="0" fontId="15" fillId="2" borderId="28" xfId="6" applyFont="1" applyFill="1" applyBorder="1" applyAlignment="1" applyProtection="1">
      <alignment vertical="center"/>
      <protection locked="0"/>
    </xf>
    <xf numFmtId="0" fontId="18" fillId="2" borderId="30" xfId="11" applyFont="1" applyFill="1" applyBorder="1" applyAlignment="1">
      <alignment vertical="center" wrapText="1"/>
    </xf>
    <xf numFmtId="2" fontId="18" fillId="2" borderId="30" xfId="6" applyNumberFormat="1" applyFont="1" applyFill="1" applyBorder="1" applyAlignment="1" applyProtection="1">
      <alignment horizontal="center" vertical="center"/>
      <protection locked="0"/>
    </xf>
    <xf numFmtId="2" fontId="18" fillId="2" borderId="0" xfId="6" applyNumberFormat="1" applyFont="1" applyFill="1" applyAlignment="1" applyProtection="1">
      <alignment horizontal="center" vertical="center"/>
      <protection locked="0"/>
    </xf>
    <xf numFmtId="2" fontId="18" fillId="2" borderId="31" xfId="6" applyNumberFormat="1" applyFont="1" applyFill="1" applyBorder="1" applyAlignment="1" applyProtection="1">
      <alignment horizontal="center" vertical="center"/>
      <protection locked="0"/>
    </xf>
    <xf numFmtId="2" fontId="18" fillId="2" borderId="30" xfId="6" applyNumberFormat="1" applyFont="1" applyFill="1" applyBorder="1" applyAlignment="1" applyProtection="1">
      <alignment horizontal="center" vertical="center" wrapText="1"/>
      <protection locked="0"/>
    </xf>
    <xf numFmtId="2" fontId="18" fillId="2" borderId="0" xfId="6" applyNumberFormat="1" applyFont="1" applyFill="1" applyAlignment="1" applyProtection="1">
      <alignment horizontal="center" vertical="center" wrapText="1"/>
      <protection locked="0"/>
    </xf>
    <xf numFmtId="2" fontId="18" fillId="2" borderId="31" xfId="6" applyNumberFormat="1" applyFont="1" applyFill="1" applyBorder="1" applyAlignment="1" applyProtection="1">
      <alignment horizontal="center" vertical="center" wrapText="1"/>
      <protection locked="0"/>
    </xf>
    <xf numFmtId="170" fontId="18" fillId="2" borderId="30" xfId="10" applyNumberFormat="1" applyFont="1" applyFill="1" applyBorder="1" applyAlignment="1" applyProtection="1">
      <alignment horizontal="center" vertical="center" wrapText="1"/>
      <protection locked="0"/>
    </xf>
    <xf numFmtId="170" fontId="18" fillId="2" borderId="0" xfId="10" applyNumberFormat="1" applyFont="1" applyFill="1" applyBorder="1" applyAlignment="1" applyProtection="1">
      <alignment horizontal="center" vertical="center" wrapText="1"/>
      <protection locked="0"/>
    </xf>
    <xf numFmtId="170" fontId="18" fillId="2" borderId="31" xfId="10" applyNumberFormat="1" applyFont="1" applyFill="1" applyBorder="1" applyAlignment="1" applyProtection="1">
      <alignment horizontal="center" vertical="center" wrapText="1"/>
      <protection locked="0"/>
    </xf>
    <xf numFmtId="170" fontId="18" fillId="2" borderId="41" xfId="10" applyNumberFormat="1" applyFont="1" applyFill="1" applyBorder="1" applyAlignment="1" applyProtection="1">
      <alignment horizontal="center" vertical="center"/>
      <protection locked="0"/>
    </xf>
    <xf numFmtId="170" fontId="18" fillId="2" borderId="35" xfId="10" applyNumberFormat="1" applyFont="1" applyFill="1" applyBorder="1" applyAlignment="1" applyProtection="1">
      <alignment horizontal="center" vertical="center"/>
      <protection locked="0"/>
    </xf>
    <xf numFmtId="170" fontId="18" fillId="2" borderId="43" xfId="10" applyNumberFormat="1" applyFont="1" applyFill="1" applyBorder="1" applyAlignment="1" applyProtection="1">
      <alignment horizontal="center" vertical="center"/>
      <protection locked="0"/>
    </xf>
    <xf numFmtId="49" fontId="34" fillId="2" borderId="44" xfId="6" applyNumberFormat="1" applyFont="1" applyFill="1" applyBorder="1" applyAlignment="1" applyProtection="1">
      <alignment horizontal="left" vertical="center"/>
      <protection locked="0"/>
    </xf>
    <xf numFmtId="49" fontId="34" fillId="2" borderId="29" xfId="6" applyNumberFormat="1" applyFont="1" applyFill="1" applyBorder="1" applyAlignment="1" applyProtection="1">
      <alignment horizontal="left" vertical="center"/>
      <protection locked="0"/>
    </xf>
    <xf numFmtId="49" fontId="34" fillId="2" borderId="45" xfId="6" applyNumberFormat="1" applyFont="1" applyFill="1" applyBorder="1" applyAlignment="1" applyProtection="1">
      <alignment horizontal="left" vertical="center"/>
      <protection locked="0"/>
    </xf>
    <xf numFmtId="49" fontId="15" fillId="2" borderId="34" xfId="6" applyNumberFormat="1" applyFont="1" applyFill="1" applyBorder="1" applyAlignment="1" applyProtection="1">
      <alignment horizontal="left" vertical="center" wrapText="1"/>
      <protection locked="0"/>
    </xf>
    <xf numFmtId="49" fontId="15" fillId="2" borderId="0" xfId="6" applyNumberFormat="1" applyFont="1" applyFill="1" applyAlignment="1" applyProtection="1">
      <alignment horizontal="left" vertical="center" wrapText="1"/>
      <protection locked="0"/>
    </xf>
    <xf numFmtId="170" fontId="18" fillId="2" borderId="76" xfId="10" applyNumberFormat="1" applyFont="1" applyFill="1" applyBorder="1" applyAlignment="1" applyProtection="1">
      <alignment horizontal="center" vertical="center" wrapText="1"/>
      <protection locked="0"/>
    </xf>
    <xf numFmtId="170" fontId="18" fillId="2" borderId="77" xfId="10" applyNumberFormat="1" applyFont="1" applyFill="1" applyBorder="1" applyAlignment="1" applyProtection="1">
      <alignment horizontal="center" vertical="center"/>
      <protection locked="0"/>
    </xf>
    <xf numFmtId="2" fontId="18" fillId="2" borderId="76" xfId="6" applyNumberFormat="1" applyFont="1" applyFill="1" applyBorder="1" applyAlignment="1" applyProtection="1">
      <alignment horizontal="center" vertical="center" wrapText="1"/>
      <protection locked="0"/>
    </xf>
    <xf numFmtId="0" fontId="18" fillId="2" borderId="76" xfId="6" applyFont="1" applyFill="1" applyBorder="1" applyAlignment="1" applyProtection="1">
      <alignment horizontal="center" vertical="center"/>
      <protection locked="0"/>
    </xf>
    <xf numFmtId="0" fontId="15" fillId="2" borderId="32" xfId="6" applyFont="1" applyFill="1" applyBorder="1" applyAlignment="1">
      <alignment horizontal="left" vertical="center"/>
    </xf>
    <xf numFmtId="0" fontId="15" fillId="2" borderId="32" xfId="6" applyFont="1" applyFill="1" applyBorder="1" applyAlignment="1">
      <alignment horizontal="center" vertical="center"/>
    </xf>
    <xf numFmtId="0" fontId="18" fillId="2" borderId="73" xfId="6" applyFont="1" applyFill="1" applyBorder="1" applyAlignment="1" applyProtection="1">
      <alignment horizontal="center" vertical="center"/>
      <protection locked="0"/>
    </xf>
    <xf numFmtId="0" fontId="18" fillId="2" borderId="74" xfId="6" applyFont="1" applyFill="1" applyBorder="1" applyAlignment="1" applyProtection="1">
      <alignment horizontal="center" vertical="center"/>
      <protection locked="0"/>
    </xf>
    <xf numFmtId="0" fontId="18" fillId="2" borderId="75" xfId="6" applyFont="1" applyFill="1" applyBorder="1" applyAlignment="1" applyProtection="1">
      <alignment horizontal="center" vertical="center"/>
      <protection locked="0"/>
    </xf>
    <xf numFmtId="0" fontId="18" fillId="2" borderId="70" xfId="6" applyFont="1" applyFill="1" applyBorder="1" applyAlignment="1" applyProtection="1">
      <alignment horizontal="center" vertical="center"/>
      <protection locked="0"/>
    </xf>
    <xf numFmtId="0" fontId="18" fillId="2" borderId="71" xfId="6" applyFont="1" applyFill="1" applyBorder="1" applyAlignment="1" applyProtection="1">
      <alignment horizontal="center" vertical="center"/>
      <protection locked="0"/>
    </xf>
    <xf numFmtId="0" fontId="18" fillId="2" borderId="72" xfId="6" applyFont="1" applyFill="1" applyBorder="1" applyAlignment="1" applyProtection="1">
      <alignment horizontal="center" vertical="center"/>
      <protection locked="0"/>
    </xf>
    <xf numFmtId="0" fontId="18" fillId="2" borderId="67" xfId="6" applyFont="1" applyFill="1" applyBorder="1" applyAlignment="1" applyProtection="1">
      <alignment horizontal="center" vertical="center"/>
      <protection locked="0"/>
    </xf>
    <xf numFmtId="0" fontId="18" fillId="2" borderId="68" xfId="6" applyFont="1" applyFill="1" applyBorder="1" applyAlignment="1" applyProtection="1">
      <alignment horizontal="center" vertical="center"/>
      <protection locked="0"/>
    </xf>
    <xf numFmtId="0" fontId="18" fillId="2" borderId="69" xfId="6" applyFont="1" applyFill="1" applyBorder="1" applyAlignment="1" applyProtection="1">
      <alignment horizontal="center" vertical="center"/>
      <protection locked="0"/>
    </xf>
    <xf numFmtId="164" fontId="32" fillId="2" borderId="52" xfId="16" applyNumberFormat="1" applyFont="1" applyFill="1" applyBorder="1" applyAlignment="1" applyProtection="1">
      <alignment horizontal="center" vertical="center" wrapText="1"/>
      <protection locked="0"/>
    </xf>
    <xf numFmtId="164" fontId="32" fillId="2" borderId="53" xfId="16" applyNumberFormat="1" applyFont="1" applyFill="1" applyBorder="1" applyAlignment="1" applyProtection="1">
      <alignment horizontal="center" vertical="center" wrapText="1"/>
      <protection locked="0"/>
    </xf>
    <xf numFmtId="0" fontId="15" fillId="2" borderId="31" xfId="6" applyFont="1" applyFill="1" applyBorder="1" applyAlignment="1" applyProtection="1">
      <alignment horizontal="center" vertical="center"/>
      <protection locked="0"/>
    </xf>
    <xf numFmtId="170" fontId="26" fillId="2" borderId="30" xfId="10" applyNumberFormat="1" applyFont="1" applyFill="1" applyBorder="1" applyAlignment="1" applyProtection="1">
      <alignment horizontal="center" vertical="center" wrapText="1"/>
      <protection locked="0"/>
    </xf>
    <xf numFmtId="170" fontId="26" fillId="2" borderId="41" xfId="10" applyNumberFormat="1" applyFont="1" applyFill="1" applyBorder="1" applyAlignment="1" applyProtection="1">
      <alignment horizontal="center" vertical="center" wrapText="1"/>
      <protection locked="0"/>
    </xf>
    <xf numFmtId="0" fontId="15" fillId="2" borderId="63" xfId="6" applyFont="1" applyFill="1" applyBorder="1" applyAlignment="1" applyProtection="1">
      <alignment vertical="center"/>
      <protection locked="0"/>
    </xf>
    <xf numFmtId="0" fontId="18" fillId="2" borderId="76" xfId="11" applyFont="1" applyFill="1" applyBorder="1" applyAlignment="1">
      <alignment vertical="center" wrapText="1"/>
    </xf>
    <xf numFmtId="2" fontId="18" fillId="2" borderId="76" xfId="6" applyNumberFormat="1" applyFont="1" applyFill="1" applyBorder="1" applyAlignment="1" applyProtection="1">
      <alignment horizontal="center" vertical="center"/>
      <protection locked="0"/>
    </xf>
    <xf numFmtId="2" fontId="18" fillId="2" borderId="78" xfId="6" applyNumberFormat="1" applyFont="1" applyFill="1" applyBorder="1" applyAlignment="1" applyProtection="1">
      <alignment horizontal="center" vertical="center"/>
      <protection locked="0"/>
    </xf>
    <xf numFmtId="170" fontId="18" fillId="2" borderId="79" xfId="10" applyNumberFormat="1" applyFont="1" applyFill="1" applyBorder="1" applyAlignment="1" applyProtection="1">
      <alignment horizontal="center" vertical="center"/>
      <protection locked="0"/>
    </xf>
    <xf numFmtId="0" fontId="18" fillId="2" borderId="78" xfId="11" applyFont="1" applyFill="1" applyBorder="1" applyAlignment="1">
      <alignment vertical="center" wrapText="1"/>
    </xf>
    <xf numFmtId="2" fontId="18" fillId="2" borderId="78" xfId="6" applyNumberFormat="1" applyFont="1" applyFill="1" applyBorder="1" applyAlignment="1" applyProtection="1">
      <alignment horizontal="center" vertical="center" wrapText="1"/>
      <protection locked="0"/>
    </xf>
    <xf numFmtId="0" fontId="18" fillId="2" borderId="0" xfId="6" applyFont="1" applyFill="1" applyAlignment="1" applyProtection="1">
      <alignment vertical="center" wrapText="1"/>
      <protection locked="0"/>
    </xf>
    <xf numFmtId="0" fontId="18" fillId="2" borderId="78" xfId="6" applyFont="1" applyFill="1" applyBorder="1" applyAlignment="1" applyProtection="1">
      <alignment horizontal="center" vertical="center"/>
      <protection locked="0"/>
    </xf>
    <xf numFmtId="170" fontId="18" fillId="2" borderId="78" xfId="10" applyNumberFormat="1" applyFont="1" applyFill="1" applyBorder="1" applyAlignment="1" applyProtection="1">
      <alignment horizontal="center" vertical="center" wrapText="1"/>
      <protection locked="0"/>
    </xf>
    <xf numFmtId="0" fontId="15" fillId="2" borderId="34" xfId="6" applyFont="1" applyFill="1" applyBorder="1" applyAlignment="1" applyProtection="1">
      <alignment horizontal="center" vertical="center"/>
      <protection locked="0"/>
    </xf>
    <xf numFmtId="0" fontId="15" fillId="2" borderId="0" xfId="6" applyFont="1" applyFill="1" applyAlignment="1" applyProtection="1">
      <alignment horizontal="center" vertical="center"/>
      <protection locked="0"/>
    </xf>
    <xf numFmtId="0" fontId="18" fillId="2" borderId="0" xfId="6" applyFont="1" applyFill="1" applyAlignment="1" applyProtection="1">
      <alignment horizontal="center" vertical="center" wrapText="1"/>
      <protection locked="0"/>
    </xf>
    <xf numFmtId="14" fontId="18" fillId="2" borderId="0" xfId="6" applyNumberFormat="1" applyFont="1" applyFill="1" applyAlignment="1" applyProtection="1">
      <alignment horizontal="center" vertical="center"/>
      <protection locked="0"/>
    </xf>
    <xf numFmtId="14" fontId="15" fillId="2" borderId="0" xfId="6" applyNumberFormat="1" applyFont="1" applyFill="1" applyAlignment="1" applyProtection="1">
      <alignment horizontal="center" vertical="center"/>
      <protection locked="0"/>
    </xf>
    <xf numFmtId="14" fontId="15" fillId="2" borderId="0" xfId="6" applyNumberFormat="1" applyFont="1" applyFill="1" applyAlignment="1" applyProtection="1">
      <alignment horizontal="center" vertical="center" wrapText="1"/>
      <protection locked="0"/>
    </xf>
    <xf numFmtId="0" fontId="15" fillId="2" borderId="40" xfId="6" applyFont="1" applyFill="1" applyBorder="1" applyAlignment="1" applyProtection="1">
      <alignment horizontal="center" vertical="center"/>
      <protection locked="0"/>
    </xf>
    <xf numFmtId="0" fontId="15" fillId="2" borderId="41" xfId="6" applyFont="1" applyFill="1" applyBorder="1" applyAlignment="1" applyProtection="1">
      <alignment horizontal="center" vertical="center"/>
      <protection locked="0"/>
    </xf>
    <xf numFmtId="0" fontId="15" fillId="2" borderId="42" xfId="6" applyFont="1" applyFill="1" applyBorder="1" applyAlignment="1" applyProtection="1">
      <alignment horizontal="center" vertical="center"/>
      <protection locked="0"/>
    </xf>
    <xf numFmtId="0" fontId="15" fillId="2" borderId="43" xfId="6" applyFont="1" applyFill="1" applyBorder="1" applyAlignment="1" applyProtection="1">
      <alignment horizontal="center" vertical="center"/>
      <protection locked="0"/>
    </xf>
    <xf numFmtId="0" fontId="15" fillId="9" borderId="32" xfId="6" applyFont="1" applyFill="1" applyBorder="1" applyAlignment="1" applyProtection="1">
      <alignment horizontal="center" vertical="center"/>
      <protection locked="0"/>
    </xf>
    <xf numFmtId="0" fontId="16" fillId="2" borderId="34" xfId="0" applyFont="1" applyFill="1" applyBorder="1" applyAlignment="1">
      <alignment horizontal="center" vertical="center"/>
    </xf>
    <xf numFmtId="0" fontId="16" fillId="2" borderId="0" xfId="0" applyFont="1" applyFill="1" applyAlignment="1">
      <alignment horizontal="center" vertical="center"/>
    </xf>
    <xf numFmtId="0" fontId="16" fillId="2" borderId="35" xfId="0" applyFont="1" applyFill="1" applyBorder="1" applyAlignment="1">
      <alignment horizontal="center" vertical="center"/>
    </xf>
    <xf numFmtId="0" fontId="14" fillId="2" borderId="34" xfId="6" applyFont="1" applyFill="1" applyBorder="1" applyAlignment="1" applyProtection="1">
      <alignment horizontal="center" vertical="center"/>
      <protection locked="0"/>
    </xf>
    <xf numFmtId="0" fontId="14" fillId="2" borderId="0" xfId="6" applyFont="1" applyFill="1" applyAlignment="1" applyProtection="1">
      <alignment horizontal="center" vertical="center"/>
      <protection locked="0"/>
    </xf>
    <xf numFmtId="0" fontId="15" fillId="2" borderId="32" xfId="6" applyFont="1" applyFill="1" applyBorder="1" applyAlignment="1" applyProtection="1">
      <alignment horizontal="center" vertical="center"/>
      <protection locked="0"/>
    </xf>
    <xf numFmtId="0" fontId="16" fillId="2" borderId="32" xfId="6" applyFont="1" applyFill="1" applyBorder="1" applyAlignment="1" applyProtection="1">
      <alignment horizontal="center" vertical="center" wrapText="1"/>
      <protection locked="0"/>
    </xf>
    <xf numFmtId="0" fontId="16" fillId="2" borderId="44" xfId="6" applyFont="1" applyFill="1" applyBorder="1" applyAlignment="1" applyProtection="1">
      <alignment horizontal="center" vertical="center"/>
      <protection locked="0"/>
    </xf>
    <xf numFmtId="0" fontId="16" fillId="2" borderId="32" xfId="6" applyFont="1" applyFill="1" applyBorder="1" applyAlignment="1" applyProtection="1">
      <alignment horizontal="center" vertical="center"/>
      <protection locked="0"/>
    </xf>
    <xf numFmtId="0" fontId="16" fillId="2" borderId="45" xfId="6" applyFont="1" applyFill="1" applyBorder="1" applyAlignment="1" applyProtection="1">
      <alignment horizontal="center" vertical="center"/>
      <protection locked="0"/>
    </xf>
    <xf numFmtId="0" fontId="15" fillId="2" borderId="44" xfId="6" applyFont="1" applyFill="1" applyBorder="1" applyAlignment="1" applyProtection="1">
      <alignment horizontal="center" vertical="center"/>
      <protection locked="0"/>
    </xf>
    <xf numFmtId="0" fontId="15" fillId="2" borderId="29" xfId="6" applyFont="1" applyFill="1" applyBorder="1" applyAlignment="1" applyProtection="1">
      <alignment horizontal="center" vertical="center"/>
      <protection locked="0"/>
    </xf>
    <xf numFmtId="0" fontId="15" fillId="2" borderId="45" xfId="6" applyFont="1" applyFill="1" applyBorder="1" applyAlignment="1" applyProtection="1">
      <alignment horizontal="center" vertical="center"/>
      <protection locked="0"/>
    </xf>
    <xf numFmtId="0" fontId="46" fillId="2" borderId="34" xfId="6" applyFont="1" applyFill="1" applyBorder="1" applyAlignment="1" applyProtection="1">
      <alignment horizontal="center" vertical="center" wrapText="1"/>
      <protection locked="0"/>
    </xf>
    <xf numFmtId="0" fontId="46" fillId="2" borderId="0" xfId="6" applyFont="1" applyFill="1" applyAlignment="1" applyProtection="1">
      <alignment horizontal="center" vertical="center" wrapText="1"/>
      <protection locked="0"/>
    </xf>
    <xf numFmtId="0" fontId="46" fillId="2" borderId="35" xfId="6" applyFont="1" applyFill="1" applyBorder="1" applyAlignment="1" applyProtection="1">
      <alignment horizontal="center" vertical="center" wrapText="1"/>
      <protection locked="0"/>
    </xf>
    <xf numFmtId="0" fontId="16" fillId="2" borderId="32" xfId="6" applyFont="1" applyFill="1" applyBorder="1" applyAlignment="1">
      <alignment horizontal="center" vertical="center" wrapText="1"/>
    </xf>
    <xf numFmtId="9" fontId="26" fillId="2" borderId="45" xfId="6" applyNumberFormat="1" applyFont="1" applyFill="1" applyBorder="1" applyAlignment="1" applyProtection="1">
      <alignment horizontal="center" vertical="center" wrapText="1"/>
      <protection locked="0"/>
    </xf>
    <xf numFmtId="9" fontId="26" fillId="2" borderId="32" xfId="6" applyNumberFormat="1" applyFont="1" applyFill="1" applyBorder="1" applyAlignment="1" applyProtection="1">
      <alignment horizontal="center" vertical="center" wrapText="1"/>
      <protection locked="0"/>
    </xf>
    <xf numFmtId="0" fontId="16" fillId="2" borderId="32" xfId="6" applyFont="1" applyFill="1" applyBorder="1" applyAlignment="1">
      <alignment horizontal="center" vertical="center"/>
    </xf>
    <xf numFmtId="0" fontId="7" fillId="2" borderId="6" xfId="6" applyFont="1" applyFill="1" applyBorder="1" applyAlignment="1" applyProtection="1">
      <alignment horizontal="center" vertical="center" wrapText="1"/>
      <protection locked="0"/>
    </xf>
    <xf numFmtId="0" fontId="7" fillId="2" borderId="15" xfId="6" applyFont="1" applyFill="1" applyBorder="1" applyAlignment="1" applyProtection="1">
      <alignment horizontal="center" vertical="center" wrapText="1"/>
      <protection locked="0"/>
    </xf>
    <xf numFmtId="9" fontId="26" fillId="2" borderId="13" xfId="6" applyNumberFormat="1" applyFont="1" applyFill="1" applyBorder="1" applyAlignment="1" applyProtection="1">
      <alignment horizontal="center" vertical="center" wrapText="1"/>
      <protection locked="0"/>
    </xf>
    <xf numFmtId="9" fontId="26" fillId="2" borderId="7" xfId="6" applyNumberFormat="1" applyFont="1" applyFill="1" applyBorder="1" applyAlignment="1" applyProtection="1">
      <alignment horizontal="center" vertical="center" wrapText="1"/>
      <protection locked="0"/>
    </xf>
    <xf numFmtId="9" fontId="26" fillId="2" borderId="6" xfId="6" applyNumberFormat="1" applyFont="1" applyFill="1" applyBorder="1" applyAlignment="1" applyProtection="1">
      <alignment horizontal="center" vertical="center" wrapText="1"/>
      <protection locked="0"/>
    </xf>
    <xf numFmtId="9" fontId="26" fillId="2" borderId="19" xfId="6" applyNumberFormat="1" applyFont="1" applyFill="1" applyBorder="1" applyAlignment="1" applyProtection="1">
      <alignment horizontal="center" vertical="center" wrapText="1"/>
      <protection locked="0"/>
    </xf>
    <xf numFmtId="9" fontId="26" fillId="2" borderId="22" xfId="6" applyNumberFormat="1" applyFont="1" applyFill="1" applyBorder="1" applyAlignment="1" applyProtection="1">
      <alignment horizontal="center" vertical="center" wrapText="1"/>
      <protection locked="0"/>
    </xf>
    <xf numFmtId="9" fontId="26" fillId="2" borderId="4" xfId="6" applyNumberFormat="1" applyFont="1" applyFill="1" applyBorder="1" applyAlignment="1" applyProtection="1">
      <alignment horizontal="center" vertical="center" wrapText="1"/>
      <protection locked="0"/>
    </xf>
    <xf numFmtId="9" fontId="26" fillId="2" borderId="5" xfId="6" applyNumberFormat="1" applyFont="1" applyFill="1" applyBorder="1" applyAlignment="1" applyProtection="1">
      <alignment horizontal="center" vertical="center" wrapText="1"/>
      <protection locked="0"/>
    </xf>
    <xf numFmtId="9" fontId="26" fillId="2" borderId="17" xfId="6" applyNumberFormat="1" applyFont="1" applyFill="1" applyBorder="1" applyAlignment="1" applyProtection="1">
      <alignment horizontal="center" vertical="center" wrapText="1"/>
      <protection locked="0"/>
    </xf>
    <xf numFmtId="9" fontId="26" fillId="2" borderId="18" xfId="6" applyNumberFormat="1" applyFont="1" applyFill="1" applyBorder="1" applyAlignment="1" applyProtection="1">
      <alignment horizontal="center" vertical="center" wrapText="1"/>
      <protection locked="0"/>
    </xf>
    <xf numFmtId="9" fontId="26" fillId="2" borderId="40" xfId="6" applyNumberFormat="1" applyFont="1" applyFill="1" applyBorder="1" applyAlignment="1" applyProtection="1">
      <alignment horizontal="center" vertical="center" wrapText="1"/>
      <protection locked="0"/>
    </xf>
    <xf numFmtId="9" fontId="26" fillId="2" borderId="30" xfId="6" applyNumberFormat="1" applyFont="1" applyFill="1" applyBorder="1" applyAlignment="1" applyProtection="1">
      <alignment horizontal="center" vertical="center" wrapText="1"/>
      <protection locked="0"/>
    </xf>
    <xf numFmtId="9" fontId="26" fillId="2" borderId="41" xfId="6" applyNumberFormat="1" applyFont="1" applyFill="1" applyBorder="1" applyAlignment="1" applyProtection="1">
      <alignment horizontal="center" vertical="center" wrapText="1"/>
      <protection locked="0"/>
    </xf>
    <xf numFmtId="0" fontId="21" fillId="2" borderId="34" xfId="6" applyFont="1" applyFill="1" applyBorder="1" applyAlignment="1" applyProtection="1">
      <alignment horizontal="center" vertical="center" wrapText="1"/>
      <protection locked="0"/>
    </xf>
    <xf numFmtId="0" fontId="21" fillId="2" borderId="0" xfId="6" applyFont="1" applyFill="1" applyAlignment="1" applyProtection="1">
      <alignment horizontal="center" vertical="center" wrapText="1"/>
      <protection locked="0"/>
    </xf>
    <xf numFmtId="0" fontId="21" fillId="2" borderId="35" xfId="6" applyFont="1" applyFill="1" applyBorder="1" applyAlignment="1" applyProtection="1">
      <alignment horizontal="center" vertical="center" wrapText="1"/>
      <protection locked="0"/>
    </xf>
    <xf numFmtId="0" fontId="21" fillId="2" borderId="42" xfId="6" applyFont="1" applyFill="1" applyBorder="1" applyAlignment="1" applyProtection="1">
      <alignment horizontal="center" vertical="center" wrapText="1"/>
      <protection locked="0"/>
    </xf>
    <xf numFmtId="0" fontId="21" fillId="2" borderId="31" xfId="6" applyFont="1" applyFill="1" applyBorder="1" applyAlignment="1" applyProtection="1">
      <alignment horizontal="center" vertical="center" wrapText="1"/>
      <protection locked="0"/>
    </xf>
    <xf numFmtId="0" fontId="21" fillId="2" borderId="43" xfId="6" applyFont="1" applyFill="1" applyBorder="1" applyAlignment="1" applyProtection="1">
      <alignment horizontal="center" vertical="center" wrapText="1"/>
      <protection locked="0"/>
    </xf>
    <xf numFmtId="0" fontId="16" fillId="2" borderId="46" xfId="6" applyFont="1" applyFill="1" applyBorder="1" applyAlignment="1">
      <alignment horizontal="center" vertical="center"/>
    </xf>
    <xf numFmtId="0" fontId="16" fillId="2" borderId="47" xfId="6" applyFont="1" applyFill="1" applyBorder="1" applyAlignment="1">
      <alignment horizontal="center" vertical="center"/>
    </xf>
    <xf numFmtId="9" fontId="26" fillId="2" borderId="42" xfId="6" applyNumberFormat="1" applyFont="1" applyFill="1" applyBorder="1" applyAlignment="1" applyProtection="1">
      <alignment horizontal="center" vertical="center" wrapText="1"/>
      <protection locked="0"/>
    </xf>
    <xf numFmtId="9" fontId="26" fillId="2" borderId="31" xfId="6" applyNumberFormat="1" applyFont="1" applyFill="1" applyBorder="1" applyAlignment="1" applyProtection="1">
      <alignment horizontal="center" vertical="center" wrapText="1"/>
      <protection locked="0"/>
    </xf>
    <xf numFmtId="9" fontId="26" fillId="2" borderId="43" xfId="6" applyNumberFormat="1" applyFont="1" applyFill="1" applyBorder="1" applyAlignment="1" applyProtection="1">
      <alignment horizontal="center" vertical="center" wrapText="1"/>
      <protection locked="0"/>
    </xf>
    <xf numFmtId="0" fontId="26" fillId="2" borderId="40" xfId="6" applyFont="1" applyFill="1" applyBorder="1" applyAlignment="1" applyProtection="1">
      <alignment horizontal="center" vertical="center"/>
      <protection locked="0"/>
    </xf>
    <xf numFmtId="0" fontId="26" fillId="2" borderId="30" xfId="6" applyFont="1" applyFill="1" applyBorder="1" applyAlignment="1" applyProtection="1">
      <alignment horizontal="center" vertical="center"/>
      <protection locked="0"/>
    </xf>
    <xf numFmtId="0" fontId="26" fillId="2" borderId="41" xfId="6" applyFont="1" applyFill="1" applyBorder="1" applyAlignment="1" applyProtection="1">
      <alignment horizontal="center" vertical="center"/>
      <protection locked="0"/>
    </xf>
    <xf numFmtId="0" fontId="17" fillId="2" borderId="40" xfId="6" applyFont="1" applyFill="1" applyBorder="1" applyAlignment="1" applyProtection="1">
      <alignment horizontal="left" vertical="center" wrapText="1"/>
      <protection locked="0"/>
    </xf>
    <xf numFmtId="0" fontId="17" fillId="2" borderId="30" xfId="6" applyFont="1" applyFill="1" applyBorder="1" applyAlignment="1" applyProtection="1">
      <alignment horizontal="left" vertical="center" wrapText="1"/>
      <protection locked="0"/>
    </xf>
    <xf numFmtId="0" fontId="17" fillId="2" borderId="55" xfId="6" applyFont="1" applyFill="1" applyBorder="1" applyAlignment="1" applyProtection="1">
      <alignment horizontal="left" vertical="center" wrapText="1"/>
      <protection locked="0"/>
    </xf>
    <xf numFmtId="0" fontId="17" fillId="2" borderId="34" xfId="6" applyFont="1" applyFill="1" applyBorder="1" applyAlignment="1" applyProtection="1">
      <alignment horizontal="left" vertical="center" wrapText="1"/>
      <protection locked="0"/>
    </xf>
    <xf numFmtId="0" fontId="17" fillId="2" borderId="0" xfId="6" applyFont="1" applyFill="1" applyAlignment="1" applyProtection="1">
      <alignment horizontal="left" vertical="center" wrapText="1"/>
      <protection locked="0"/>
    </xf>
    <xf numFmtId="0" fontId="17" fillId="2" borderId="56" xfId="6" applyFont="1" applyFill="1" applyBorder="1" applyAlignment="1" applyProtection="1">
      <alignment horizontal="left" vertical="center" wrapText="1"/>
      <protection locked="0"/>
    </xf>
    <xf numFmtId="0" fontId="17" fillId="2" borderId="36" xfId="6" applyFont="1" applyFill="1" applyBorder="1" applyAlignment="1" applyProtection="1">
      <alignment horizontal="left" vertical="center" wrapText="1"/>
      <protection locked="0"/>
    </xf>
    <xf numFmtId="0" fontId="17" fillId="2" borderId="27" xfId="6" applyFont="1" applyFill="1" applyBorder="1" applyAlignment="1" applyProtection="1">
      <alignment horizontal="left" vertical="center" wrapText="1"/>
      <protection locked="0"/>
    </xf>
    <xf numFmtId="0" fontId="17" fillId="2" borderId="57" xfId="6" applyFont="1" applyFill="1" applyBorder="1" applyAlignment="1" applyProtection="1">
      <alignment horizontal="left" vertical="center" wrapText="1"/>
      <protection locked="0"/>
    </xf>
    <xf numFmtId="0" fontId="17" fillId="2" borderId="58" xfId="6" applyFont="1" applyFill="1" applyBorder="1" applyAlignment="1" applyProtection="1">
      <alignment horizontal="center" vertical="center" wrapText="1"/>
      <protection locked="0"/>
    </xf>
    <xf numFmtId="0" fontId="17" fillId="2" borderId="59" xfId="6" applyFont="1" applyFill="1" applyBorder="1" applyAlignment="1" applyProtection="1">
      <alignment horizontal="center" vertical="center" wrapText="1"/>
      <protection locked="0"/>
    </xf>
    <xf numFmtId="0" fontId="17" fillId="2" borderId="60" xfId="6" applyFont="1" applyFill="1" applyBorder="1" applyAlignment="1" applyProtection="1">
      <alignment horizontal="center" vertical="center" wrapText="1"/>
      <protection locked="0"/>
    </xf>
    <xf numFmtId="0" fontId="17" fillId="2" borderId="36" xfId="6" applyFont="1" applyFill="1" applyBorder="1" applyAlignment="1" applyProtection="1">
      <alignment horizontal="center" vertical="center" wrapText="1"/>
      <protection locked="0"/>
    </xf>
    <xf numFmtId="0" fontId="17" fillId="2" borderId="27" xfId="6" applyFont="1" applyFill="1" applyBorder="1" applyAlignment="1" applyProtection="1">
      <alignment horizontal="center" vertical="center" wrapText="1"/>
      <protection locked="0"/>
    </xf>
    <xf numFmtId="0" fontId="17" fillId="2" borderId="57" xfId="6" applyFont="1" applyFill="1" applyBorder="1" applyAlignment="1" applyProtection="1">
      <alignment horizontal="center" vertical="center" wrapText="1"/>
      <protection locked="0"/>
    </xf>
    <xf numFmtId="2" fontId="18" fillId="2" borderId="0" xfId="16" applyNumberFormat="1" applyFont="1" applyFill="1" applyAlignment="1" applyProtection="1">
      <alignment horizontal="center" vertical="center"/>
      <protection locked="0"/>
    </xf>
    <xf numFmtId="2" fontId="26" fillId="2" borderId="32" xfId="16" applyNumberFormat="1" applyFont="1" applyFill="1" applyBorder="1" applyAlignment="1" applyProtection="1">
      <alignment horizontal="center" vertical="center" wrapText="1"/>
      <protection locked="0"/>
    </xf>
    <xf numFmtId="0" fontId="49" fillId="2" borderId="0" xfId="6" applyFont="1" applyFill="1" applyAlignment="1">
      <alignment horizontal="center" vertical="center"/>
    </xf>
    <xf numFmtId="0" fontId="49" fillId="2" borderId="80" xfId="6" applyFont="1" applyFill="1" applyBorder="1" applyAlignment="1">
      <alignment horizontal="center" vertical="center"/>
    </xf>
    <xf numFmtId="0" fontId="15" fillId="2" borderId="0" xfId="6" applyFont="1" applyFill="1" applyAlignment="1" applyProtection="1">
      <alignment horizontal="left" vertical="center" wrapText="1"/>
      <protection locked="0"/>
    </xf>
    <xf numFmtId="0" fontId="38" fillId="2" borderId="54" xfId="0" applyFont="1" applyFill="1" applyBorder="1" applyAlignment="1">
      <alignment horizontal="left" vertical="center"/>
    </xf>
    <xf numFmtId="0" fontId="16" fillId="2" borderId="54" xfId="0" applyFont="1" applyFill="1" applyBorder="1" applyAlignment="1">
      <alignment horizontal="left" vertical="center" wrapText="1"/>
    </xf>
    <xf numFmtId="0" fontId="16" fillId="2" borderId="54" xfId="6" applyFont="1" applyFill="1" applyBorder="1" applyAlignment="1" applyProtection="1">
      <alignment horizontal="left" vertical="center"/>
      <protection locked="0"/>
    </xf>
    <xf numFmtId="0" fontId="16" fillId="10" borderId="54" xfId="6" applyFont="1" applyFill="1" applyBorder="1" applyAlignment="1" applyProtection="1">
      <alignment horizontal="left" vertical="center"/>
      <protection locked="0"/>
    </xf>
    <xf numFmtId="0" fontId="16" fillId="10" borderId="65" xfId="6" applyFont="1" applyFill="1" applyBorder="1" applyAlignment="1" applyProtection="1">
      <alignment horizontal="left" vertical="center"/>
      <protection locked="0"/>
    </xf>
    <xf numFmtId="0" fontId="16" fillId="10" borderId="66" xfId="6" applyFont="1" applyFill="1" applyBorder="1" applyAlignment="1" applyProtection="1">
      <alignment horizontal="left" vertical="center"/>
      <protection locked="0"/>
    </xf>
    <xf numFmtId="0" fontId="13" fillId="2" borderId="54" xfId="0" applyFont="1" applyFill="1" applyBorder="1" applyAlignment="1">
      <alignment horizontal="left" vertical="center"/>
    </xf>
    <xf numFmtId="0" fontId="16" fillId="2" borderId="32" xfId="0" applyFont="1" applyFill="1" applyBorder="1" applyAlignment="1">
      <alignment horizontal="left" vertical="center" wrapText="1"/>
    </xf>
    <xf numFmtId="0" fontId="16" fillId="2" borderId="32" xfId="0" applyFont="1" applyFill="1" applyBorder="1" applyAlignment="1">
      <alignment horizontal="center" vertical="center" wrapText="1"/>
    </xf>
    <xf numFmtId="0" fontId="26" fillId="2" borderId="31" xfId="0" applyFont="1" applyFill="1" applyBorder="1" applyAlignment="1">
      <alignment horizontal="center" vertical="center" wrapText="1"/>
    </xf>
    <xf numFmtId="0" fontId="16" fillId="2" borderId="44" xfId="0" applyFont="1" applyFill="1" applyBorder="1" applyAlignment="1">
      <alignment horizontal="center" vertical="center" wrapText="1"/>
    </xf>
    <xf numFmtId="0" fontId="16" fillId="2" borderId="29" xfId="0" applyFont="1" applyFill="1" applyBorder="1" applyAlignment="1">
      <alignment horizontal="center" vertical="center" wrapText="1"/>
    </xf>
    <xf numFmtId="0" fontId="16" fillId="2" borderId="45" xfId="0" applyFont="1" applyFill="1" applyBorder="1" applyAlignment="1">
      <alignment horizontal="center" vertical="center" wrapText="1"/>
    </xf>
    <xf numFmtId="0" fontId="16" fillId="2" borderId="46" xfId="0" applyFont="1" applyFill="1" applyBorder="1" applyAlignment="1">
      <alignment horizontal="center" vertical="center" wrapText="1"/>
    </xf>
    <xf numFmtId="0" fontId="16" fillId="2" borderId="47" xfId="0" applyFont="1" applyFill="1" applyBorder="1" applyAlignment="1">
      <alignment horizontal="center" vertical="center" wrapText="1"/>
    </xf>
    <xf numFmtId="0" fontId="13" fillId="2" borderId="46" xfId="0" applyFont="1" applyFill="1" applyBorder="1" applyAlignment="1">
      <alignment horizontal="center" vertical="center" wrapText="1"/>
    </xf>
    <xf numFmtId="0" fontId="13" fillId="2" borderId="47" xfId="0" applyFont="1" applyFill="1" applyBorder="1" applyAlignment="1">
      <alignment horizontal="center" vertical="center" wrapText="1"/>
    </xf>
    <xf numFmtId="0" fontId="16" fillId="2" borderId="46" xfId="0" applyFont="1" applyFill="1" applyBorder="1" applyAlignment="1">
      <alignment horizontal="left" vertical="center" wrapText="1"/>
    </xf>
    <xf numFmtId="0" fontId="16" fillId="2" borderId="47" xfId="0" applyFont="1" applyFill="1" applyBorder="1" applyAlignment="1">
      <alignment horizontal="left" vertical="center" wrapText="1"/>
    </xf>
    <xf numFmtId="0" fontId="13" fillId="2" borderId="8"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42" fillId="11" borderId="26" xfId="0" applyFont="1" applyFill="1" applyBorder="1" applyAlignment="1">
      <alignment horizontal="center" vertical="center" wrapText="1"/>
    </xf>
    <xf numFmtId="0" fontId="43" fillId="11" borderId="0" xfId="0" applyFont="1" applyFill="1" applyAlignment="1">
      <alignment horizontal="left" vertical="center" wrapText="1"/>
    </xf>
    <xf numFmtId="0" fontId="45" fillId="11" borderId="0" xfId="0" applyFont="1" applyFill="1" applyAlignment="1">
      <alignment horizontal="left" vertical="center" wrapText="1"/>
    </xf>
    <xf numFmtId="9" fontId="51" fillId="2" borderId="0" xfId="4" applyFont="1" applyFill="1" applyAlignment="1">
      <alignment horizontal="center" vertical="center" wrapText="1"/>
    </xf>
    <xf numFmtId="0" fontId="51" fillId="2" borderId="0" xfId="0" applyFont="1" applyFill="1" applyAlignment="1">
      <alignment horizontal="left" vertical="center"/>
    </xf>
    <xf numFmtId="0" fontId="51" fillId="2" borderId="0" xfId="0" applyFont="1" applyFill="1" applyAlignment="1">
      <alignment horizontal="left" vertical="center" wrapText="1"/>
    </xf>
    <xf numFmtId="0" fontId="52" fillId="2" borderId="0" xfId="4" applyNumberFormat="1" applyFont="1" applyFill="1" applyBorder="1" applyAlignment="1" applyProtection="1">
      <alignment horizontal="center" vertical="center" wrapText="1"/>
    </xf>
  </cellXfs>
  <cellStyles count="66">
    <cellStyle name="Millares [0]" xfId="5" builtinId="6"/>
    <cellStyle name="Millares [0] 2" xfId="8" xr:uid="{00000000-0005-0000-0000-000001000000}"/>
    <cellStyle name="Millares [0] 2 2" xfId="33" xr:uid="{F00D7990-62D6-4946-9646-315895740F19}"/>
    <cellStyle name="Millares [0] 2 2 2" xfId="58" xr:uid="{6DB36C03-45F2-4436-AD58-BAAE53B880D3}"/>
    <cellStyle name="Millares [0] 2 3" xfId="21" xr:uid="{A02BF833-5E69-404E-9F48-E0E2C4EFE5B1}"/>
    <cellStyle name="Millares [0] 2 3 2" xfId="49" xr:uid="{170BF5D1-EB17-4A03-BA4E-8642D89C2355}"/>
    <cellStyle name="Millares [0] 3" xfId="31" xr:uid="{D4F3D9DB-CFBA-4940-99B6-9056A3D3C25B}"/>
    <cellStyle name="Millares [0] 3 2" xfId="56" xr:uid="{45883489-73C6-4C59-BC64-36B39A19278D}"/>
    <cellStyle name="Millares [0] 4" xfId="19" xr:uid="{F3FF9870-04D8-49E8-8F93-3ACEC3439712}"/>
    <cellStyle name="Millares [0] 4 2" xfId="47" xr:uid="{76B2005F-A060-481D-9A7F-7B7A8322E786}"/>
    <cellStyle name="Moneda" xfId="16" builtinId="4"/>
    <cellStyle name="Moneda [0]" xfId="1" builtinId="7"/>
    <cellStyle name="Moneda [0] 2" xfId="3" xr:uid="{00000000-0005-0000-0000-000003000000}"/>
    <cellStyle name="Moneda [0] 2 2" xfId="30" xr:uid="{112B0124-0304-4813-95AE-0F7CE5C7D120}"/>
    <cellStyle name="Moneda [0] 2 2 2" xfId="55" xr:uid="{06677DCA-CA3B-4973-923E-C9A93CFF8FAC}"/>
    <cellStyle name="Moneda [0] 2 3" xfId="18" xr:uid="{A99CABC5-9F92-4DEF-B913-BCD5D0F5BA4F}"/>
    <cellStyle name="Moneda [0] 2 3 2" xfId="46" xr:uid="{DA2E2C53-12C2-4D0C-B6BF-22BD1575A849}"/>
    <cellStyle name="Moneda [0] 3" xfId="7" xr:uid="{00000000-0005-0000-0000-000004000000}"/>
    <cellStyle name="Moneda [0] 3 2" xfId="15" xr:uid="{00000000-0005-0000-0000-000005000000}"/>
    <cellStyle name="Moneda [0] 3 2 2" xfId="39" xr:uid="{FBEE7785-8F24-418F-9A4E-F31F00E28486}"/>
    <cellStyle name="Moneda [0] 3 2 2 2" xfId="62" xr:uid="{63D44CE9-B048-48EF-BE04-96A577B82530}"/>
    <cellStyle name="Moneda [0] 3 2 3" xfId="27" xr:uid="{AC5CD6F9-8522-4264-9D83-934357AEE3F5}"/>
    <cellStyle name="Moneda [0] 3 2 3 2" xfId="53" xr:uid="{F632E0C2-D088-4DBB-8DD7-50764931E64D}"/>
    <cellStyle name="Moneda [0] 3 3" xfId="32" xr:uid="{61842899-A888-4FF8-9859-3449EB3981EF}"/>
    <cellStyle name="Moneda [0] 3 3 2" xfId="57" xr:uid="{006876AC-A7AE-4ABF-A6DC-B046F1B22B8C}"/>
    <cellStyle name="Moneda [0] 3 4" xfId="20" xr:uid="{18C4A420-0437-417E-AAB1-7743DB5B9B65}"/>
    <cellStyle name="Moneda [0] 3 4 2" xfId="48" xr:uid="{8ABDC17F-0B74-430D-8CDB-543239994DEC}"/>
    <cellStyle name="Moneda [0] 4" xfId="13" xr:uid="{00000000-0005-0000-0000-000006000000}"/>
    <cellStyle name="Moneda [0] 4 2" xfId="37" xr:uid="{BF33919C-CBF1-461C-A6DA-5181E7A51027}"/>
    <cellStyle name="Moneda [0] 4 2 2" xfId="60" xr:uid="{3AC316E8-1B88-4C97-8F65-E022EFADB12B}"/>
    <cellStyle name="Moneda [0] 4 3" xfId="25" xr:uid="{24CB7623-6B38-4AAA-BEDB-DA508CB22814}"/>
    <cellStyle name="Moneda [0] 4 3 2" xfId="51" xr:uid="{ED9EDDE2-72F1-499B-BE81-9722700AD057}"/>
    <cellStyle name="Moneda [0] 7" xfId="14" xr:uid="{00000000-0005-0000-0000-000007000000}"/>
    <cellStyle name="Moneda [0] 7 2" xfId="38" xr:uid="{C6DEF7E8-5D06-4614-ADB2-3F324A8F2CFE}"/>
    <cellStyle name="Moneda [0] 7 2 2" xfId="61" xr:uid="{48C179CA-8AB4-4BC8-9539-CB000365A102}"/>
    <cellStyle name="Moneda [0] 7 3" xfId="26" xr:uid="{364EFDCB-74AB-4424-B6DB-93EADA9B866B}"/>
    <cellStyle name="Moneda [0] 7 3 2" xfId="52" xr:uid="{C78020D7-AB06-46AD-854B-14E54080899F}"/>
    <cellStyle name="Moneda [0] 7 4" xfId="44" xr:uid="{BBBC004B-4F56-44E6-8FA1-BB43AD4ED85C}"/>
    <cellStyle name="Moneda 2" xfId="10" xr:uid="{00000000-0005-0000-0000-000008000000}"/>
    <cellStyle name="Moneda 2 2" xfId="35" xr:uid="{5D5D9118-7A7D-4E9E-B118-E242E9639845}"/>
    <cellStyle name="Moneda 2 2 2" xfId="59" xr:uid="{65009160-3A6A-47FC-9C7F-BB2E75DD3305}"/>
    <cellStyle name="Moneda 2 3" xfId="23" xr:uid="{EC26321D-B791-4E7B-8B92-A1D2FC17ACEC}"/>
    <cellStyle name="Moneda 2 3 2" xfId="50" xr:uid="{7D3053D3-56A3-4036-AF7C-D21DB5A273F5}"/>
    <cellStyle name="Moneda 3" xfId="40" xr:uid="{26F0F8A2-DE6B-40C9-88AC-99B2418B7231}"/>
    <cellStyle name="Moneda 3 2" xfId="63" xr:uid="{F146DFDA-BE79-458E-9694-171760BEB08F}"/>
    <cellStyle name="Moneda 4" xfId="41" xr:uid="{CD9C963A-D05F-41CE-90A3-D0F82DB884D6}"/>
    <cellStyle name="Moneda 4 2" xfId="64" xr:uid="{8E97CF52-6A75-448B-89D5-8400AD6A36FD}"/>
    <cellStyle name="Moneda 5" xfId="42" xr:uid="{3AC1C7A6-52A9-4937-AD1C-ED35DD43C449}"/>
    <cellStyle name="Moneda 5 2" xfId="65" xr:uid="{8603F304-1025-4C12-899A-3CD8FD645122}"/>
    <cellStyle name="Moneda 6" xfId="28" xr:uid="{3DDD79E9-2E57-4E3B-9E3C-93B23E8BD37B}"/>
    <cellStyle name="Moneda 6 2" xfId="54" xr:uid="{25475F09-6CAA-4643-8ED4-DB36589DCF03}"/>
    <cellStyle name="Moneda 7" xfId="45" xr:uid="{DE3CACA7-24BD-403F-8174-608FB75E043A}"/>
    <cellStyle name="Moneda 8" xfId="43" xr:uid="{43D645D7-91E2-4190-B9C9-722C53FC2372}"/>
    <cellStyle name="Normal" xfId="0" builtinId="0"/>
    <cellStyle name="Normal 12" xfId="11" xr:uid="{00000000-0005-0000-0000-00000A000000}"/>
    <cellStyle name="Normal 2" xfId="2" xr:uid="{00000000-0005-0000-0000-00000B000000}"/>
    <cellStyle name="Normal 2 2" xfId="6" xr:uid="{00000000-0005-0000-0000-00000C000000}"/>
    <cellStyle name="Normal 2 3" xfId="29" xr:uid="{8255B4D2-A540-4372-A756-ACEBFD4D568A}"/>
    <cellStyle name="Normal 2 4" xfId="17" xr:uid="{C428CC83-3852-4B55-AA42-E72D468693DA}"/>
    <cellStyle name="Normal 3" xfId="9" xr:uid="{00000000-0005-0000-0000-00000D000000}"/>
    <cellStyle name="Normal 3 2" xfId="34" xr:uid="{45F76846-B226-42EB-A133-99917C7B1FD4}"/>
    <cellStyle name="Normal 3 3" xfId="22" xr:uid="{E51F8588-FC39-4271-AC36-3CAFEB21ED3F}"/>
    <cellStyle name="Porcentaje" xfId="4" builtinId="5"/>
    <cellStyle name="Porcentaje 2" xfId="12" xr:uid="{00000000-0005-0000-0000-00000F000000}"/>
    <cellStyle name="Porcentaje 2 2" xfId="36" xr:uid="{A73A2B35-4A58-474A-B18D-370F663E94F5}"/>
    <cellStyle name="Porcentaje 2 3" xfId="24" xr:uid="{BA964E9C-9CB6-4182-AC19-16DD8EE9FBF1}"/>
  </cellStyles>
  <dxfs count="94">
    <dxf>
      <font>
        <b/>
        <i val="0"/>
        <color auto="1"/>
      </font>
      <fill>
        <patternFill>
          <bgColor rgb="FF92D050"/>
        </patternFill>
      </fill>
    </dxf>
    <dxf>
      <font>
        <b/>
        <i val="0"/>
      </font>
      <fill>
        <patternFill>
          <bgColor rgb="FFFF000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92D050"/>
        </patternFill>
      </fill>
    </dxf>
    <dxf>
      <font>
        <b/>
        <i val="0"/>
      </font>
      <fill>
        <patternFill>
          <bgColor rgb="FFFF000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92D050"/>
        </patternFill>
      </fill>
    </dxf>
    <dxf>
      <font>
        <b/>
        <i val="0"/>
      </font>
      <fill>
        <patternFill>
          <bgColor rgb="FFFF000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FF0000"/>
        </patternFill>
      </fill>
    </dxf>
    <dxf>
      <font>
        <b/>
        <i val="0"/>
      </font>
      <fill>
        <patternFill>
          <bgColor rgb="FF92D050"/>
        </patternFill>
      </fill>
    </dxf>
    <dxf>
      <font>
        <b/>
        <i val="0"/>
      </font>
      <fill>
        <patternFill>
          <bgColor rgb="FF92D050"/>
        </patternFill>
      </fill>
    </dxf>
    <dxf>
      <font>
        <b/>
        <i val="0"/>
      </font>
      <fill>
        <patternFill>
          <bgColor rgb="FFFF0000"/>
        </patternFill>
      </fill>
    </dxf>
    <dxf>
      <font>
        <b/>
        <i val="0"/>
      </font>
      <fill>
        <patternFill>
          <bgColor rgb="FFFF0000"/>
        </patternFill>
      </fill>
    </dxf>
    <dxf>
      <font>
        <b/>
        <i val="0"/>
      </font>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36</xdr:col>
      <xdr:colOff>420686</xdr:colOff>
      <xdr:row>3</xdr:row>
      <xdr:rowOff>333874</xdr:rowOff>
    </xdr:from>
    <xdr:to>
      <xdr:col>37</xdr:col>
      <xdr:colOff>857249</xdr:colOff>
      <xdr:row>8</xdr:row>
      <xdr:rowOff>247337</xdr:rowOff>
    </xdr:to>
    <xdr:pic>
      <xdr:nvPicPr>
        <xdr:cNvPr id="4" name="Imagen 3">
          <a:extLst>
            <a:ext uri="{FF2B5EF4-FFF2-40B4-BE49-F238E27FC236}">
              <a16:creationId xmlns:a16="http://schemas.microsoft.com/office/drawing/2014/main" id="{13547CB5-A903-764A-8DAA-726F04CB404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3600" t="34979" r="34000" b="34830"/>
        <a:stretch/>
      </xdr:blipFill>
      <xdr:spPr>
        <a:xfrm>
          <a:off x="47950436" y="1876924"/>
          <a:ext cx="1927225" cy="2854511"/>
        </a:xfrm>
        <a:prstGeom prst="rect">
          <a:avLst/>
        </a:prstGeom>
      </xdr:spPr>
    </xdr:pic>
    <xdr:clientData/>
  </xdr:twoCellAnchor>
  <xdr:twoCellAnchor editAs="oneCell">
    <xdr:from>
      <xdr:col>2</xdr:col>
      <xdr:colOff>1285875</xdr:colOff>
      <xdr:row>3</xdr:row>
      <xdr:rowOff>269875</xdr:rowOff>
    </xdr:from>
    <xdr:to>
      <xdr:col>7</xdr:col>
      <xdr:colOff>20110</xdr:colOff>
      <xdr:row>5</xdr:row>
      <xdr:rowOff>288304</xdr:rowOff>
    </xdr:to>
    <xdr:pic>
      <xdr:nvPicPr>
        <xdr:cNvPr id="5" name="Imagen 4">
          <a:extLst>
            <a:ext uri="{FF2B5EF4-FFF2-40B4-BE49-F238E27FC236}">
              <a16:creationId xmlns:a16="http://schemas.microsoft.com/office/drawing/2014/main" id="{9CB7772C-FE16-5646-B12C-3B04CC9F6A5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65875" y="1793875"/>
          <a:ext cx="6187230" cy="11538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esktop\PRESUPUESTOS%20S&amp;G\FORMATOS\FORMATOS\BD%20CT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MANO DE OBRA"/>
    </sheetNames>
    <sheetDataSet>
      <sheetData sheetId="0">
        <row r="5">
          <cell r="L5">
            <v>16300</v>
          </cell>
          <cell r="V5">
            <v>1604.9382716049383</v>
          </cell>
          <cell r="X5" t="str">
            <v>BGA</v>
          </cell>
          <cell r="Y5">
            <v>400000</v>
          </cell>
          <cell r="Z5">
            <v>8000</v>
          </cell>
          <cell r="AA5">
            <v>0.7</v>
          </cell>
          <cell r="AB5"/>
          <cell r="AC5">
            <v>71.428571428571431</v>
          </cell>
          <cell r="AE5" t="str">
            <v xml:space="preserve">SISO </v>
          </cell>
          <cell r="AF5">
            <v>1500000</v>
          </cell>
          <cell r="AG5">
            <v>600000</v>
          </cell>
          <cell r="AH5">
            <v>70000</v>
          </cell>
          <cell r="AR5" t="str">
            <v>BGA</v>
          </cell>
          <cell r="AS5">
            <v>0</v>
          </cell>
          <cell r="AT5">
            <v>0</v>
          </cell>
          <cell r="AU5">
            <v>0</v>
          </cell>
          <cell r="AW5" t="str">
            <v>BGA</v>
          </cell>
          <cell r="AX5">
            <v>10000</v>
          </cell>
        </row>
        <row r="6">
          <cell r="H6">
            <v>155.28233151183971</v>
          </cell>
          <cell r="X6" t="str">
            <v>BTA</v>
          </cell>
          <cell r="Y6">
            <v>1200000</v>
          </cell>
          <cell r="Z6">
            <v>8000</v>
          </cell>
          <cell r="AA6">
            <v>0.7</v>
          </cell>
          <cell r="AB6"/>
          <cell r="AC6">
            <v>214.28571428571428</v>
          </cell>
          <cell r="AE6" t="str">
            <v>MONTAJE</v>
          </cell>
          <cell r="AF6">
            <v>1500000</v>
          </cell>
          <cell r="AG6">
            <v>600000</v>
          </cell>
          <cell r="AH6">
            <v>70000</v>
          </cell>
          <cell r="AR6" t="str">
            <v>BTA</v>
          </cell>
          <cell r="AS6">
            <v>28000</v>
          </cell>
          <cell r="AT6">
            <v>25000</v>
          </cell>
          <cell r="AU6">
            <v>53000</v>
          </cell>
          <cell r="AW6" t="str">
            <v>BTA</v>
          </cell>
          <cell r="AX6">
            <v>180000</v>
          </cell>
        </row>
        <row r="7">
          <cell r="X7" t="str">
            <v>MEDELLIN</v>
          </cell>
          <cell r="Y7">
            <v>1200000</v>
          </cell>
          <cell r="Z7">
            <v>8000</v>
          </cell>
          <cell r="AA7">
            <v>0.7</v>
          </cell>
          <cell r="AB7"/>
          <cell r="AC7">
            <v>214.28571428571428</v>
          </cell>
          <cell r="AR7" t="str">
            <v>MEDELLIN</v>
          </cell>
          <cell r="AS7">
            <v>30000</v>
          </cell>
          <cell r="AT7">
            <v>25000</v>
          </cell>
          <cell r="AU7">
            <v>55000</v>
          </cell>
          <cell r="AW7" t="str">
            <v>MEDELLIN</v>
          </cell>
          <cell r="AX7">
            <v>180000</v>
          </cell>
        </row>
        <row r="8">
          <cell r="X8" t="str">
            <v>CALI</v>
          </cell>
          <cell r="Y8">
            <v>2000000</v>
          </cell>
          <cell r="Z8">
            <v>8000</v>
          </cell>
          <cell r="AA8">
            <v>0.7</v>
          </cell>
          <cell r="AB8"/>
          <cell r="AC8">
            <v>357.14285714285717</v>
          </cell>
          <cell r="AE8"/>
          <cell r="AF8"/>
          <cell r="AG8"/>
          <cell r="AH8"/>
          <cell r="AR8" t="str">
            <v>CALI</v>
          </cell>
          <cell r="AS8">
            <v>28000</v>
          </cell>
          <cell r="AT8">
            <v>25000</v>
          </cell>
          <cell r="AU8">
            <v>53000</v>
          </cell>
          <cell r="AW8" t="str">
            <v>CALI</v>
          </cell>
          <cell r="AX8"/>
        </row>
        <row r="9">
          <cell r="X9" t="str">
            <v>COSTA</v>
          </cell>
          <cell r="Y9">
            <v>1600000</v>
          </cell>
          <cell r="Z9">
            <v>8000</v>
          </cell>
          <cell r="AA9">
            <v>0.7</v>
          </cell>
          <cell r="AB9"/>
          <cell r="AC9">
            <v>285.71428571428572</v>
          </cell>
          <cell r="AE9"/>
          <cell r="AF9"/>
          <cell r="AG9"/>
          <cell r="AH9"/>
          <cell r="AR9" t="str">
            <v>COSTA</v>
          </cell>
          <cell r="AS9">
            <v>28000</v>
          </cell>
          <cell r="AT9">
            <v>25000</v>
          </cell>
          <cell r="AU9">
            <v>53000</v>
          </cell>
          <cell r="AW9" t="str">
            <v>COSTA</v>
          </cell>
          <cell r="AX9"/>
        </row>
        <row r="10">
          <cell r="X10" t="str">
            <v>CUCUTA</v>
          </cell>
          <cell r="Y10">
            <v>900000</v>
          </cell>
          <cell r="Z10">
            <v>8000</v>
          </cell>
          <cell r="AA10">
            <v>0.7</v>
          </cell>
          <cell r="AC10">
            <v>160.71428571428572</v>
          </cell>
          <cell r="AE10"/>
          <cell r="AF10"/>
          <cell r="AG10"/>
          <cell r="AH10"/>
        </row>
        <row r="12">
          <cell r="AE12"/>
          <cell r="AF12"/>
          <cell r="AG12"/>
          <cell r="AH12"/>
        </row>
        <row r="13">
          <cell r="AF13"/>
          <cell r="AG13"/>
          <cell r="AH13"/>
        </row>
        <row r="14">
          <cell r="AF14"/>
          <cell r="AG14"/>
          <cell r="AH14"/>
        </row>
        <row r="20">
          <cell r="AE20"/>
          <cell r="AF20"/>
          <cell r="AG20"/>
          <cell r="AH20"/>
        </row>
        <row r="21">
          <cell r="AE21"/>
          <cell r="AF21"/>
          <cell r="AG21"/>
          <cell r="AH21"/>
        </row>
        <row r="22">
          <cell r="AE22"/>
          <cell r="AF22"/>
          <cell r="AG22"/>
          <cell r="AH22"/>
        </row>
        <row r="23">
          <cell r="AE23"/>
          <cell r="AF23"/>
          <cell r="AG23"/>
          <cell r="AH23"/>
        </row>
        <row r="24">
          <cell r="AE24"/>
          <cell r="AF24"/>
          <cell r="AG24"/>
          <cell r="AH24"/>
        </row>
        <row r="25">
          <cell r="AE25"/>
          <cell r="AF25"/>
          <cell r="AG25"/>
          <cell r="AH25"/>
        </row>
        <row r="26">
          <cell r="AE26"/>
          <cell r="AF26"/>
          <cell r="AG26"/>
          <cell r="AH26"/>
        </row>
        <row r="27">
          <cell r="AE27"/>
          <cell r="AF27"/>
          <cell r="AG27"/>
          <cell r="AH27"/>
        </row>
        <row r="28">
          <cell r="AE28"/>
          <cell r="AF28"/>
          <cell r="AG28"/>
          <cell r="AH28"/>
        </row>
        <row r="29">
          <cell r="AE29"/>
          <cell r="AF29"/>
          <cell r="AG29"/>
          <cell r="AH29"/>
        </row>
        <row r="30">
          <cell r="AE30"/>
          <cell r="AF30"/>
          <cell r="AG30"/>
          <cell r="AH30"/>
        </row>
      </sheetData>
      <sheetData sheetId="1">
        <row r="1">
          <cell r="A1" t="str">
            <v xml:space="preserve">SISTEMAS </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X88"/>
  <sheetViews>
    <sheetView zoomScale="55" zoomScaleNormal="55" workbookViewId="0">
      <pane xSplit="4" ySplit="1" topLeftCell="O3" activePane="bottomRight" state="frozen"/>
      <selection pane="topRight" activeCell="D1" sqref="D1"/>
      <selection pane="bottomLeft" activeCell="A2" sqref="A2"/>
      <selection pane="bottomRight" activeCell="W8" sqref="W8"/>
    </sheetView>
  </sheetViews>
  <sheetFormatPr baseColWidth="10" defaultColWidth="10.85546875" defaultRowHeight="53.25" customHeight="1" x14ac:dyDescent="0.25"/>
  <cols>
    <col min="1" max="1" width="10.85546875" style="302"/>
    <col min="2" max="2" width="66.5703125" style="302" bestFit="1" customWidth="1"/>
    <col min="3" max="3" width="65.42578125" style="302" customWidth="1"/>
    <col min="4" max="4" width="10.85546875" style="302"/>
    <col min="5" max="5" width="50" style="302" customWidth="1"/>
    <col min="6" max="6" width="10.85546875" style="302"/>
    <col min="7" max="7" width="92.7109375" style="302" customWidth="1"/>
    <col min="8" max="8" width="10.85546875" style="302"/>
    <col min="9" max="9" width="50" style="302" customWidth="1"/>
    <col min="10" max="10" width="10.85546875" style="302"/>
    <col min="11" max="11" width="25.140625" style="302" customWidth="1"/>
    <col min="12" max="12" width="10.85546875" style="302"/>
    <col min="13" max="13" width="21.28515625" style="302" customWidth="1"/>
    <col min="14" max="14" width="10.85546875" style="302"/>
    <col min="15" max="15" width="20.85546875" style="302" customWidth="1"/>
    <col min="16" max="16" width="10.85546875" style="302"/>
    <col min="17" max="17" width="24" style="302" bestFit="1" customWidth="1"/>
    <col min="18" max="19" width="10.85546875" style="302"/>
    <col min="20" max="20" width="19.7109375" style="302" bestFit="1" customWidth="1"/>
    <col min="21" max="21" width="10.85546875" style="302"/>
    <col min="22" max="22" width="19.7109375" style="302" bestFit="1" customWidth="1"/>
    <col min="23" max="23" width="10.85546875" style="302"/>
    <col min="24" max="24" width="26.140625" style="302" customWidth="1"/>
    <col min="25" max="25" width="10.85546875" style="302"/>
    <col min="26" max="26" width="60" style="302" customWidth="1"/>
    <col min="27" max="27" width="10.85546875" style="302"/>
    <col min="28" max="28" width="21.7109375" style="302" customWidth="1"/>
    <col min="29" max="29" width="10.85546875" style="302"/>
    <col min="30" max="30" width="22.7109375" style="302" customWidth="1"/>
    <col min="31" max="31" width="10.85546875" style="302"/>
    <col min="32" max="32" width="29" style="302" customWidth="1"/>
    <col min="33" max="33" width="10.85546875" style="302"/>
    <col min="34" max="35" width="16.85546875" style="279"/>
    <col min="36" max="36" width="26.7109375" style="279" customWidth="1"/>
    <col min="37" max="38" width="16.85546875" style="279"/>
    <col min="39" max="39" width="26.7109375" style="279" customWidth="1"/>
    <col min="40" max="40" width="16.85546875" style="279"/>
    <col min="41" max="41" width="3.28515625" style="279" customWidth="1"/>
    <col min="42" max="45" width="16.85546875" style="279"/>
    <col min="46" max="46" width="26.42578125" style="279" customWidth="1"/>
    <col min="47" max="47" width="16.85546875" style="279"/>
    <col min="48" max="48" width="3.28515625" style="279" customWidth="1"/>
    <col min="49" max="54" width="16.85546875" style="279"/>
    <col min="55" max="55" width="3.28515625" style="279" customWidth="1"/>
    <col min="56" max="56" width="16.85546875" style="279"/>
    <col min="57" max="61" width="20.7109375" style="279" customWidth="1"/>
    <col min="62" max="63" width="16.85546875" style="279"/>
    <col min="64" max="64" width="26.7109375" style="279" customWidth="1"/>
    <col min="65" max="65" width="16.85546875" style="279"/>
    <col min="66" max="66" width="3.28515625" style="279" customWidth="1"/>
    <col min="67" max="67" width="27" style="279" customWidth="1"/>
    <col min="68" max="70" width="25.140625" style="279" customWidth="1"/>
    <col min="71" max="71" width="3.28515625" style="279" customWidth="1"/>
    <col min="72" max="75" width="24.140625" style="279" customWidth="1"/>
    <col min="76" max="76" width="3.28515625" style="279" customWidth="1"/>
    <col min="77" max="78" width="26.28515625" style="279" customWidth="1"/>
    <col min="79" max="79" width="3.28515625" style="279" customWidth="1"/>
    <col min="80" max="80" width="55.42578125" style="279" customWidth="1"/>
    <col min="81" max="85" width="18.28515625" style="273" customWidth="1"/>
    <col min="86" max="86" width="12.7109375" style="302" customWidth="1"/>
    <col min="87" max="87" width="13.140625" style="302" customWidth="1"/>
    <col min="88" max="88" width="16.7109375" style="302" customWidth="1"/>
    <col min="89" max="93" width="16.140625" style="302" customWidth="1"/>
    <col min="94" max="94" width="10.85546875" style="302" customWidth="1"/>
    <col min="95" max="95" width="55.42578125" style="279" customWidth="1"/>
    <col min="96" max="96" width="11.7109375" style="277" customWidth="1"/>
    <col min="97" max="97" width="11.7109375" style="449" customWidth="1"/>
    <col min="98" max="99" width="16.7109375" style="273" customWidth="1"/>
    <col min="100" max="100" width="8.28515625" style="273" customWidth="1"/>
    <col min="101" max="101" width="10" style="278" customWidth="1"/>
    <col min="102" max="102" width="10.85546875" style="302"/>
    <col min="103" max="103" width="11.42578125" style="449" customWidth="1"/>
    <col min="104" max="105" width="16.42578125" style="273" customWidth="1"/>
    <col min="106" max="109" width="10.85546875" style="302"/>
    <col min="110" max="111" width="35.42578125" style="302" customWidth="1"/>
    <col min="112" max="124" width="35.42578125" style="480" customWidth="1"/>
    <col min="125" max="126" width="35.42578125" style="482" customWidth="1"/>
    <col min="127" max="128" width="35.42578125" style="480" customWidth="1"/>
    <col min="129" max="16384" width="10.85546875" style="302"/>
  </cols>
  <sheetData>
    <row r="1" spans="2:128" s="300" customFormat="1" ht="53.25" customHeight="1" x14ac:dyDescent="0.25">
      <c r="B1" s="545" t="s">
        <v>58</v>
      </c>
      <c r="C1" s="545" t="s">
        <v>58</v>
      </c>
      <c r="E1" s="300" t="s">
        <v>59</v>
      </c>
      <c r="G1" s="300" t="s">
        <v>60</v>
      </c>
      <c r="I1" s="300" t="s">
        <v>30</v>
      </c>
      <c r="K1" s="300" t="s">
        <v>17</v>
      </c>
      <c r="M1" s="300" t="s">
        <v>61</v>
      </c>
      <c r="O1" s="300" t="s">
        <v>196</v>
      </c>
      <c r="Q1" s="300" t="s">
        <v>205</v>
      </c>
      <c r="T1" s="300" t="s">
        <v>207</v>
      </c>
      <c r="V1" s="300" t="s">
        <v>206</v>
      </c>
      <c r="X1" s="300" t="s">
        <v>208</v>
      </c>
      <c r="Z1" s="300" t="s">
        <v>5</v>
      </c>
      <c r="AB1" s="300" t="s">
        <v>205</v>
      </c>
      <c r="AD1" s="300" t="s">
        <v>264</v>
      </c>
      <c r="AF1" s="300" t="s">
        <v>163</v>
      </c>
      <c r="AH1" s="730" t="s">
        <v>265</v>
      </c>
      <c r="AI1" s="730"/>
      <c r="AJ1" s="730"/>
      <c r="AK1" s="730"/>
      <c r="AL1" s="730"/>
      <c r="AM1" s="730"/>
      <c r="AN1" s="730"/>
      <c r="AO1" s="301"/>
      <c r="AP1" s="730" t="s">
        <v>266</v>
      </c>
      <c r="AQ1" s="730"/>
      <c r="AR1" s="730"/>
      <c r="AS1" s="730"/>
      <c r="AT1" s="730"/>
      <c r="AU1" s="730"/>
      <c r="AV1" s="301"/>
      <c r="AW1" s="730" t="s">
        <v>267</v>
      </c>
      <c r="AX1" s="730"/>
      <c r="AY1" s="730"/>
      <c r="AZ1" s="730"/>
      <c r="BA1" s="730"/>
      <c r="BB1" s="730"/>
      <c r="BC1" s="301"/>
      <c r="BD1" s="730" t="s">
        <v>268</v>
      </c>
      <c r="BE1" s="730"/>
      <c r="BF1" s="730"/>
      <c r="BG1" s="730"/>
      <c r="BH1" s="730"/>
      <c r="BI1" s="730"/>
      <c r="BJ1" s="730"/>
      <c r="BK1" s="730"/>
      <c r="BL1" s="730"/>
      <c r="BM1" s="730"/>
      <c r="BN1" s="301"/>
      <c r="BO1" s="731" t="s">
        <v>169</v>
      </c>
      <c r="BP1" s="731"/>
      <c r="BQ1" s="731"/>
      <c r="BR1" s="731"/>
      <c r="BS1" s="301"/>
      <c r="BT1" s="732" t="s">
        <v>153</v>
      </c>
      <c r="BU1" s="732"/>
      <c r="BV1" s="732"/>
      <c r="BW1" s="732"/>
      <c r="BX1" s="301"/>
      <c r="BY1" s="733" t="s">
        <v>162</v>
      </c>
      <c r="BZ1" s="734"/>
      <c r="CA1" s="301"/>
      <c r="CB1" s="300" t="s">
        <v>58</v>
      </c>
      <c r="CC1" s="346" t="s">
        <v>137</v>
      </c>
      <c r="CD1" s="347" t="s">
        <v>138</v>
      </c>
      <c r="CE1" s="347" t="s">
        <v>490</v>
      </c>
      <c r="CF1" s="347" t="s">
        <v>474</v>
      </c>
      <c r="CG1" s="348" t="s">
        <v>151</v>
      </c>
      <c r="CI1" s="349">
        <v>0.1</v>
      </c>
      <c r="CK1" s="346" t="s">
        <v>137</v>
      </c>
      <c r="CL1" s="347" t="s">
        <v>138</v>
      </c>
      <c r="CM1" s="347" t="s">
        <v>490</v>
      </c>
      <c r="CN1" s="347" t="s">
        <v>474</v>
      </c>
      <c r="CO1" s="348" t="s">
        <v>151</v>
      </c>
      <c r="CQ1" s="300" t="s">
        <v>58</v>
      </c>
      <c r="CR1" s="448" t="s">
        <v>492</v>
      </c>
      <c r="CS1" s="448" t="s">
        <v>171</v>
      </c>
      <c r="CT1" s="450" t="s">
        <v>8</v>
      </c>
      <c r="CU1" s="450" t="s">
        <v>263</v>
      </c>
      <c r="CV1" s="450"/>
      <c r="CW1" s="349"/>
      <c r="CX1" s="300" t="s">
        <v>492</v>
      </c>
      <c r="CY1" s="448" t="s">
        <v>171</v>
      </c>
      <c r="CZ1" s="450" t="s">
        <v>8</v>
      </c>
      <c r="DA1" s="450" t="s">
        <v>263</v>
      </c>
      <c r="DF1" s="177" t="s">
        <v>505</v>
      </c>
      <c r="DG1" s="472" t="s">
        <v>509</v>
      </c>
      <c r="DH1" s="457" t="s">
        <v>506</v>
      </c>
      <c r="DI1" s="457" t="s">
        <v>134</v>
      </c>
      <c r="DJ1" s="457" t="s">
        <v>498</v>
      </c>
      <c r="DK1" s="457" t="s">
        <v>499</v>
      </c>
      <c r="DL1" s="457" t="s">
        <v>500</v>
      </c>
      <c r="DM1" s="457" t="s">
        <v>131</v>
      </c>
      <c r="DN1" s="457" t="s">
        <v>390</v>
      </c>
      <c r="DO1" s="457" t="s">
        <v>36</v>
      </c>
      <c r="DP1" s="457" t="s">
        <v>501</v>
      </c>
      <c r="DQ1" s="457" t="s">
        <v>502</v>
      </c>
      <c r="DR1" s="457" t="s">
        <v>503</v>
      </c>
      <c r="DS1" s="457" t="s">
        <v>4</v>
      </c>
      <c r="DT1" s="457" t="s">
        <v>504</v>
      </c>
      <c r="DU1" s="481" t="s">
        <v>507</v>
      </c>
      <c r="DV1" s="481" t="s">
        <v>508</v>
      </c>
      <c r="DW1" s="457" t="s">
        <v>510</v>
      </c>
      <c r="DX1" s="457" t="s">
        <v>511</v>
      </c>
    </row>
    <row r="2" spans="2:128" ht="53.25" customHeight="1" x14ac:dyDescent="0.25">
      <c r="B2" s="546" t="s">
        <v>51</v>
      </c>
      <c r="C2" s="546" t="s">
        <v>567</v>
      </c>
      <c r="E2" s="302" t="s">
        <v>62</v>
      </c>
      <c r="G2" s="302" t="s">
        <v>50</v>
      </c>
      <c r="I2" s="302" t="s">
        <v>452</v>
      </c>
      <c r="K2" s="302" t="s">
        <v>63</v>
      </c>
      <c r="L2" s="303"/>
      <c r="M2" s="302" t="s">
        <v>64</v>
      </c>
      <c r="O2" s="302" t="s">
        <v>176</v>
      </c>
      <c r="Q2" s="302" t="s">
        <v>203</v>
      </c>
      <c r="T2" s="302" t="s">
        <v>203</v>
      </c>
      <c r="V2" s="302" t="s">
        <v>203</v>
      </c>
      <c r="X2" s="302" t="s">
        <v>524</v>
      </c>
      <c r="Z2" s="302" t="s">
        <v>217</v>
      </c>
      <c r="AB2" s="304">
        <v>50000</v>
      </c>
      <c r="AD2" s="305" t="s">
        <v>137</v>
      </c>
      <c r="AF2" s="302" t="s">
        <v>343</v>
      </c>
      <c r="AH2" s="729" t="s">
        <v>269</v>
      </c>
      <c r="AI2" s="729"/>
      <c r="AJ2" s="306" t="s">
        <v>270</v>
      </c>
      <c r="AK2" s="729" t="s">
        <v>271</v>
      </c>
      <c r="AL2" s="729"/>
      <c r="AM2" s="306" t="s">
        <v>270</v>
      </c>
      <c r="AN2" s="307" t="s">
        <v>272</v>
      </c>
      <c r="AP2" s="308" t="s">
        <v>273</v>
      </c>
      <c r="AQ2" s="307" t="s">
        <v>274</v>
      </c>
      <c r="AR2" s="495" t="s">
        <v>275</v>
      </c>
      <c r="AS2" s="308" t="s">
        <v>276</v>
      </c>
      <c r="AT2" s="306" t="s">
        <v>270</v>
      </c>
      <c r="AU2" s="307" t="s">
        <v>277</v>
      </c>
      <c r="AW2" s="497" t="s">
        <v>278</v>
      </c>
      <c r="AX2" s="495" t="s">
        <v>279</v>
      </c>
      <c r="AY2" s="307" t="s">
        <v>280</v>
      </c>
      <c r="AZ2" s="497" t="s">
        <v>281</v>
      </c>
      <c r="BA2" s="308" t="s">
        <v>270</v>
      </c>
      <c r="BB2" s="307" t="s">
        <v>263</v>
      </c>
      <c r="BD2" s="308" t="s">
        <v>140</v>
      </c>
      <c r="BE2" s="497" t="s">
        <v>282</v>
      </c>
      <c r="BF2" s="308" t="s">
        <v>368</v>
      </c>
      <c r="BG2" s="308" t="s">
        <v>365</v>
      </c>
      <c r="BH2" s="308" t="s">
        <v>366</v>
      </c>
      <c r="BI2" s="308" t="s">
        <v>367</v>
      </c>
      <c r="BJ2" s="308" t="s">
        <v>283</v>
      </c>
      <c r="BK2" s="308" t="s">
        <v>284</v>
      </c>
      <c r="BL2" s="308" t="s">
        <v>270</v>
      </c>
      <c r="BM2" s="308" t="s">
        <v>285</v>
      </c>
      <c r="BO2" s="309" t="s">
        <v>141</v>
      </c>
      <c r="BP2" s="309" t="s">
        <v>142</v>
      </c>
      <c r="BQ2" s="309" t="s">
        <v>147</v>
      </c>
      <c r="BR2" s="309" t="s">
        <v>143</v>
      </c>
      <c r="BS2" s="310"/>
      <c r="BT2" s="309" t="s">
        <v>140</v>
      </c>
      <c r="BU2" s="308" t="s">
        <v>287</v>
      </c>
      <c r="BV2" s="309" t="s">
        <v>154</v>
      </c>
      <c r="BW2" s="309" t="s">
        <v>143</v>
      </c>
      <c r="BX2" s="310"/>
      <c r="BY2" s="309" t="s">
        <v>156</v>
      </c>
      <c r="BZ2" s="309" t="s">
        <v>157</v>
      </c>
      <c r="CA2" s="310"/>
      <c r="CB2" s="279" t="str">
        <f>C2</f>
        <v xml:space="preserve">VENTANA CORREDIZA LINEA PREMIUM TIPO EUROPEO VENECIA MONZA </v>
      </c>
      <c r="CC2" s="339">
        <v>622000</v>
      </c>
      <c r="CD2" s="340">
        <v>715000</v>
      </c>
      <c r="CE2" s="340">
        <v>872000</v>
      </c>
      <c r="CF2" s="340"/>
      <c r="CG2" s="341"/>
      <c r="CJ2" s="302" t="s">
        <v>491</v>
      </c>
      <c r="CK2" s="350">
        <f>(565000*CI1)+565000</f>
        <v>621500</v>
      </c>
      <c r="CL2" s="351">
        <f>656700+(656700*CI1)</f>
        <v>722370</v>
      </c>
      <c r="CM2" s="351">
        <f>802000+(802000*CI1)</f>
        <v>882200</v>
      </c>
      <c r="CN2" s="351"/>
      <c r="CO2" s="352"/>
      <c r="CQ2" s="279" t="str">
        <f>C2</f>
        <v xml:space="preserve">VENTANA CORREDIZA LINEA PREMIUM TIPO EUROPEO VENECIA MONZA </v>
      </c>
      <c r="CR2" s="277" t="s">
        <v>493</v>
      </c>
      <c r="CS2" s="449">
        <f ca="1">SUMIF(COTIZACIÓN!$D$15:$L$335,'BD GN'!CQ2,COTIZACIÓN!$L$15:$L$335)</f>
        <v>0</v>
      </c>
      <c r="CT2" s="273">
        <f ca="1">SUMIF(COTIZACIÓN!$D$15:$O$335,'BD GN'!CQ2,COTIZACIÓN!$O$15:$O$335)</f>
        <v>0</v>
      </c>
      <c r="CU2" s="273" t="str">
        <f ca="1">IFERROR(CT2/CS2,"0")</f>
        <v>0</v>
      </c>
      <c r="CW2" s="278" t="str">
        <f ca="1">IFERROR(CZ2/CZ4,"0%")</f>
        <v>0%</v>
      </c>
      <c r="CX2" s="302" t="s">
        <v>493</v>
      </c>
      <c r="CY2" s="449">
        <f ca="1">SUMIF($CR:$CU,CX2,$CS:$CS)</f>
        <v>0</v>
      </c>
      <c r="CZ2" s="273">
        <f ca="1">SUMIF($CR:$CU,CX2,$CT:$CT)</f>
        <v>0</v>
      </c>
      <c r="DA2" s="273" t="str">
        <f ca="1">IFERROR(CZ2/CY2,"0")</f>
        <v>0</v>
      </c>
      <c r="DF2" s="483"/>
      <c r="DG2" s="483">
        <f ca="1">SUMIF(COTIZACIÓN!DG:DH,'BD GN'!$DF$2,COTIZACIÓN!DH:DH)</f>
        <v>0</v>
      </c>
      <c r="DH2" s="484">
        <f ca="1">SUMIF(COTIZACIÓN!DG:DI,'BD GN'!$DF$2,COTIZACIÓN!DI:DI)</f>
        <v>0</v>
      </c>
      <c r="DI2" s="484">
        <f ca="1">SUMIF(COTIZACIÓN!DG:DJ,'BD GN'!$DF$2,COTIZACIÓN!DJ:DJ)</f>
        <v>0</v>
      </c>
      <c r="DJ2" s="484" t="e">
        <f ca="1">SUMIF(COTIZACIÓN!DG:DK,'BD GN'!$DF$2,COTIZACIÓN!DK:DK)</f>
        <v>#VALUE!</v>
      </c>
      <c r="DK2" s="484">
        <f ca="1">SUMIF(COTIZACIÓN!DG:DL,'BD GN'!$DF$2,COTIZACIÓN!DL:DL)</f>
        <v>7.4839389776410817E-2</v>
      </c>
      <c r="DL2" s="484">
        <f ca="1">SUMIF(COTIZACIÓN!DG:DM,'BD GN'!$DF$2,COTIZACIÓN!DM:DM)</f>
        <v>6.7537939690280227E-2</v>
      </c>
      <c r="DM2" s="484">
        <f ca="1">SUMIF(COTIZACIÓN!DG:DN,'BD GN'!$DF$2,COTIZACIÓN!DN:DN)</f>
        <v>6.3799022391483107E-2</v>
      </c>
      <c r="DN2" s="484" t="e">
        <f ca="1">SUMIF(COTIZACIÓN!DG:DO,'BD GN'!$DF$2,COTIZACIÓN!DO:DO)</f>
        <v>#VALUE!</v>
      </c>
      <c r="DO2" s="484" t="e">
        <f ca="1">SUMIF(COTIZACIÓN!DG:DP,'BD GN'!$DF$2,COTIZACIÓN!DP:DP)</f>
        <v>#VALUE!</v>
      </c>
      <c r="DP2" s="484" t="e">
        <f ca="1">SUMIF(COTIZACIÓN!DG:DQ,'BD GN'!$DF$2,COTIZACIÓN!DQ:DQ)</f>
        <v>#VALUE!</v>
      </c>
      <c r="DQ2" s="484">
        <f ca="1">SUMIF(COTIZACIÓN!DG:DR,'BD GN'!$DF$2,COTIZACIÓN!DR:DR)</f>
        <v>0</v>
      </c>
      <c r="DR2" s="484">
        <f ca="1">SUMIF(COTIZACIÓN!DG:DS,'BD GN'!$DF$2,COTIZACIÓN!DS:DS)</f>
        <v>0</v>
      </c>
      <c r="DS2" s="484">
        <f ca="1">SUMIF(COTIZACIÓN!DG:DT,'BD GN'!$DF$2,COTIZACIÓN!DT:DT)</f>
        <v>0</v>
      </c>
      <c r="DT2" s="484">
        <f ca="1">SUMIF(COTIZACIÓN!DG:DU,'BD GN'!$DF$2,COTIZACIÓN!DU:DU)</f>
        <v>0</v>
      </c>
      <c r="DU2" s="485">
        <f ca="1">SUMIF(COTIZACIÓN!DG:DV,'BD GN'!$DF$2,COTIZACIÓN!DV:DV)</f>
        <v>0</v>
      </c>
      <c r="DV2" s="485">
        <f ca="1">SUMIF(COTIZACIÓN!DG:DW,'BD GN'!$DF$2,COTIZACIÓN!DW:DW)</f>
        <v>0</v>
      </c>
      <c r="DW2" s="484">
        <f ca="1">SUMIF(COTIZACIÓN!DG:DX,'BD GN'!$DF$2,COTIZACIÓN!DX:DX)</f>
        <v>0</v>
      </c>
      <c r="DX2" s="484">
        <f ca="1">SUMIF(COTIZACIÓN!DG:DY,'BD GN'!$DF$2,COTIZACIÓN!DY:DY)</f>
        <v>0</v>
      </c>
    </row>
    <row r="3" spans="2:128" ht="53.25" customHeight="1" x14ac:dyDescent="0.25">
      <c r="B3" s="546" t="s">
        <v>49</v>
      </c>
      <c r="C3" s="546" t="s">
        <v>568</v>
      </c>
      <c r="E3" s="302" t="s">
        <v>445</v>
      </c>
      <c r="G3" s="302" t="s">
        <v>65</v>
      </c>
      <c r="I3" s="302" t="s">
        <v>453</v>
      </c>
      <c r="K3" s="302" t="s">
        <v>66</v>
      </c>
      <c r="L3" s="303"/>
      <c r="M3" s="302" t="s">
        <v>67</v>
      </c>
      <c r="O3" s="302" t="s">
        <v>177</v>
      </c>
      <c r="Q3" s="302" t="s">
        <v>204</v>
      </c>
      <c r="T3" s="302" t="s">
        <v>204</v>
      </c>
      <c r="V3" s="302" t="s">
        <v>204</v>
      </c>
      <c r="X3" s="302" t="s">
        <v>528</v>
      </c>
      <c r="Z3" s="302" t="s">
        <v>216</v>
      </c>
      <c r="AD3" s="305" t="s">
        <v>138</v>
      </c>
      <c r="AF3" s="302" t="s">
        <v>344</v>
      </c>
      <c r="AH3" s="495" t="s">
        <v>288</v>
      </c>
      <c r="AI3" s="306" t="s">
        <v>272</v>
      </c>
      <c r="AJ3" s="735"/>
      <c r="AK3" s="496" t="s">
        <v>281</v>
      </c>
      <c r="AL3" s="306" t="s">
        <v>272</v>
      </c>
      <c r="AM3" s="735"/>
      <c r="AN3" s="307" t="s">
        <v>134</v>
      </c>
      <c r="AP3" s="311">
        <v>0.09</v>
      </c>
      <c r="AQ3" s="312">
        <v>305</v>
      </c>
      <c r="AR3" s="313">
        <v>24000</v>
      </c>
      <c r="AS3" s="314">
        <f>AP3*AR3</f>
        <v>2160</v>
      </c>
      <c r="AT3" s="314"/>
      <c r="AU3" s="315">
        <f>AS3</f>
        <v>2160</v>
      </c>
      <c r="AW3" s="311">
        <v>1.22</v>
      </c>
      <c r="AX3" s="312">
        <v>500</v>
      </c>
      <c r="AY3" s="316">
        <f>AW3*AX3</f>
        <v>610</v>
      </c>
      <c r="AZ3" s="314">
        <f>775000*1.19</f>
        <v>922250</v>
      </c>
      <c r="BA3" s="314"/>
      <c r="BB3" s="315">
        <f>AZ3/AY3</f>
        <v>1511.8852459016393</v>
      </c>
      <c r="BD3" s="311" t="s">
        <v>137</v>
      </c>
      <c r="BE3" s="314">
        <v>300000</v>
      </c>
      <c r="BF3" s="314">
        <v>170000</v>
      </c>
      <c r="BG3" s="314">
        <v>190000</v>
      </c>
      <c r="BH3" s="314">
        <v>170000</v>
      </c>
      <c r="BI3" s="314">
        <v>140000</v>
      </c>
      <c r="BJ3" s="317">
        <v>2500</v>
      </c>
      <c r="BK3" s="318">
        <v>0.8</v>
      </c>
      <c r="BL3" s="318"/>
      <c r="BM3" s="319">
        <f t="shared" ref="BM3:BM8" si="0">IFERROR(BE3/(BJ3*BK3),"0")</f>
        <v>150</v>
      </c>
      <c r="BO3" s="311" t="s">
        <v>152</v>
      </c>
      <c r="BP3" s="314">
        <v>1500000</v>
      </c>
      <c r="BQ3" s="314">
        <f>BP3*40%</f>
        <v>600000</v>
      </c>
      <c r="BR3" s="314">
        <f>(BP3+BQ3)/30</f>
        <v>70000</v>
      </c>
      <c r="BT3" s="311" t="s">
        <v>137</v>
      </c>
      <c r="BU3" s="314">
        <v>0</v>
      </c>
      <c r="BV3" s="314">
        <v>0</v>
      </c>
      <c r="BW3" s="314">
        <f>BU3+BV3</f>
        <v>0</v>
      </c>
      <c r="BY3" s="311" t="s">
        <v>137</v>
      </c>
      <c r="BZ3" s="314">
        <v>10000</v>
      </c>
      <c r="CB3" s="279" t="str">
        <f t="shared" ref="CB3:CB66" si="1">C3</f>
        <v>PUERTA CORREDIZA LINEA PREMIUM TIPO EUROPEO VENECIA NAPOLES</v>
      </c>
      <c r="CC3" s="75">
        <v>576000</v>
      </c>
      <c r="CD3" s="280">
        <v>539000</v>
      </c>
      <c r="CE3" s="280">
        <v>777000</v>
      </c>
      <c r="CF3" s="280"/>
      <c r="CG3" s="342"/>
      <c r="CQ3" s="279" t="str">
        <f t="shared" ref="CQ3:CQ66" si="2">C3</f>
        <v>PUERTA CORREDIZA LINEA PREMIUM TIPO EUROPEO VENECIA NAPOLES</v>
      </c>
      <c r="CR3" s="277" t="s">
        <v>493</v>
      </c>
      <c r="CS3" s="449">
        <f ca="1">SUMIF(COTIZACIÓN!$D$15:$L$335,'BD GN'!CQ3,COTIZACIÓN!$L$15:$L$335)</f>
        <v>0</v>
      </c>
      <c r="CT3" s="273">
        <f ca="1">SUMIF(COTIZACIÓN!$D$15:$O$335,'BD GN'!CQ3,COTIZACIÓN!$O$15:$O$335)</f>
        <v>0</v>
      </c>
      <c r="CU3" s="273" t="str">
        <f t="shared" ref="CU3:CU66" ca="1" si="3">IFERROR(CT3/CS3,"0")</f>
        <v>0</v>
      </c>
      <c r="CW3" s="278" t="str">
        <f ca="1">IFERROR(CZ3/CZ4,"0%")</f>
        <v>0%</v>
      </c>
      <c r="CX3" s="302" t="s">
        <v>494</v>
      </c>
      <c r="CY3" s="449">
        <f ca="1">SUMIF($CR:$CU,CX3,$CS:$CS)</f>
        <v>0</v>
      </c>
      <c r="CZ3" s="273">
        <f ca="1">SUMIF($CR:$CU,CX3,$CT:$CT)</f>
        <v>0</v>
      </c>
      <c r="DA3" s="273" t="str">
        <f ca="1">IFERROR(CZ3/CY3,"0")</f>
        <v>0</v>
      </c>
    </row>
    <row r="4" spans="2:128" ht="53.25" customHeight="1" x14ac:dyDescent="0.25">
      <c r="B4" s="546" t="s">
        <v>68</v>
      </c>
      <c r="C4" s="546" t="s">
        <v>569</v>
      </c>
      <c r="E4" s="302" t="s">
        <v>445</v>
      </c>
      <c r="G4" s="302" t="s">
        <v>496</v>
      </c>
      <c r="I4" s="302" t="s">
        <v>454</v>
      </c>
      <c r="Z4" s="302" t="s">
        <v>215</v>
      </c>
      <c r="AD4" s="305" t="s">
        <v>490</v>
      </c>
      <c r="AF4" s="302" t="s">
        <v>345</v>
      </c>
      <c r="AH4" s="313">
        <f>170000/800</f>
        <v>212.5</v>
      </c>
      <c r="AI4" s="320">
        <f>AH4/1.35</f>
        <v>157.40740740740739</v>
      </c>
      <c r="AJ4" s="735"/>
      <c r="AK4" s="320">
        <v>6800</v>
      </c>
      <c r="AL4" s="320">
        <f>AK4/305</f>
        <v>22.295081967213115</v>
      </c>
      <c r="AM4" s="735"/>
      <c r="AN4" s="315">
        <f>AI4+AL4</f>
        <v>179.70248937462051</v>
      </c>
      <c r="AO4" s="310"/>
      <c r="BC4" s="310"/>
      <c r="BD4" s="311" t="s">
        <v>138</v>
      </c>
      <c r="BE4" s="314">
        <v>1500000</v>
      </c>
      <c r="BF4" s="314"/>
      <c r="BG4" s="314"/>
      <c r="BH4" s="314"/>
      <c r="BI4" s="314"/>
      <c r="BJ4" s="317">
        <v>6000</v>
      </c>
      <c r="BK4" s="318">
        <v>0.7</v>
      </c>
      <c r="BL4" s="318"/>
      <c r="BM4" s="319">
        <f t="shared" si="0"/>
        <v>357.14285714285717</v>
      </c>
      <c r="BN4" s="310"/>
      <c r="BO4" s="311" t="s">
        <v>146</v>
      </c>
      <c r="BP4" s="314">
        <v>1500000</v>
      </c>
      <c r="BQ4" s="314">
        <f>BP4*40%</f>
        <v>600000</v>
      </c>
      <c r="BR4" s="314">
        <f>(BP4+BQ4)/30</f>
        <v>70000</v>
      </c>
      <c r="BT4" s="311" t="s">
        <v>138</v>
      </c>
      <c r="BU4" s="314">
        <v>45000</v>
      </c>
      <c r="BV4" s="314">
        <v>65000</v>
      </c>
      <c r="BW4" s="314">
        <f t="shared" ref="BW4:BW7" si="4">BU4+BV4</f>
        <v>110000</v>
      </c>
      <c r="BY4" s="311" t="s">
        <v>138</v>
      </c>
      <c r="BZ4" s="314">
        <v>280000</v>
      </c>
      <c r="CB4" s="279" t="str">
        <f t="shared" si="1"/>
        <v>PUERTA CORREDIZA LINEA PREMIUM TIPO EUROPEO VENECIA MONACO</v>
      </c>
      <c r="CC4" s="75">
        <v>863000</v>
      </c>
      <c r="CD4" s="280"/>
      <c r="CE4" s="280">
        <v>1063220</v>
      </c>
      <c r="CF4" s="280"/>
      <c r="CG4" s="342"/>
      <c r="CQ4" s="279" t="str">
        <f t="shared" si="2"/>
        <v>PUERTA CORREDIZA LINEA PREMIUM TIPO EUROPEO VENECIA MONACO</v>
      </c>
      <c r="CR4" s="277" t="s">
        <v>493</v>
      </c>
      <c r="CS4" s="449">
        <f ca="1">SUMIF(COTIZACIÓN!$D$15:$L$335,'BD GN'!CQ4,COTIZACIÓN!$L$15:$L$335)</f>
        <v>0</v>
      </c>
      <c r="CT4" s="273">
        <f ca="1">SUMIF(COTIZACIÓN!$D$15:$O$335,'BD GN'!CQ4,COTIZACIÓN!$O$15:$O$335)</f>
        <v>0</v>
      </c>
      <c r="CU4" s="273" t="str">
        <f t="shared" ca="1" si="3"/>
        <v>0</v>
      </c>
      <c r="CX4" s="321" t="s">
        <v>495</v>
      </c>
      <c r="CY4" s="451">
        <f ca="1">CY2+CY3</f>
        <v>0</v>
      </c>
      <c r="CZ4" s="452">
        <f t="shared" ref="CZ4" ca="1" si="5">CZ2+CZ3</f>
        <v>0</v>
      </c>
      <c r="DA4" s="453" t="str">
        <f ca="1">IFERROR(CZ4/CY4,"0")</f>
        <v>0</v>
      </c>
    </row>
    <row r="5" spans="2:128" ht="53.25" customHeight="1" x14ac:dyDescent="0.25">
      <c r="B5" s="546" t="s">
        <v>69</v>
      </c>
      <c r="C5" s="546" t="s">
        <v>570</v>
      </c>
      <c r="E5" s="302" t="s">
        <v>32</v>
      </c>
      <c r="G5" s="302" t="s">
        <v>497</v>
      </c>
      <c r="I5" s="302" t="s">
        <v>455</v>
      </c>
      <c r="Q5" s="321" t="s">
        <v>311</v>
      </c>
      <c r="R5" s="302">
        <v>1.5</v>
      </c>
      <c r="S5" s="302" t="s">
        <v>310</v>
      </c>
      <c r="X5" s="321" t="s">
        <v>586</v>
      </c>
      <c r="Z5" s="302" t="s">
        <v>212</v>
      </c>
      <c r="AD5" s="305" t="s">
        <v>474</v>
      </c>
      <c r="AF5" s="302" t="s">
        <v>346</v>
      </c>
      <c r="AH5" s="302"/>
      <c r="AI5" s="302"/>
      <c r="AJ5" s="302"/>
      <c r="AK5" s="302"/>
      <c r="AL5" s="302"/>
      <c r="AM5" s="302"/>
      <c r="AN5" s="302"/>
      <c r="AO5" s="322"/>
      <c r="AP5" s="302"/>
      <c r="AQ5" s="302"/>
      <c r="AR5" s="302"/>
      <c r="AS5" s="302"/>
      <c r="AT5" s="302"/>
      <c r="AU5" s="302"/>
      <c r="AV5" s="302"/>
      <c r="AW5" s="302"/>
      <c r="AX5" s="302"/>
      <c r="AY5" s="302"/>
      <c r="AZ5" s="302"/>
      <c r="BA5" s="302"/>
      <c r="BB5" s="302"/>
      <c r="BD5" s="311" t="s">
        <v>490</v>
      </c>
      <c r="BE5" s="314">
        <v>1800000</v>
      </c>
      <c r="BF5" s="314"/>
      <c r="BG5" s="314"/>
      <c r="BH5" s="314"/>
      <c r="BI5" s="314"/>
      <c r="BJ5" s="317">
        <v>6000</v>
      </c>
      <c r="BK5" s="318">
        <v>0.7</v>
      </c>
      <c r="BL5" s="318"/>
      <c r="BM5" s="319">
        <f t="shared" si="0"/>
        <v>428.57142857142856</v>
      </c>
      <c r="BT5" s="311" t="s">
        <v>490</v>
      </c>
      <c r="BU5" s="314">
        <v>45000</v>
      </c>
      <c r="BV5" s="314">
        <v>65000</v>
      </c>
      <c r="BW5" s="314">
        <f t="shared" si="4"/>
        <v>110000</v>
      </c>
      <c r="BY5" s="311" t="s">
        <v>490</v>
      </c>
      <c r="BZ5" s="314">
        <v>280000</v>
      </c>
      <c r="CB5" s="279" t="str">
        <f t="shared" si="1"/>
        <v>CUERPO FIJO LINEA PREMIUM TIPO EUROPEO VENECIA FERMO</v>
      </c>
      <c r="CC5" s="75">
        <v>470000</v>
      </c>
      <c r="CD5" s="280">
        <v>407000</v>
      </c>
      <c r="CE5" s="280">
        <v>783000</v>
      </c>
      <c r="CF5" s="280"/>
      <c r="CG5" s="342"/>
      <c r="CQ5" s="279" t="str">
        <f t="shared" si="2"/>
        <v>CUERPO FIJO LINEA PREMIUM TIPO EUROPEO VENECIA FERMO</v>
      </c>
      <c r="CR5" s="277" t="s">
        <v>493</v>
      </c>
      <c r="CS5" s="449">
        <f ca="1">SUMIF(COTIZACIÓN!$D$15:$L$335,'BD GN'!CQ5,COTIZACIÓN!$L$15:$L$335)</f>
        <v>0</v>
      </c>
      <c r="CT5" s="273">
        <f ca="1">SUMIF(COTIZACIÓN!$D$15:$O$335,'BD GN'!CQ5,COTIZACIÓN!$O$15:$O$335)</f>
        <v>0</v>
      </c>
      <c r="CU5" s="273" t="str">
        <f t="shared" ca="1" si="3"/>
        <v>0</v>
      </c>
    </row>
    <row r="6" spans="2:128" ht="53.25" customHeight="1" x14ac:dyDescent="0.25">
      <c r="B6" s="546" t="s">
        <v>54</v>
      </c>
      <c r="C6" s="546" t="s">
        <v>571</v>
      </c>
      <c r="E6" s="302" t="s">
        <v>70</v>
      </c>
      <c r="G6" s="302" t="s">
        <v>53</v>
      </c>
      <c r="I6" s="302" t="s">
        <v>456</v>
      </c>
      <c r="Q6" s="302" t="s">
        <v>309</v>
      </c>
      <c r="R6" s="302">
        <v>30000</v>
      </c>
      <c r="S6" s="302" t="s">
        <v>306</v>
      </c>
      <c r="T6" s="323">
        <f>(641960+173460)*1.19</f>
        <v>970349.79999999993</v>
      </c>
      <c r="X6" s="302" t="s">
        <v>587</v>
      </c>
      <c r="Z6" s="302" t="s">
        <v>213</v>
      </c>
      <c r="AD6" s="305" t="s">
        <v>151</v>
      </c>
      <c r="AF6" s="302" t="s">
        <v>347</v>
      </c>
      <c r="AH6" s="302"/>
      <c r="AI6" s="302"/>
      <c r="AJ6" s="302"/>
      <c r="AK6" s="302"/>
      <c r="AL6" s="302"/>
      <c r="AM6" s="302"/>
      <c r="AN6" s="302"/>
      <c r="AO6" s="324"/>
      <c r="AP6" s="302"/>
      <c r="AQ6" s="302"/>
      <c r="AR6" s="302"/>
      <c r="AS6" s="302"/>
      <c r="AT6" s="302"/>
      <c r="AU6" s="302"/>
      <c r="AV6" s="302"/>
      <c r="AW6" s="302"/>
      <c r="AX6" s="302"/>
      <c r="AY6" s="302"/>
      <c r="AZ6" s="302"/>
      <c r="BA6" s="302"/>
      <c r="BB6" s="302"/>
      <c r="BD6" s="311" t="s">
        <v>135</v>
      </c>
      <c r="BE6" s="314">
        <v>2200000</v>
      </c>
      <c r="BF6" s="314"/>
      <c r="BG6" s="314"/>
      <c r="BH6" s="314"/>
      <c r="BI6" s="314"/>
      <c r="BJ6" s="317">
        <v>6000</v>
      </c>
      <c r="BK6" s="318">
        <v>0.7</v>
      </c>
      <c r="BL6" s="318"/>
      <c r="BM6" s="319">
        <f t="shared" si="0"/>
        <v>523.80952380952385</v>
      </c>
      <c r="BO6" s="305"/>
      <c r="BP6" s="325"/>
      <c r="BQ6" s="325"/>
      <c r="BR6" s="325"/>
      <c r="BT6" s="311" t="s">
        <v>135</v>
      </c>
      <c r="BU6" s="314">
        <v>45000</v>
      </c>
      <c r="BV6" s="314">
        <v>65000</v>
      </c>
      <c r="BW6" s="314">
        <f t="shared" si="4"/>
        <v>110000</v>
      </c>
      <c r="BY6" s="311" t="s">
        <v>135</v>
      </c>
      <c r="BZ6" s="326">
        <v>320000</v>
      </c>
      <c r="CB6" s="279" t="str">
        <f t="shared" si="1"/>
        <v>CUERPO PROYECTANTE LINEA PREMIUM TIPO EUROPEO VENECIA FERMO</v>
      </c>
      <c r="CC6" s="75">
        <v>470000</v>
      </c>
      <c r="CD6" s="280">
        <v>407000</v>
      </c>
      <c r="CE6" s="280">
        <v>783000</v>
      </c>
      <c r="CF6" s="280"/>
      <c r="CG6" s="342"/>
      <c r="CQ6" s="279" t="str">
        <f t="shared" si="2"/>
        <v>CUERPO PROYECTANTE LINEA PREMIUM TIPO EUROPEO VENECIA FERMO</v>
      </c>
      <c r="CR6" s="277" t="s">
        <v>493</v>
      </c>
      <c r="CS6" s="449">
        <f ca="1">SUMIF(COTIZACIÓN!$D$15:$L$335,'BD GN'!CQ6,COTIZACIÓN!$L$15:$L$335)</f>
        <v>0</v>
      </c>
      <c r="CT6" s="273">
        <f ca="1">SUMIF(COTIZACIÓN!$D$15:$O$335,'BD GN'!CQ6,COTIZACIÓN!$O$15:$O$335)</f>
        <v>0</v>
      </c>
      <c r="CU6" s="273" t="str">
        <f t="shared" ca="1" si="3"/>
        <v>0</v>
      </c>
    </row>
    <row r="7" spans="2:128" ht="53.25" customHeight="1" x14ac:dyDescent="0.25">
      <c r="B7" s="546" t="s">
        <v>71</v>
      </c>
      <c r="C7" s="546" t="s">
        <v>572</v>
      </c>
      <c r="E7" s="302" t="s">
        <v>72</v>
      </c>
      <c r="G7" s="302" t="s">
        <v>73</v>
      </c>
      <c r="I7" s="302" t="s">
        <v>32</v>
      </c>
      <c r="Q7" s="302" t="s">
        <v>308</v>
      </c>
      <c r="R7" s="302">
        <f>10*1.3*100</f>
        <v>1300</v>
      </c>
      <c r="S7" s="302" t="s">
        <v>307</v>
      </c>
      <c r="X7" s="302" t="s">
        <v>588</v>
      </c>
      <c r="Z7" s="302" t="s">
        <v>214</v>
      </c>
      <c r="AD7" s="305"/>
      <c r="AF7" s="302" t="s">
        <v>348</v>
      </c>
      <c r="AO7" s="324"/>
      <c r="BD7" s="311" t="s">
        <v>151</v>
      </c>
      <c r="BE7" s="314">
        <v>1800000</v>
      </c>
      <c r="BF7" s="314"/>
      <c r="BG7" s="314"/>
      <c r="BH7" s="314"/>
      <c r="BI7" s="314"/>
      <c r="BJ7" s="317">
        <v>6000</v>
      </c>
      <c r="BK7" s="318">
        <v>0.7</v>
      </c>
      <c r="BL7" s="318"/>
      <c r="BM7" s="319">
        <f t="shared" si="0"/>
        <v>428.57142857142856</v>
      </c>
      <c r="BO7" s="305"/>
      <c r="BP7" s="325"/>
      <c r="BQ7" s="325"/>
      <c r="BR7" s="325"/>
      <c r="BT7" s="311" t="s">
        <v>151</v>
      </c>
      <c r="BU7" s="314">
        <v>45000</v>
      </c>
      <c r="BV7" s="314">
        <v>65000</v>
      </c>
      <c r="BW7" s="314">
        <f t="shared" si="4"/>
        <v>110000</v>
      </c>
      <c r="BY7" s="311" t="s">
        <v>151</v>
      </c>
      <c r="BZ7" s="314">
        <v>350000</v>
      </c>
      <c r="CB7" s="279" t="str">
        <f t="shared" si="1"/>
        <v>PUERTA BATIENTE LINEA PREMIUM TIPO EUROPEO VENECIA FERMO</v>
      </c>
      <c r="CC7" s="75"/>
      <c r="CD7" s="280"/>
      <c r="CE7" s="280"/>
      <c r="CF7" s="280"/>
      <c r="CG7" s="342"/>
      <c r="CQ7" s="279" t="str">
        <f t="shared" si="2"/>
        <v>PUERTA BATIENTE LINEA PREMIUM TIPO EUROPEO VENECIA FERMO</v>
      </c>
      <c r="CR7" s="277" t="s">
        <v>493</v>
      </c>
      <c r="CS7" s="449">
        <f ca="1">SUMIF(COTIZACIÓN!$D$15:$L$335,'BD GN'!CQ7,COTIZACIÓN!$L$15:$L$335)</f>
        <v>0</v>
      </c>
      <c r="CT7" s="273">
        <f ca="1">SUMIF(COTIZACIÓN!$D$15:$O$335,'BD GN'!CQ7,COTIZACIÓN!$O$15:$O$335)</f>
        <v>0</v>
      </c>
      <c r="CU7" s="273" t="str">
        <f t="shared" ca="1" si="3"/>
        <v>0</v>
      </c>
    </row>
    <row r="8" spans="2:128" ht="53.25" customHeight="1" x14ac:dyDescent="0.25">
      <c r="B8" s="546" t="s">
        <v>74</v>
      </c>
      <c r="C8" s="546" t="s">
        <v>74</v>
      </c>
      <c r="E8" s="302" t="s">
        <v>62</v>
      </c>
      <c r="G8" s="302" t="s">
        <v>75</v>
      </c>
      <c r="Q8" s="302" t="s">
        <v>312</v>
      </c>
      <c r="R8" s="302">
        <f>+R7*R5</f>
        <v>1950</v>
      </c>
      <c r="S8" s="302" t="s">
        <v>306</v>
      </c>
      <c r="T8" s="323">
        <f>+(R8*T6)/R6</f>
        <v>63072.736999999994</v>
      </c>
      <c r="X8" s="302" t="s">
        <v>547</v>
      </c>
      <c r="Z8" s="302" t="s">
        <v>218</v>
      </c>
      <c r="BD8" s="312" t="s">
        <v>289</v>
      </c>
      <c r="BE8" s="314">
        <v>1200000</v>
      </c>
      <c r="BF8" s="314"/>
      <c r="BG8" s="314"/>
      <c r="BH8" s="314"/>
      <c r="BI8" s="314"/>
      <c r="BJ8" s="317">
        <v>8000</v>
      </c>
      <c r="BK8" s="318">
        <v>0.7</v>
      </c>
      <c r="BL8" s="312"/>
      <c r="BM8" s="319">
        <f t="shared" si="0"/>
        <v>214.28571428571428</v>
      </c>
      <c r="BO8" s="302"/>
      <c r="BP8" s="302"/>
      <c r="BQ8" s="302"/>
      <c r="BR8" s="302"/>
      <c r="BS8" s="302"/>
      <c r="BT8" s="302"/>
      <c r="BU8" s="302"/>
      <c r="BV8" s="302"/>
      <c r="BW8" s="302"/>
      <c r="BX8" s="302"/>
      <c r="BY8" s="302"/>
      <c r="BZ8" s="302"/>
      <c r="CA8" s="302"/>
      <c r="CB8" s="279" t="str">
        <f t="shared" si="1"/>
        <v xml:space="preserve">VENTANA CORREDIZA LINEA CLASSIC  SISTEMA PRIMAVERA SERIE SG 3  </v>
      </c>
      <c r="CC8" s="75"/>
      <c r="CD8" s="280"/>
      <c r="CE8" s="280"/>
      <c r="CF8" s="280"/>
      <c r="CG8" s="342"/>
      <c r="CQ8" s="279" t="str">
        <f t="shared" si="2"/>
        <v xml:space="preserve">VENTANA CORREDIZA LINEA CLASSIC  SISTEMA PRIMAVERA SERIE SG 3  </v>
      </c>
      <c r="CR8" s="277" t="s">
        <v>493</v>
      </c>
      <c r="CS8" s="449">
        <f ca="1">SUMIF(COTIZACIÓN!$D$15:$L$335,'BD GN'!CQ8,COTIZACIÓN!$L$15:$L$335)</f>
        <v>0</v>
      </c>
      <c r="CT8" s="273">
        <f ca="1">SUMIF(COTIZACIÓN!$D$15:$O$335,'BD GN'!CQ8,COTIZACIÓN!$O$15:$O$335)</f>
        <v>0</v>
      </c>
      <c r="CU8" s="273" t="str">
        <f t="shared" ca="1" si="3"/>
        <v>0</v>
      </c>
    </row>
    <row r="9" spans="2:128" ht="53.25" customHeight="1" x14ac:dyDescent="0.25">
      <c r="B9" s="546" t="s">
        <v>300</v>
      </c>
      <c r="C9" s="546" t="s">
        <v>573</v>
      </c>
      <c r="E9" s="302" t="s">
        <v>62</v>
      </c>
      <c r="G9" s="302" t="s">
        <v>77</v>
      </c>
      <c r="X9" s="302" t="s">
        <v>589</v>
      </c>
      <c r="Z9" s="302" t="s">
        <v>219</v>
      </c>
      <c r="BD9" s="302"/>
      <c r="BE9" s="302"/>
      <c r="BF9" s="302"/>
      <c r="BG9" s="302"/>
      <c r="BH9" s="302"/>
      <c r="BI9" s="302"/>
      <c r="BJ9" s="302"/>
      <c r="BK9" s="302"/>
      <c r="BL9" s="302"/>
      <c r="BM9" s="302"/>
      <c r="BO9" s="302"/>
      <c r="BP9" s="302"/>
      <c r="BQ9" s="302"/>
      <c r="BR9" s="302"/>
      <c r="BS9" s="302"/>
      <c r="BT9" s="302"/>
      <c r="BU9" s="302"/>
      <c r="BV9" s="302"/>
      <c r="BW9" s="302"/>
      <c r="BX9" s="302"/>
      <c r="BY9" s="302"/>
      <c r="BZ9" s="302"/>
      <c r="CA9" s="302"/>
      <c r="CB9" s="279" t="str">
        <f t="shared" si="1"/>
        <v>VENTANA CORREDIZA LINEA CLASSIC PRIMAVERA LAGO</v>
      </c>
      <c r="CC9" s="75">
        <v>442000</v>
      </c>
      <c r="CD9" s="280"/>
      <c r="CE9" s="280">
        <v>649000</v>
      </c>
      <c r="CF9" s="280"/>
      <c r="CG9" s="342"/>
      <c r="CQ9" s="279" t="str">
        <f t="shared" si="2"/>
        <v>VENTANA CORREDIZA LINEA CLASSIC PRIMAVERA LAGO</v>
      </c>
      <c r="CR9" s="277" t="s">
        <v>493</v>
      </c>
      <c r="CS9" s="449">
        <f ca="1">SUMIF(COTIZACIÓN!$D$15:$L$335,'BD GN'!CQ9,COTIZACIÓN!$L$15:$L$335)</f>
        <v>0</v>
      </c>
      <c r="CT9" s="273">
        <f ca="1">SUMIF(COTIZACIÓN!$D$15:$O$335,'BD GN'!CQ9,COTIZACIÓN!$O$15:$O$335)</f>
        <v>0</v>
      </c>
      <c r="CU9" s="273" t="str">
        <f t="shared" ca="1" si="3"/>
        <v>0</v>
      </c>
    </row>
    <row r="10" spans="2:128" ht="53.25" customHeight="1" x14ac:dyDescent="0.25">
      <c r="B10" s="546" t="s">
        <v>76</v>
      </c>
      <c r="C10" s="546" t="s">
        <v>574</v>
      </c>
      <c r="E10" s="302" t="s">
        <v>446</v>
      </c>
      <c r="G10" s="302" t="s">
        <v>79</v>
      </c>
      <c r="Z10" s="302" t="s">
        <v>220</v>
      </c>
      <c r="BD10" s="302"/>
      <c r="BE10" s="302"/>
      <c r="BF10" s="302"/>
      <c r="BG10" s="302"/>
      <c r="BH10" s="302"/>
      <c r="BI10" s="302"/>
      <c r="BJ10" s="302"/>
      <c r="BK10" s="302"/>
      <c r="BL10" s="302"/>
      <c r="BM10" s="302"/>
      <c r="BO10" s="305"/>
      <c r="BP10" s="325"/>
      <c r="BQ10" s="325"/>
      <c r="BR10" s="325"/>
      <c r="CB10" s="279" t="str">
        <f t="shared" si="1"/>
        <v>PUERTA CORREDIZA LINEA CLASSIC PRIMAVERA LAGO</v>
      </c>
      <c r="CC10" s="75">
        <v>442000</v>
      </c>
      <c r="CD10" s="280"/>
      <c r="CE10" s="280"/>
      <c r="CF10" s="280"/>
      <c r="CG10" s="342"/>
      <c r="CQ10" s="279" t="str">
        <f t="shared" si="2"/>
        <v>PUERTA CORREDIZA LINEA CLASSIC PRIMAVERA LAGO</v>
      </c>
      <c r="CR10" s="277" t="s">
        <v>493</v>
      </c>
      <c r="CS10" s="449">
        <f ca="1">SUMIF(COTIZACIÓN!$D$15:$L$335,'BD GN'!CQ10,COTIZACIÓN!$L$15:$L$335)</f>
        <v>0</v>
      </c>
      <c r="CT10" s="273">
        <f ca="1">SUMIF(COTIZACIÓN!$D$15:$O$335,'BD GN'!CQ10,COTIZACIÓN!$O$15:$O$335)</f>
        <v>0</v>
      </c>
      <c r="CU10" s="273" t="str">
        <f t="shared" ca="1" si="3"/>
        <v>0</v>
      </c>
    </row>
    <row r="11" spans="2:128" ht="53.25" customHeight="1" x14ac:dyDescent="0.25">
      <c r="B11" s="546" t="s">
        <v>447</v>
      </c>
      <c r="C11" s="546" t="s">
        <v>575</v>
      </c>
      <c r="E11" s="302" t="s">
        <v>62</v>
      </c>
      <c r="G11" s="302" t="s">
        <v>80</v>
      </c>
      <c r="Z11" s="302" t="s">
        <v>221</v>
      </c>
      <c r="BE11" s="325"/>
      <c r="BF11" s="325"/>
      <c r="BG11" s="325"/>
      <c r="BH11" s="325"/>
      <c r="BI11" s="325"/>
      <c r="BJ11" s="327"/>
      <c r="BK11" s="328"/>
      <c r="BM11" s="329"/>
      <c r="BO11" s="305"/>
      <c r="BP11" s="325"/>
      <c r="BQ11" s="325"/>
      <c r="BR11" s="325"/>
      <c r="CB11" s="279" t="str">
        <f t="shared" si="1"/>
        <v>VENTANA CORREDIZA LINEA CLASSIC PRIMAVERA LUCCA</v>
      </c>
      <c r="CC11" s="75">
        <v>411000</v>
      </c>
      <c r="CD11" s="280"/>
      <c r="CE11" s="280"/>
      <c r="CF11" s="280"/>
      <c r="CG11" s="342"/>
      <c r="CQ11" s="279" t="str">
        <f t="shared" si="2"/>
        <v>VENTANA CORREDIZA LINEA CLASSIC PRIMAVERA LUCCA</v>
      </c>
      <c r="CR11" s="277" t="s">
        <v>493</v>
      </c>
      <c r="CS11" s="449">
        <f ca="1">SUMIF(COTIZACIÓN!$D$15:$L$335,'BD GN'!CQ11,COTIZACIÓN!$L$15:$L$335)</f>
        <v>0</v>
      </c>
      <c r="CT11" s="273">
        <f ca="1">SUMIF(COTIZACIÓN!$D$15:$O$335,'BD GN'!CQ11,COTIZACIÓN!$O$15:$O$335)</f>
        <v>0</v>
      </c>
      <c r="CU11" s="273" t="str">
        <f t="shared" ca="1" si="3"/>
        <v>0</v>
      </c>
    </row>
    <row r="12" spans="2:128" ht="53.25" customHeight="1" x14ac:dyDescent="0.25">
      <c r="B12" s="546" t="s">
        <v>78</v>
      </c>
      <c r="C12" s="546" t="s">
        <v>576</v>
      </c>
      <c r="E12" s="302" t="s">
        <v>446</v>
      </c>
      <c r="G12" s="302" t="s">
        <v>57</v>
      </c>
      <c r="BE12" s="325"/>
      <c r="BF12" s="325"/>
      <c r="BG12" s="325"/>
      <c r="BH12" s="325"/>
      <c r="BI12" s="325"/>
      <c r="BJ12" s="327"/>
      <c r="BK12" s="328"/>
      <c r="BM12" s="329"/>
      <c r="BO12" s="305"/>
      <c r="BP12" s="325"/>
      <c r="BQ12" s="325"/>
      <c r="BR12" s="325"/>
      <c r="CB12" s="279" t="str">
        <f t="shared" si="1"/>
        <v>PUERTA CORREDIZA LINEA CLASSIC PRIMAVERA LUCCA</v>
      </c>
      <c r="CC12" s="75">
        <v>411000</v>
      </c>
      <c r="CD12" s="280"/>
      <c r="CE12" s="280"/>
      <c r="CF12" s="280"/>
      <c r="CG12" s="342"/>
      <c r="CQ12" s="279" t="str">
        <f t="shared" si="2"/>
        <v>PUERTA CORREDIZA LINEA CLASSIC PRIMAVERA LUCCA</v>
      </c>
      <c r="CR12" s="277" t="s">
        <v>493</v>
      </c>
      <c r="CS12" s="449">
        <f ca="1">SUMIF(COTIZACIÓN!$D$15:$L$335,'BD GN'!CQ12,COTIZACIÓN!$L$15:$L$335)</f>
        <v>0</v>
      </c>
      <c r="CT12" s="273">
        <f ca="1">SUMIF(COTIZACIÓN!$D$15:$O$335,'BD GN'!CQ12,COTIZACIÓN!$O$15:$O$335)</f>
        <v>0</v>
      </c>
      <c r="CU12" s="273" t="str">
        <f t="shared" ca="1" si="3"/>
        <v>0</v>
      </c>
    </row>
    <row r="13" spans="2:128" ht="53.25" customHeight="1" x14ac:dyDescent="0.25">
      <c r="B13" s="546" t="s">
        <v>370</v>
      </c>
      <c r="C13" s="546" t="s">
        <v>577</v>
      </c>
      <c r="E13" s="302" t="s">
        <v>70</v>
      </c>
      <c r="G13" s="302" t="s">
        <v>56</v>
      </c>
      <c r="Z13" s="302" t="s">
        <v>222</v>
      </c>
      <c r="CB13" s="279" t="str">
        <f t="shared" si="1"/>
        <v>CUERPO BATIENTE LINEA PREMIUM TIPO EUROPEO VENECIA FERMO</v>
      </c>
      <c r="CC13" s="75">
        <v>470000</v>
      </c>
      <c r="CD13" s="280">
        <v>407000</v>
      </c>
      <c r="CE13" s="280">
        <v>738000</v>
      </c>
      <c r="CF13" s="280"/>
      <c r="CG13" s="342"/>
      <c r="CQ13" s="279" t="str">
        <f t="shared" si="2"/>
        <v>CUERPO BATIENTE LINEA PREMIUM TIPO EUROPEO VENECIA FERMO</v>
      </c>
      <c r="CR13" s="277" t="s">
        <v>493</v>
      </c>
      <c r="CS13" s="449">
        <f ca="1">SUMIF(COTIZACIÓN!$D$15:$L$335,'BD GN'!CQ13,COTIZACIÓN!$L$15:$L$335)</f>
        <v>0</v>
      </c>
      <c r="CT13" s="273">
        <f ca="1">SUMIF(COTIZACIÓN!$D$15:$O$335,'BD GN'!CQ13,COTIZACIÓN!$O$15:$O$335)</f>
        <v>0</v>
      </c>
      <c r="CU13" s="273" t="str">
        <f t="shared" ca="1" si="3"/>
        <v>0</v>
      </c>
    </row>
    <row r="14" spans="2:128" ht="53.25" customHeight="1" x14ac:dyDescent="0.25">
      <c r="B14" s="546" t="s">
        <v>372</v>
      </c>
      <c r="C14" s="546" t="s">
        <v>578</v>
      </c>
      <c r="E14" s="302" t="s">
        <v>70</v>
      </c>
      <c r="G14" s="302" t="s">
        <v>83</v>
      </c>
      <c r="Z14" s="302" t="s">
        <v>223</v>
      </c>
      <c r="BO14" s="305"/>
      <c r="BP14" s="325"/>
      <c r="BQ14" s="325"/>
      <c r="BR14" s="325"/>
      <c r="CB14" s="279" t="str">
        <f t="shared" si="1"/>
        <v>PUERTA DOBLE BATIENTE LINEA PREMIUM TIPO EUROPEO VENECIA FERMO</v>
      </c>
      <c r="CC14" s="75"/>
      <c r="CD14" s="280"/>
      <c r="CE14" s="280"/>
      <c r="CF14" s="280"/>
      <c r="CG14" s="342"/>
      <c r="CQ14" s="279" t="str">
        <f t="shared" si="2"/>
        <v>PUERTA DOBLE BATIENTE LINEA PREMIUM TIPO EUROPEO VENECIA FERMO</v>
      </c>
      <c r="CR14" s="277" t="s">
        <v>493</v>
      </c>
      <c r="CS14" s="449">
        <f ca="1">SUMIF(COTIZACIÓN!$D$15:$L$335,'BD GN'!CQ14,COTIZACIÓN!$L$15:$L$335)</f>
        <v>0</v>
      </c>
      <c r="CT14" s="273">
        <f ca="1">SUMIF(COTIZACIÓN!$D$15:$O$335,'BD GN'!CQ14,COTIZACIÓN!$O$15:$O$335)</f>
        <v>0</v>
      </c>
      <c r="CU14" s="273" t="str">
        <f t="shared" ca="1" si="3"/>
        <v>0</v>
      </c>
    </row>
    <row r="15" spans="2:128" ht="53.25" customHeight="1" x14ac:dyDescent="0.25">
      <c r="B15" s="546" t="s">
        <v>123</v>
      </c>
      <c r="C15" s="546" t="s">
        <v>123</v>
      </c>
      <c r="E15" s="302" t="s">
        <v>32</v>
      </c>
      <c r="G15" s="302" t="s">
        <v>122</v>
      </c>
      <c r="Z15" s="302" t="s">
        <v>224</v>
      </c>
      <c r="BP15" s="325"/>
      <c r="BQ15" s="325"/>
      <c r="BR15" s="325"/>
      <c r="CB15" s="279" t="str">
        <f t="shared" si="1"/>
        <v>FACHADA FLOTANTE LINEA STICK SISTEMA SG45 TAPA Y PISAVIDRIO</v>
      </c>
      <c r="CC15" s="75">
        <v>841900</v>
      </c>
      <c r="CD15" s="280">
        <v>614000</v>
      </c>
      <c r="CE15" s="280"/>
      <c r="CF15" s="280"/>
      <c r="CG15" s="342"/>
      <c r="CQ15" s="279" t="str">
        <f t="shared" si="2"/>
        <v>FACHADA FLOTANTE LINEA STICK SISTEMA SG45 TAPA Y PISAVIDRIO</v>
      </c>
      <c r="CR15" s="277" t="s">
        <v>493</v>
      </c>
      <c r="CS15" s="449">
        <f ca="1">SUMIF(COTIZACIÓN!$D$15:$L$335,'BD GN'!CQ15,COTIZACIÓN!$L$15:$L$335)</f>
        <v>0</v>
      </c>
      <c r="CT15" s="273">
        <f ca="1">SUMIF(COTIZACIÓN!$D$15:$O$335,'BD GN'!CQ15,COTIZACIÓN!$O$15:$O$335)</f>
        <v>0</v>
      </c>
      <c r="CU15" s="273" t="str">
        <f t="shared" ca="1" si="3"/>
        <v>0</v>
      </c>
    </row>
    <row r="16" spans="2:128" ht="53.25" customHeight="1" x14ac:dyDescent="0.25">
      <c r="B16" s="546" t="s">
        <v>448</v>
      </c>
      <c r="C16" s="546" t="s">
        <v>448</v>
      </c>
      <c r="E16" s="302" t="s">
        <v>32</v>
      </c>
      <c r="G16" s="302" t="s">
        <v>84</v>
      </c>
      <c r="Z16" s="302" t="s">
        <v>229</v>
      </c>
      <c r="BP16" s="325"/>
      <c r="BQ16" s="325"/>
      <c r="BR16" s="325"/>
      <c r="CB16" s="279" t="str">
        <f t="shared" si="1"/>
        <v xml:space="preserve">FACHADA ENTRE PLACAS LINEA STICK SISTEMA SG45 TAPA Y PISAVIDRIO </v>
      </c>
      <c r="CC16" s="75">
        <v>841900</v>
      </c>
      <c r="CD16" s="280">
        <v>614000</v>
      </c>
      <c r="CE16" s="280"/>
      <c r="CF16" s="280"/>
      <c r="CG16" s="342"/>
      <c r="CQ16" s="279" t="str">
        <f t="shared" si="2"/>
        <v xml:space="preserve">FACHADA ENTRE PLACAS LINEA STICK SISTEMA SG45 TAPA Y PISAVIDRIO </v>
      </c>
      <c r="CR16" s="277" t="s">
        <v>493</v>
      </c>
      <c r="CS16" s="449">
        <f ca="1">SUMIF(COTIZACIÓN!$D$15:$L$335,'BD GN'!CQ16,COTIZACIÓN!$L$15:$L$335)</f>
        <v>0</v>
      </c>
      <c r="CT16" s="273">
        <f ca="1">SUMIF(COTIZACIÓN!$D$15:$O$335,'BD GN'!CQ16,COTIZACIÓN!$O$15:$O$335)</f>
        <v>0</v>
      </c>
      <c r="CU16" s="273" t="str">
        <f t="shared" ca="1" si="3"/>
        <v>0</v>
      </c>
    </row>
    <row r="17" spans="2:99" ht="53.25" customHeight="1" x14ac:dyDescent="0.25">
      <c r="B17" s="546" t="s">
        <v>449</v>
      </c>
      <c r="C17" s="546" t="s">
        <v>449</v>
      </c>
      <c r="E17" s="302" t="s">
        <v>32</v>
      </c>
      <c r="G17" s="302" t="s">
        <v>87</v>
      </c>
      <c r="Z17" s="302" t="s">
        <v>225</v>
      </c>
      <c r="CB17" s="279" t="str">
        <f t="shared" si="1"/>
        <v xml:space="preserve">FACHADA FLOTANTE LINEA STICK SISTEMA SG45 PIEL DE VIDRIO </v>
      </c>
      <c r="CC17" s="75">
        <v>841900</v>
      </c>
      <c r="CD17" s="280">
        <v>614000</v>
      </c>
      <c r="CE17" s="280"/>
      <c r="CF17" s="280"/>
      <c r="CG17" s="342"/>
      <c r="CQ17" s="279" t="str">
        <f t="shared" si="2"/>
        <v xml:space="preserve">FACHADA FLOTANTE LINEA STICK SISTEMA SG45 PIEL DE VIDRIO </v>
      </c>
      <c r="CR17" s="277" t="s">
        <v>493</v>
      </c>
      <c r="CS17" s="449">
        <f ca="1">SUMIF(COTIZACIÓN!$D$15:$L$335,'BD GN'!CQ17,COTIZACIÓN!$L$15:$L$335)</f>
        <v>0</v>
      </c>
      <c r="CT17" s="273">
        <f ca="1">SUMIF(COTIZACIÓN!$D$15:$O$335,'BD GN'!CQ17,COTIZACIÓN!$O$15:$O$335)</f>
        <v>0</v>
      </c>
      <c r="CU17" s="273" t="str">
        <f t="shared" ca="1" si="3"/>
        <v>0</v>
      </c>
    </row>
    <row r="18" spans="2:99" ht="53.25" customHeight="1" x14ac:dyDescent="0.25">
      <c r="B18" s="546" t="s">
        <v>450</v>
      </c>
      <c r="C18" s="546" t="s">
        <v>450</v>
      </c>
      <c r="E18" s="302" t="s">
        <v>32</v>
      </c>
      <c r="G18" s="302" t="s">
        <v>199</v>
      </c>
      <c r="CB18" s="279" t="str">
        <f t="shared" si="1"/>
        <v xml:space="preserve">FACHADA ENTRE PLACAS LINEA STICK SISTEMA SG45 PIEL DE VIDRIO </v>
      </c>
      <c r="CC18" s="75">
        <v>841900</v>
      </c>
      <c r="CD18" s="280">
        <v>614000</v>
      </c>
      <c r="CE18" s="280"/>
      <c r="CF18" s="280"/>
      <c r="CG18" s="342"/>
      <c r="CQ18" s="279" t="str">
        <f t="shared" si="2"/>
        <v xml:space="preserve">FACHADA ENTRE PLACAS LINEA STICK SISTEMA SG45 PIEL DE VIDRIO </v>
      </c>
      <c r="CR18" s="277" t="s">
        <v>493</v>
      </c>
      <c r="CS18" s="449">
        <f ca="1">SUMIF(COTIZACIÓN!$D$15:$L$335,'BD GN'!CQ18,COTIZACIÓN!$L$15:$L$335)</f>
        <v>0</v>
      </c>
      <c r="CT18" s="273">
        <f ca="1">SUMIF(COTIZACIÓN!$D$15:$O$335,'BD GN'!CQ18,COTIZACIÓN!$O$15:$O$335)</f>
        <v>0</v>
      </c>
      <c r="CU18" s="273" t="str">
        <f t="shared" ca="1" si="3"/>
        <v>0</v>
      </c>
    </row>
    <row r="19" spans="2:99" ht="53.25" customHeight="1" x14ac:dyDescent="0.25">
      <c r="B19" s="546" t="s">
        <v>175</v>
      </c>
      <c r="C19" s="547" t="s">
        <v>579</v>
      </c>
      <c r="E19" s="302" t="s">
        <v>32</v>
      </c>
      <c r="G19" s="302" t="s">
        <v>91</v>
      </c>
      <c r="CB19" s="279" t="str">
        <f t="shared" si="1"/>
        <v>CUERPO FIJO LINEA CLASSIC PRIMAVERA SIENA</v>
      </c>
      <c r="CC19" s="75">
        <v>455000</v>
      </c>
      <c r="CD19" s="280"/>
      <c r="CE19" s="280"/>
      <c r="CF19" s="280"/>
      <c r="CG19" s="342"/>
      <c r="CQ19" s="279" t="str">
        <f t="shared" si="2"/>
        <v>CUERPO FIJO LINEA CLASSIC PRIMAVERA SIENA</v>
      </c>
      <c r="CR19" s="277" t="s">
        <v>493</v>
      </c>
      <c r="CS19" s="449">
        <f ca="1">SUMIF(COTIZACIÓN!$D$15:$L$335,'BD GN'!CQ19,COTIZACIÓN!$L$15:$L$335)</f>
        <v>0</v>
      </c>
      <c r="CT19" s="273">
        <f ca="1">SUMIF(COTIZACIÓN!$D$15:$O$335,'BD GN'!CQ19,COTIZACIÓN!$O$15:$O$335)</f>
        <v>0</v>
      </c>
      <c r="CU19" s="273" t="str">
        <f t="shared" ca="1" si="3"/>
        <v>0</v>
      </c>
    </row>
    <row r="20" spans="2:99" ht="53.25" customHeight="1" x14ac:dyDescent="0.25">
      <c r="B20" s="546" t="s">
        <v>85</v>
      </c>
      <c r="C20" s="546" t="s">
        <v>580</v>
      </c>
      <c r="E20" s="302" t="s">
        <v>86</v>
      </c>
      <c r="G20" s="302" t="s">
        <v>89</v>
      </c>
      <c r="CB20" s="279" t="str">
        <f t="shared" si="1"/>
        <v>CUERPO PROYECTANTE LINEA CLASSIC PRIMAVERA SIENA</v>
      </c>
      <c r="CC20" s="75">
        <v>455000</v>
      </c>
      <c r="CD20" s="280"/>
      <c r="CE20" s="280">
        <v>578000</v>
      </c>
      <c r="CF20" s="280"/>
      <c r="CG20" s="342"/>
      <c r="CQ20" s="279" t="str">
        <f t="shared" si="2"/>
        <v>CUERPO PROYECTANTE LINEA CLASSIC PRIMAVERA SIENA</v>
      </c>
      <c r="CR20" s="277" t="s">
        <v>493</v>
      </c>
      <c r="CS20" s="449">
        <f ca="1">SUMIF(COTIZACIÓN!$D$15:$L$335,'BD GN'!CQ20,COTIZACIÓN!$L$15:$L$335)</f>
        <v>0</v>
      </c>
      <c r="CT20" s="273">
        <f ca="1">SUMIF(COTIZACIÓN!$D$15:$O$335,'BD GN'!CQ20,COTIZACIÓN!$O$15:$O$335)</f>
        <v>0</v>
      </c>
      <c r="CU20" s="273" t="str">
        <f t="shared" ca="1" si="3"/>
        <v>0</v>
      </c>
    </row>
    <row r="21" spans="2:99" ht="53.25" customHeight="1" x14ac:dyDescent="0.25">
      <c r="B21" s="546" t="s">
        <v>371</v>
      </c>
      <c r="C21" s="546" t="s">
        <v>581</v>
      </c>
      <c r="E21" s="302" t="s">
        <v>86</v>
      </c>
      <c r="G21" s="302" t="s">
        <v>211</v>
      </c>
      <c r="CB21" s="279" t="str">
        <f t="shared" si="1"/>
        <v>CUERPO BATIENTE LINEA CLASSIC PRIMAVERA SIENA</v>
      </c>
      <c r="CC21" s="75">
        <v>455000</v>
      </c>
      <c r="CD21" s="280"/>
      <c r="CE21" s="280">
        <v>578000</v>
      </c>
      <c r="CF21" s="280"/>
      <c r="CG21" s="342"/>
      <c r="CQ21" s="279" t="str">
        <f t="shared" si="2"/>
        <v>CUERPO BATIENTE LINEA CLASSIC PRIMAVERA SIENA</v>
      </c>
      <c r="CR21" s="277" t="s">
        <v>493</v>
      </c>
      <c r="CS21" s="449">
        <f ca="1">SUMIF(COTIZACIÓN!$D$15:$L$335,'BD GN'!CQ21,COTIZACIÓN!$L$15:$L$335)</f>
        <v>0</v>
      </c>
      <c r="CT21" s="273">
        <f ca="1">SUMIF(COTIZACIÓN!$D$15:$O$335,'BD GN'!CQ21,COTIZACIÓN!$O$15:$O$335)</f>
        <v>0</v>
      </c>
      <c r="CU21" s="273" t="str">
        <f t="shared" ca="1" si="3"/>
        <v>0</v>
      </c>
    </row>
    <row r="22" spans="2:99" ht="53.25" customHeight="1" x14ac:dyDescent="0.25">
      <c r="B22" s="546" t="s">
        <v>88</v>
      </c>
      <c r="C22" s="546" t="s">
        <v>582</v>
      </c>
      <c r="E22" s="302" t="s">
        <v>86</v>
      </c>
      <c r="CB22" s="279" t="str">
        <f t="shared" si="1"/>
        <v>PUERTA BATIENTE LINEA CLASSIC PRIMAVERA SIENA</v>
      </c>
      <c r="CC22" s="75">
        <v>455000</v>
      </c>
      <c r="CD22" s="280"/>
      <c r="CE22" s="280"/>
      <c r="CF22" s="280"/>
      <c r="CG22" s="342"/>
      <c r="CQ22" s="279" t="str">
        <f t="shared" si="2"/>
        <v>PUERTA BATIENTE LINEA CLASSIC PRIMAVERA SIENA</v>
      </c>
      <c r="CR22" s="277" t="s">
        <v>493</v>
      </c>
      <c r="CS22" s="449">
        <f ca="1">SUMIF(COTIZACIÓN!$D$15:$L$335,'BD GN'!CQ22,COTIZACIÓN!$L$15:$L$335)</f>
        <v>0</v>
      </c>
      <c r="CT22" s="273">
        <f ca="1">SUMIF(COTIZACIÓN!$D$15:$O$335,'BD GN'!CQ22,COTIZACIÓN!$O$15:$O$335)</f>
        <v>0</v>
      </c>
      <c r="CU22" s="273" t="str">
        <f t="shared" ca="1" si="3"/>
        <v>0</v>
      </c>
    </row>
    <row r="23" spans="2:99" ht="53.25" customHeight="1" x14ac:dyDescent="0.25">
      <c r="B23" s="546" t="s">
        <v>90</v>
      </c>
      <c r="C23" s="546" t="s">
        <v>90</v>
      </c>
      <c r="E23" s="302" t="s">
        <v>32</v>
      </c>
      <c r="BO23" s="330"/>
      <c r="BP23" s="330"/>
      <c r="BQ23" s="330"/>
      <c r="BR23" s="330"/>
      <c r="CB23" s="279" t="str">
        <f t="shared" si="1"/>
        <v xml:space="preserve">CUERPO FIJO LINEA CLASSIC SISTEMA PRIMAVERA SERIE      SG 3  </v>
      </c>
      <c r="CC23" s="75"/>
      <c r="CD23" s="280"/>
      <c r="CE23" s="280"/>
      <c r="CF23" s="280"/>
      <c r="CG23" s="342"/>
      <c r="CQ23" s="279" t="str">
        <f t="shared" si="2"/>
        <v xml:space="preserve">CUERPO FIJO LINEA CLASSIC SISTEMA PRIMAVERA SERIE      SG 3  </v>
      </c>
      <c r="CR23" s="277" t="s">
        <v>493</v>
      </c>
      <c r="CS23" s="449">
        <f ca="1">SUMIF(COTIZACIÓN!$D$15:$L$335,'BD GN'!CQ23,COTIZACIÓN!$L$15:$L$335)</f>
        <v>0</v>
      </c>
      <c r="CT23" s="273">
        <f ca="1">SUMIF(COTIZACIÓN!$D$15:$O$335,'BD GN'!CQ23,COTIZACIÓN!$O$15:$O$335)</f>
        <v>0</v>
      </c>
      <c r="CU23" s="273" t="str">
        <f t="shared" ca="1" si="3"/>
        <v>0</v>
      </c>
    </row>
    <row r="24" spans="2:99" ht="53.25" customHeight="1" x14ac:dyDescent="0.25">
      <c r="B24" s="546" t="s">
        <v>92</v>
      </c>
      <c r="C24" s="546" t="s">
        <v>92</v>
      </c>
      <c r="E24" s="302" t="s">
        <v>32</v>
      </c>
      <c r="CB24" s="279" t="str">
        <f t="shared" si="1"/>
        <v xml:space="preserve">SISTEMA REJILLA </v>
      </c>
      <c r="CC24" s="75"/>
      <c r="CD24" s="280"/>
      <c r="CE24" s="280"/>
      <c r="CF24" s="280"/>
      <c r="CG24" s="342"/>
      <c r="CQ24" s="279" t="str">
        <f t="shared" si="2"/>
        <v xml:space="preserve">SISTEMA REJILLA </v>
      </c>
      <c r="CR24" s="277" t="s">
        <v>493</v>
      </c>
      <c r="CS24" s="449">
        <f ca="1">SUMIF(COTIZACIÓN!$D$15:$L$335,'BD GN'!CQ24,COTIZACIÓN!$L$15:$L$335)</f>
        <v>0</v>
      </c>
      <c r="CT24" s="273">
        <f ca="1">SUMIF(COTIZACIÓN!$D$15:$O$335,'BD GN'!CQ24,COTIZACIÓN!$O$15:$O$335)</f>
        <v>0</v>
      </c>
      <c r="CU24" s="273" t="str">
        <f t="shared" ca="1" si="3"/>
        <v>0</v>
      </c>
    </row>
    <row r="25" spans="2:99" ht="53.25" customHeight="1" x14ac:dyDescent="0.25">
      <c r="B25" s="546" t="s">
        <v>197</v>
      </c>
      <c r="C25" s="546" t="s">
        <v>197</v>
      </c>
      <c r="E25" s="302" t="s">
        <v>198</v>
      </c>
      <c r="BO25" s="331"/>
      <c r="BP25" s="331"/>
      <c r="BQ25" s="331"/>
      <c r="BR25" s="331"/>
      <c r="CB25" s="279" t="str">
        <f t="shared" si="1"/>
        <v>PUERTA CORREDIZA CON ACCESIORIOS INOX</v>
      </c>
      <c r="CC25" s="75"/>
      <c r="CD25" s="280"/>
      <c r="CE25" s="280"/>
      <c r="CF25" s="280"/>
      <c r="CG25" s="342"/>
      <c r="CQ25" s="279" t="str">
        <f t="shared" si="2"/>
        <v>PUERTA CORREDIZA CON ACCESIORIOS INOX</v>
      </c>
      <c r="CR25" s="277" t="s">
        <v>494</v>
      </c>
      <c r="CS25" s="449">
        <f ca="1">SUMIF(COTIZACIÓN!$D$15:$L$335,'BD GN'!CQ25,COTIZACIÓN!$L$15:$L$335)</f>
        <v>0</v>
      </c>
      <c r="CT25" s="273">
        <f ca="1">SUMIF(COTIZACIÓN!$D$15:$O$335,'BD GN'!CQ25,COTIZACIÓN!$O$15:$O$335)</f>
        <v>0</v>
      </c>
      <c r="CU25" s="273" t="str">
        <f t="shared" ca="1" si="3"/>
        <v>0</v>
      </c>
    </row>
    <row r="26" spans="2:99" ht="53.25" customHeight="1" x14ac:dyDescent="0.25">
      <c r="B26" s="546" t="s">
        <v>200</v>
      </c>
      <c r="C26" s="546" t="s">
        <v>200</v>
      </c>
      <c r="E26" s="302" t="s">
        <v>32</v>
      </c>
      <c r="BO26" s="305"/>
      <c r="BP26" s="325"/>
      <c r="BQ26" s="325"/>
      <c r="BR26" s="325"/>
      <c r="CB26" s="279" t="str">
        <f t="shared" si="1"/>
        <v>CUERPO FIJO CON ACCESORIOS INOX</v>
      </c>
      <c r="CC26" s="75"/>
      <c r="CD26" s="280"/>
      <c r="CE26" s="280"/>
      <c r="CF26" s="280"/>
      <c r="CG26" s="342"/>
      <c r="CQ26" s="279" t="str">
        <f t="shared" si="2"/>
        <v>CUERPO FIJO CON ACCESORIOS INOX</v>
      </c>
      <c r="CR26" s="277" t="s">
        <v>494</v>
      </c>
      <c r="CS26" s="449">
        <f ca="1">SUMIF(COTIZACIÓN!$D$15:$L$335,'BD GN'!CQ26,COTIZACIÓN!$L$15:$L$335)</f>
        <v>0</v>
      </c>
      <c r="CT26" s="273">
        <f ca="1">SUMIF(COTIZACIÓN!$D$15:$O$335,'BD GN'!CQ26,COTIZACIÓN!$O$15:$O$335)</f>
        <v>0</v>
      </c>
      <c r="CU26" s="273" t="str">
        <f t="shared" ca="1" si="3"/>
        <v>0</v>
      </c>
    </row>
    <row r="27" spans="2:99" ht="53.25" customHeight="1" x14ac:dyDescent="0.25">
      <c r="B27" s="546" t="s">
        <v>201</v>
      </c>
      <c r="C27" s="546" t="s">
        <v>201</v>
      </c>
      <c r="E27" s="302" t="s">
        <v>198</v>
      </c>
      <c r="BO27" s="305"/>
      <c r="BP27" s="325"/>
      <c r="BQ27" s="325"/>
      <c r="BR27" s="325"/>
      <c r="CB27" s="279" t="str">
        <f t="shared" si="1"/>
        <v>PUERTA BATIENTE CON ACCESORIOS INOX</v>
      </c>
      <c r="CC27" s="75"/>
      <c r="CD27" s="280"/>
      <c r="CE27" s="280"/>
      <c r="CF27" s="280"/>
      <c r="CG27" s="342"/>
      <c r="CQ27" s="279" t="str">
        <f t="shared" si="2"/>
        <v>PUERTA BATIENTE CON ACCESORIOS INOX</v>
      </c>
      <c r="CR27" s="277" t="s">
        <v>494</v>
      </c>
      <c r="CS27" s="449">
        <f ca="1">SUMIF(COTIZACIÓN!$D$15:$L$335,'BD GN'!CQ27,COTIZACIÓN!$L$15:$L$335)</f>
        <v>0</v>
      </c>
      <c r="CT27" s="273">
        <f ca="1">SUMIF(COTIZACIÓN!$D$15:$O$335,'BD GN'!CQ27,COTIZACIÓN!$O$15:$O$335)</f>
        <v>0</v>
      </c>
      <c r="CU27" s="273" t="str">
        <f t="shared" ca="1" si="3"/>
        <v>0</v>
      </c>
    </row>
    <row r="28" spans="2:99" ht="53.25" customHeight="1" x14ac:dyDescent="0.25">
      <c r="B28" s="546" t="s">
        <v>202</v>
      </c>
      <c r="C28" s="546" t="s">
        <v>202</v>
      </c>
      <c r="E28" s="302" t="s">
        <v>198</v>
      </c>
      <c r="BO28" s="305"/>
      <c r="BP28" s="325"/>
      <c r="BQ28" s="325"/>
      <c r="BR28" s="325"/>
      <c r="CB28" s="279" t="str">
        <f t="shared" si="1"/>
        <v>PUERTA DOBLE BATIENTE CON ACCESORIOS INOX</v>
      </c>
      <c r="CC28" s="75"/>
      <c r="CD28" s="280"/>
      <c r="CE28" s="280"/>
      <c r="CF28" s="280"/>
      <c r="CG28" s="342"/>
      <c r="CQ28" s="279" t="str">
        <f t="shared" si="2"/>
        <v>PUERTA DOBLE BATIENTE CON ACCESORIOS INOX</v>
      </c>
      <c r="CR28" s="277" t="s">
        <v>494</v>
      </c>
      <c r="CS28" s="449">
        <f ca="1">SUMIF(COTIZACIÓN!$D$15:$L$335,'BD GN'!CQ28,COTIZACIÓN!$L$15:$L$335)</f>
        <v>0</v>
      </c>
      <c r="CT28" s="273">
        <f ca="1">SUMIF(COTIZACIÓN!$D$15:$O$335,'BD GN'!CQ28,COTIZACIÓN!$O$15:$O$335)</f>
        <v>0</v>
      </c>
      <c r="CU28" s="273" t="str">
        <f t="shared" ca="1" si="3"/>
        <v>0</v>
      </c>
    </row>
    <row r="29" spans="2:99" ht="53.25" customHeight="1" x14ac:dyDescent="0.25">
      <c r="B29" s="546" t="s">
        <v>55</v>
      </c>
      <c r="C29" s="546" t="s">
        <v>55</v>
      </c>
      <c r="E29" s="302" t="s">
        <v>32</v>
      </c>
      <c r="BO29" s="305"/>
      <c r="BP29" s="325"/>
      <c r="BQ29" s="325"/>
      <c r="BR29" s="325"/>
      <c r="CB29" s="279" t="str">
        <f t="shared" si="1"/>
        <v>DIVISIONES DE BAÑO CON ACCESORIOS EN ACERO INOXIDABLE</v>
      </c>
      <c r="CC29" s="75">
        <v>390000</v>
      </c>
      <c r="CD29" s="280"/>
      <c r="CE29" s="280"/>
      <c r="CF29" s="280"/>
      <c r="CG29" s="342"/>
      <c r="CQ29" s="279" t="str">
        <f t="shared" si="2"/>
        <v>DIVISIONES DE BAÑO CON ACCESORIOS EN ACERO INOXIDABLE</v>
      </c>
      <c r="CR29" s="277" t="s">
        <v>494</v>
      </c>
      <c r="CS29" s="449">
        <f ca="1">SUMIF(COTIZACIÓN!$D$15:$L$335,'BD GN'!CQ29,COTIZACIÓN!$L$15:$L$335)</f>
        <v>0</v>
      </c>
      <c r="CT29" s="273">
        <f ca="1">SUMIF(COTIZACIÓN!$D$15:$O$335,'BD GN'!CQ29,COTIZACIÓN!$O$15:$O$335)</f>
        <v>0</v>
      </c>
      <c r="CU29" s="273" t="str">
        <f t="shared" ca="1" si="3"/>
        <v>0</v>
      </c>
    </row>
    <row r="30" spans="2:99" ht="53.25" customHeight="1" x14ac:dyDescent="0.25">
      <c r="B30" s="546" t="s">
        <v>52</v>
      </c>
      <c r="C30" s="546" t="s">
        <v>583</v>
      </c>
      <c r="E30" s="302" t="s">
        <v>445</v>
      </c>
      <c r="BO30" s="305"/>
      <c r="BP30" s="325"/>
      <c r="BQ30" s="325"/>
      <c r="BR30" s="325"/>
      <c r="CB30" s="279" t="str">
        <f t="shared" si="1"/>
        <v>PUERTA CORREDIZA LINEA PREMIUM TIPO EUROPEO VENECIA NAPOLES TIPO POKET</v>
      </c>
      <c r="CC30" s="75">
        <v>576000</v>
      </c>
      <c r="CD30" s="280">
        <v>539000</v>
      </c>
      <c r="CE30" s="280">
        <v>777000</v>
      </c>
      <c r="CF30" s="280"/>
      <c r="CG30" s="342"/>
      <c r="CQ30" s="279" t="str">
        <f t="shared" si="2"/>
        <v>PUERTA CORREDIZA LINEA PREMIUM TIPO EUROPEO VENECIA NAPOLES TIPO POKET</v>
      </c>
      <c r="CR30" s="277" t="s">
        <v>493</v>
      </c>
      <c r="CS30" s="449">
        <f ca="1">SUMIF(COTIZACIÓN!$D$15:$L$335,'BD GN'!CQ30,COTIZACIÓN!$L$15:$L$335)</f>
        <v>0</v>
      </c>
      <c r="CT30" s="273">
        <f ca="1">SUMIF(COTIZACIÓN!$D$15:$O$335,'BD GN'!CQ30,COTIZACIÓN!$O$15:$O$335)</f>
        <v>0</v>
      </c>
      <c r="CU30" s="273" t="str">
        <f t="shared" ca="1" si="3"/>
        <v>0</v>
      </c>
    </row>
    <row r="31" spans="2:99" ht="53.25" customHeight="1" x14ac:dyDescent="0.25">
      <c r="B31" s="546" t="s">
        <v>165</v>
      </c>
      <c r="C31" s="546" t="s">
        <v>165</v>
      </c>
      <c r="E31" s="302" t="s">
        <v>446</v>
      </c>
      <c r="BO31" s="305"/>
      <c r="BP31" s="325"/>
      <c r="BQ31" s="325"/>
      <c r="BR31" s="325"/>
      <c r="CB31" s="279" t="str">
        <f t="shared" si="1"/>
        <v>PUERTA CORREDIZA LINEA CLASSIC SISTEMA 8025</v>
      </c>
      <c r="CC31" s="75"/>
      <c r="CD31" s="280"/>
      <c r="CE31" s="280"/>
      <c r="CF31" s="280"/>
      <c r="CG31" s="342"/>
      <c r="CQ31" s="279" t="str">
        <f t="shared" si="2"/>
        <v>PUERTA CORREDIZA LINEA CLASSIC SISTEMA 8025</v>
      </c>
      <c r="CR31" s="277" t="s">
        <v>493</v>
      </c>
      <c r="CS31" s="449">
        <f ca="1">SUMIF(COTIZACIÓN!$D$15:$L$335,'BD GN'!CQ31,COTIZACIÓN!$L$15:$L$335)</f>
        <v>0</v>
      </c>
      <c r="CT31" s="273">
        <f ca="1">SUMIF(COTIZACIÓN!$D$15:$O$335,'BD GN'!CQ31,COTIZACIÓN!$O$15:$O$335)</f>
        <v>0</v>
      </c>
      <c r="CU31" s="273" t="str">
        <f t="shared" ca="1" si="3"/>
        <v>0</v>
      </c>
    </row>
    <row r="32" spans="2:99" ht="53.25" customHeight="1" x14ac:dyDescent="0.25">
      <c r="B32" s="546" t="s">
        <v>32</v>
      </c>
      <c r="C32" s="546" t="s">
        <v>32</v>
      </c>
      <c r="E32" s="302" t="s">
        <v>32</v>
      </c>
      <c r="BO32" s="305"/>
      <c r="BP32" s="325"/>
      <c r="BQ32" s="325"/>
      <c r="BR32" s="325"/>
      <c r="CB32" s="279" t="str">
        <f t="shared" si="1"/>
        <v>N.A</v>
      </c>
      <c r="CC32" s="75"/>
      <c r="CD32" s="280"/>
      <c r="CE32" s="280"/>
      <c r="CF32" s="280"/>
      <c r="CG32" s="342"/>
      <c r="CQ32" s="279" t="str">
        <f t="shared" si="2"/>
        <v>N.A</v>
      </c>
      <c r="CR32" s="277" t="s">
        <v>494</v>
      </c>
      <c r="CS32" s="449">
        <f ca="1">SUMIF(COTIZACIÓN!$D$15:$L$335,'BD GN'!CQ32,COTIZACIÓN!$L$15:$L$335)</f>
        <v>0</v>
      </c>
      <c r="CT32" s="273">
        <f ca="1">SUMIF(COTIZACIÓN!$D$15:$O$335,'BD GN'!CQ32,COTIZACIÓN!$O$15:$O$335)</f>
        <v>0</v>
      </c>
      <c r="CU32" s="273" t="str">
        <f t="shared" ca="1" si="3"/>
        <v>0</v>
      </c>
    </row>
    <row r="33" spans="2:99" ht="53.25" customHeight="1" x14ac:dyDescent="0.25">
      <c r="B33" s="546" t="s">
        <v>166</v>
      </c>
      <c r="C33" s="546" t="s">
        <v>166</v>
      </c>
      <c r="E33" s="302" t="s">
        <v>86</v>
      </c>
      <c r="BO33" s="305"/>
      <c r="BP33" s="325"/>
      <c r="BQ33" s="325"/>
      <c r="BR33" s="325"/>
      <c r="CB33" s="279" t="str">
        <f t="shared" si="1"/>
        <v>CUERPO PROYECTANTE LINEA CLASSIC SISTEMA 3831</v>
      </c>
      <c r="CC33" s="75"/>
      <c r="CD33" s="280"/>
      <c r="CE33" s="280"/>
      <c r="CF33" s="280"/>
      <c r="CG33" s="342"/>
      <c r="CQ33" s="279" t="str">
        <f t="shared" si="2"/>
        <v>CUERPO PROYECTANTE LINEA CLASSIC SISTEMA 3831</v>
      </c>
      <c r="CR33" s="277" t="s">
        <v>493</v>
      </c>
      <c r="CS33" s="449">
        <f ca="1">SUMIF(COTIZACIÓN!$D$15:$L$335,'BD GN'!CQ33,COTIZACIÓN!$L$15:$L$335)</f>
        <v>0</v>
      </c>
      <c r="CT33" s="273">
        <f ca="1">SUMIF(COTIZACIÓN!$D$15:$O$335,'BD GN'!CQ33,COTIZACIÓN!$O$15:$O$335)</f>
        <v>0</v>
      </c>
      <c r="CU33" s="273" t="str">
        <f t="shared" ca="1" si="3"/>
        <v>0</v>
      </c>
    </row>
    <row r="34" spans="2:99" ht="53.25" customHeight="1" x14ac:dyDescent="0.25">
      <c r="B34" s="546" t="s">
        <v>167</v>
      </c>
      <c r="C34" s="546" t="s">
        <v>167</v>
      </c>
      <c r="E34" s="302" t="s">
        <v>32</v>
      </c>
      <c r="CB34" s="279" t="str">
        <f t="shared" si="1"/>
        <v>CUERPO FIJO LINEA CLASSIC SISTEMA 3831</v>
      </c>
      <c r="CC34" s="75"/>
      <c r="CD34" s="280"/>
      <c r="CE34" s="280"/>
      <c r="CF34" s="280"/>
      <c r="CG34" s="342"/>
      <c r="CQ34" s="279" t="str">
        <f t="shared" si="2"/>
        <v>CUERPO FIJO LINEA CLASSIC SISTEMA 3831</v>
      </c>
      <c r="CR34" s="277" t="s">
        <v>493</v>
      </c>
      <c r="CS34" s="449">
        <f ca="1">SUMIF(COTIZACIÓN!$D$15:$L$335,'BD GN'!CQ34,COTIZACIÓN!$L$15:$L$335)</f>
        <v>0</v>
      </c>
      <c r="CT34" s="273">
        <f ca="1">SUMIF(COTIZACIÓN!$D$15:$O$335,'BD GN'!CQ34,COTIZACIÓN!$O$15:$O$335)</f>
        <v>0</v>
      </c>
      <c r="CU34" s="273" t="str">
        <f t="shared" ca="1" si="3"/>
        <v>0</v>
      </c>
    </row>
    <row r="35" spans="2:99" ht="53.25" customHeight="1" x14ac:dyDescent="0.25">
      <c r="B35" s="546" t="s">
        <v>435</v>
      </c>
      <c r="C35" s="546" t="s">
        <v>435</v>
      </c>
      <c r="E35" s="302" t="s">
        <v>32</v>
      </c>
      <c r="CB35" s="279" t="str">
        <f t="shared" si="1"/>
        <v>BARANDA EMBEBIDA SIN TUBO SUPERIOR</v>
      </c>
      <c r="CC35" s="75">
        <v>456000</v>
      </c>
      <c r="CD35" s="280"/>
      <c r="CE35" s="280">
        <v>474000</v>
      </c>
      <c r="CF35" s="280"/>
      <c r="CG35" s="342"/>
      <c r="CQ35" s="279" t="str">
        <f t="shared" si="2"/>
        <v>BARANDA EMBEBIDA SIN TUBO SUPERIOR</v>
      </c>
      <c r="CR35" s="277" t="s">
        <v>494</v>
      </c>
      <c r="CS35" s="449">
        <f ca="1">SUMIF(COTIZACIÓN!$D$15:$L$335,'BD GN'!CQ35,COTIZACIÓN!$L$15:$L$335)</f>
        <v>0</v>
      </c>
      <c r="CT35" s="273">
        <f ca="1">SUMIF(COTIZACIÓN!$D$15:$O$335,'BD GN'!CQ35,COTIZACIÓN!$O$15:$O$335)</f>
        <v>0</v>
      </c>
      <c r="CU35" s="273" t="str">
        <f t="shared" ca="1" si="3"/>
        <v>0</v>
      </c>
    </row>
    <row r="36" spans="2:99" ht="53.25" customHeight="1" x14ac:dyDescent="0.25">
      <c r="B36" s="546" t="s">
        <v>436</v>
      </c>
      <c r="C36" s="546" t="s">
        <v>436</v>
      </c>
      <c r="E36" s="302" t="s">
        <v>32</v>
      </c>
      <c r="CB36" s="279" t="str">
        <f t="shared" si="1"/>
        <v>BARANDA EMBEBIDA CON TUBO SUPERIOR EN INOX</v>
      </c>
      <c r="CC36" s="75">
        <v>456000</v>
      </c>
      <c r="CD36" s="280"/>
      <c r="CE36" s="280"/>
      <c r="CF36" s="280"/>
      <c r="CG36" s="342"/>
      <c r="CQ36" s="279" t="str">
        <f t="shared" si="2"/>
        <v>BARANDA EMBEBIDA CON TUBO SUPERIOR EN INOX</v>
      </c>
      <c r="CR36" s="277" t="s">
        <v>494</v>
      </c>
      <c r="CS36" s="449">
        <f ca="1">SUMIF(COTIZACIÓN!$D$15:$L$335,'BD GN'!CQ36,COTIZACIÓN!$L$15:$L$335)</f>
        <v>0</v>
      </c>
      <c r="CT36" s="273">
        <f ca="1">SUMIF(COTIZACIÓN!$D$15:$O$335,'BD GN'!CQ36,COTIZACIÓN!$O$15:$O$335)</f>
        <v>0</v>
      </c>
      <c r="CU36" s="273" t="str">
        <f t="shared" ca="1" si="3"/>
        <v>0</v>
      </c>
    </row>
    <row r="37" spans="2:99" ht="53.25" customHeight="1" x14ac:dyDescent="0.25">
      <c r="B37" s="546" t="s">
        <v>437</v>
      </c>
      <c r="C37" s="546" t="s">
        <v>437</v>
      </c>
      <c r="E37" s="302" t="s">
        <v>32</v>
      </c>
      <c r="CB37" s="279" t="str">
        <f t="shared" si="1"/>
        <v>BARANDA EMBEBIDA CON TUBO SUPERIOR EN ALUMINIO SG</v>
      </c>
      <c r="CC37" s="75">
        <v>456000</v>
      </c>
      <c r="CD37" s="280"/>
      <c r="CE37" s="280"/>
      <c r="CF37" s="280"/>
      <c r="CG37" s="342"/>
      <c r="CQ37" s="279" t="str">
        <f t="shared" si="2"/>
        <v>BARANDA EMBEBIDA CON TUBO SUPERIOR EN ALUMINIO SG</v>
      </c>
      <c r="CR37" s="277" t="s">
        <v>494</v>
      </c>
      <c r="CS37" s="449">
        <f ca="1">SUMIF(COTIZACIÓN!$D$15:$L$335,'BD GN'!CQ37,COTIZACIÓN!$L$15:$L$335)</f>
        <v>0</v>
      </c>
      <c r="CT37" s="273">
        <f ca="1">SUMIF(COTIZACIÓN!$D$15:$O$335,'BD GN'!CQ37,COTIZACIÓN!$O$15:$O$335)</f>
        <v>0</v>
      </c>
      <c r="CU37" s="273" t="str">
        <f t="shared" ca="1" si="3"/>
        <v>0</v>
      </c>
    </row>
    <row r="38" spans="2:99" ht="53.25" customHeight="1" x14ac:dyDescent="0.25">
      <c r="B38" s="546" t="s">
        <v>458</v>
      </c>
      <c r="C38" s="546" t="s">
        <v>458</v>
      </c>
      <c r="E38" s="302" t="s">
        <v>32</v>
      </c>
      <c r="CB38" s="279" t="str">
        <f t="shared" si="1"/>
        <v xml:space="preserve"> BARANDILLA CON TUBO SUPERIOR EN INOX</v>
      </c>
      <c r="CC38" s="75">
        <v>339150</v>
      </c>
      <c r="CD38" s="280"/>
      <c r="CE38" s="280"/>
      <c r="CF38" s="280"/>
      <c r="CG38" s="342"/>
      <c r="CQ38" s="279" t="str">
        <f t="shared" si="2"/>
        <v xml:space="preserve"> BARANDILLA CON TUBO SUPERIOR EN INOX</v>
      </c>
      <c r="CR38" s="277" t="s">
        <v>494</v>
      </c>
      <c r="CS38" s="449">
        <f ca="1">SUMIF(COTIZACIÓN!$D$15:$L$335,'BD GN'!CQ38,COTIZACIÓN!$L$15:$L$335)</f>
        <v>0</v>
      </c>
      <c r="CT38" s="273">
        <f ca="1">SUMIF(COTIZACIÓN!$D$15:$O$335,'BD GN'!CQ38,COTIZACIÓN!$O$15:$O$335)</f>
        <v>0</v>
      </c>
      <c r="CU38" s="273" t="str">
        <f t="shared" ca="1" si="3"/>
        <v>0</v>
      </c>
    </row>
    <row r="39" spans="2:99" ht="53.25" customHeight="1" x14ac:dyDescent="0.25">
      <c r="B39" s="546" t="s">
        <v>439</v>
      </c>
      <c r="C39" s="546" t="s">
        <v>439</v>
      </c>
      <c r="E39" s="302" t="s">
        <v>32</v>
      </c>
      <c r="CB39" s="279" t="str">
        <f t="shared" si="1"/>
        <v>BARANDILLA SIN TUBO SUPERIOR</v>
      </c>
      <c r="CC39" s="75">
        <v>339150</v>
      </c>
      <c r="CD39" s="280"/>
      <c r="CE39" s="280"/>
      <c r="CF39" s="280"/>
      <c r="CG39" s="342"/>
      <c r="CQ39" s="279" t="str">
        <f t="shared" si="2"/>
        <v>BARANDILLA SIN TUBO SUPERIOR</v>
      </c>
      <c r="CR39" s="277" t="s">
        <v>494</v>
      </c>
      <c r="CS39" s="449">
        <f ca="1">SUMIF(COTIZACIÓN!$D$15:$L$335,'BD GN'!CQ39,COTIZACIÓN!$L$15:$L$335)</f>
        <v>0</v>
      </c>
      <c r="CT39" s="273">
        <f ca="1">SUMIF(COTIZACIÓN!$D$15:$O$335,'BD GN'!CQ39,COTIZACIÓN!$O$15:$O$335)</f>
        <v>0</v>
      </c>
      <c r="CU39" s="273" t="str">
        <f t="shared" ca="1" si="3"/>
        <v>0</v>
      </c>
    </row>
    <row r="40" spans="2:99" ht="53.25" customHeight="1" x14ac:dyDescent="0.25">
      <c r="B40" s="546" t="s">
        <v>432</v>
      </c>
      <c r="C40" s="546" t="s">
        <v>432</v>
      </c>
      <c r="E40" s="302" t="s">
        <v>32</v>
      </c>
      <c r="CB40" s="279" t="str">
        <f t="shared" si="1"/>
        <v>BARANDA DE APLIQUE CON ACCESORIOS INOX SIN TUBO SUPERIOR</v>
      </c>
      <c r="CC40" s="75">
        <v>475000</v>
      </c>
      <c r="CD40" s="280"/>
      <c r="CE40" s="280"/>
      <c r="CF40" s="280"/>
      <c r="CG40" s="342"/>
      <c r="CQ40" s="279" t="str">
        <f t="shared" si="2"/>
        <v>BARANDA DE APLIQUE CON ACCESORIOS INOX SIN TUBO SUPERIOR</v>
      </c>
      <c r="CR40" s="277" t="s">
        <v>494</v>
      </c>
      <c r="CS40" s="449">
        <f ca="1">SUMIF(COTIZACIÓN!$D$15:$L$335,'BD GN'!CQ40,COTIZACIÓN!$L$15:$L$335)</f>
        <v>0</v>
      </c>
      <c r="CT40" s="273">
        <f ca="1">SUMIF(COTIZACIÓN!$D$15:$O$335,'BD GN'!CQ40,COTIZACIÓN!$O$15:$O$335)</f>
        <v>0</v>
      </c>
      <c r="CU40" s="273" t="str">
        <f t="shared" ca="1" si="3"/>
        <v>0</v>
      </c>
    </row>
    <row r="41" spans="2:99" ht="53.25" customHeight="1" x14ac:dyDescent="0.25">
      <c r="B41" s="546" t="s">
        <v>433</v>
      </c>
      <c r="C41" s="546" t="s">
        <v>433</v>
      </c>
      <c r="E41" s="302" t="s">
        <v>32</v>
      </c>
      <c r="CB41" s="279" t="str">
        <f t="shared" si="1"/>
        <v>BARANDA DE APLIQUE CON ACCESORIOS INOX CON TUBO SUPERIOR INOX</v>
      </c>
      <c r="CC41" s="75">
        <v>475000</v>
      </c>
      <c r="CD41" s="280"/>
      <c r="CE41" s="280"/>
      <c r="CF41" s="280"/>
      <c r="CG41" s="342"/>
      <c r="CQ41" s="279" t="str">
        <f t="shared" si="2"/>
        <v>BARANDA DE APLIQUE CON ACCESORIOS INOX CON TUBO SUPERIOR INOX</v>
      </c>
      <c r="CR41" s="277" t="s">
        <v>494</v>
      </c>
      <c r="CS41" s="449">
        <f ca="1">SUMIF(COTIZACIÓN!$D$15:$L$335,'BD GN'!CQ41,COTIZACIÓN!$L$15:$L$335)</f>
        <v>0</v>
      </c>
      <c r="CT41" s="273">
        <f ca="1">SUMIF(COTIZACIÓN!$D$15:$O$335,'BD GN'!CQ41,COTIZACIÓN!$O$15:$O$335)</f>
        <v>0</v>
      </c>
      <c r="CU41" s="273" t="str">
        <f t="shared" ca="1" si="3"/>
        <v>0</v>
      </c>
    </row>
    <row r="42" spans="2:99" ht="53.25" customHeight="1" x14ac:dyDescent="0.25">
      <c r="B42" s="546" t="s">
        <v>434</v>
      </c>
      <c r="C42" s="546" t="s">
        <v>434</v>
      </c>
      <c r="E42" s="302" t="s">
        <v>32</v>
      </c>
      <c r="CB42" s="279" t="str">
        <f t="shared" si="1"/>
        <v>BARANDA DE APLIQUE CON ACCESORIOS INOX CON TUBO SUPERIOR EN ALUMINIO SG</v>
      </c>
      <c r="CC42" s="75">
        <v>475000</v>
      </c>
      <c r="CD42" s="280"/>
      <c r="CE42" s="280"/>
      <c r="CF42" s="280"/>
      <c r="CG42" s="342"/>
      <c r="CQ42" s="279" t="str">
        <f t="shared" si="2"/>
        <v>BARANDA DE APLIQUE CON ACCESORIOS INOX CON TUBO SUPERIOR EN ALUMINIO SG</v>
      </c>
      <c r="CR42" s="277" t="s">
        <v>494</v>
      </c>
      <c r="CS42" s="449">
        <f ca="1">SUMIF(COTIZACIÓN!$D$15:$L$335,'BD GN'!CQ42,COTIZACIÓN!$L$15:$L$335)</f>
        <v>0</v>
      </c>
      <c r="CT42" s="273">
        <f ca="1">SUMIF(COTIZACIÓN!$D$15:$O$335,'BD GN'!CQ42,COTIZACIÓN!$O$15:$O$335)</f>
        <v>0</v>
      </c>
      <c r="CU42" s="273" t="str">
        <f t="shared" ca="1" si="3"/>
        <v>0</v>
      </c>
    </row>
    <row r="43" spans="2:99" ht="53.25" customHeight="1" x14ac:dyDescent="0.25">
      <c r="B43" s="546" t="s">
        <v>226</v>
      </c>
      <c r="C43" s="546" t="s">
        <v>226</v>
      </c>
      <c r="E43" s="302" t="s">
        <v>32</v>
      </c>
      <c r="CB43" s="279" t="str">
        <f t="shared" si="1"/>
        <v>FACHADA FLOTANTE LINEA STICK SISTEMA SG101</v>
      </c>
      <c r="CC43" s="75"/>
      <c r="CD43" s="280"/>
      <c r="CE43" s="280"/>
      <c r="CF43" s="280"/>
      <c r="CG43" s="342"/>
      <c r="CQ43" s="279" t="str">
        <f t="shared" si="2"/>
        <v>FACHADA FLOTANTE LINEA STICK SISTEMA SG101</v>
      </c>
      <c r="CR43" s="277" t="s">
        <v>493</v>
      </c>
      <c r="CS43" s="449">
        <f ca="1">SUMIF(COTIZACIÓN!$D$15:$L$335,'BD GN'!CQ43,COTIZACIÓN!$L$15:$L$335)</f>
        <v>0</v>
      </c>
      <c r="CT43" s="273">
        <f ca="1">SUMIF(COTIZACIÓN!$D$15:$O$335,'BD GN'!CQ43,COTIZACIÓN!$O$15:$O$335)</f>
        <v>0</v>
      </c>
      <c r="CU43" s="273" t="str">
        <f t="shared" ca="1" si="3"/>
        <v>0</v>
      </c>
    </row>
    <row r="44" spans="2:99" ht="53.25" customHeight="1" x14ac:dyDescent="0.25">
      <c r="B44" s="546" t="s">
        <v>227</v>
      </c>
      <c r="C44" s="546" t="s">
        <v>227</v>
      </c>
      <c r="E44" s="302" t="s">
        <v>32</v>
      </c>
      <c r="CB44" s="279" t="str">
        <f t="shared" si="1"/>
        <v>FACHADA FLOTANTE LINEA STICK SISTEMA SG103</v>
      </c>
      <c r="CC44" s="75"/>
      <c r="CD44" s="280"/>
      <c r="CE44" s="280"/>
      <c r="CF44" s="280"/>
      <c r="CG44" s="342"/>
      <c r="CQ44" s="279" t="str">
        <f t="shared" si="2"/>
        <v>FACHADA FLOTANTE LINEA STICK SISTEMA SG103</v>
      </c>
      <c r="CR44" s="277" t="s">
        <v>493</v>
      </c>
      <c r="CS44" s="449">
        <f ca="1">SUMIF(COTIZACIÓN!$D$15:$L$335,'BD GN'!CQ44,COTIZACIÓN!$L$15:$L$335)</f>
        <v>0</v>
      </c>
      <c r="CT44" s="273">
        <f ca="1">SUMIF(COTIZACIÓN!$D$15:$O$335,'BD GN'!CQ44,COTIZACIÓN!$O$15:$O$335)</f>
        <v>0</v>
      </c>
      <c r="CU44" s="273" t="str">
        <f t="shared" ca="1" si="3"/>
        <v>0</v>
      </c>
    </row>
    <row r="45" spans="2:99" ht="53.25" customHeight="1" x14ac:dyDescent="0.25">
      <c r="B45" s="546" t="s">
        <v>228</v>
      </c>
      <c r="C45" s="546" t="s">
        <v>228</v>
      </c>
      <c r="E45" s="302" t="s">
        <v>86</v>
      </c>
      <c r="CB45" s="279" t="str">
        <f t="shared" si="1"/>
        <v>PUERTA BATIENTE LINEA CLASSIC SISTEMA SERIE SG 3890</v>
      </c>
      <c r="CC45" s="75"/>
      <c r="CD45" s="280"/>
      <c r="CE45" s="280"/>
      <c r="CF45" s="280"/>
      <c r="CG45" s="342"/>
      <c r="CQ45" s="279" t="str">
        <f t="shared" si="2"/>
        <v>PUERTA BATIENTE LINEA CLASSIC SISTEMA SERIE SG 3890</v>
      </c>
      <c r="CR45" s="277" t="s">
        <v>493</v>
      </c>
      <c r="CS45" s="449">
        <f ca="1">SUMIF(COTIZACIÓN!$D$15:$L$335,'BD GN'!CQ45,COTIZACIÓN!$L$15:$L$335)</f>
        <v>0</v>
      </c>
      <c r="CT45" s="273">
        <f ca="1">SUMIF(COTIZACIÓN!$D$15:$O$335,'BD GN'!CQ45,COTIZACIÓN!$O$15:$O$335)</f>
        <v>0</v>
      </c>
      <c r="CU45" s="273" t="str">
        <f t="shared" ca="1" si="3"/>
        <v>0</v>
      </c>
    </row>
    <row r="46" spans="2:99" ht="53.25" customHeight="1" x14ac:dyDescent="0.25">
      <c r="B46" s="546" t="s">
        <v>373</v>
      </c>
      <c r="C46" s="546" t="s">
        <v>373</v>
      </c>
      <c r="E46" s="302" t="s">
        <v>86</v>
      </c>
      <c r="CB46" s="279" t="str">
        <f t="shared" si="1"/>
        <v>PUERTA DOBLE BATIENTE LINEA CLASSIC SISTEMA SERIE SG 3890</v>
      </c>
      <c r="CC46" s="75">
        <v>735000</v>
      </c>
      <c r="CD46" s="280"/>
      <c r="CE46" s="280">
        <v>576000</v>
      </c>
      <c r="CF46" s="280"/>
      <c r="CG46" s="342"/>
      <c r="CQ46" s="279" t="str">
        <f t="shared" si="2"/>
        <v>PUERTA DOBLE BATIENTE LINEA CLASSIC SISTEMA SERIE SG 3890</v>
      </c>
      <c r="CR46" s="277" t="s">
        <v>493</v>
      </c>
      <c r="CS46" s="449">
        <f ca="1">SUMIF(COTIZACIÓN!$D$15:$L$335,'BD GN'!CQ46,COTIZACIÓN!$L$15:$L$335)</f>
        <v>0</v>
      </c>
      <c r="CT46" s="273">
        <f ca="1">SUMIF(COTIZACIÓN!$D$15:$O$335,'BD GN'!CQ46,COTIZACIÓN!$O$15:$O$335)</f>
        <v>0</v>
      </c>
      <c r="CU46" s="273" t="str">
        <f t="shared" ca="1" si="3"/>
        <v>0</v>
      </c>
    </row>
    <row r="47" spans="2:99" ht="53.25" customHeight="1" x14ac:dyDescent="0.25">
      <c r="B47" s="546" t="s">
        <v>299</v>
      </c>
      <c r="C47" s="546" t="s">
        <v>584</v>
      </c>
      <c r="E47" s="302" t="s">
        <v>62</v>
      </c>
      <c r="CB47" s="279" t="str">
        <f t="shared" si="1"/>
        <v>VENTANA CORREDIZA LINEA PREMIUM TIPO EUROPEO VENECIA NAPOLES</v>
      </c>
      <c r="CC47" s="75">
        <v>576000</v>
      </c>
      <c r="CD47" s="280">
        <v>539000</v>
      </c>
      <c r="CE47" s="280">
        <v>777000</v>
      </c>
      <c r="CF47" s="280"/>
      <c r="CG47" s="342"/>
      <c r="CQ47" s="279" t="str">
        <f t="shared" si="2"/>
        <v>VENTANA CORREDIZA LINEA PREMIUM TIPO EUROPEO VENECIA NAPOLES</v>
      </c>
      <c r="CR47" s="277" t="s">
        <v>493</v>
      </c>
      <c r="CS47" s="449">
        <f ca="1">SUMIF(COTIZACIÓN!$D$15:$L$335,'BD GN'!CQ47,COTIZACIÓN!$L$15:$L$335)</f>
        <v>0</v>
      </c>
      <c r="CT47" s="273">
        <f ca="1">SUMIF(COTIZACIÓN!$D$15:$O$335,'BD GN'!CQ47,COTIZACIÓN!$O$15:$O$335)</f>
        <v>0</v>
      </c>
      <c r="CU47" s="273" t="str">
        <f t="shared" ca="1" si="3"/>
        <v>0</v>
      </c>
    </row>
    <row r="48" spans="2:99" ht="53.25" customHeight="1" x14ac:dyDescent="0.25">
      <c r="B48" s="546" t="s">
        <v>300</v>
      </c>
      <c r="C48" s="546" t="s">
        <v>573</v>
      </c>
      <c r="E48" s="302" t="s">
        <v>62</v>
      </c>
      <c r="CB48" s="279" t="str">
        <f t="shared" si="1"/>
        <v>VENTANA CORREDIZA LINEA CLASSIC PRIMAVERA LAGO</v>
      </c>
      <c r="CC48" s="75">
        <v>442000</v>
      </c>
      <c r="CD48" s="280"/>
      <c r="CE48" s="280">
        <v>649000</v>
      </c>
      <c r="CF48" s="280"/>
      <c r="CG48" s="342"/>
      <c r="CQ48" s="279" t="str">
        <f t="shared" si="2"/>
        <v>VENTANA CORREDIZA LINEA CLASSIC PRIMAVERA LAGO</v>
      </c>
      <c r="CR48" s="277" t="s">
        <v>493</v>
      </c>
      <c r="CS48" s="449">
        <f ca="1">SUMIF(COTIZACIÓN!$D$15:$L$335,'BD GN'!CQ48,COTIZACIÓN!$L$15:$L$335)</f>
        <v>0</v>
      </c>
      <c r="CT48" s="273">
        <f ca="1">SUMIF(COTIZACIÓN!$D$15:$O$335,'BD GN'!CQ48,COTIZACIÓN!$O$15:$O$335)</f>
        <v>0</v>
      </c>
      <c r="CU48" s="273" t="str">
        <f t="shared" ca="1" si="3"/>
        <v>0</v>
      </c>
    </row>
    <row r="49" spans="2:99" ht="53.25" customHeight="1" x14ac:dyDescent="0.25">
      <c r="B49" s="546" t="s">
        <v>301</v>
      </c>
      <c r="C49" s="546" t="s">
        <v>301</v>
      </c>
      <c r="E49" s="302" t="s">
        <v>304</v>
      </c>
      <c r="CB49" s="279" t="str">
        <f t="shared" si="1"/>
        <v>SISTEMA DESLIZANTE TWIN DN</v>
      </c>
      <c r="CC49" s="75"/>
      <c r="CD49" s="280"/>
      <c r="CE49" s="280"/>
      <c r="CF49" s="280"/>
      <c r="CG49" s="342"/>
      <c r="CQ49" s="279" t="str">
        <f t="shared" si="2"/>
        <v>SISTEMA DESLIZANTE TWIN DN</v>
      </c>
      <c r="CR49" s="277" t="s">
        <v>493</v>
      </c>
      <c r="CS49" s="449">
        <f ca="1">SUMIF(COTIZACIÓN!$D$15:$L$335,'BD GN'!CQ49,COTIZACIÓN!$L$15:$L$335)</f>
        <v>0</v>
      </c>
      <c r="CT49" s="273">
        <f ca="1">SUMIF(COTIZACIÓN!$D$15:$O$335,'BD GN'!CQ49,COTIZACIÓN!$O$15:$O$335)</f>
        <v>0</v>
      </c>
      <c r="CU49" s="273" t="str">
        <f t="shared" ca="1" si="3"/>
        <v>0</v>
      </c>
    </row>
    <row r="50" spans="2:99" ht="53.25" customHeight="1" x14ac:dyDescent="0.25">
      <c r="B50" s="546" t="s">
        <v>303</v>
      </c>
      <c r="C50" s="546" t="s">
        <v>303</v>
      </c>
      <c r="E50" s="302" t="s">
        <v>459</v>
      </c>
      <c r="CB50" s="279" t="str">
        <f t="shared" si="1"/>
        <v>SISTEMA PLEGABLE TAURO</v>
      </c>
      <c r="CC50" s="75"/>
      <c r="CD50" s="280"/>
      <c r="CE50" s="280"/>
      <c r="CF50" s="280"/>
      <c r="CG50" s="342"/>
      <c r="CQ50" s="279" t="str">
        <f t="shared" si="2"/>
        <v>SISTEMA PLEGABLE TAURO</v>
      </c>
      <c r="CR50" s="277" t="s">
        <v>493</v>
      </c>
      <c r="CS50" s="449">
        <f ca="1">SUMIF(COTIZACIÓN!$D$15:$L$335,'BD GN'!CQ50,COTIZACIÓN!$L$15:$L$335)</f>
        <v>0</v>
      </c>
      <c r="CT50" s="273">
        <f ca="1">SUMIF(COTIZACIÓN!$D$15:$O$335,'BD GN'!CQ50,COTIZACIÓN!$O$15:$O$335)</f>
        <v>0</v>
      </c>
      <c r="CU50" s="273" t="str">
        <f t="shared" ca="1" si="3"/>
        <v>0</v>
      </c>
    </row>
    <row r="51" spans="2:99" ht="53.25" customHeight="1" x14ac:dyDescent="0.25">
      <c r="B51" s="546" t="s">
        <v>302</v>
      </c>
      <c r="C51" s="546" t="s">
        <v>302</v>
      </c>
      <c r="E51" s="302" t="s">
        <v>460</v>
      </c>
      <c r="CB51" s="279" t="str">
        <f t="shared" si="1"/>
        <v>SISTEMA APILABLE SIGMA</v>
      </c>
      <c r="CC51" s="75"/>
      <c r="CD51" s="280"/>
      <c r="CE51" s="280"/>
      <c r="CF51" s="280"/>
      <c r="CG51" s="342"/>
      <c r="CQ51" s="279" t="str">
        <f t="shared" si="2"/>
        <v>SISTEMA APILABLE SIGMA</v>
      </c>
      <c r="CR51" s="277" t="s">
        <v>493</v>
      </c>
      <c r="CS51" s="449">
        <f ca="1">SUMIF(COTIZACIÓN!$D$15:$L$335,'BD GN'!CQ51,COTIZACIÓN!$L$15:$L$335)</f>
        <v>0</v>
      </c>
      <c r="CT51" s="273">
        <f ca="1">SUMIF(COTIZACIÓN!$D$15:$O$335,'BD GN'!CQ51,COTIZACIÓN!$O$15:$O$335)</f>
        <v>0</v>
      </c>
      <c r="CU51" s="273" t="str">
        <f t="shared" ca="1" si="3"/>
        <v>0</v>
      </c>
    </row>
    <row r="52" spans="2:99" ht="53.25" customHeight="1" x14ac:dyDescent="0.25">
      <c r="B52" s="546" t="s">
        <v>305</v>
      </c>
      <c r="C52" s="546" t="s">
        <v>305</v>
      </c>
      <c r="E52" s="302" t="s">
        <v>32</v>
      </c>
      <c r="CB52" s="279" t="str">
        <f t="shared" si="1"/>
        <v>SISTEMA SG CLARABOYA</v>
      </c>
      <c r="CC52" s="75"/>
      <c r="CD52" s="280"/>
      <c r="CE52" s="280"/>
      <c r="CF52" s="280"/>
      <c r="CG52" s="342"/>
      <c r="CQ52" s="279" t="str">
        <f t="shared" si="2"/>
        <v>SISTEMA SG CLARABOYA</v>
      </c>
      <c r="CR52" s="277" t="s">
        <v>493</v>
      </c>
      <c r="CS52" s="449">
        <f ca="1">SUMIF(COTIZACIÓN!$D$15:$L$335,'BD GN'!CQ52,COTIZACIÓN!$L$15:$L$335)</f>
        <v>0</v>
      </c>
      <c r="CT52" s="273">
        <f ca="1">SUMIF(COTIZACIÓN!$D$15:$O$335,'BD GN'!CQ52,COTIZACIÓN!$O$15:$O$335)</f>
        <v>0</v>
      </c>
      <c r="CU52" s="273" t="str">
        <f t="shared" ca="1" si="3"/>
        <v>0</v>
      </c>
    </row>
    <row r="53" spans="2:99" ht="53.25" customHeight="1" x14ac:dyDescent="0.25">
      <c r="B53" s="546" t="s">
        <v>313</v>
      </c>
      <c r="C53" s="546" t="s">
        <v>585</v>
      </c>
      <c r="E53" s="302" t="s">
        <v>62</v>
      </c>
      <c r="CB53" s="279" t="str">
        <f t="shared" si="1"/>
        <v>VENTANA CORREDIZA LINEA PREMIUM TIPO EUROPEO VENECIA MONACO</v>
      </c>
      <c r="CC53" s="75">
        <v>863000</v>
      </c>
      <c r="CD53" s="280"/>
      <c r="CE53" s="280"/>
      <c r="CF53" s="280"/>
      <c r="CG53" s="342"/>
      <c r="CQ53" s="279" t="str">
        <f t="shared" si="2"/>
        <v>VENTANA CORREDIZA LINEA PREMIUM TIPO EUROPEO VENECIA MONACO</v>
      </c>
      <c r="CR53" s="277" t="s">
        <v>493</v>
      </c>
      <c r="CS53" s="449">
        <f ca="1">SUMIF(COTIZACIÓN!$D$15:$L$335,'BD GN'!CQ53,COTIZACIÓN!$L$15:$L$335)</f>
        <v>0</v>
      </c>
      <c r="CT53" s="273">
        <f ca="1">SUMIF(COTIZACIÓN!$D$15:$O$335,'BD GN'!CQ53,COTIZACIÓN!$O$15:$O$335)</f>
        <v>0</v>
      </c>
      <c r="CU53" s="273" t="str">
        <f t="shared" ca="1" si="3"/>
        <v>0</v>
      </c>
    </row>
    <row r="54" spans="2:99" ht="53.25" customHeight="1" x14ac:dyDescent="0.25">
      <c r="B54" s="546" t="s">
        <v>322</v>
      </c>
      <c r="C54" s="546" t="s">
        <v>322</v>
      </c>
      <c r="E54" s="302" t="s">
        <v>326</v>
      </c>
      <c r="CB54" s="279" t="str">
        <f t="shared" si="1"/>
        <v xml:space="preserve">CUERPO PROYECTANTE LINEA PREMIUM EUROPEO SISTEMA LSA 0932 </v>
      </c>
      <c r="CC54" s="75"/>
      <c r="CD54" s="280"/>
      <c r="CE54" s="280"/>
      <c r="CF54" s="280"/>
      <c r="CG54" s="342"/>
      <c r="CQ54" s="279" t="str">
        <f t="shared" si="2"/>
        <v xml:space="preserve">CUERPO PROYECTANTE LINEA PREMIUM EUROPEO SISTEMA LSA 0932 </v>
      </c>
      <c r="CR54" s="277" t="s">
        <v>493</v>
      </c>
      <c r="CS54" s="449">
        <f ca="1">SUMIF(COTIZACIÓN!$D$15:$L$335,'BD GN'!CQ54,COTIZACIÓN!$L$15:$L$335)</f>
        <v>0</v>
      </c>
      <c r="CT54" s="273">
        <f ca="1">SUMIF(COTIZACIÓN!$D$15:$O$335,'BD GN'!CQ54,COTIZACIÓN!$O$15:$O$335)</f>
        <v>0</v>
      </c>
      <c r="CU54" s="273" t="str">
        <f t="shared" ca="1" si="3"/>
        <v>0</v>
      </c>
    </row>
    <row r="55" spans="2:99" ht="53.25" customHeight="1" x14ac:dyDescent="0.25">
      <c r="B55" s="546" t="s">
        <v>323</v>
      </c>
      <c r="C55" s="546" t="s">
        <v>323</v>
      </c>
      <c r="E55" s="302" t="s">
        <v>326</v>
      </c>
      <c r="CB55" s="279" t="str">
        <f t="shared" si="1"/>
        <v>VENTANA CORREDIZA LINEA PREMIUM EUROPEO SISTEMA LSA 9060</v>
      </c>
      <c r="CC55" s="75"/>
      <c r="CD55" s="280"/>
      <c r="CE55" s="280"/>
      <c r="CF55" s="280"/>
      <c r="CG55" s="342"/>
      <c r="CQ55" s="279" t="str">
        <f t="shared" si="2"/>
        <v>VENTANA CORREDIZA LINEA PREMIUM EUROPEO SISTEMA LSA 9060</v>
      </c>
      <c r="CR55" s="277" t="s">
        <v>493</v>
      </c>
      <c r="CS55" s="449">
        <f ca="1">SUMIF(COTIZACIÓN!$D$15:$L$335,'BD GN'!CQ55,COTIZACIÓN!$L$15:$L$335)</f>
        <v>0</v>
      </c>
      <c r="CT55" s="273">
        <f ca="1">SUMIF(COTIZACIÓN!$D$15:$O$335,'BD GN'!CQ55,COTIZACIÓN!$O$15:$O$335)</f>
        <v>0</v>
      </c>
      <c r="CU55" s="273" t="str">
        <f t="shared" ca="1" si="3"/>
        <v>0</v>
      </c>
    </row>
    <row r="56" spans="2:99" ht="53.25" customHeight="1" x14ac:dyDescent="0.25">
      <c r="B56" s="546" t="s">
        <v>324</v>
      </c>
      <c r="C56" s="546" t="s">
        <v>324</v>
      </c>
      <c r="E56" s="302" t="s">
        <v>327</v>
      </c>
      <c r="CB56" s="279" t="str">
        <f t="shared" si="1"/>
        <v>PUERTA CORREDIZA LINEA PREMIUM EUROPEO SISTEMA LSA 9052</v>
      </c>
      <c r="CC56" s="75"/>
      <c r="CD56" s="280"/>
      <c r="CE56" s="280"/>
      <c r="CF56" s="280"/>
      <c r="CG56" s="342"/>
      <c r="CQ56" s="279" t="str">
        <f t="shared" si="2"/>
        <v>PUERTA CORREDIZA LINEA PREMIUM EUROPEO SISTEMA LSA 9052</v>
      </c>
      <c r="CR56" s="277" t="s">
        <v>493</v>
      </c>
      <c r="CS56" s="449">
        <f ca="1">SUMIF(COTIZACIÓN!$D$15:$L$335,'BD GN'!CQ56,COTIZACIÓN!$L$15:$L$335)</f>
        <v>0</v>
      </c>
      <c r="CT56" s="273">
        <f ca="1">SUMIF(COTIZACIÓN!$D$15:$O$335,'BD GN'!CQ56,COTIZACIÓN!$O$15:$O$335)</f>
        <v>0</v>
      </c>
      <c r="CU56" s="273" t="str">
        <f t="shared" ca="1" si="3"/>
        <v>0</v>
      </c>
    </row>
    <row r="57" spans="2:99" ht="53.25" customHeight="1" x14ac:dyDescent="0.25">
      <c r="B57" s="546" t="s">
        <v>325</v>
      </c>
      <c r="C57" s="546" t="s">
        <v>325</v>
      </c>
      <c r="E57" s="302" t="s">
        <v>32</v>
      </c>
      <c r="CB57" s="279" t="str">
        <f t="shared" si="1"/>
        <v xml:space="preserve">CUERPO FIJO LINEA PREMIUM EUROPEO SISTEMA LSA 0932 </v>
      </c>
      <c r="CC57" s="75"/>
      <c r="CD57" s="280"/>
      <c r="CE57" s="280"/>
      <c r="CF57" s="280"/>
      <c r="CG57" s="342"/>
      <c r="CQ57" s="279" t="str">
        <f t="shared" si="2"/>
        <v xml:space="preserve">CUERPO FIJO LINEA PREMIUM EUROPEO SISTEMA LSA 0932 </v>
      </c>
      <c r="CR57" s="277" t="s">
        <v>493</v>
      </c>
      <c r="CS57" s="449">
        <f ca="1">SUMIF(COTIZACIÓN!$D$15:$L$335,'BD GN'!CQ57,COTIZACIÓN!$L$15:$L$335)</f>
        <v>0</v>
      </c>
      <c r="CT57" s="273">
        <f ca="1">SUMIF(COTIZACIÓN!$D$15:$O$335,'BD GN'!CQ57,COTIZACIÓN!$O$15:$O$335)</f>
        <v>0</v>
      </c>
      <c r="CU57" s="273" t="str">
        <f t="shared" ca="1" si="3"/>
        <v>0</v>
      </c>
    </row>
    <row r="58" spans="2:99" ht="53.25" customHeight="1" x14ac:dyDescent="0.25">
      <c r="B58" s="546" t="s">
        <v>354</v>
      </c>
      <c r="C58" s="546" t="s">
        <v>354</v>
      </c>
      <c r="E58" s="302" t="s">
        <v>355</v>
      </c>
      <c r="CB58" s="279" t="str">
        <f t="shared" si="1"/>
        <v>VENTANA CORREDIZA LINEA TRADICIONAL SISTEMA SG 5020</v>
      </c>
      <c r="CC58" s="75"/>
      <c r="CD58" s="280"/>
      <c r="CE58" s="280"/>
      <c r="CF58" s="280"/>
      <c r="CG58" s="342"/>
      <c r="CQ58" s="279" t="str">
        <f t="shared" si="2"/>
        <v>VENTANA CORREDIZA LINEA TRADICIONAL SISTEMA SG 5020</v>
      </c>
      <c r="CR58" s="277" t="s">
        <v>493</v>
      </c>
      <c r="CS58" s="449">
        <f ca="1">SUMIF(COTIZACIÓN!$D$15:$L$335,'BD GN'!CQ58,COTIZACIÓN!$L$15:$L$335)</f>
        <v>0</v>
      </c>
      <c r="CT58" s="273">
        <f ca="1">SUMIF(COTIZACIÓN!$D$15:$O$335,'BD GN'!CQ58,COTIZACIÓN!$O$15:$O$335)</f>
        <v>0</v>
      </c>
      <c r="CU58" s="273" t="str">
        <f t="shared" ca="1" si="3"/>
        <v>0</v>
      </c>
    </row>
    <row r="59" spans="2:99" ht="53.25" customHeight="1" x14ac:dyDescent="0.25">
      <c r="B59" s="546" t="s">
        <v>356</v>
      </c>
      <c r="C59" s="546" t="s">
        <v>356</v>
      </c>
      <c r="E59" s="302" t="s">
        <v>355</v>
      </c>
      <c r="CB59" s="279" t="str">
        <f t="shared" si="1"/>
        <v>PUERTA CORREDIZA LINEA TRADICIONAL SISTEMA  SG 744</v>
      </c>
      <c r="CC59" s="75"/>
      <c r="CD59" s="280"/>
      <c r="CE59" s="280"/>
      <c r="CF59" s="280"/>
      <c r="CG59" s="342"/>
      <c r="CQ59" s="279" t="str">
        <f t="shared" si="2"/>
        <v>PUERTA CORREDIZA LINEA TRADICIONAL SISTEMA  SG 744</v>
      </c>
      <c r="CR59" s="277" t="s">
        <v>493</v>
      </c>
      <c r="CS59" s="449">
        <f ca="1">SUMIF(COTIZACIÓN!$D$15:$L$335,'BD GN'!CQ59,COTIZACIÓN!$L$15:$L$335)</f>
        <v>0</v>
      </c>
      <c r="CT59" s="273">
        <f ca="1">SUMIF(COTIZACIÓN!$D$15:$O$335,'BD GN'!CQ59,COTIZACIÓN!$O$15:$O$335)</f>
        <v>0</v>
      </c>
      <c r="CU59" s="273" t="str">
        <f t="shared" ca="1" si="3"/>
        <v>0</v>
      </c>
    </row>
    <row r="60" spans="2:99" ht="53.25" customHeight="1" x14ac:dyDescent="0.25">
      <c r="B60" s="546" t="s">
        <v>357</v>
      </c>
      <c r="C60" s="546" t="s">
        <v>357</v>
      </c>
      <c r="E60" s="302" t="s">
        <v>355</v>
      </c>
      <c r="CB60" s="279" t="str">
        <f t="shared" si="1"/>
        <v>VENTANA CORREDIZA LINEA TRADICIONAL SISTEMA SG 744</v>
      </c>
      <c r="CC60" s="75"/>
      <c r="CD60" s="280"/>
      <c r="CE60" s="280"/>
      <c r="CF60" s="280"/>
      <c r="CG60" s="342"/>
      <c r="CQ60" s="279" t="str">
        <f t="shared" si="2"/>
        <v>VENTANA CORREDIZA LINEA TRADICIONAL SISTEMA SG 744</v>
      </c>
      <c r="CR60" s="277" t="s">
        <v>493</v>
      </c>
      <c r="CS60" s="449">
        <f ca="1">SUMIF(COTIZACIÓN!$D$15:$L$335,'BD GN'!CQ60,COTIZACIÓN!$L$15:$L$335)</f>
        <v>0</v>
      </c>
      <c r="CT60" s="273">
        <f ca="1">SUMIF(COTIZACIÓN!$D$15:$O$335,'BD GN'!CQ60,COTIZACIÓN!$O$15:$O$335)</f>
        <v>0</v>
      </c>
      <c r="CU60" s="273" t="str">
        <f t="shared" ca="1" si="3"/>
        <v>0</v>
      </c>
    </row>
    <row r="61" spans="2:99" ht="53.25" customHeight="1" x14ac:dyDescent="0.25">
      <c r="B61" s="546" t="s">
        <v>358</v>
      </c>
      <c r="C61" s="546" t="s">
        <v>358</v>
      </c>
      <c r="E61" s="302" t="s">
        <v>355</v>
      </c>
      <c r="CB61" s="279" t="str">
        <f t="shared" si="1"/>
        <v>VENTANA CORREDIZA LINEA TRADICIONAL SISTEMA SG 8025</v>
      </c>
      <c r="CC61" s="75"/>
      <c r="CD61" s="280"/>
      <c r="CE61" s="280"/>
      <c r="CF61" s="280"/>
      <c r="CG61" s="342"/>
      <c r="CQ61" s="279" t="str">
        <f t="shared" si="2"/>
        <v>VENTANA CORREDIZA LINEA TRADICIONAL SISTEMA SG 8025</v>
      </c>
      <c r="CR61" s="277" t="s">
        <v>493</v>
      </c>
      <c r="CS61" s="449">
        <f ca="1">SUMIF(COTIZACIÓN!$D$15:$L$335,'BD GN'!CQ61,COTIZACIÓN!$L$15:$L$335)</f>
        <v>0</v>
      </c>
      <c r="CT61" s="273">
        <f ca="1">SUMIF(COTIZACIÓN!$D$15:$O$335,'BD GN'!CQ61,COTIZACIÓN!$O$15:$O$335)</f>
        <v>0</v>
      </c>
      <c r="CU61" s="273" t="str">
        <f t="shared" ca="1" si="3"/>
        <v>0</v>
      </c>
    </row>
    <row r="62" spans="2:99" ht="53.25" customHeight="1" x14ac:dyDescent="0.25">
      <c r="B62" s="546" t="s">
        <v>359</v>
      </c>
      <c r="C62" s="546" t="s">
        <v>359</v>
      </c>
      <c r="E62" s="302" t="s">
        <v>355</v>
      </c>
      <c r="CB62" s="279" t="str">
        <f t="shared" si="1"/>
        <v>PUERTA CORREDIZA LINEA TRADICIONAL SISTEMA  SG 8025</v>
      </c>
      <c r="CC62" s="75"/>
      <c r="CD62" s="280"/>
      <c r="CE62" s="280"/>
      <c r="CF62" s="280"/>
      <c r="CG62" s="342"/>
      <c r="CQ62" s="279" t="str">
        <f t="shared" si="2"/>
        <v>PUERTA CORREDIZA LINEA TRADICIONAL SISTEMA  SG 8025</v>
      </c>
      <c r="CR62" s="277" t="s">
        <v>493</v>
      </c>
      <c r="CS62" s="449">
        <f ca="1">SUMIF(COTIZACIÓN!$D$15:$L$335,'BD GN'!CQ62,COTIZACIÓN!$L$15:$L$335)</f>
        <v>0</v>
      </c>
      <c r="CT62" s="273">
        <f ca="1">SUMIF(COTIZACIÓN!$D$15:$O$335,'BD GN'!CQ62,COTIZACIÓN!$O$15:$O$335)</f>
        <v>0</v>
      </c>
      <c r="CU62" s="273" t="str">
        <f t="shared" ca="1" si="3"/>
        <v>0</v>
      </c>
    </row>
    <row r="63" spans="2:99" ht="53.25" customHeight="1" x14ac:dyDescent="0.25">
      <c r="B63" s="546" t="s">
        <v>360</v>
      </c>
      <c r="C63" s="546" t="s">
        <v>360</v>
      </c>
      <c r="E63" s="302" t="s">
        <v>355</v>
      </c>
      <c r="CB63" s="279" t="str">
        <f t="shared" si="1"/>
        <v>PUERTA CORREDIZA LINEA TRADICIONAL SISTEMA  SG 7038</v>
      </c>
      <c r="CC63" s="75"/>
      <c r="CD63" s="280"/>
      <c r="CE63" s="280"/>
      <c r="CF63" s="280"/>
      <c r="CG63" s="342"/>
      <c r="CQ63" s="279" t="str">
        <f t="shared" si="2"/>
        <v>PUERTA CORREDIZA LINEA TRADICIONAL SISTEMA  SG 7038</v>
      </c>
      <c r="CR63" s="277" t="s">
        <v>493</v>
      </c>
      <c r="CS63" s="449">
        <f ca="1">SUMIF(COTIZACIÓN!$D$15:$L$335,'BD GN'!CQ63,COTIZACIÓN!$L$15:$L$335)</f>
        <v>0</v>
      </c>
      <c r="CT63" s="273">
        <f ca="1">SUMIF(COTIZACIÓN!$D$15:$O$335,'BD GN'!CQ63,COTIZACIÓN!$O$15:$O$335)</f>
        <v>0</v>
      </c>
      <c r="CU63" s="273" t="str">
        <f t="shared" ca="1" si="3"/>
        <v>0</v>
      </c>
    </row>
    <row r="64" spans="2:99" ht="53.25" customHeight="1" x14ac:dyDescent="0.25">
      <c r="B64" s="546" t="s">
        <v>361</v>
      </c>
      <c r="C64" s="546" t="s">
        <v>361</v>
      </c>
      <c r="E64" s="302" t="s">
        <v>32</v>
      </c>
      <c r="CB64" s="279" t="str">
        <f t="shared" si="1"/>
        <v>CUERPO FIJO LINEA TRADICIONAL SISTEMA SG 3831</v>
      </c>
      <c r="CC64" s="75"/>
      <c r="CD64" s="280"/>
      <c r="CE64" s="280"/>
      <c r="CF64" s="280"/>
      <c r="CG64" s="342"/>
      <c r="CQ64" s="279" t="str">
        <f t="shared" si="2"/>
        <v>CUERPO FIJO LINEA TRADICIONAL SISTEMA SG 3831</v>
      </c>
      <c r="CR64" s="277" t="s">
        <v>493</v>
      </c>
      <c r="CS64" s="449">
        <f ca="1">SUMIF(COTIZACIÓN!$D$15:$L$335,'BD GN'!CQ64,COTIZACIÓN!$L$15:$L$335)</f>
        <v>0</v>
      </c>
      <c r="CT64" s="273">
        <f ca="1">SUMIF(COTIZACIÓN!$D$15:$O$335,'BD GN'!CQ64,COTIZACIÓN!$O$15:$O$335)</f>
        <v>0</v>
      </c>
      <c r="CU64" s="273" t="str">
        <f t="shared" ca="1" si="3"/>
        <v>0</v>
      </c>
    </row>
    <row r="65" spans="2:99" ht="53.25" customHeight="1" x14ac:dyDescent="0.25">
      <c r="B65" s="546" t="s">
        <v>362</v>
      </c>
      <c r="C65" s="546" t="s">
        <v>362</v>
      </c>
      <c r="E65" s="302" t="s">
        <v>363</v>
      </c>
      <c r="CB65" s="279" t="str">
        <f t="shared" si="1"/>
        <v>CUERPO PROYECTANTE LINEA TRADICIONAL SISTEMA SG 3831</v>
      </c>
      <c r="CC65" s="75"/>
      <c r="CD65" s="280"/>
      <c r="CE65" s="280"/>
      <c r="CF65" s="280"/>
      <c r="CG65" s="342"/>
      <c r="CQ65" s="279" t="str">
        <f t="shared" si="2"/>
        <v>CUERPO PROYECTANTE LINEA TRADICIONAL SISTEMA SG 3831</v>
      </c>
      <c r="CR65" s="277" t="s">
        <v>493</v>
      </c>
      <c r="CS65" s="449">
        <f ca="1">SUMIF(COTIZACIÓN!$D$15:$L$335,'BD GN'!CQ65,COTIZACIÓN!$L$15:$L$335)</f>
        <v>0</v>
      </c>
      <c r="CT65" s="273">
        <f ca="1">SUMIF(COTIZACIÓN!$D$15:$O$335,'BD GN'!CQ65,COTIZACIÓN!$O$15:$O$335)</f>
        <v>0</v>
      </c>
      <c r="CU65" s="273" t="str">
        <f t="shared" ca="1" si="3"/>
        <v>0</v>
      </c>
    </row>
    <row r="66" spans="2:99" ht="53.25" customHeight="1" x14ac:dyDescent="0.25">
      <c r="B66" s="546" t="s">
        <v>364</v>
      </c>
      <c r="C66" s="546" t="s">
        <v>364</v>
      </c>
      <c r="E66" s="302" t="s">
        <v>32</v>
      </c>
      <c r="CB66" s="279" t="str">
        <f t="shared" si="1"/>
        <v>CUERPO FIJO TUBULAR SG</v>
      </c>
      <c r="CC66" s="75">
        <v>443000</v>
      </c>
      <c r="CD66" s="280"/>
      <c r="CE66" s="280">
        <v>746000</v>
      </c>
      <c r="CF66" s="280"/>
      <c r="CG66" s="342"/>
      <c r="CQ66" s="279" t="str">
        <f t="shared" si="2"/>
        <v>CUERPO FIJO TUBULAR SG</v>
      </c>
      <c r="CR66" s="277" t="s">
        <v>493</v>
      </c>
      <c r="CS66" s="449">
        <f ca="1">SUMIF(COTIZACIÓN!$D$15:$L$335,'BD GN'!CQ66,COTIZACIÓN!$L$15:$L$335)</f>
        <v>0</v>
      </c>
      <c r="CT66" s="273">
        <f ca="1">SUMIF(COTIZACIÓN!$D$15:$O$335,'BD GN'!CQ66,COTIZACIÓN!$O$15:$O$335)</f>
        <v>0</v>
      </c>
      <c r="CU66" s="273" t="str">
        <f t="shared" ca="1" si="3"/>
        <v>0</v>
      </c>
    </row>
    <row r="67" spans="2:99" ht="53.25" customHeight="1" x14ac:dyDescent="0.25">
      <c r="B67" s="546" t="s">
        <v>431</v>
      </c>
      <c r="C67" s="546" t="s">
        <v>431</v>
      </c>
      <c r="E67" s="302" t="s">
        <v>32</v>
      </c>
      <c r="CB67" s="279" t="str">
        <f t="shared" ref="CB67" si="6">C67</f>
        <v xml:space="preserve">SISTEMA PERGOLA SG </v>
      </c>
      <c r="CC67" s="343"/>
      <c r="CD67" s="344"/>
      <c r="CE67" s="344"/>
      <c r="CF67" s="344"/>
      <c r="CG67" s="345"/>
      <c r="CQ67" s="279" t="str">
        <f t="shared" ref="CQ67" si="7">C67</f>
        <v xml:space="preserve">SISTEMA PERGOLA SG </v>
      </c>
      <c r="CR67" s="277" t="s">
        <v>493</v>
      </c>
      <c r="CS67" s="449">
        <f ca="1">SUMIF(COTIZACIÓN!$D$15:$L$335,'BD GN'!CQ67,COTIZACIÓN!$L$15:$L$335)</f>
        <v>0</v>
      </c>
      <c r="CT67" s="273">
        <f ca="1">SUMIF(COTIZACIÓN!$D$15:$O$335,'BD GN'!CQ67,COTIZACIÓN!$O$15:$O$335)</f>
        <v>0</v>
      </c>
      <c r="CU67" s="273" t="str">
        <f t="shared" ref="CU67:CU88" ca="1" si="8">IFERROR(CT67/CS67,"0")</f>
        <v>0</v>
      </c>
    </row>
    <row r="68" spans="2:99" ht="53.25" customHeight="1" x14ac:dyDescent="0.25">
      <c r="B68" s="546" t="s">
        <v>513</v>
      </c>
      <c r="C68" s="546" t="s">
        <v>513</v>
      </c>
      <c r="CQ68" s="279" t="str">
        <f>C68</f>
        <v>BARANDA EN BOTELLAS  CON ACCESORIOS INOX SIN TUBO SUPERIOR</v>
      </c>
      <c r="CS68" s="449">
        <f ca="1">SUMIF(COTIZACIÓN!$D$15:$L$335,'BD GN'!CQ68,COTIZACIÓN!$L$15:$L$335)</f>
        <v>0</v>
      </c>
      <c r="CT68" s="273">
        <f ca="1">SUMIF(COTIZACIÓN!$D$15:$O$335,'BD GN'!CQ68,COTIZACIÓN!$O$15:$O$335)</f>
        <v>0</v>
      </c>
      <c r="CU68" s="273" t="str">
        <f t="shared" ca="1" si="8"/>
        <v>0</v>
      </c>
    </row>
    <row r="69" spans="2:99" ht="53.25" customHeight="1" x14ac:dyDescent="0.25">
      <c r="B69" s="546" t="s">
        <v>514</v>
      </c>
      <c r="C69" s="546" t="s">
        <v>514</v>
      </c>
      <c r="CQ69" s="279" t="str">
        <f t="shared" ref="CQ69:CQ88" si="9">C69</f>
        <v>BARANDA EN BOTELLAS  CON ACCESORIOS INOX CON TUBO SUPERIOR</v>
      </c>
      <c r="CS69" s="449">
        <f ca="1">SUMIF(COTIZACIÓN!$D$15:$L$335,'BD GN'!CQ69,COTIZACIÓN!$L$15:$L$335)</f>
        <v>0</v>
      </c>
      <c r="CT69" s="273">
        <f ca="1">SUMIF(COTIZACIÓN!$D$15:$O$335,'BD GN'!CQ69,COTIZACIÓN!$O$15:$O$335)</f>
        <v>0</v>
      </c>
      <c r="CU69" s="273" t="str">
        <f t="shared" ca="1" si="8"/>
        <v>0</v>
      </c>
    </row>
    <row r="70" spans="2:99" ht="53.25" customHeight="1" x14ac:dyDescent="0.25">
      <c r="B70"/>
      <c r="C70"/>
      <c r="CQ70" s="279">
        <f t="shared" si="9"/>
        <v>0</v>
      </c>
      <c r="CS70" s="449">
        <f ca="1">SUMIF(COTIZACIÓN!$D$15:$L$335,'BD GN'!CQ70,COTIZACIÓN!$L$15:$L$335)</f>
        <v>0</v>
      </c>
      <c r="CT70" s="273">
        <f ca="1">SUMIF(COTIZACIÓN!$D$15:$O$335,'BD GN'!CQ70,COTIZACIÓN!$O$15:$O$335)</f>
        <v>0</v>
      </c>
      <c r="CU70" s="273" t="str">
        <f t="shared" ca="1" si="8"/>
        <v>0</v>
      </c>
    </row>
    <row r="71" spans="2:99" ht="53.25" customHeight="1" x14ac:dyDescent="0.25">
      <c r="B71"/>
      <c r="C71"/>
      <c r="CQ71" s="279">
        <f t="shared" si="9"/>
        <v>0</v>
      </c>
      <c r="CS71" s="449">
        <f ca="1">SUMIF(COTIZACIÓN!$D$15:$L$335,'BD GN'!CQ71,COTIZACIÓN!$L$15:$L$335)</f>
        <v>0</v>
      </c>
      <c r="CT71" s="273">
        <f ca="1">SUMIF(COTIZACIÓN!$D$15:$O$335,'BD GN'!CQ71,COTIZACIÓN!$O$15:$O$335)</f>
        <v>0</v>
      </c>
      <c r="CU71" s="273" t="str">
        <f t="shared" ca="1" si="8"/>
        <v>0</v>
      </c>
    </row>
    <row r="72" spans="2:99" ht="53.25" customHeight="1" x14ac:dyDescent="0.25">
      <c r="B72"/>
      <c r="C72"/>
      <c r="CQ72" s="279">
        <f t="shared" si="9"/>
        <v>0</v>
      </c>
      <c r="CS72" s="449">
        <f ca="1">SUMIF(COTIZACIÓN!$D$15:$L$335,'BD GN'!CQ72,COTIZACIÓN!$L$15:$L$335)</f>
        <v>0</v>
      </c>
      <c r="CT72" s="273">
        <f ca="1">SUMIF(COTIZACIÓN!$D$15:$O$335,'BD GN'!CQ72,COTIZACIÓN!$O$15:$O$335)</f>
        <v>0</v>
      </c>
      <c r="CU72" s="273" t="str">
        <f t="shared" ca="1" si="8"/>
        <v>0</v>
      </c>
    </row>
    <row r="73" spans="2:99" ht="53.25" customHeight="1" x14ac:dyDescent="0.25">
      <c r="B73"/>
      <c r="C73"/>
      <c r="CQ73" s="279">
        <f t="shared" si="9"/>
        <v>0</v>
      </c>
      <c r="CS73" s="449">
        <f ca="1">SUMIF(COTIZACIÓN!$D$15:$L$335,'BD GN'!CQ73,COTIZACIÓN!$L$15:$L$335)</f>
        <v>0</v>
      </c>
      <c r="CT73" s="273">
        <f ca="1">SUMIF(COTIZACIÓN!$D$15:$O$335,'BD GN'!CQ73,COTIZACIÓN!$O$15:$O$335)</f>
        <v>0</v>
      </c>
      <c r="CU73" s="273" t="str">
        <f t="shared" ca="1" si="8"/>
        <v>0</v>
      </c>
    </row>
    <row r="74" spans="2:99" ht="53.25" customHeight="1" x14ac:dyDescent="0.25">
      <c r="B74"/>
      <c r="C74"/>
      <c r="CQ74" s="279">
        <f t="shared" si="9"/>
        <v>0</v>
      </c>
      <c r="CS74" s="449">
        <f ca="1">SUMIF(COTIZACIÓN!$D$15:$L$335,'BD GN'!CQ74,COTIZACIÓN!$L$15:$L$335)</f>
        <v>0</v>
      </c>
      <c r="CT74" s="273">
        <f ca="1">SUMIF(COTIZACIÓN!$D$15:$O$335,'BD GN'!CQ74,COTIZACIÓN!$O$15:$O$335)</f>
        <v>0</v>
      </c>
      <c r="CU74" s="273" t="str">
        <f t="shared" ca="1" si="8"/>
        <v>0</v>
      </c>
    </row>
    <row r="75" spans="2:99" ht="53.25" customHeight="1" x14ac:dyDescent="0.25">
      <c r="B75"/>
      <c r="C75"/>
      <c r="CQ75" s="279">
        <f t="shared" si="9"/>
        <v>0</v>
      </c>
      <c r="CS75" s="449">
        <f ca="1">SUMIF(COTIZACIÓN!$D$15:$L$335,'BD GN'!CQ75,COTIZACIÓN!$L$15:$L$335)</f>
        <v>0</v>
      </c>
      <c r="CT75" s="273">
        <f ca="1">SUMIF(COTIZACIÓN!$D$15:$O$335,'BD GN'!CQ75,COTIZACIÓN!$O$15:$O$335)</f>
        <v>0</v>
      </c>
      <c r="CU75" s="273" t="str">
        <f t="shared" ca="1" si="8"/>
        <v>0</v>
      </c>
    </row>
    <row r="76" spans="2:99" ht="53.25" customHeight="1" x14ac:dyDescent="0.25">
      <c r="B76"/>
      <c r="C76"/>
      <c r="CQ76" s="279">
        <f t="shared" si="9"/>
        <v>0</v>
      </c>
      <c r="CS76" s="449">
        <f ca="1">SUMIF(COTIZACIÓN!$D$15:$L$335,'BD GN'!CQ76,COTIZACIÓN!$L$15:$L$335)</f>
        <v>0</v>
      </c>
      <c r="CT76" s="273">
        <f ca="1">SUMIF(COTIZACIÓN!$D$15:$O$335,'BD GN'!CQ76,COTIZACIÓN!$O$15:$O$335)</f>
        <v>0</v>
      </c>
      <c r="CU76" s="273" t="str">
        <f t="shared" ca="1" si="8"/>
        <v>0</v>
      </c>
    </row>
    <row r="77" spans="2:99" ht="53.25" customHeight="1" x14ac:dyDescent="0.25">
      <c r="B77"/>
      <c r="C77"/>
      <c r="CQ77" s="279">
        <f t="shared" si="9"/>
        <v>0</v>
      </c>
      <c r="CS77" s="449">
        <f ca="1">SUMIF(COTIZACIÓN!$D$15:$L$335,'BD GN'!CQ77,COTIZACIÓN!$L$15:$L$335)</f>
        <v>0</v>
      </c>
      <c r="CT77" s="273">
        <f ca="1">SUMIF(COTIZACIÓN!$D$15:$O$335,'BD GN'!CQ77,COTIZACIÓN!$O$15:$O$335)</f>
        <v>0</v>
      </c>
      <c r="CU77" s="273" t="str">
        <f t="shared" ca="1" si="8"/>
        <v>0</v>
      </c>
    </row>
    <row r="78" spans="2:99" ht="53.25" customHeight="1" x14ac:dyDescent="0.25">
      <c r="B78"/>
      <c r="C78"/>
      <c r="CQ78" s="279">
        <f t="shared" si="9"/>
        <v>0</v>
      </c>
      <c r="CS78" s="449">
        <f ca="1">SUMIF(COTIZACIÓN!$D$15:$L$335,'BD GN'!CQ78,COTIZACIÓN!$L$15:$L$335)</f>
        <v>0</v>
      </c>
      <c r="CT78" s="273">
        <f ca="1">SUMIF(COTIZACIÓN!$D$15:$O$335,'BD GN'!CQ78,COTIZACIÓN!$O$15:$O$335)</f>
        <v>0</v>
      </c>
      <c r="CU78" s="273" t="str">
        <f t="shared" ca="1" si="8"/>
        <v>0</v>
      </c>
    </row>
    <row r="79" spans="2:99" ht="53.25" customHeight="1" x14ac:dyDescent="0.25">
      <c r="B79"/>
      <c r="C79"/>
      <c r="CQ79" s="279">
        <f t="shared" si="9"/>
        <v>0</v>
      </c>
      <c r="CS79" s="449">
        <f ca="1">SUMIF(COTIZACIÓN!$D$15:$L$335,'BD GN'!CQ79,COTIZACIÓN!$L$15:$L$335)</f>
        <v>0</v>
      </c>
      <c r="CT79" s="273">
        <f ca="1">SUMIF(COTIZACIÓN!$D$15:$O$335,'BD GN'!CQ79,COTIZACIÓN!$O$15:$O$335)</f>
        <v>0</v>
      </c>
      <c r="CU79" s="273" t="str">
        <f t="shared" ca="1" si="8"/>
        <v>0</v>
      </c>
    </row>
    <row r="80" spans="2:99" ht="53.25" customHeight="1" x14ac:dyDescent="0.25">
      <c r="B80"/>
      <c r="C80"/>
      <c r="CQ80" s="279">
        <f t="shared" si="9"/>
        <v>0</v>
      </c>
      <c r="CS80" s="449">
        <f ca="1">SUMIF(COTIZACIÓN!$D$15:$L$335,'BD GN'!CQ80,COTIZACIÓN!$L$15:$L$335)</f>
        <v>0</v>
      </c>
      <c r="CT80" s="273">
        <f ca="1">SUMIF(COTIZACIÓN!$D$15:$O$335,'BD GN'!CQ80,COTIZACIÓN!$O$15:$O$335)</f>
        <v>0</v>
      </c>
      <c r="CU80" s="273" t="str">
        <f t="shared" ca="1" si="8"/>
        <v>0</v>
      </c>
    </row>
    <row r="81" spans="95:99" ht="53.25" customHeight="1" x14ac:dyDescent="0.25">
      <c r="CQ81" s="279">
        <f t="shared" si="9"/>
        <v>0</v>
      </c>
      <c r="CS81" s="449">
        <f ca="1">SUMIF(COTIZACIÓN!$D$15:$L$335,'BD GN'!CQ81,COTIZACIÓN!$L$15:$L$335)</f>
        <v>0</v>
      </c>
      <c r="CT81" s="273">
        <f ca="1">SUMIF(COTIZACIÓN!$D$15:$O$335,'BD GN'!CQ81,COTIZACIÓN!$O$15:$O$335)</f>
        <v>0</v>
      </c>
      <c r="CU81" s="273" t="str">
        <f t="shared" ca="1" si="8"/>
        <v>0</v>
      </c>
    </row>
    <row r="82" spans="95:99" ht="53.25" customHeight="1" x14ac:dyDescent="0.25">
      <c r="CQ82" s="279">
        <f t="shared" si="9"/>
        <v>0</v>
      </c>
      <c r="CS82" s="449">
        <f ca="1">SUMIF(COTIZACIÓN!$D$15:$L$335,'BD GN'!CQ82,COTIZACIÓN!$L$15:$L$335)</f>
        <v>0</v>
      </c>
      <c r="CT82" s="273">
        <f ca="1">SUMIF(COTIZACIÓN!$D$15:$O$335,'BD GN'!CQ82,COTIZACIÓN!$O$15:$O$335)</f>
        <v>0</v>
      </c>
      <c r="CU82" s="273" t="str">
        <f t="shared" ca="1" si="8"/>
        <v>0</v>
      </c>
    </row>
    <row r="83" spans="95:99" ht="53.25" customHeight="1" x14ac:dyDescent="0.25">
      <c r="CQ83" s="279">
        <f t="shared" si="9"/>
        <v>0</v>
      </c>
      <c r="CS83" s="449">
        <f ca="1">SUMIF(COTIZACIÓN!$D$15:$L$335,'BD GN'!CQ83,COTIZACIÓN!$L$15:$L$335)</f>
        <v>0</v>
      </c>
      <c r="CT83" s="273">
        <f ca="1">SUMIF(COTIZACIÓN!$D$15:$O$335,'BD GN'!CQ83,COTIZACIÓN!$O$15:$O$335)</f>
        <v>0</v>
      </c>
      <c r="CU83" s="273" t="str">
        <f t="shared" ca="1" si="8"/>
        <v>0</v>
      </c>
    </row>
    <row r="84" spans="95:99" ht="53.25" customHeight="1" x14ac:dyDescent="0.25">
      <c r="CQ84" s="279">
        <f t="shared" si="9"/>
        <v>0</v>
      </c>
      <c r="CS84" s="449">
        <f ca="1">SUMIF(COTIZACIÓN!$D$15:$L$335,'BD GN'!CQ84,COTIZACIÓN!$L$15:$L$335)</f>
        <v>0</v>
      </c>
      <c r="CT84" s="273">
        <f ca="1">SUMIF(COTIZACIÓN!$D$15:$O$335,'BD GN'!CQ84,COTIZACIÓN!$O$15:$O$335)</f>
        <v>0</v>
      </c>
      <c r="CU84" s="273" t="str">
        <f t="shared" ca="1" si="8"/>
        <v>0</v>
      </c>
    </row>
    <row r="85" spans="95:99" ht="53.25" customHeight="1" x14ac:dyDescent="0.25">
      <c r="CQ85" s="279">
        <f t="shared" si="9"/>
        <v>0</v>
      </c>
      <c r="CS85" s="449">
        <f ca="1">SUMIF(COTIZACIÓN!$D$15:$L$335,'BD GN'!CQ85,COTIZACIÓN!$L$15:$L$335)</f>
        <v>0</v>
      </c>
      <c r="CT85" s="273">
        <f ca="1">SUMIF(COTIZACIÓN!$D$15:$O$335,'BD GN'!CQ85,COTIZACIÓN!$O$15:$O$335)</f>
        <v>0</v>
      </c>
      <c r="CU85" s="273" t="str">
        <f t="shared" ca="1" si="8"/>
        <v>0</v>
      </c>
    </row>
    <row r="86" spans="95:99" ht="53.25" customHeight="1" x14ac:dyDescent="0.25">
      <c r="CQ86" s="279">
        <f t="shared" si="9"/>
        <v>0</v>
      </c>
      <c r="CS86" s="449">
        <f ca="1">SUMIF(COTIZACIÓN!$D$15:$L$335,'BD GN'!CQ86,COTIZACIÓN!$L$15:$L$335)</f>
        <v>0</v>
      </c>
      <c r="CT86" s="273">
        <f ca="1">SUMIF(COTIZACIÓN!$D$15:$O$335,'BD GN'!CQ86,COTIZACIÓN!$O$15:$O$335)</f>
        <v>0</v>
      </c>
      <c r="CU86" s="273" t="str">
        <f t="shared" ca="1" si="8"/>
        <v>0</v>
      </c>
    </row>
    <row r="87" spans="95:99" ht="53.25" customHeight="1" x14ac:dyDescent="0.25">
      <c r="CQ87" s="279">
        <f t="shared" si="9"/>
        <v>0</v>
      </c>
      <c r="CS87" s="449">
        <f ca="1">SUMIF(COTIZACIÓN!$D$15:$L$335,'BD GN'!CQ87,COTIZACIÓN!$L$15:$L$335)</f>
        <v>0</v>
      </c>
      <c r="CT87" s="273">
        <f ca="1">SUMIF(COTIZACIÓN!$D$15:$O$335,'BD GN'!CQ87,COTIZACIÓN!$O$15:$O$335)</f>
        <v>0</v>
      </c>
      <c r="CU87" s="273" t="str">
        <f t="shared" ca="1" si="8"/>
        <v>0</v>
      </c>
    </row>
    <row r="88" spans="95:99" ht="53.25" customHeight="1" x14ac:dyDescent="0.25">
      <c r="CQ88" s="279">
        <f t="shared" si="9"/>
        <v>0</v>
      </c>
      <c r="CS88" s="449">
        <f ca="1">SUMIF(COTIZACIÓN!$D$15:$L$335,'BD GN'!CQ88,COTIZACIÓN!$L$15:$L$335)</f>
        <v>0</v>
      </c>
      <c r="CT88" s="273">
        <f ca="1">SUMIF(COTIZACIÓN!$D$15:$O$335,'BD GN'!CQ88,COTIZACIÓN!$O$15:$O$335)</f>
        <v>0</v>
      </c>
      <c r="CU88" s="273" t="str">
        <f t="shared" ca="1" si="8"/>
        <v>0</v>
      </c>
    </row>
  </sheetData>
  <mergeCells count="11">
    <mergeCell ref="BO1:BR1"/>
    <mergeCell ref="BT1:BW1"/>
    <mergeCell ref="BY1:BZ1"/>
    <mergeCell ref="BD1:BM1"/>
    <mergeCell ref="AJ3:AJ4"/>
    <mergeCell ref="AM3:AM4"/>
    <mergeCell ref="AH2:AI2"/>
    <mergeCell ref="AK2:AL2"/>
    <mergeCell ref="AH1:AN1"/>
    <mergeCell ref="AP1:AU1"/>
    <mergeCell ref="AW1:BB1"/>
  </mergeCells>
  <phoneticPr fontId="5" type="noConversion"/>
  <dataValidations disablePrompts="1" count="1">
    <dataValidation type="list" allowBlank="1" showInputMessage="1" showErrorMessage="1" sqref="CR2:CR88" xr:uid="{1C19E7F9-2F00-8F40-B1C0-38FAF33607EF}">
      <formula1>"LA,LI"</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ADCD7-0D8F-9D48-857E-B3F77475ED75}">
  <dimension ref="B2:N45"/>
  <sheetViews>
    <sheetView topLeftCell="B1" zoomScale="97" zoomScaleNormal="100" workbookViewId="0">
      <selection activeCell="B2" sqref="B2:F2"/>
    </sheetView>
  </sheetViews>
  <sheetFormatPr baseColWidth="10" defaultColWidth="19.42578125" defaultRowHeight="36" customHeight="1" x14ac:dyDescent="0.25"/>
  <cols>
    <col min="1" max="1" width="6.7109375" style="277" customWidth="1"/>
    <col min="2" max="2" width="46.28515625" style="279" customWidth="1"/>
    <col min="3" max="4" width="19.42578125" style="273"/>
    <col min="5" max="5" width="19.42578125" style="278"/>
    <col min="6" max="6" width="33.85546875" style="277" customWidth="1"/>
    <col min="7" max="7" width="6.7109375" style="277" customWidth="1"/>
    <col min="8" max="8" width="46.28515625" style="279" hidden="1" customWidth="1"/>
    <col min="9" max="10" width="0" style="273" hidden="1" customWidth="1"/>
    <col min="11" max="11" width="0" style="278" hidden="1" customWidth="1"/>
    <col min="12" max="12" width="33.85546875" style="277" hidden="1" customWidth="1"/>
    <col min="13" max="13" width="6.7109375" style="277" customWidth="1"/>
    <col min="14" max="16384" width="19.42578125" style="277"/>
  </cols>
  <sheetData>
    <row r="2" spans="2:14" s="292" customFormat="1" ht="36" customHeight="1" x14ac:dyDescent="0.25">
      <c r="B2" s="738" t="s">
        <v>485</v>
      </c>
      <c r="C2" s="738"/>
      <c r="D2" s="738"/>
      <c r="E2" s="738"/>
      <c r="F2" s="738"/>
      <c r="H2" s="738" t="s">
        <v>486</v>
      </c>
      <c r="I2" s="738"/>
      <c r="J2" s="738"/>
      <c r="K2" s="738"/>
      <c r="L2" s="738"/>
    </row>
    <row r="4" spans="2:14" s="293" customFormat="1" ht="39.950000000000003" customHeight="1" x14ac:dyDescent="0.25">
      <c r="B4" s="739" t="s">
        <v>376</v>
      </c>
      <c r="C4" s="740"/>
      <c r="D4" s="740"/>
      <c r="E4" s="740"/>
      <c r="F4" s="741"/>
      <c r="H4" s="737" t="s">
        <v>376</v>
      </c>
      <c r="I4" s="737"/>
      <c r="J4" s="737"/>
      <c r="K4" s="737"/>
      <c r="L4" s="737"/>
    </row>
    <row r="5" spans="2:14" s="293" customFormat="1" ht="36" customHeight="1" x14ac:dyDescent="0.25">
      <c r="B5" s="746" t="s">
        <v>286</v>
      </c>
      <c r="C5" s="294">
        <f>SUM(C7:C11)</f>
        <v>21966430</v>
      </c>
      <c r="D5" s="294">
        <f t="shared" ref="D5" si="0">SUM(D7:D11)</f>
        <v>263597160</v>
      </c>
      <c r="E5" s="295">
        <f>SUM(E7:E11)</f>
        <v>2.6359715999999998E-2</v>
      </c>
      <c r="F5" s="742" t="s">
        <v>5</v>
      </c>
      <c r="H5" s="736" t="s">
        <v>286</v>
      </c>
      <c r="I5" s="294">
        <f>SUM(I7:I11)</f>
        <v>6666666.666666667</v>
      </c>
      <c r="J5" s="294">
        <f t="shared" ref="J5" si="1">SUM(J7:J11)</f>
        <v>80000000</v>
      </c>
      <c r="K5" s="295">
        <f>SUM(K7:K11)</f>
        <v>0.02</v>
      </c>
      <c r="L5" s="742" t="s">
        <v>5</v>
      </c>
    </row>
    <row r="6" spans="2:14" s="293" customFormat="1" ht="36" customHeight="1" x14ac:dyDescent="0.25">
      <c r="B6" s="747"/>
      <c r="C6" s="296" t="s">
        <v>377</v>
      </c>
      <c r="D6" s="296" t="s">
        <v>378</v>
      </c>
      <c r="E6" s="134" t="s">
        <v>379</v>
      </c>
      <c r="F6" s="743"/>
      <c r="H6" s="736"/>
      <c r="I6" s="296" t="s">
        <v>377</v>
      </c>
      <c r="J6" s="296" t="s">
        <v>378</v>
      </c>
      <c r="K6" s="134" t="s">
        <v>379</v>
      </c>
      <c r="L6" s="743"/>
    </row>
    <row r="7" spans="2:14" ht="36" customHeight="1" x14ac:dyDescent="0.25">
      <c r="B7" s="299" t="s">
        <v>462</v>
      </c>
      <c r="C7" s="275">
        <v>17866430</v>
      </c>
      <c r="D7" s="275">
        <f>C7*12</f>
        <v>214397160</v>
      </c>
      <c r="E7" s="276">
        <f>D7/$N$7</f>
        <v>2.1439716000000001E-2</v>
      </c>
      <c r="F7" s="274"/>
      <c r="H7" s="299" t="s">
        <v>462</v>
      </c>
      <c r="I7" s="275">
        <v>0</v>
      </c>
      <c r="J7" s="275">
        <v>0</v>
      </c>
      <c r="K7" s="276">
        <v>0</v>
      </c>
      <c r="L7" s="274"/>
      <c r="N7" s="277">
        <v>10000000000</v>
      </c>
    </row>
    <row r="8" spans="2:14" ht="36" customHeight="1" x14ac:dyDescent="0.25">
      <c r="B8" s="299" t="s">
        <v>463</v>
      </c>
      <c r="C8" s="275">
        <v>0</v>
      </c>
      <c r="D8" s="275">
        <f t="shared" ref="D8:D11" si="2">C8*12</f>
        <v>0</v>
      </c>
      <c r="E8" s="276">
        <f t="shared" ref="E8:E11" si="3">D8/$N$7</f>
        <v>0</v>
      </c>
      <c r="F8" s="274"/>
      <c r="H8" s="299" t="s">
        <v>463</v>
      </c>
      <c r="I8" s="275">
        <v>6666666.666666667</v>
      </c>
      <c r="J8" s="275">
        <v>80000000</v>
      </c>
      <c r="K8" s="276">
        <v>0.02</v>
      </c>
      <c r="L8" s="274"/>
    </row>
    <row r="9" spans="2:14" ht="36" customHeight="1" x14ac:dyDescent="0.25">
      <c r="B9" s="299" t="s">
        <v>464</v>
      </c>
      <c r="C9" s="275">
        <v>1100000</v>
      </c>
      <c r="D9" s="275">
        <f t="shared" si="2"/>
        <v>13200000</v>
      </c>
      <c r="E9" s="276">
        <f t="shared" si="3"/>
        <v>1.32E-3</v>
      </c>
      <c r="F9" s="274"/>
      <c r="H9" s="299" t="s">
        <v>464</v>
      </c>
      <c r="I9" s="275">
        <v>0</v>
      </c>
      <c r="J9" s="275">
        <v>0</v>
      </c>
      <c r="K9" s="276">
        <v>0</v>
      </c>
      <c r="L9" s="274"/>
    </row>
    <row r="10" spans="2:14" ht="36" customHeight="1" x14ac:dyDescent="0.25">
      <c r="B10" s="299" t="s">
        <v>465</v>
      </c>
      <c r="C10" s="275">
        <v>2000000</v>
      </c>
      <c r="D10" s="275">
        <f t="shared" si="2"/>
        <v>24000000</v>
      </c>
      <c r="E10" s="276">
        <f t="shared" si="3"/>
        <v>2.3999999999999998E-3</v>
      </c>
      <c r="F10" s="274"/>
      <c r="H10" s="299" t="s">
        <v>465</v>
      </c>
      <c r="I10" s="275">
        <v>0</v>
      </c>
      <c r="J10" s="275">
        <v>0</v>
      </c>
      <c r="K10" s="276">
        <v>0</v>
      </c>
      <c r="L10" s="274"/>
    </row>
    <row r="11" spans="2:14" ht="36" customHeight="1" x14ac:dyDescent="0.25">
      <c r="B11" s="299" t="s">
        <v>375</v>
      </c>
      <c r="C11" s="275">
        <v>1000000</v>
      </c>
      <c r="D11" s="275">
        <f t="shared" si="2"/>
        <v>12000000</v>
      </c>
      <c r="E11" s="276">
        <f t="shared" si="3"/>
        <v>1.1999999999999999E-3</v>
      </c>
      <c r="F11" s="274"/>
      <c r="H11" s="299" t="s">
        <v>375</v>
      </c>
      <c r="I11" s="275">
        <v>0</v>
      </c>
      <c r="J11" s="275">
        <v>0</v>
      </c>
      <c r="K11" s="276">
        <v>0</v>
      </c>
      <c r="L11" s="274"/>
    </row>
    <row r="13" spans="2:14" s="293" customFormat="1" ht="36" customHeight="1" x14ac:dyDescent="0.25">
      <c r="B13" s="739" t="s">
        <v>334</v>
      </c>
      <c r="C13" s="740"/>
      <c r="D13" s="740"/>
      <c r="E13" s="740"/>
      <c r="F13" s="741"/>
      <c r="H13" s="737" t="s">
        <v>334</v>
      </c>
      <c r="I13" s="737"/>
      <c r="J13" s="737"/>
      <c r="K13" s="737"/>
      <c r="L13" s="737"/>
    </row>
    <row r="14" spans="2:14" s="293" customFormat="1" ht="36" customHeight="1" x14ac:dyDescent="0.25">
      <c r="B14" s="746" t="s">
        <v>286</v>
      </c>
      <c r="C14" s="294">
        <f>SUM(C16:C23)</f>
        <v>22654530</v>
      </c>
      <c r="D14" s="294">
        <f>SUM(D16:D23)</f>
        <v>271854360</v>
      </c>
      <c r="E14" s="295">
        <f>SUM(E16:E23)</f>
        <v>2.7185436E-2</v>
      </c>
      <c r="F14" s="742" t="s">
        <v>5</v>
      </c>
      <c r="H14" s="736" t="s">
        <v>286</v>
      </c>
      <c r="I14" s="294">
        <f>SUM(I16:I23)</f>
        <v>0</v>
      </c>
      <c r="J14" s="294">
        <f>SUM(J16:J23)</f>
        <v>0</v>
      </c>
      <c r="K14" s="295">
        <f>SUM(K16:K23)</f>
        <v>0</v>
      </c>
      <c r="L14" s="742" t="s">
        <v>5</v>
      </c>
    </row>
    <row r="15" spans="2:14" s="293" customFormat="1" ht="36" customHeight="1" x14ac:dyDescent="0.25">
      <c r="B15" s="747"/>
      <c r="C15" s="296" t="s">
        <v>377</v>
      </c>
      <c r="D15" s="296" t="s">
        <v>378</v>
      </c>
      <c r="E15" s="134" t="s">
        <v>379</v>
      </c>
      <c r="F15" s="743"/>
      <c r="H15" s="736"/>
      <c r="I15" s="296" t="s">
        <v>377</v>
      </c>
      <c r="J15" s="296" t="s">
        <v>378</v>
      </c>
      <c r="K15" s="134" t="s">
        <v>379</v>
      </c>
      <c r="L15" s="743"/>
    </row>
    <row r="16" spans="2:14" ht="36" customHeight="1" x14ac:dyDescent="0.25">
      <c r="B16" s="299" t="s">
        <v>462</v>
      </c>
      <c r="C16" s="275">
        <v>6454081</v>
      </c>
      <c r="D16" s="275">
        <f>C16*12</f>
        <v>77448972</v>
      </c>
      <c r="E16" s="276">
        <f>D16/$N$7</f>
        <v>7.7448971999999998E-3</v>
      </c>
      <c r="F16" s="274" t="s">
        <v>461</v>
      </c>
      <c r="H16" s="299" t="s">
        <v>462</v>
      </c>
      <c r="I16" s="275">
        <v>0</v>
      </c>
      <c r="J16" s="275">
        <v>0</v>
      </c>
      <c r="K16" s="276">
        <v>0</v>
      </c>
      <c r="L16" s="274" t="s">
        <v>461</v>
      </c>
    </row>
    <row r="17" spans="2:12" ht="36" customHeight="1" x14ac:dyDescent="0.25">
      <c r="B17" s="299" t="s">
        <v>466</v>
      </c>
      <c r="C17" s="275">
        <v>10172000</v>
      </c>
      <c r="D17" s="275">
        <f t="shared" ref="D17:D23" si="4">C17*12</f>
        <v>122064000</v>
      </c>
      <c r="E17" s="276">
        <f t="shared" ref="E17:E23" si="5">D17/$N$7</f>
        <v>1.2206399999999999E-2</v>
      </c>
      <c r="F17" s="274"/>
      <c r="H17" s="299" t="s">
        <v>466</v>
      </c>
      <c r="I17" s="275">
        <v>0</v>
      </c>
      <c r="J17" s="275">
        <v>0</v>
      </c>
      <c r="K17" s="276">
        <v>0</v>
      </c>
      <c r="L17" s="274"/>
    </row>
    <row r="18" spans="2:12" ht="36" customHeight="1" x14ac:dyDescent="0.25">
      <c r="B18" s="299" t="s">
        <v>467</v>
      </c>
      <c r="C18" s="275">
        <v>2299028</v>
      </c>
      <c r="D18" s="275">
        <f t="shared" si="4"/>
        <v>27588336</v>
      </c>
      <c r="E18" s="276">
        <f t="shared" si="5"/>
        <v>2.7588335999999998E-3</v>
      </c>
      <c r="F18" s="274"/>
      <c r="H18" s="299" t="s">
        <v>467</v>
      </c>
      <c r="I18" s="275">
        <v>0</v>
      </c>
      <c r="J18" s="275">
        <v>0</v>
      </c>
      <c r="K18" s="276">
        <v>0</v>
      </c>
      <c r="L18" s="274"/>
    </row>
    <row r="19" spans="2:12" ht="36" customHeight="1" x14ac:dyDescent="0.25">
      <c r="B19" s="299" t="s">
        <v>468</v>
      </c>
      <c r="C19" s="275">
        <v>688315</v>
      </c>
      <c r="D19" s="275">
        <f t="shared" si="4"/>
        <v>8259780</v>
      </c>
      <c r="E19" s="276">
        <f t="shared" si="5"/>
        <v>8.25978E-4</v>
      </c>
      <c r="F19" s="274"/>
      <c r="H19" s="299" t="s">
        <v>468</v>
      </c>
      <c r="I19" s="275">
        <v>0</v>
      </c>
      <c r="J19" s="275">
        <v>0</v>
      </c>
      <c r="K19" s="276">
        <v>0</v>
      </c>
      <c r="L19" s="274"/>
    </row>
    <row r="20" spans="2:12" ht="36" customHeight="1" x14ac:dyDescent="0.25">
      <c r="B20" s="299" t="s">
        <v>469</v>
      </c>
      <c r="C20" s="275">
        <v>2596106</v>
      </c>
      <c r="D20" s="275">
        <f t="shared" si="4"/>
        <v>31153272</v>
      </c>
      <c r="E20" s="276">
        <f t="shared" si="5"/>
        <v>3.1153271999999998E-3</v>
      </c>
      <c r="F20" s="274"/>
      <c r="H20" s="299" t="s">
        <v>469</v>
      </c>
      <c r="I20" s="275">
        <v>0</v>
      </c>
      <c r="J20" s="275">
        <v>0</v>
      </c>
      <c r="K20" s="276">
        <v>0</v>
      </c>
      <c r="L20" s="274"/>
    </row>
    <row r="21" spans="2:12" ht="36" customHeight="1" x14ac:dyDescent="0.25">
      <c r="B21" s="299" t="s">
        <v>470</v>
      </c>
      <c r="C21" s="275">
        <v>445000</v>
      </c>
      <c r="D21" s="275">
        <f t="shared" si="4"/>
        <v>5340000</v>
      </c>
      <c r="E21" s="276">
        <f t="shared" si="5"/>
        <v>5.3399999999999997E-4</v>
      </c>
      <c r="F21" s="274"/>
      <c r="H21" s="299" t="s">
        <v>470</v>
      </c>
      <c r="I21" s="275">
        <v>0</v>
      </c>
      <c r="J21" s="275">
        <v>0</v>
      </c>
      <c r="K21" s="276">
        <v>0</v>
      </c>
      <c r="L21" s="274"/>
    </row>
    <row r="22" spans="2:12" ht="36" customHeight="1" x14ac:dyDescent="0.25">
      <c r="B22" s="299" t="s">
        <v>471</v>
      </c>
      <c r="C22" s="275">
        <v>0</v>
      </c>
      <c r="D22" s="275">
        <f t="shared" si="4"/>
        <v>0</v>
      </c>
      <c r="E22" s="276">
        <f t="shared" si="5"/>
        <v>0</v>
      </c>
      <c r="F22" s="274"/>
      <c r="H22" s="299" t="s">
        <v>471</v>
      </c>
      <c r="I22" s="275">
        <v>0</v>
      </c>
      <c r="J22" s="275">
        <v>0</v>
      </c>
      <c r="K22" s="276">
        <v>0</v>
      </c>
      <c r="L22" s="274"/>
    </row>
    <row r="23" spans="2:12" ht="36" customHeight="1" x14ac:dyDescent="0.25">
      <c r="B23" s="299" t="s">
        <v>472</v>
      </c>
      <c r="C23" s="275">
        <v>0</v>
      </c>
      <c r="D23" s="275">
        <f t="shared" si="4"/>
        <v>0</v>
      </c>
      <c r="E23" s="276">
        <f t="shared" si="5"/>
        <v>0</v>
      </c>
      <c r="F23" s="274"/>
      <c r="H23" s="299" t="s">
        <v>472</v>
      </c>
      <c r="I23" s="275">
        <v>0</v>
      </c>
      <c r="J23" s="275">
        <v>0</v>
      </c>
      <c r="K23" s="276">
        <v>0</v>
      </c>
      <c r="L23" s="274"/>
    </row>
    <row r="25" spans="2:12" s="293" customFormat="1" ht="36" customHeight="1" x14ac:dyDescent="0.25">
      <c r="B25" s="739" t="s">
        <v>380</v>
      </c>
      <c r="C25" s="740"/>
      <c r="D25" s="740"/>
      <c r="E25" s="740"/>
      <c r="F25" s="741"/>
      <c r="H25" s="739" t="s">
        <v>380</v>
      </c>
      <c r="I25" s="740"/>
      <c r="J25" s="740"/>
      <c r="K25" s="740"/>
      <c r="L25" s="741"/>
    </row>
    <row r="26" spans="2:12" s="293" customFormat="1" ht="36" customHeight="1" x14ac:dyDescent="0.25">
      <c r="B26" s="746" t="s">
        <v>381</v>
      </c>
      <c r="C26" s="294">
        <f>SUM(C28:C39)</f>
        <v>49162117</v>
      </c>
      <c r="D26" s="294">
        <f>SUM(D28:D39)</f>
        <v>589945404</v>
      </c>
      <c r="E26" s="295">
        <f>SUM(E28:E39)</f>
        <v>5.8994540399999996E-2</v>
      </c>
      <c r="F26" s="742" t="s">
        <v>5</v>
      </c>
      <c r="H26" s="736" t="s">
        <v>381</v>
      </c>
      <c r="I26" s="294">
        <f>SUM(I28:I39)</f>
        <v>18487783.891609583</v>
      </c>
      <c r="J26" s="294">
        <f>SUM(J28:J39)</f>
        <v>221853406.69931501</v>
      </c>
      <c r="K26" s="295">
        <f>SUM(K28:K39)</f>
        <v>5.5463351674828756E-2</v>
      </c>
      <c r="L26" s="742" t="s">
        <v>5</v>
      </c>
    </row>
    <row r="27" spans="2:12" ht="36" customHeight="1" x14ac:dyDescent="0.25">
      <c r="B27" s="747"/>
      <c r="C27" s="296" t="s">
        <v>377</v>
      </c>
      <c r="D27" s="296" t="s">
        <v>378</v>
      </c>
      <c r="E27" s="134" t="s">
        <v>379</v>
      </c>
      <c r="F27" s="743"/>
      <c r="H27" s="736"/>
      <c r="I27" s="296" t="s">
        <v>377</v>
      </c>
      <c r="J27" s="296" t="s">
        <v>378</v>
      </c>
      <c r="K27" s="134" t="s">
        <v>379</v>
      </c>
      <c r="L27" s="743"/>
    </row>
    <row r="28" spans="2:12" ht="36" customHeight="1" x14ac:dyDescent="0.25">
      <c r="B28" s="299" t="s">
        <v>400</v>
      </c>
      <c r="C28" s="275">
        <v>17617879</v>
      </c>
      <c r="D28" s="275">
        <f>C28*12</f>
        <v>211414548</v>
      </c>
      <c r="E28" s="276">
        <f>D28/$N$7</f>
        <v>2.1141454800000001E-2</v>
      </c>
      <c r="F28" s="744" t="s">
        <v>398</v>
      </c>
      <c r="H28" s="299" t="s">
        <v>400</v>
      </c>
      <c r="I28" s="275">
        <v>12960215.47007625</v>
      </c>
      <c r="J28" s="275">
        <v>155522585.64091501</v>
      </c>
      <c r="K28" s="276">
        <v>3.8880646410228752E-2</v>
      </c>
      <c r="L28" s="744" t="s">
        <v>398</v>
      </c>
    </row>
    <row r="29" spans="2:12" ht="36" customHeight="1" x14ac:dyDescent="0.25">
      <c r="B29" s="299" t="s">
        <v>401</v>
      </c>
      <c r="C29" s="275">
        <v>4874425</v>
      </c>
      <c r="D29" s="275">
        <f t="shared" ref="D29:D39" si="6">C29*12</f>
        <v>58493100</v>
      </c>
      <c r="E29" s="276">
        <f t="shared" ref="E29:E39" si="7">D29/$N$7</f>
        <v>5.8493099999999999E-3</v>
      </c>
      <c r="F29" s="745"/>
      <c r="H29" s="299" t="s">
        <v>401</v>
      </c>
      <c r="I29" s="275">
        <v>2490084.8382000001</v>
      </c>
      <c r="J29" s="275">
        <v>29881018.058400001</v>
      </c>
      <c r="K29" s="276">
        <v>7.4702545146000006E-3</v>
      </c>
      <c r="L29" s="745"/>
    </row>
    <row r="30" spans="2:12" ht="36" customHeight="1" x14ac:dyDescent="0.25">
      <c r="B30" s="299" t="s">
        <v>515</v>
      </c>
      <c r="C30" s="275">
        <v>17649293</v>
      </c>
      <c r="D30" s="275">
        <f t="shared" si="6"/>
        <v>211791516</v>
      </c>
      <c r="E30" s="276">
        <f t="shared" si="7"/>
        <v>2.1179151600000001E-2</v>
      </c>
      <c r="F30" s="486"/>
      <c r="H30" s="299"/>
      <c r="I30" s="275"/>
      <c r="J30" s="275"/>
      <c r="K30" s="276"/>
      <c r="L30" s="486"/>
    </row>
    <row r="31" spans="2:12" ht="36" customHeight="1" x14ac:dyDescent="0.25">
      <c r="B31" s="299" t="s">
        <v>382</v>
      </c>
      <c r="C31" s="275">
        <v>0</v>
      </c>
      <c r="D31" s="275">
        <f t="shared" si="6"/>
        <v>0</v>
      </c>
      <c r="E31" s="276">
        <f t="shared" si="7"/>
        <v>0</v>
      </c>
      <c r="F31" s="274" t="s">
        <v>384</v>
      </c>
      <c r="H31" s="299" t="s">
        <v>382</v>
      </c>
      <c r="I31" s="275">
        <v>0</v>
      </c>
      <c r="J31" s="275">
        <v>0</v>
      </c>
      <c r="K31" s="276">
        <v>0</v>
      </c>
      <c r="L31" s="274" t="s">
        <v>384</v>
      </c>
    </row>
    <row r="32" spans="2:12" ht="36" customHeight="1" x14ac:dyDescent="0.25">
      <c r="B32" s="299" t="s">
        <v>467</v>
      </c>
      <c r="C32" s="275">
        <v>756250</v>
      </c>
      <c r="D32" s="275">
        <f t="shared" si="6"/>
        <v>9075000</v>
      </c>
      <c r="E32" s="276">
        <f t="shared" si="7"/>
        <v>9.075E-4</v>
      </c>
      <c r="F32" s="274"/>
      <c r="H32" s="299" t="s">
        <v>467</v>
      </c>
      <c r="I32" s="275">
        <v>0</v>
      </c>
      <c r="J32" s="275">
        <v>0</v>
      </c>
      <c r="K32" s="276">
        <v>0</v>
      </c>
      <c r="L32" s="274"/>
    </row>
    <row r="33" spans="2:12" ht="36" customHeight="1" x14ac:dyDescent="0.25">
      <c r="B33" s="299" t="s">
        <v>468</v>
      </c>
      <c r="C33" s="275">
        <v>1175200</v>
      </c>
      <c r="D33" s="275">
        <f t="shared" si="6"/>
        <v>14102400</v>
      </c>
      <c r="E33" s="276">
        <f t="shared" si="7"/>
        <v>1.4102400000000001E-3</v>
      </c>
      <c r="F33" s="274"/>
      <c r="H33" s="299" t="s">
        <v>468</v>
      </c>
      <c r="I33" s="275">
        <v>0</v>
      </c>
      <c r="J33" s="275">
        <v>0</v>
      </c>
      <c r="K33" s="276">
        <v>0</v>
      </c>
      <c r="L33" s="274"/>
    </row>
    <row r="34" spans="2:12" ht="36" customHeight="1" x14ac:dyDescent="0.25">
      <c r="B34" s="299" t="s">
        <v>516</v>
      </c>
      <c r="C34" s="275">
        <v>400000</v>
      </c>
      <c r="D34" s="275">
        <f t="shared" si="6"/>
        <v>4800000</v>
      </c>
      <c r="E34" s="276">
        <f t="shared" si="7"/>
        <v>4.8000000000000001E-4</v>
      </c>
      <c r="F34" s="274"/>
      <c r="H34" s="299"/>
      <c r="I34" s="275"/>
      <c r="J34" s="275"/>
      <c r="K34" s="276"/>
      <c r="L34" s="274"/>
    </row>
    <row r="35" spans="2:12" ht="36" customHeight="1" x14ac:dyDescent="0.25">
      <c r="B35" s="299" t="s">
        <v>337</v>
      </c>
      <c r="C35" s="275">
        <v>4411462</v>
      </c>
      <c r="D35" s="275">
        <f t="shared" si="6"/>
        <v>52937544</v>
      </c>
      <c r="E35" s="276">
        <f t="shared" si="7"/>
        <v>5.2937543999999996E-3</v>
      </c>
      <c r="F35" s="274"/>
      <c r="H35" s="299" t="s">
        <v>337</v>
      </c>
      <c r="I35" s="275">
        <v>0</v>
      </c>
      <c r="J35" s="275">
        <v>0</v>
      </c>
      <c r="K35" s="276">
        <v>0</v>
      </c>
      <c r="L35" s="274"/>
    </row>
    <row r="36" spans="2:12" ht="36" customHeight="1" x14ac:dyDescent="0.25">
      <c r="B36" s="299" t="s">
        <v>473</v>
      </c>
      <c r="C36" s="275">
        <v>1400000</v>
      </c>
      <c r="D36" s="275">
        <f t="shared" si="6"/>
        <v>16800000</v>
      </c>
      <c r="E36" s="276">
        <f t="shared" si="7"/>
        <v>1.6800000000000001E-3</v>
      </c>
      <c r="F36" s="274"/>
      <c r="H36" s="299" t="s">
        <v>473</v>
      </c>
      <c r="I36" s="275">
        <v>1341816</v>
      </c>
      <c r="J36" s="275">
        <v>16101792</v>
      </c>
      <c r="K36" s="276">
        <v>4.025448E-3</v>
      </c>
      <c r="L36" s="274"/>
    </row>
    <row r="37" spans="2:12" ht="36" customHeight="1" x14ac:dyDescent="0.25">
      <c r="B37" s="299" t="s">
        <v>383</v>
      </c>
      <c r="C37" s="275">
        <v>877608</v>
      </c>
      <c r="D37" s="275">
        <f t="shared" si="6"/>
        <v>10531296</v>
      </c>
      <c r="E37" s="276">
        <f t="shared" si="7"/>
        <v>1.0531296000000001E-3</v>
      </c>
      <c r="F37" s="274"/>
      <c r="H37" s="299" t="s">
        <v>383</v>
      </c>
      <c r="I37" s="275">
        <v>1695667.5833333333</v>
      </c>
      <c r="J37" s="275">
        <v>20348011</v>
      </c>
      <c r="K37" s="276">
        <v>5.0870027499999998E-3</v>
      </c>
      <c r="L37" s="274"/>
    </row>
    <row r="38" spans="2:12" ht="36" customHeight="1" x14ac:dyDescent="0.25">
      <c r="B38" s="299" t="s">
        <v>517</v>
      </c>
      <c r="C38" s="275">
        <v>0</v>
      </c>
      <c r="D38" s="275">
        <f t="shared" si="6"/>
        <v>0</v>
      </c>
      <c r="E38" s="276">
        <f t="shared" si="7"/>
        <v>0</v>
      </c>
      <c r="F38" s="274"/>
      <c r="H38" s="299"/>
      <c r="I38" s="275"/>
      <c r="J38" s="275"/>
      <c r="K38" s="276"/>
      <c r="L38" s="274"/>
    </row>
    <row r="39" spans="2:12" ht="36" customHeight="1" x14ac:dyDescent="0.25">
      <c r="B39" s="299" t="s">
        <v>385</v>
      </c>
      <c r="C39" s="275">
        <v>0</v>
      </c>
      <c r="D39" s="275">
        <f t="shared" si="6"/>
        <v>0</v>
      </c>
      <c r="E39" s="276">
        <f t="shared" si="7"/>
        <v>0</v>
      </c>
      <c r="F39" s="274" t="s">
        <v>384</v>
      </c>
      <c r="H39" s="299" t="s">
        <v>385</v>
      </c>
      <c r="I39" s="275">
        <v>0</v>
      </c>
      <c r="J39" s="275">
        <v>0</v>
      </c>
      <c r="K39" s="276">
        <v>0</v>
      </c>
      <c r="L39" s="274"/>
    </row>
    <row r="41" spans="2:12" s="293" customFormat="1" ht="36" customHeight="1" x14ac:dyDescent="0.25">
      <c r="B41" s="739" t="s">
        <v>339</v>
      </c>
      <c r="C41" s="740"/>
      <c r="D41" s="740"/>
      <c r="E41" s="740"/>
      <c r="F41" s="741"/>
      <c r="H41" s="737" t="s">
        <v>339</v>
      </c>
      <c r="I41" s="737"/>
      <c r="J41" s="737"/>
      <c r="K41" s="737"/>
      <c r="L41" s="737"/>
    </row>
    <row r="42" spans="2:12" s="293" customFormat="1" ht="36" customHeight="1" x14ac:dyDescent="0.25">
      <c r="B42" s="746" t="s">
        <v>381</v>
      </c>
      <c r="C42" s="294">
        <f>SUM(C44:C52)</f>
        <v>4650000</v>
      </c>
      <c r="D42" s="294">
        <f>SUM(D44:D52)</f>
        <v>55800000</v>
      </c>
      <c r="E42" s="295">
        <f>SUM(E44:E52)</f>
        <v>5.5799999999999999E-3</v>
      </c>
      <c r="F42" s="742" t="s">
        <v>5</v>
      </c>
      <c r="H42" s="736" t="s">
        <v>381</v>
      </c>
      <c r="I42" s="294">
        <f>SUM(I44:I52)</f>
        <v>2000000</v>
      </c>
      <c r="J42" s="294">
        <f>SUM(J44:J52)</f>
        <v>24000000</v>
      </c>
      <c r="K42" s="295">
        <f>SUM(K44:K52)</f>
        <v>4.0000000000000001E-3</v>
      </c>
      <c r="L42" s="737" t="s">
        <v>5</v>
      </c>
    </row>
    <row r="43" spans="2:12" ht="36" customHeight="1" x14ac:dyDescent="0.25">
      <c r="B43" s="747"/>
      <c r="C43" s="296" t="s">
        <v>377</v>
      </c>
      <c r="D43" s="296" t="s">
        <v>378</v>
      </c>
      <c r="E43" s="134" t="s">
        <v>379</v>
      </c>
      <c r="F43" s="743"/>
      <c r="H43" s="736"/>
      <c r="I43" s="296" t="s">
        <v>377</v>
      </c>
      <c r="J43" s="296" t="s">
        <v>378</v>
      </c>
      <c r="K43" s="134" t="s">
        <v>379</v>
      </c>
      <c r="L43" s="737"/>
    </row>
    <row r="44" spans="2:12" ht="36" customHeight="1" x14ac:dyDescent="0.25">
      <c r="B44" s="299" t="s">
        <v>386</v>
      </c>
      <c r="C44" s="275">
        <v>4400000</v>
      </c>
      <c r="D44" s="275">
        <f>C44*12</f>
        <v>52800000</v>
      </c>
      <c r="E44" s="276">
        <f>D44/$N$7</f>
        <v>5.28E-3</v>
      </c>
      <c r="F44" s="274"/>
      <c r="H44" s="299" t="s">
        <v>386</v>
      </c>
      <c r="I44" s="275">
        <v>2000000</v>
      </c>
      <c r="J44" s="275">
        <v>24000000</v>
      </c>
      <c r="K44" s="276">
        <v>4.0000000000000001E-3</v>
      </c>
      <c r="L44" s="274"/>
    </row>
    <row r="45" spans="2:12" ht="36" customHeight="1" x14ac:dyDescent="0.25">
      <c r="B45" s="299" t="s">
        <v>387</v>
      </c>
      <c r="C45" s="275">
        <v>250000</v>
      </c>
      <c r="D45" s="275">
        <f>C45*12</f>
        <v>3000000</v>
      </c>
      <c r="E45" s="276">
        <f>D45/$N$7</f>
        <v>2.9999999999999997E-4</v>
      </c>
      <c r="F45" s="274"/>
      <c r="H45" s="299" t="s">
        <v>387</v>
      </c>
      <c r="I45" s="275">
        <v>0</v>
      </c>
      <c r="J45" s="275">
        <v>0</v>
      </c>
      <c r="K45" s="276">
        <v>0</v>
      </c>
      <c r="L45" s="274"/>
    </row>
  </sheetData>
  <mergeCells count="28">
    <mergeCell ref="B42:B43"/>
    <mergeCell ref="B41:F41"/>
    <mergeCell ref="F42:F43"/>
    <mergeCell ref="F28:F29"/>
    <mergeCell ref="B14:B15"/>
    <mergeCell ref="B26:B27"/>
    <mergeCell ref="B4:F4"/>
    <mergeCell ref="B13:F13"/>
    <mergeCell ref="B25:F25"/>
    <mergeCell ref="F26:F27"/>
    <mergeCell ref="F14:F15"/>
    <mergeCell ref="F5:F6"/>
    <mergeCell ref="H42:H43"/>
    <mergeCell ref="L42:L43"/>
    <mergeCell ref="B2:F2"/>
    <mergeCell ref="H2:L2"/>
    <mergeCell ref="H25:L25"/>
    <mergeCell ref="H26:H27"/>
    <mergeCell ref="L26:L27"/>
    <mergeCell ref="L28:L29"/>
    <mergeCell ref="H41:L41"/>
    <mergeCell ref="H13:L13"/>
    <mergeCell ref="H14:H15"/>
    <mergeCell ref="L14:L15"/>
    <mergeCell ref="H4:L4"/>
    <mergeCell ref="H5:H6"/>
    <mergeCell ref="L5:L6"/>
    <mergeCell ref="B5:B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02E8-C23C-4BEE-BEE2-1B61BF8BD4B3}">
  <sheetPr>
    <tabColor rgb="FFFFFF00"/>
  </sheetPr>
  <dimension ref="B1:O96"/>
  <sheetViews>
    <sheetView zoomScale="51" zoomScaleNormal="51" workbookViewId="0"/>
  </sheetViews>
  <sheetFormatPr baseColWidth="10" defaultColWidth="11.42578125" defaultRowHeight="36.75" customHeight="1" x14ac:dyDescent="0.25"/>
  <cols>
    <col min="1" max="1" width="6.140625" style="277" customWidth="1"/>
    <col min="2" max="2" width="39.85546875" style="289" customWidth="1"/>
    <col min="3" max="3" width="74.7109375" style="284" customWidth="1"/>
    <col min="4" max="4" width="82.140625" style="289" customWidth="1"/>
    <col min="5" max="6" width="15.7109375" style="287" customWidth="1"/>
    <col min="7" max="8" width="15.7109375" style="288" customWidth="1"/>
    <col min="9" max="9" width="14.28515625" style="288" customWidth="1"/>
    <col min="10" max="10" width="11.42578125" style="273"/>
    <col min="11" max="12" width="15.7109375" style="287" customWidth="1"/>
    <col min="13" max="14" width="15.7109375" style="288" customWidth="1"/>
    <col min="15" max="15" width="14.28515625" style="288" customWidth="1"/>
    <col min="16" max="16384" width="11.42578125" style="277"/>
  </cols>
  <sheetData>
    <row r="1" spans="2:15" ht="36.75" customHeight="1" x14ac:dyDescent="0.25">
      <c r="B1" s="277"/>
      <c r="C1" s="279"/>
      <c r="D1" s="297" t="s">
        <v>457</v>
      </c>
      <c r="E1" s="298">
        <v>0.2</v>
      </c>
      <c r="F1" s="280"/>
      <c r="G1" s="280"/>
      <c r="H1" s="280"/>
      <c r="I1" s="280"/>
      <c r="J1" s="280"/>
      <c r="K1" s="280"/>
      <c r="L1" s="280"/>
      <c r="M1" s="280"/>
      <c r="N1" s="280"/>
      <c r="O1" s="280"/>
    </row>
    <row r="2" spans="2:15" ht="36.75" customHeight="1" x14ac:dyDescent="0.25">
      <c r="B2" s="281" t="s">
        <v>231</v>
      </c>
      <c r="C2" s="281" t="s">
        <v>233</v>
      </c>
      <c r="D2" s="281" t="s">
        <v>232</v>
      </c>
      <c r="E2" s="282" t="s">
        <v>252</v>
      </c>
      <c r="F2" s="282" t="s">
        <v>253</v>
      </c>
      <c r="G2" s="282" t="s">
        <v>254</v>
      </c>
      <c r="H2" s="282" t="s">
        <v>255</v>
      </c>
      <c r="I2" s="282" t="s">
        <v>256</v>
      </c>
      <c r="K2" s="283" t="s">
        <v>252</v>
      </c>
      <c r="L2" s="283" t="s">
        <v>253</v>
      </c>
      <c r="M2" s="282" t="s">
        <v>254</v>
      </c>
      <c r="N2" s="282" t="s">
        <v>255</v>
      </c>
      <c r="O2" s="282" t="s">
        <v>256</v>
      </c>
    </row>
    <row r="3" spans="2:15" ht="36.75" customHeight="1" x14ac:dyDescent="0.25">
      <c r="B3" s="751" t="s">
        <v>230</v>
      </c>
      <c r="C3" s="284" t="s">
        <v>354</v>
      </c>
      <c r="D3" s="748" t="s">
        <v>234</v>
      </c>
      <c r="E3" s="285">
        <f>+K3+(K3*$E$1)</f>
        <v>38640</v>
      </c>
      <c r="F3" s="285">
        <f t="shared" ref="F3:I18" si="0">+L3+(L3*$E$1)</f>
        <v>18000</v>
      </c>
      <c r="G3" s="285">
        <f t="shared" si="0"/>
        <v>26400</v>
      </c>
      <c r="H3" s="285">
        <f t="shared" si="0"/>
        <v>30000</v>
      </c>
      <c r="I3" s="285">
        <f t="shared" si="0"/>
        <v>9600</v>
      </c>
      <c r="K3" s="286">
        <v>32200</v>
      </c>
      <c r="L3" s="287">
        <v>15000</v>
      </c>
      <c r="M3" s="288">
        <v>22000</v>
      </c>
      <c r="N3" s="288">
        <v>25000</v>
      </c>
      <c r="O3" s="288">
        <v>8000</v>
      </c>
    </row>
    <row r="4" spans="2:15" ht="36.75" customHeight="1" x14ac:dyDescent="0.25">
      <c r="B4" s="752"/>
      <c r="C4" s="284" t="s">
        <v>357</v>
      </c>
      <c r="D4" s="749"/>
      <c r="E4" s="285">
        <f t="shared" ref="E4:I31" si="1">+K4+(K4*$E$1)</f>
        <v>38640</v>
      </c>
      <c r="F4" s="285">
        <f t="shared" si="0"/>
        <v>18000</v>
      </c>
      <c r="G4" s="285">
        <f t="shared" si="0"/>
        <v>26400</v>
      </c>
      <c r="H4" s="285">
        <f t="shared" si="0"/>
        <v>31200</v>
      </c>
      <c r="I4" s="285">
        <f t="shared" si="0"/>
        <v>9600</v>
      </c>
      <c r="K4" s="286">
        <v>32200</v>
      </c>
      <c r="L4" s="287">
        <v>15000</v>
      </c>
      <c r="M4" s="288">
        <v>22000</v>
      </c>
      <c r="N4" s="288">
        <v>26000</v>
      </c>
      <c r="O4" s="288">
        <v>8000</v>
      </c>
    </row>
    <row r="5" spans="2:15" ht="36.75" customHeight="1" x14ac:dyDescent="0.25">
      <c r="B5" s="752"/>
      <c r="C5" s="284" t="s">
        <v>356</v>
      </c>
      <c r="D5" s="749"/>
      <c r="E5" s="285">
        <f t="shared" si="1"/>
        <v>38640</v>
      </c>
      <c r="F5" s="285">
        <f t="shared" si="0"/>
        <v>42000</v>
      </c>
      <c r="G5" s="285">
        <f t="shared" si="0"/>
        <v>54000</v>
      </c>
      <c r="H5" s="285">
        <f t="shared" si="0"/>
        <v>66000</v>
      </c>
      <c r="I5" s="285">
        <f t="shared" si="0"/>
        <v>9600</v>
      </c>
      <c r="K5" s="286">
        <v>32200</v>
      </c>
      <c r="L5" s="287">
        <v>35000</v>
      </c>
      <c r="M5" s="288">
        <v>45000</v>
      </c>
      <c r="N5" s="288">
        <v>55000</v>
      </c>
      <c r="O5" s="288">
        <v>8000</v>
      </c>
    </row>
    <row r="6" spans="2:15" ht="36.75" customHeight="1" x14ac:dyDescent="0.25">
      <c r="B6" s="752"/>
      <c r="C6" s="284" t="s">
        <v>358</v>
      </c>
      <c r="D6" s="749"/>
      <c r="E6" s="285">
        <f t="shared" si="1"/>
        <v>38640</v>
      </c>
      <c r="F6" s="285">
        <f t="shared" si="0"/>
        <v>36000</v>
      </c>
      <c r="G6" s="285">
        <f t="shared" si="0"/>
        <v>48000</v>
      </c>
      <c r="H6" s="285">
        <f t="shared" si="0"/>
        <v>60000</v>
      </c>
      <c r="I6" s="285">
        <f t="shared" si="0"/>
        <v>10800</v>
      </c>
      <c r="K6" s="286">
        <v>32200</v>
      </c>
      <c r="L6" s="287">
        <v>30000</v>
      </c>
      <c r="M6" s="288">
        <v>40000</v>
      </c>
      <c r="N6" s="288">
        <v>50000</v>
      </c>
      <c r="O6" s="288">
        <v>9000</v>
      </c>
    </row>
    <row r="7" spans="2:15" ht="36.75" customHeight="1" x14ac:dyDescent="0.25">
      <c r="B7" s="752"/>
      <c r="C7" s="284" t="s">
        <v>359</v>
      </c>
      <c r="D7" s="749"/>
      <c r="E7" s="285">
        <f t="shared" si="1"/>
        <v>38640</v>
      </c>
      <c r="F7" s="285">
        <f t="shared" si="0"/>
        <v>42000</v>
      </c>
      <c r="G7" s="285">
        <f t="shared" si="0"/>
        <v>54000</v>
      </c>
      <c r="H7" s="285">
        <f t="shared" si="0"/>
        <v>66000</v>
      </c>
      <c r="I7" s="285">
        <f t="shared" si="0"/>
        <v>10800</v>
      </c>
      <c r="K7" s="286">
        <v>32200</v>
      </c>
      <c r="L7" s="287">
        <v>35000</v>
      </c>
      <c r="M7" s="288">
        <v>45000</v>
      </c>
      <c r="N7" s="288">
        <v>55000</v>
      </c>
      <c r="O7" s="288">
        <v>9000</v>
      </c>
    </row>
    <row r="8" spans="2:15" ht="36.75" customHeight="1" x14ac:dyDescent="0.25">
      <c r="B8" s="752"/>
      <c r="C8" s="284" t="s">
        <v>360</v>
      </c>
      <c r="D8" s="749"/>
      <c r="E8" s="285">
        <f t="shared" si="1"/>
        <v>38640</v>
      </c>
      <c r="F8" s="285">
        <f t="shared" si="0"/>
        <v>66000</v>
      </c>
      <c r="G8" s="285">
        <f t="shared" si="0"/>
        <v>78000</v>
      </c>
      <c r="H8" s="285">
        <f t="shared" si="0"/>
        <v>90000</v>
      </c>
      <c r="I8" s="285">
        <f t="shared" si="0"/>
        <v>12000</v>
      </c>
      <c r="K8" s="286">
        <v>32200</v>
      </c>
      <c r="L8" s="287">
        <v>55000</v>
      </c>
      <c r="M8" s="288">
        <v>65000</v>
      </c>
      <c r="N8" s="288">
        <v>75000</v>
      </c>
      <c r="O8" s="288">
        <v>10000</v>
      </c>
    </row>
    <row r="9" spans="2:15" ht="48" customHeight="1" x14ac:dyDescent="0.25">
      <c r="B9" s="752"/>
      <c r="C9" s="549" t="s">
        <v>74</v>
      </c>
      <c r="D9" s="749"/>
      <c r="E9" s="285">
        <f t="shared" si="1"/>
        <v>38640</v>
      </c>
      <c r="F9" s="285">
        <f t="shared" si="0"/>
        <v>22800</v>
      </c>
      <c r="G9" s="285">
        <f t="shared" si="0"/>
        <v>26400</v>
      </c>
      <c r="H9" s="285">
        <f t="shared" si="0"/>
        <v>31200</v>
      </c>
      <c r="I9" s="285">
        <f t="shared" si="0"/>
        <v>9600</v>
      </c>
      <c r="K9" s="286">
        <v>32200</v>
      </c>
      <c r="L9" s="287">
        <v>19000</v>
      </c>
      <c r="M9" s="288">
        <v>22000</v>
      </c>
      <c r="N9" s="288">
        <v>26000</v>
      </c>
      <c r="O9" s="288">
        <v>8000</v>
      </c>
    </row>
    <row r="10" spans="2:15" ht="48" customHeight="1" x14ac:dyDescent="0.25">
      <c r="B10" s="752"/>
      <c r="C10" s="546" t="s">
        <v>573</v>
      </c>
      <c r="D10" s="749"/>
      <c r="E10" s="285">
        <f t="shared" si="1"/>
        <v>38640</v>
      </c>
      <c r="F10" s="285">
        <f t="shared" si="0"/>
        <v>22800</v>
      </c>
      <c r="G10" s="285">
        <f t="shared" si="0"/>
        <v>26400</v>
      </c>
      <c r="H10" s="285">
        <f t="shared" si="0"/>
        <v>31200</v>
      </c>
      <c r="I10" s="285">
        <f t="shared" si="0"/>
        <v>9600</v>
      </c>
      <c r="K10" s="286">
        <v>32200</v>
      </c>
      <c r="L10" s="287">
        <v>19000</v>
      </c>
      <c r="M10" s="288">
        <v>22000</v>
      </c>
      <c r="N10" s="288">
        <v>26000</v>
      </c>
      <c r="O10" s="288">
        <v>8000</v>
      </c>
    </row>
    <row r="11" spans="2:15" ht="39.75" customHeight="1" x14ac:dyDescent="0.25">
      <c r="B11" s="752"/>
      <c r="C11" s="546" t="s">
        <v>574</v>
      </c>
      <c r="D11" s="749"/>
      <c r="E11" s="285">
        <f t="shared" si="1"/>
        <v>38640</v>
      </c>
      <c r="F11" s="285">
        <f t="shared" si="0"/>
        <v>30000</v>
      </c>
      <c r="G11" s="285">
        <f t="shared" si="0"/>
        <v>32400</v>
      </c>
      <c r="H11" s="285">
        <f t="shared" si="0"/>
        <v>39600</v>
      </c>
      <c r="I11" s="285">
        <f t="shared" si="0"/>
        <v>10800</v>
      </c>
      <c r="K11" s="286">
        <v>32200</v>
      </c>
      <c r="L11" s="287">
        <v>25000</v>
      </c>
      <c r="M11" s="288">
        <v>27000</v>
      </c>
      <c r="N11" s="288">
        <v>33000</v>
      </c>
      <c r="O11" s="288">
        <v>9000</v>
      </c>
    </row>
    <row r="12" spans="2:15" ht="39.75" customHeight="1" x14ac:dyDescent="0.25">
      <c r="B12" s="752"/>
      <c r="C12" s="546" t="s">
        <v>576</v>
      </c>
      <c r="D12" s="749"/>
      <c r="E12" s="285">
        <f t="shared" si="1"/>
        <v>38640</v>
      </c>
      <c r="F12" s="285">
        <f t="shared" si="0"/>
        <v>26400</v>
      </c>
      <c r="G12" s="285">
        <f t="shared" si="0"/>
        <v>32400</v>
      </c>
      <c r="H12" s="285">
        <f t="shared" si="0"/>
        <v>39600</v>
      </c>
      <c r="I12" s="285">
        <f t="shared" si="0"/>
        <v>10800</v>
      </c>
      <c r="K12" s="286">
        <v>32200</v>
      </c>
      <c r="L12" s="287">
        <v>22000</v>
      </c>
      <c r="M12" s="288">
        <v>27000</v>
      </c>
      <c r="N12" s="288">
        <v>33000</v>
      </c>
      <c r="O12" s="288">
        <v>9000</v>
      </c>
    </row>
    <row r="13" spans="2:15" ht="39.75" customHeight="1" x14ac:dyDescent="0.25">
      <c r="B13" s="752"/>
      <c r="C13" s="549" t="s">
        <v>165</v>
      </c>
      <c r="D13" s="749"/>
      <c r="E13" s="285">
        <f t="shared" si="1"/>
        <v>38640</v>
      </c>
      <c r="F13" s="285">
        <f t="shared" si="0"/>
        <v>26400</v>
      </c>
      <c r="G13" s="285">
        <f t="shared" si="0"/>
        <v>32400</v>
      </c>
      <c r="H13" s="285">
        <f t="shared" si="0"/>
        <v>39600</v>
      </c>
      <c r="I13" s="285">
        <f t="shared" si="0"/>
        <v>10800</v>
      </c>
      <c r="K13" s="286">
        <v>32200</v>
      </c>
      <c r="L13" s="287">
        <v>22000</v>
      </c>
      <c r="M13" s="288">
        <v>27000</v>
      </c>
      <c r="N13" s="288">
        <v>33000</v>
      </c>
      <c r="O13" s="288">
        <v>9000</v>
      </c>
    </row>
    <row r="14" spans="2:15" ht="39.75" customHeight="1" x14ac:dyDescent="0.25">
      <c r="B14" s="752"/>
      <c r="C14" s="549" t="s">
        <v>323</v>
      </c>
      <c r="D14" s="749"/>
      <c r="E14" s="285">
        <f t="shared" si="1"/>
        <v>38640</v>
      </c>
      <c r="F14" s="285">
        <f t="shared" si="0"/>
        <v>26400</v>
      </c>
      <c r="G14" s="285">
        <f t="shared" si="0"/>
        <v>32400</v>
      </c>
      <c r="H14" s="285">
        <f t="shared" si="0"/>
        <v>39600</v>
      </c>
      <c r="I14" s="285">
        <f t="shared" si="0"/>
        <v>10800</v>
      </c>
      <c r="K14" s="286">
        <v>32200</v>
      </c>
      <c r="L14" s="287">
        <v>22000</v>
      </c>
      <c r="M14" s="288">
        <v>27000</v>
      </c>
      <c r="N14" s="288">
        <v>33000</v>
      </c>
      <c r="O14" s="288">
        <v>9000</v>
      </c>
    </row>
    <row r="15" spans="2:15" ht="40.5" customHeight="1" x14ac:dyDescent="0.25">
      <c r="B15" s="753"/>
      <c r="C15" s="546" t="s">
        <v>567</v>
      </c>
      <c r="D15" s="750"/>
      <c r="E15" s="285">
        <f t="shared" si="1"/>
        <v>38640</v>
      </c>
      <c r="F15" s="285">
        <f t="shared" si="0"/>
        <v>26400</v>
      </c>
      <c r="G15" s="285">
        <f t="shared" si="0"/>
        <v>32400</v>
      </c>
      <c r="H15" s="285">
        <f t="shared" si="0"/>
        <v>39600</v>
      </c>
      <c r="I15" s="285">
        <f t="shared" si="0"/>
        <v>10800</v>
      </c>
      <c r="K15" s="286">
        <v>32200</v>
      </c>
      <c r="L15" s="287">
        <v>22000</v>
      </c>
      <c r="M15" s="288">
        <v>27000</v>
      </c>
      <c r="N15" s="288">
        <v>33000</v>
      </c>
      <c r="O15" s="288">
        <v>9000</v>
      </c>
    </row>
    <row r="16" spans="2:15" ht="36.75" customHeight="1" x14ac:dyDescent="0.25">
      <c r="B16" s="751" t="s">
        <v>235</v>
      </c>
      <c r="C16" s="546" t="s">
        <v>571</v>
      </c>
      <c r="D16" s="748" t="s">
        <v>236</v>
      </c>
      <c r="E16" s="285">
        <f t="shared" si="1"/>
        <v>38640</v>
      </c>
      <c r="F16" s="285">
        <f t="shared" si="0"/>
        <v>26400</v>
      </c>
      <c r="G16" s="285">
        <f t="shared" si="0"/>
        <v>31200</v>
      </c>
      <c r="H16" s="285">
        <f t="shared" si="0"/>
        <v>36000</v>
      </c>
      <c r="I16" s="285">
        <f t="shared" si="0"/>
        <v>10800</v>
      </c>
      <c r="K16" s="286">
        <v>32200</v>
      </c>
      <c r="L16" s="287">
        <v>22000</v>
      </c>
      <c r="M16" s="288">
        <v>26000</v>
      </c>
      <c r="N16" s="288">
        <v>30000</v>
      </c>
      <c r="O16" s="288">
        <v>9000</v>
      </c>
    </row>
    <row r="17" spans="2:15" ht="36.75" customHeight="1" x14ac:dyDescent="0.25">
      <c r="B17" s="752"/>
      <c r="C17" s="546" t="s">
        <v>577</v>
      </c>
      <c r="D17" s="749"/>
      <c r="E17" s="285">
        <f t="shared" si="1"/>
        <v>38640</v>
      </c>
      <c r="F17" s="285">
        <f t="shared" si="0"/>
        <v>26400</v>
      </c>
      <c r="G17" s="285">
        <f t="shared" si="0"/>
        <v>31200</v>
      </c>
      <c r="H17" s="285">
        <f t="shared" si="0"/>
        <v>36000</v>
      </c>
      <c r="I17" s="285">
        <f t="shared" si="0"/>
        <v>10800</v>
      </c>
      <c r="K17" s="286">
        <v>32200</v>
      </c>
      <c r="L17" s="287">
        <v>22000</v>
      </c>
      <c r="M17" s="288">
        <v>26000</v>
      </c>
      <c r="N17" s="288">
        <v>30000</v>
      </c>
      <c r="O17" s="288">
        <v>9000</v>
      </c>
    </row>
    <row r="18" spans="2:15" ht="36.75" customHeight="1" x14ac:dyDescent="0.25">
      <c r="B18" s="752"/>
      <c r="C18" s="549" t="s">
        <v>322</v>
      </c>
      <c r="D18" s="749"/>
      <c r="E18" s="285">
        <f t="shared" si="1"/>
        <v>38640</v>
      </c>
      <c r="F18" s="285">
        <f t="shared" si="0"/>
        <v>26400</v>
      </c>
      <c r="G18" s="285">
        <f t="shared" si="0"/>
        <v>31200</v>
      </c>
      <c r="H18" s="285">
        <f t="shared" si="0"/>
        <v>36000</v>
      </c>
      <c r="I18" s="285">
        <f t="shared" si="0"/>
        <v>10800</v>
      </c>
      <c r="K18" s="286">
        <v>32200</v>
      </c>
      <c r="L18" s="287">
        <v>22000</v>
      </c>
      <c r="M18" s="288">
        <v>26000</v>
      </c>
      <c r="N18" s="288">
        <v>30000</v>
      </c>
      <c r="O18" s="288">
        <v>9000</v>
      </c>
    </row>
    <row r="19" spans="2:15" ht="36.75" customHeight="1" x14ac:dyDescent="0.25">
      <c r="B19" s="752"/>
      <c r="C19" s="546" t="s">
        <v>581</v>
      </c>
      <c r="D19" s="749"/>
      <c r="E19" s="285">
        <f t="shared" si="1"/>
        <v>38640</v>
      </c>
      <c r="F19" s="285">
        <f t="shared" si="1"/>
        <v>26400</v>
      </c>
      <c r="G19" s="285">
        <f t="shared" si="1"/>
        <v>31200</v>
      </c>
      <c r="H19" s="285">
        <f t="shared" si="1"/>
        <v>36000</v>
      </c>
      <c r="I19" s="285">
        <f t="shared" si="1"/>
        <v>10800</v>
      </c>
      <c r="K19" s="286">
        <v>32200</v>
      </c>
      <c r="L19" s="287">
        <v>22000</v>
      </c>
      <c r="M19" s="288">
        <v>26000</v>
      </c>
      <c r="N19" s="288">
        <v>30000</v>
      </c>
      <c r="O19" s="288">
        <v>9000</v>
      </c>
    </row>
    <row r="20" spans="2:15" ht="36.75" customHeight="1" x14ac:dyDescent="0.25">
      <c r="B20" s="752"/>
      <c r="C20" s="546" t="s">
        <v>580</v>
      </c>
      <c r="D20" s="749"/>
      <c r="E20" s="285">
        <f t="shared" si="1"/>
        <v>38640</v>
      </c>
      <c r="F20" s="285">
        <f t="shared" si="1"/>
        <v>26400</v>
      </c>
      <c r="G20" s="285">
        <f t="shared" si="1"/>
        <v>31200</v>
      </c>
      <c r="H20" s="285">
        <f t="shared" si="1"/>
        <v>36000</v>
      </c>
      <c r="I20" s="285">
        <f t="shared" si="1"/>
        <v>10800</v>
      </c>
      <c r="K20" s="286">
        <v>32200</v>
      </c>
      <c r="L20" s="287">
        <v>22000</v>
      </c>
      <c r="M20" s="288">
        <v>26000</v>
      </c>
      <c r="N20" s="288">
        <v>30000</v>
      </c>
      <c r="O20" s="288">
        <v>9000</v>
      </c>
    </row>
    <row r="21" spans="2:15" ht="36.75" customHeight="1" x14ac:dyDescent="0.25">
      <c r="B21" s="753"/>
      <c r="C21" s="549" t="s">
        <v>166</v>
      </c>
      <c r="D21" s="750"/>
      <c r="E21" s="285">
        <f t="shared" si="1"/>
        <v>38640</v>
      </c>
      <c r="F21" s="285">
        <f t="shared" si="1"/>
        <v>42000</v>
      </c>
      <c r="G21" s="285">
        <f t="shared" si="1"/>
        <v>48000</v>
      </c>
      <c r="H21" s="285">
        <f t="shared" si="1"/>
        <v>54000</v>
      </c>
      <c r="I21" s="285">
        <f t="shared" si="1"/>
        <v>10800</v>
      </c>
      <c r="K21" s="286">
        <v>32200</v>
      </c>
      <c r="L21" s="287">
        <v>35000</v>
      </c>
      <c r="M21" s="288">
        <v>40000</v>
      </c>
      <c r="N21" s="288">
        <v>45000</v>
      </c>
      <c r="O21" s="288">
        <v>9000</v>
      </c>
    </row>
    <row r="22" spans="2:15" ht="36.75" customHeight="1" x14ac:dyDescent="0.25">
      <c r="B22" s="751" t="s">
        <v>237</v>
      </c>
      <c r="C22" s="546" t="s">
        <v>570</v>
      </c>
      <c r="D22" s="748" t="s">
        <v>238</v>
      </c>
      <c r="E22" s="285">
        <f t="shared" si="1"/>
        <v>38640</v>
      </c>
      <c r="F22" s="285">
        <f t="shared" si="1"/>
        <v>16800</v>
      </c>
      <c r="G22" s="285">
        <f t="shared" si="1"/>
        <v>21600</v>
      </c>
      <c r="H22" s="285">
        <f t="shared" si="1"/>
        <v>26400</v>
      </c>
      <c r="I22" s="285">
        <f t="shared" si="1"/>
        <v>10800</v>
      </c>
      <c r="K22" s="286">
        <v>32200</v>
      </c>
      <c r="L22" s="287">
        <v>14000</v>
      </c>
      <c r="M22" s="288">
        <v>18000</v>
      </c>
      <c r="N22" s="288">
        <v>22000</v>
      </c>
      <c r="O22" s="288">
        <v>9000</v>
      </c>
    </row>
    <row r="23" spans="2:15" ht="36.75" customHeight="1" x14ac:dyDescent="0.25">
      <c r="B23" s="752"/>
      <c r="C23" s="547" t="s">
        <v>579</v>
      </c>
      <c r="D23" s="749"/>
      <c r="E23" s="285">
        <f t="shared" si="1"/>
        <v>38640</v>
      </c>
      <c r="F23" s="285">
        <f t="shared" si="1"/>
        <v>16800</v>
      </c>
      <c r="G23" s="285">
        <f t="shared" si="1"/>
        <v>21600</v>
      </c>
      <c r="H23" s="285">
        <f t="shared" si="1"/>
        <v>26400</v>
      </c>
      <c r="I23" s="285">
        <f t="shared" si="1"/>
        <v>10800</v>
      </c>
      <c r="K23" s="286">
        <v>32200</v>
      </c>
      <c r="L23" s="287">
        <v>14000</v>
      </c>
      <c r="M23" s="288">
        <v>18000</v>
      </c>
      <c r="N23" s="288">
        <v>22000</v>
      </c>
      <c r="O23" s="288">
        <v>9000</v>
      </c>
    </row>
    <row r="24" spans="2:15" ht="36.75" customHeight="1" x14ac:dyDescent="0.25">
      <c r="B24" s="752"/>
      <c r="C24" s="548" t="s">
        <v>364</v>
      </c>
      <c r="D24" s="749"/>
      <c r="E24" s="285">
        <f t="shared" si="1"/>
        <v>38640</v>
      </c>
      <c r="F24" s="285">
        <f t="shared" si="1"/>
        <v>16800</v>
      </c>
      <c r="G24" s="285">
        <f t="shared" si="1"/>
        <v>21600</v>
      </c>
      <c r="H24" s="285">
        <f t="shared" si="1"/>
        <v>26400</v>
      </c>
      <c r="I24" s="285">
        <f t="shared" si="1"/>
        <v>10800</v>
      </c>
      <c r="K24" s="286">
        <v>32200</v>
      </c>
      <c r="L24" s="287">
        <v>14000</v>
      </c>
      <c r="M24" s="288">
        <v>18000</v>
      </c>
      <c r="N24" s="288">
        <v>22000</v>
      </c>
      <c r="O24" s="288">
        <v>9000</v>
      </c>
    </row>
    <row r="25" spans="2:15" ht="36.75" customHeight="1" x14ac:dyDescent="0.25">
      <c r="B25" s="752"/>
      <c r="C25" s="548" t="s">
        <v>325</v>
      </c>
      <c r="D25" s="749"/>
      <c r="E25" s="285">
        <f t="shared" si="1"/>
        <v>38640</v>
      </c>
      <c r="F25" s="285">
        <f t="shared" si="1"/>
        <v>16800</v>
      </c>
      <c r="G25" s="285">
        <f t="shared" si="1"/>
        <v>21600</v>
      </c>
      <c r="H25" s="285">
        <f t="shared" si="1"/>
        <v>26400</v>
      </c>
      <c r="I25" s="285">
        <f t="shared" si="1"/>
        <v>10800</v>
      </c>
      <c r="K25" s="286">
        <v>32200</v>
      </c>
      <c r="L25" s="287">
        <v>14000</v>
      </c>
      <c r="M25" s="288">
        <v>18000</v>
      </c>
      <c r="N25" s="288">
        <v>22000</v>
      </c>
      <c r="O25" s="288">
        <v>9000</v>
      </c>
    </row>
    <row r="26" spans="2:15" ht="36.75" customHeight="1" x14ac:dyDescent="0.25">
      <c r="B26" s="752"/>
      <c r="C26" s="549" t="s">
        <v>90</v>
      </c>
      <c r="D26" s="749"/>
      <c r="E26" s="285">
        <f t="shared" si="1"/>
        <v>38640</v>
      </c>
      <c r="F26" s="285">
        <f t="shared" si="1"/>
        <v>16800</v>
      </c>
      <c r="G26" s="285">
        <f t="shared" si="1"/>
        <v>21600</v>
      </c>
      <c r="H26" s="285">
        <f t="shared" si="1"/>
        <v>26400</v>
      </c>
      <c r="I26" s="285">
        <f t="shared" si="1"/>
        <v>10800</v>
      </c>
      <c r="K26" s="286">
        <v>32200</v>
      </c>
      <c r="L26" s="287">
        <v>14000</v>
      </c>
      <c r="M26" s="288">
        <v>18000</v>
      </c>
      <c r="N26" s="288">
        <v>22000</v>
      </c>
      <c r="O26" s="288">
        <v>9000</v>
      </c>
    </row>
    <row r="27" spans="2:15" ht="36.75" customHeight="1" x14ac:dyDescent="0.25">
      <c r="B27" s="752"/>
      <c r="C27" s="549" t="s">
        <v>92</v>
      </c>
      <c r="D27" s="749"/>
      <c r="E27" s="285">
        <f t="shared" si="1"/>
        <v>38640</v>
      </c>
      <c r="F27" s="285">
        <f t="shared" si="1"/>
        <v>16800</v>
      </c>
      <c r="G27" s="285">
        <f t="shared" si="1"/>
        <v>21600</v>
      </c>
      <c r="H27" s="285">
        <f t="shared" si="1"/>
        <v>26400</v>
      </c>
      <c r="I27" s="285">
        <f t="shared" si="1"/>
        <v>10800</v>
      </c>
      <c r="K27" s="286">
        <v>32200</v>
      </c>
      <c r="L27" s="287">
        <v>14000</v>
      </c>
      <c r="M27" s="288">
        <v>18000</v>
      </c>
      <c r="N27" s="288">
        <v>22000</v>
      </c>
      <c r="O27" s="288">
        <v>9000</v>
      </c>
    </row>
    <row r="28" spans="2:15" ht="36.75" customHeight="1" x14ac:dyDescent="0.25">
      <c r="B28" s="752"/>
      <c r="C28" s="549" t="s">
        <v>305</v>
      </c>
      <c r="D28" s="749"/>
      <c r="E28" s="285">
        <f t="shared" si="1"/>
        <v>38640</v>
      </c>
      <c r="F28" s="285">
        <f t="shared" si="1"/>
        <v>16800</v>
      </c>
      <c r="G28" s="285">
        <f t="shared" si="1"/>
        <v>21600</v>
      </c>
      <c r="H28" s="285">
        <f t="shared" si="1"/>
        <v>26400</v>
      </c>
      <c r="I28" s="285">
        <f t="shared" si="1"/>
        <v>10800</v>
      </c>
      <c r="K28" s="286">
        <v>32200</v>
      </c>
      <c r="L28" s="287">
        <v>14000</v>
      </c>
      <c r="M28" s="288">
        <v>18000</v>
      </c>
      <c r="N28" s="288">
        <v>22000</v>
      </c>
      <c r="O28" s="288">
        <v>9000</v>
      </c>
    </row>
    <row r="29" spans="2:15" ht="36.75" customHeight="1" x14ac:dyDescent="0.25">
      <c r="B29" s="753"/>
      <c r="C29" s="549" t="s">
        <v>167</v>
      </c>
      <c r="D29" s="750"/>
      <c r="E29" s="285">
        <f t="shared" si="1"/>
        <v>38640</v>
      </c>
      <c r="F29" s="285">
        <f t="shared" si="1"/>
        <v>16800</v>
      </c>
      <c r="G29" s="285">
        <f t="shared" si="1"/>
        <v>21600</v>
      </c>
      <c r="H29" s="285">
        <f t="shared" si="1"/>
        <v>26400</v>
      </c>
      <c r="I29" s="285">
        <f t="shared" si="1"/>
        <v>10800</v>
      </c>
      <c r="K29" s="286">
        <v>32200</v>
      </c>
      <c r="L29" s="287">
        <v>14000</v>
      </c>
      <c r="M29" s="288">
        <v>18000</v>
      </c>
      <c r="N29" s="288">
        <v>22000</v>
      </c>
      <c r="O29" s="288">
        <v>9000</v>
      </c>
    </row>
    <row r="30" spans="2:15" ht="36.75" customHeight="1" x14ac:dyDescent="0.25">
      <c r="B30" s="281" t="s">
        <v>240</v>
      </c>
      <c r="C30" s="549" t="s">
        <v>55</v>
      </c>
      <c r="D30" s="289" t="s">
        <v>241</v>
      </c>
      <c r="E30" s="285">
        <f t="shared" si="1"/>
        <v>38640</v>
      </c>
      <c r="F30" s="285"/>
      <c r="G30" s="285"/>
      <c r="H30" s="285"/>
      <c r="I30" s="285"/>
      <c r="K30" s="286">
        <v>32200</v>
      </c>
    </row>
    <row r="31" spans="2:15" ht="36.75" customHeight="1" x14ac:dyDescent="0.25">
      <c r="B31" s="751" t="s">
        <v>242</v>
      </c>
      <c r="C31" s="546" t="s">
        <v>568</v>
      </c>
      <c r="D31" s="748" t="s">
        <v>234</v>
      </c>
      <c r="E31" s="285">
        <f t="shared" si="1"/>
        <v>38640</v>
      </c>
      <c r="F31" s="285">
        <f t="shared" si="1"/>
        <v>55200</v>
      </c>
      <c r="G31" s="285">
        <f t="shared" si="1"/>
        <v>69600</v>
      </c>
      <c r="H31" s="285">
        <f t="shared" si="1"/>
        <v>84000</v>
      </c>
      <c r="I31" s="285">
        <f t="shared" si="1"/>
        <v>31200</v>
      </c>
      <c r="K31" s="286">
        <v>32200</v>
      </c>
      <c r="L31" s="287">
        <v>46000</v>
      </c>
      <c r="M31" s="288">
        <v>58000</v>
      </c>
      <c r="N31" s="288">
        <v>70000</v>
      </c>
      <c r="O31" s="288">
        <v>26000</v>
      </c>
    </row>
    <row r="32" spans="2:15" ht="36.75" customHeight="1" x14ac:dyDescent="0.25">
      <c r="B32" s="752"/>
      <c r="C32" s="546" t="s">
        <v>584</v>
      </c>
      <c r="D32" s="749"/>
      <c r="E32" s="285">
        <f t="shared" ref="E32:I57" si="2">+K32+(K32*$E$1)</f>
        <v>38640</v>
      </c>
      <c r="F32" s="285">
        <f t="shared" si="2"/>
        <v>55200</v>
      </c>
      <c r="G32" s="285">
        <f t="shared" si="2"/>
        <v>69600</v>
      </c>
      <c r="H32" s="285">
        <f t="shared" si="2"/>
        <v>84000</v>
      </c>
      <c r="I32" s="285">
        <f t="shared" si="2"/>
        <v>31200</v>
      </c>
      <c r="K32" s="286">
        <v>32200</v>
      </c>
      <c r="L32" s="287">
        <v>46000</v>
      </c>
      <c r="M32" s="288">
        <v>58000</v>
      </c>
      <c r="N32" s="288">
        <v>70000</v>
      </c>
      <c r="O32" s="288">
        <v>26000</v>
      </c>
    </row>
    <row r="33" spans="2:15" ht="50.25" customHeight="1" x14ac:dyDescent="0.25">
      <c r="B33" s="752"/>
      <c r="C33" s="546" t="s">
        <v>583</v>
      </c>
      <c r="D33" s="749"/>
      <c r="E33" s="285">
        <f t="shared" si="2"/>
        <v>38640</v>
      </c>
      <c r="F33" s="285">
        <f t="shared" si="2"/>
        <v>55200</v>
      </c>
      <c r="G33" s="285">
        <f t="shared" si="2"/>
        <v>69600</v>
      </c>
      <c r="H33" s="285">
        <f t="shared" si="2"/>
        <v>84000</v>
      </c>
      <c r="I33" s="285">
        <f t="shared" si="2"/>
        <v>31200</v>
      </c>
      <c r="K33" s="286">
        <v>32200</v>
      </c>
      <c r="L33" s="287">
        <v>46000</v>
      </c>
      <c r="M33" s="288">
        <v>58000</v>
      </c>
      <c r="N33" s="288">
        <v>70000</v>
      </c>
      <c r="O33" s="288">
        <v>26000</v>
      </c>
    </row>
    <row r="34" spans="2:15" ht="50.25" customHeight="1" x14ac:dyDescent="0.25">
      <c r="B34" s="752"/>
      <c r="C34" s="549" t="s">
        <v>324</v>
      </c>
      <c r="D34" s="749"/>
      <c r="E34" s="285">
        <f t="shared" si="2"/>
        <v>38640</v>
      </c>
      <c r="F34" s="285">
        <f t="shared" si="2"/>
        <v>60000</v>
      </c>
      <c r="G34" s="285">
        <f t="shared" si="2"/>
        <v>78000</v>
      </c>
      <c r="H34" s="285">
        <f t="shared" si="2"/>
        <v>96000</v>
      </c>
      <c r="I34" s="285">
        <f t="shared" si="2"/>
        <v>31200</v>
      </c>
      <c r="K34" s="286">
        <v>32200</v>
      </c>
      <c r="L34" s="287">
        <v>50000</v>
      </c>
      <c r="M34" s="288">
        <v>65000</v>
      </c>
      <c r="N34" s="288">
        <v>80000</v>
      </c>
      <c r="O34" s="288">
        <v>26000</v>
      </c>
    </row>
    <row r="35" spans="2:15" ht="36.75" customHeight="1" x14ac:dyDescent="0.25">
      <c r="B35" s="753"/>
      <c r="C35" s="546" t="s">
        <v>569</v>
      </c>
      <c r="D35" s="750"/>
      <c r="E35" s="285">
        <f t="shared" si="2"/>
        <v>38640</v>
      </c>
      <c r="F35" s="285">
        <f t="shared" si="2"/>
        <v>60000</v>
      </c>
      <c r="G35" s="285">
        <f t="shared" si="2"/>
        <v>78000</v>
      </c>
      <c r="H35" s="285">
        <f t="shared" si="2"/>
        <v>96000</v>
      </c>
      <c r="I35" s="285">
        <f t="shared" si="2"/>
        <v>31200</v>
      </c>
      <c r="K35" s="286">
        <v>32200</v>
      </c>
      <c r="L35" s="287">
        <v>50000</v>
      </c>
      <c r="M35" s="288">
        <v>65000</v>
      </c>
      <c r="N35" s="288">
        <v>80000</v>
      </c>
      <c r="O35" s="288">
        <v>26000</v>
      </c>
    </row>
    <row r="36" spans="2:15" ht="36.75" customHeight="1" x14ac:dyDescent="0.25">
      <c r="B36" s="751" t="s">
        <v>243</v>
      </c>
      <c r="C36" s="546" t="s">
        <v>572</v>
      </c>
      <c r="D36" s="748" t="s">
        <v>244</v>
      </c>
      <c r="E36" s="285">
        <f t="shared" si="2"/>
        <v>38640</v>
      </c>
      <c r="F36" s="285">
        <f t="shared" si="2"/>
        <v>72000</v>
      </c>
      <c r="G36" s="285">
        <f t="shared" si="2"/>
        <v>114000</v>
      </c>
      <c r="H36" s="285">
        <f t="shared" si="2"/>
        <v>150000</v>
      </c>
      <c r="I36" s="285">
        <f t="shared" si="2"/>
        <v>10800</v>
      </c>
      <c r="K36" s="286">
        <v>32200</v>
      </c>
      <c r="L36" s="287">
        <v>60000</v>
      </c>
      <c r="M36" s="288">
        <v>95000</v>
      </c>
      <c r="N36" s="288">
        <v>125000</v>
      </c>
      <c r="O36" s="288">
        <v>9000</v>
      </c>
    </row>
    <row r="37" spans="2:15" ht="36.75" customHeight="1" x14ac:dyDescent="0.25">
      <c r="B37" s="752"/>
      <c r="C37" s="546" t="s">
        <v>578</v>
      </c>
      <c r="D37" s="749"/>
      <c r="E37" s="285">
        <f t="shared" si="2"/>
        <v>38640</v>
      </c>
      <c r="F37" s="285">
        <f t="shared" si="2"/>
        <v>72000</v>
      </c>
      <c r="G37" s="285">
        <f t="shared" si="2"/>
        <v>114000</v>
      </c>
      <c r="H37" s="285">
        <f t="shared" si="2"/>
        <v>150000</v>
      </c>
      <c r="I37" s="285">
        <f t="shared" si="2"/>
        <v>10800</v>
      </c>
      <c r="K37" s="286">
        <v>32200</v>
      </c>
      <c r="L37" s="287">
        <v>60000</v>
      </c>
      <c r="M37" s="288">
        <v>95000</v>
      </c>
      <c r="N37" s="288">
        <v>125000</v>
      </c>
      <c r="O37" s="288">
        <v>9000</v>
      </c>
    </row>
    <row r="38" spans="2:15" ht="36.75" customHeight="1" x14ac:dyDescent="0.25">
      <c r="B38" s="752"/>
      <c r="C38" s="546" t="s">
        <v>582</v>
      </c>
      <c r="D38" s="749"/>
      <c r="E38" s="285">
        <f t="shared" si="2"/>
        <v>38640</v>
      </c>
      <c r="F38" s="285">
        <f t="shared" si="2"/>
        <v>60000</v>
      </c>
      <c r="G38" s="285">
        <f t="shared" si="2"/>
        <v>105600</v>
      </c>
      <c r="H38" s="285">
        <f t="shared" si="2"/>
        <v>117600</v>
      </c>
      <c r="I38" s="285">
        <f t="shared" si="2"/>
        <v>10800</v>
      </c>
      <c r="K38" s="286">
        <v>32200</v>
      </c>
      <c r="L38" s="287">
        <v>50000</v>
      </c>
      <c r="M38" s="288">
        <v>88000</v>
      </c>
      <c r="N38" s="288">
        <v>98000</v>
      </c>
      <c r="O38" s="288">
        <v>9000</v>
      </c>
    </row>
    <row r="39" spans="2:15" ht="36.75" customHeight="1" x14ac:dyDescent="0.25">
      <c r="B39" s="752"/>
      <c r="C39" s="549" t="s">
        <v>373</v>
      </c>
      <c r="D39" s="749"/>
      <c r="E39" s="285">
        <f t="shared" si="2"/>
        <v>38640</v>
      </c>
      <c r="F39" s="285">
        <f t="shared" si="2"/>
        <v>60000</v>
      </c>
      <c r="G39" s="285">
        <f t="shared" si="2"/>
        <v>105600</v>
      </c>
      <c r="H39" s="285">
        <f t="shared" si="2"/>
        <v>117600</v>
      </c>
      <c r="I39" s="285">
        <f t="shared" si="2"/>
        <v>10800</v>
      </c>
      <c r="K39" s="286">
        <v>32200</v>
      </c>
      <c r="L39" s="287">
        <v>50000</v>
      </c>
      <c r="M39" s="288">
        <v>88000</v>
      </c>
      <c r="N39" s="288">
        <v>98000</v>
      </c>
      <c r="O39" s="288">
        <v>9000</v>
      </c>
    </row>
    <row r="40" spans="2:15" ht="36.75" customHeight="1" x14ac:dyDescent="0.25">
      <c r="B40" s="753"/>
      <c r="C40" s="549" t="s">
        <v>228</v>
      </c>
      <c r="D40" s="750"/>
      <c r="E40" s="285">
        <f t="shared" si="2"/>
        <v>38640</v>
      </c>
      <c r="F40" s="285">
        <f t="shared" si="2"/>
        <v>60000</v>
      </c>
      <c r="G40" s="285">
        <f t="shared" si="2"/>
        <v>105600</v>
      </c>
      <c r="H40" s="285">
        <f t="shared" si="2"/>
        <v>117600</v>
      </c>
      <c r="I40" s="285">
        <f t="shared" si="2"/>
        <v>10800</v>
      </c>
      <c r="K40" s="286">
        <v>32200</v>
      </c>
      <c r="L40" s="287">
        <v>50000</v>
      </c>
      <c r="M40" s="288">
        <v>88000</v>
      </c>
      <c r="N40" s="288">
        <v>98000</v>
      </c>
      <c r="O40" s="288">
        <v>9000</v>
      </c>
    </row>
    <row r="41" spans="2:15" ht="36.75" customHeight="1" x14ac:dyDescent="0.25">
      <c r="B41" s="751" t="s">
        <v>245</v>
      </c>
      <c r="C41" s="549" t="s">
        <v>432</v>
      </c>
      <c r="D41" s="748" t="s">
        <v>246</v>
      </c>
      <c r="E41" s="285">
        <f t="shared" si="2"/>
        <v>45540</v>
      </c>
      <c r="F41" s="288"/>
      <c r="K41" s="287">
        <v>37950</v>
      </c>
    </row>
    <row r="42" spans="2:15" ht="36.75" customHeight="1" x14ac:dyDescent="0.25">
      <c r="B42" s="752"/>
      <c r="C42" s="549" t="s">
        <v>433</v>
      </c>
      <c r="D42" s="749"/>
      <c r="E42" s="285">
        <f t="shared" si="2"/>
        <v>45540</v>
      </c>
      <c r="F42" s="288"/>
      <c r="K42" s="287">
        <v>37950</v>
      </c>
    </row>
    <row r="43" spans="2:15" ht="36.75" customHeight="1" x14ac:dyDescent="0.25">
      <c r="B43" s="752"/>
      <c r="C43" s="549" t="s">
        <v>434</v>
      </c>
      <c r="D43" s="749"/>
      <c r="E43" s="285">
        <f t="shared" si="2"/>
        <v>45540</v>
      </c>
      <c r="F43" s="288"/>
      <c r="K43" s="287">
        <v>37950</v>
      </c>
    </row>
    <row r="44" spans="2:15" ht="36.75" customHeight="1" x14ac:dyDescent="0.25">
      <c r="B44" s="752"/>
      <c r="C44" s="549" t="s">
        <v>435</v>
      </c>
      <c r="D44" s="749"/>
      <c r="E44" s="285">
        <f t="shared" si="2"/>
        <v>45540</v>
      </c>
      <c r="F44" s="288"/>
      <c r="K44" s="287">
        <v>37950</v>
      </c>
    </row>
    <row r="45" spans="2:15" ht="36.75" customHeight="1" x14ac:dyDescent="0.25">
      <c r="B45" s="752"/>
      <c r="C45" s="549" t="s">
        <v>436</v>
      </c>
      <c r="D45" s="749"/>
      <c r="E45" s="285">
        <f t="shared" si="2"/>
        <v>45540</v>
      </c>
      <c r="F45" s="288"/>
      <c r="K45" s="287">
        <v>37950</v>
      </c>
    </row>
    <row r="46" spans="2:15" ht="36.75" customHeight="1" x14ac:dyDescent="0.25">
      <c r="B46" s="752"/>
      <c r="C46" s="549" t="s">
        <v>437</v>
      </c>
      <c r="D46" s="749"/>
      <c r="E46" s="285">
        <f t="shared" si="2"/>
        <v>45540</v>
      </c>
      <c r="F46" s="288"/>
      <c r="K46" s="287">
        <v>37950</v>
      </c>
    </row>
    <row r="47" spans="2:15" ht="36.75" customHeight="1" x14ac:dyDescent="0.25">
      <c r="B47" s="752"/>
      <c r="C47" s="549" t="s">
        <v>438</v>
      </c>
      <c r="D47" s="749"/>
      <c r="E47" s="285">
        <f t="shared" si="2"/>
        <v>51060</v>
      </c>
      <c r="F47" s="288"/>
      <c r="K47" s="287">
        <v>42550</v>
      </c>
    </row>
    <row r="48" spans="2:15" ht="36.75" customHeight="1" x14ac:dyDescent="0.25">
      <c r="B48" s="752"/>
      <c r="C48" s="549" t="s">
        <v>439</v>
      </c>
      <c r="D48" s="749"/>
      <c r="E48" s="285">
        <f t="shared" si="2"/>
        <v>51060</v>
      </c>
      <c r="F48" s="288"/>
      <c r="K48" s="287">
        <v>42550</v>
      </c>
    </row>
    <row r="49" spans="2:12" ht="36.75" customHeight="1" x14ac:dyDescent="0.25">
      <c r="B49" s="752"/>
      <c r="C49" s="546" t="s">
        <v>513</v>
      </c>
      <c r="D49" s="749"/>
      <c r="E49" s="285">
        <f t="shared" ref="E49:E50" si="3">+K49+(K49*$E$1)</f>
        <v>45540</v>
      </c>
      <c r="F49" s="288"/>
      <c r="K49" s="287">
        <v>37950</v>
      </c>
    </row>
    <row r="50" spans="2:12" ht="36.75" customHeight="1" x14ac:dyDescent="0.25">
      <c r="B50" s="753"/>
      <c r="C50" s="546" t="s">
        <v>514</v>
      </c>
      <c r="D50" s="750"/>
      <c r="E50" s="285">
        <f t="shared" si="3"/>
        <v>45540</v>
      </c>
      <c r="F50" s="288"/>
      <c r="K50" s="287">
        <v>37950</v>
      </c>
    </row>
    <row r="51" spans="2:12" ht="36.75" customHeight="1" x14ac:dyDescent="0.25">
      <c r="B51" s="751" t="s">
        <v>247</v>
      </c>
      <c r="C51" s="549" t="s">
        <v>197</v>
      </c>
      <c r="D51" s="748" t="s">
        <v>248</v>
      </c>
      <c r="E51" s="285">
        <f t="shared" si="2"/>
        <v>45540</v>
      </c>
      <c r="F51" s="288"/>
      <c r="K51" s="287">
        <v>37950</v>
      </c>
    </row>
    <row r="52" spans="2:12" ht="36.75" customHeight="1" x14ac:dyDescent="0.25">
      <c r="B52" s="752"/>
      <c r="C52" s="549" t="s">
        <v>200</v>
      </c>
      <c r="D52" s="749"/>
      <c r="E52" s="285">
        <f t="shared" si="2"/>
        <v>45540</v>
      </c>
      <c r="F52" s="288"/>
      <c r="K52" s="287">
        <v>37950</v>
      </c>
    </row>
    <row r="53" spans="2:12" ht="36.75" customHeight="1" x14ac:dyDescent="0.25">
      <c r="B53" s="752"/>
      <c r="C53" s="549" t="s">
        <v>201</v>
      </c>
      <c r="D53" s="749"/>
      <c r="E53" s="285">
        <f t="shared" si="2"/>
        <v>45540</v>
      </c>
      <c r="F53" s="288"/>
      <c r="K53" s="287">
        <v>37950</v>
      </c>
    </row>
    <row r="54" spans="2:12" ht="36.75" customHeight="1" x14ac:dyDescent="0.25">
      <c r="B54" s="752"/>
      <c r="C54" s="549" t="s">
        <v>301</v>
      </c>
      <c r="D54" s="749"/>
      <c r="E54" s="285">
        <f t="shared" si="2"/>
        <v>45540</v>
      </c>
      <c r="F54" s="288"/>
      <c r="K54" s="287">
        <v>37950</v>
      </c>
    </row>
    <row r="55" spans="2:12" ht="36.75" customHeight="1" x14ac:dyDescent="0.25">
      <c r="B55" s="752"/>
      <c r="C55" s="549" t="s">
        <v>303</v>
      </c>
      <c r="D55" s="749"/>
      <c r="E55" s="285">
        <f t="shared" si="2"/>
        <v>45540</v>
      </c>
      <c r="F55" s="288"/>
      <c r="K55" s="287">
        <v>37950</v>
      </c>
    </row>
    <row r="56" spans="2:12" ht="36.75" customHeight="1" x14ac:dyDescent="0.25">
      <c r="B56" s="752"/>
      <c r="C56" s="549" t="s">
        <v>302</v>
      </c>
      <c r="D56" s="749"/>
      <c r="E56" s="285">
        <f t="shared" si="2"/>
        <v>45540</v>
      </c>
      <c r="F56" s="288"/>
      <c r="K56" s="287">
        <v>37950</v>
      </c>
    </row>
    <row r="57" spans="2:12" ht="36.75" customHeight="1" x14ac:dyDescent="0.25">
      <c r="B57" s="753"/>
      <c r="C57" s="549" t="s">
        <v>202</v>
      </c>
      <c r="D57" s="750"/>
      <c r="E57" s="285">
        <f t="shared" si="2"/>
        <v>45540</v>
      </c>
      <c r="F57" s="288"/>
      <c r="K57" s="287">
        <v>37950</v>
      </c>
    </row>
    <row r="58" spans="2:12" ht="36.75" customHeight="1" x14ac:dyDescent="0.25">
      <c r="B58" s="290"/>
      <c r="C58" s="549"/>
      <c r="D58" s="291"/>
      <c r="E58" s="285"/>
      <c r="F58" s="288" t="s">
        <v>257</v>
      </c>
      <c r="L58" s="287" t="s">
        <v>257</v>
      </c>
    </row>
    <row r="59" spans="2:12" ht="50.1" customHeight="1" x14ac:dyDescent="0.25">
      <c r="B59" s="751" t="s">
        <v>249</v>
      </c>
      <c r="C59" s="549" t="s">
        <v>123</v>
      </c>
      <c r="D59" s="289" t="s">
        <v>251</v>
      </c>
      <c r="E59" s="285">
        <f>+K59+(K59*$E$1)</f>
        <v>50646</v>
      </c>
      <c r="F59" s="285">
        <f>+L59+(L59*$E$1)</f>
        <v>14400</v>
      </c>
      <c r="K59" s="287">
        <v>42205</v>
      </c>
      <c r="L59" s="287">
        <v>12000</v>
      </c>
    </row>
    <row r="60" spans="2:12" ht="50.1" customHeight="1" x14ac:dyDescent="0.25">
      <c r="B60" s="752"/>
      <c r="C60" s="549" t="s">
        <v>448</v>
      </c>
      <c r="D60" s="289" t="s">
        <v>251</v>
      </c>
      <c r="E60" s="285">
        <f t="shared" ref="E60:F65" si="4">+K60+(K60*$E$1)</f>
        <v>50646</v>
      </c>
      <c r="F60" s="285">
        <f t="shared" si="4"/>
        <v>14400</v>
      </c>
      <c r="K60" s="287">
        <v>42205</v>
      </c>
      <c r="L60" s="287">
        <v>12000</v>
      </c>
    </row>
    <row r="61" spans="2:12" ht="50.1" customHeight="1" x14ac:dyDescent="0.25">
      <c r="B61" s="752"/>
      <c r="C61" s="549" t="s">
        <v>81</v>
      </c>
      <c r="D61" s="289" t="s">
        <v>250</v>
      </c>
      <c r="E61" s="285">
        <f t="shared" si="4"/>
        <v>50646</v>
      </c>
      <c r="F61" s="285">
        <f t="shared" si="4"/>
        <v>36000</v>
      </c>
      <c r="K61" s="287">
        <v>42205</v>
      </c>
      <c r="L61" s="287">
        <v>30000</v>
      </c>
    </row>
    <row r="62" spans="2:12" ht="50.1" customHeight="1" x14ac:dyDescent="0.25">
      <c r="B62" s="752"/>
      <c r="C62" s="549" t="s">
        <v>82</v>
      </c>
      <c r="D62" s="289" t="s">
        <v>250</v>
      </c>
      <c r="E62" s="285">
        <f t="shared" si="4"/>
        <v>50646</v>
      </c>
      <c r="F62" s="285">
        <f t="shared" si="4"/>
        <v>36000</v>
      </c>
      <c r="K62" s="287">
        <v>42205</v>
      </c>
      <c r="L62" s="287">
        <v>30000</v>
      </c>
    </row>
    <row r="63" spans="2:12" ht="50.1" customHeight="1" x14ac:dyDescent="0.25">
      <c r="B63" s="752"/>
      <c r="C63" s="549" t="s">
        <v>226</v>
      </c>
      <c r="D63" s="289" t="s">
        <v>250</v>
      </c>
      <c r="E63" s="285">
        <f t="shared" si="4"/>
        <v>50646</v>
      </c>
      <c r="F63" s="285">
        <f t="shared" si="4"/>
        <v>14400</v>
      </c>
      <c r="K63" s="287">
        <v>42205</v>
      </c>
      <c r="L63" s="287">
        <v>12000</v>
      </c>
    </row>
    <row r="64" spans="2:12" ht="50.1" customHeight="1" x14ac:dyDescent="0.25">
      <c r="B64" s="752"/>
      <c r="C64" s="549" t="s">
        <v>431</v>
      </c>
      <c r="E64" s="285">
        <f t="shared" si="4"/>
        <v>45540</v>
      </c>
      <c r="F64" s="285">
        <f t="shared" ref="F64" si="5">+L64+(L64*3.5%)</f>
        <v>0</v>
      </c>
      <c r="K64" s="287">
        <v>37950</v>
      </c>
    </row>
    <row r="65" spans="2:12" ht="50.1" customHeight="1" x14ac:dyDescent="0.25">
      <c r="B65" s="753"/>
      <c r="C65" s="549" t="s">
        <v>227</v>
      </c>
      <c r="D65" s="289" t="s">
        <v>250</v>
      </c>
      <c r="E65" s="285">
        <f t="shared" si="4"/>
        <v>50646</v>
      </c>
      <c r="F65" s="285">
        <f t="shared" si="4"/>
        <v>14400</v>
      </c>
      <c r="K65" s="287">
        <v>42205</v>
      </c>
      <c r="L65" s="287">
        <v>12000</v>
      </c>
    </row>
    <row r="66" spans="2:12" ht="36.75" customHeight="1" x14ac:dyDescent="0.25">
      <c r="C66"/>
      <c r="E66" s="288"/>
      <c r="F66" s="288"/>
    </row>
    <row r="67" spans="2:12" ht="36.75" customHeight="1" x14ac:dyDescent="0.25">
      <c r="C67"/>
      <c r="E67" s="288"/>
      <c r="F67" s="288"/>
    </row>
    <row r="68" spans="2:12" ht="36.75" customHeight="1" x14ac:dyDescent="0.25">
      <c r="C68"/>
      <c r="E68" s="288"/>
      <c r="F68" s="288"/>
    </row>
    <row r="69" spans="2:12" ht="36.75" customHeight="1" x14ac:dyDescent="0.25">
      <c r="C69"/>
      <c r="E69" s="288"/>
      <c r="F69" s="288"/>
    </row>
    <row r="70" spans="2:12" ht="36.75" customHeight="1" x14ac:dyDescent="0.25">
      <c r="C70"/>
      <c r="E70" s="288"/>
      <c r="F70" s="288"/>
    </row>
    <row r="71" spans="2:12" ht="36.75" customHeight="1" x14ac:dyDescent="0.25">
      <c r="C71"/>
      <c r="E71" s="288"/>
      <c r="F71" s="288"/>
    </row>
    <row r="72" spans="2:12" ht="36.75" customHeight="1" x14ac:dyDescent="0.25">
      <c r="C72"/>
      <c r="E72" s="288"/>
      <c r="F72" s="288"/>
    </row>
    <row r="73" spans="2:12" ht="36.75" customHeight="1" x14ac:dyDescent="0.25">
      <c r="C73"/>
      <c r="E73" s="288"/>
      <c r="F73" s="288"/>
    </row>
    <row r="74" spans="2:12" ht="36.75" customHeight="1" x14ac:dyDescent="0.25">
      <c r="C74"/>
      <c r="E74" s="288"/>
      <c r="F74" s="288"/>
    </row>
    <row r="75" spans="2:12" ht="36.75" customHeight="1" x14ac:dyDescent="0.25">
      <c r="C75"/>
      <c r="E75" s="288"/>
      <c r="F75" s="288"/>
    </row>
    <row r="76" spans="2:12" ht="36.75" customHeight="1" x14ac:dyDescent="0.25">
      <c r="C76"/>
      <c r="E76" s="288"/>
      <c r="F76" s="288"/>
    </row>
    <row r="77" spans="2:12" ht="36.75" customHeight="1" x14ac:dyDescent="0.25">
      <c r="C77"/>
      <c r="E77" s="288"/>
      <c r="F77" s="288"/>
    </row>
    <row r="78" spans="2:12" ht="36.75" customHeight="1" x14ac:dyDescent="0.25">
      <c r="C78"/>
      <c r="E78" s="288"/>
      <c r="F78" s="288"/>
    </row>
    <row r="79" spans="2:12" ht="36.75" customHeight="1" x14ac:dyDescent="0.25">
      <c r="C79"/>
      <c r="E79" s="288"/>
      <c r="F79" s="288"/>
    </row>
    <row r="80" spans="2:12" ht="36.75" customHeight="1" x14ac:dyDescent="0.25">
      <c r="C80"/>
      <c r="E80" s="288"/>
      <c r="F80" s="288"/>
    </row>
    <row r="81" spans="5:6" ht="36.75" customHeight="1" x14ac:dyDescent="0.25">
      <c r="E81" s="288"/>
      <c r="F81" s="288"/>
    </row>
    <row r="82" spans="5:6" ht="36.75" customHeight="1" x14ac:dyDescent="0.25">
      <c r="E82" s="288"/>
      <c r="F82" s="288"/>
    </row>
    <row r="83" spans="5:6" ht="36.75" customHeight="1" x14ac:dyDescent="0.25">
      <c r="E83" s="288"/>
      <c r="F83" s="288"/>
    </row>
    <row r="84" spans="5:6" ht="36.75" customHeight="1" x14ac:dyDescent="0.25">
      <c r="E84" s="288"/>
      <c r="F84" s="288"/>
    </row>
    <row r="85" spans="5:6" ht="36.75" customHeight="1" x14ac:dyDescent="0.25">
      <c r="E85" s="288"/>
      <c r="F85" s="288"/>
    </row>
    <row r="86" spans="5:6" ht="36.75" customHeight="1" x14ac:dyDescent="0.25">
      <c r="E86" s="288"/>
      <c r="F86" s="288"/>
    </row>
    <row r="87" spans="5:6" ht="36.75" customHeight="1" x14ac:dyDescent="0.25">
      <c r="E87" s="288"/>
      <c r="F87" s="288"/>
    </row>
    <row r="88" spans="5:6" ht="36.75" customHeight="1" x14ac:dyDescent="0.25">
      <c r="E88" s="288"/>
      <c r="F88" s="288"/>
    </row>
    <row r="89" spans="5:6" ht="36.75" customHeight="1" x14ac:dyDescent="0.25">
      <c r="E89" s="288"/>
      <c r="F89" s="288"/>
    </row>
    <row r="90" spans="5:6" ht="36.75" customHeight="1" x14ac:dyDescent="0.25">
      <c r="E90" s="288"/>
      <c r="F90" s="288"/>
    </row>
    <row r="91" spans="5:6" ht="36.75" customHeight="1" x14ac:dyDescent="0.25">
      <c r="E91" s="288"/>
      <c r="F91" s="288"/>
    </row>
    <row r="92" spans="5:6" ht="36.75" customHeight="1" x14ac:dyDescent="0.25">
      <c r="E92" s="288"/>
      <c r="F92" s="288"/>
    </row>
    <row r="93" spans="5:6" ht="36.75" customHeight="1" x14ac:dyDescent="0.25">
      <c r="E93" s="288"/>
      <c r="F93" s="288"/>
    </row>
    <row r="94" spans="5:6" ht="36.75" customHeight="1" x14ac:dyDescent="0.25">
      <c r="E94" s="288"/>
      <c r="F94" s="288"/>
    </row>
    <row r="95" spans="5:6" ht="36.75" customHeight="1" x14ac:dyDescent="0.25">
      <c r="E95" s="288"/>
      <c r="F95" s="288"/>
    </row>
    <row r="96" spans="5:6" ht="36.75" customHeight="1" x14ac:dyDescent="0.25">
      <c r="E96" s="288"/>
      <c r="F96" s="288"/>
    </row>
  </sheetData>
  <mergeCells count="15">
    <mergeCell ref="D41:D50"/>
    <mergeCell ref="B3:B15"/>
    <mergeCell ref="D3:D15"/>
    <mergeCell ref="B59:B65"/>
    <mergeCell ref="B36:B40"/>
    <mergeCell ref="D36:D40"/>
    <mergeCell ref="D51:D57"/>
    <mergeCell ref="B51:B57"/>
    <mergeCell ref="B22:B29"/>
    <mergeCell ref="D22:D29"/>
    <mergeCell ref="B31:B35"/>
    <mergeCell ref="D31:D35"/>
    <mergeCell ref="B16:B21"/>
    <mergeCell ref="D16:D21"/>
    <mergeCell ref="B41:B5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GL1491"/>
  <sheetViews>
    <sheetView tabSelected="1" topLeftCell="Z360" zoomScale="55" zoomScaleNormal="55" zoomScaleSheetLayoutView="46" workbookViewId="0">
      <selection activeCell="AH366" sqref="AH366"/>
    </sheetView>
  </sheetViews>
  <sheetFormatPr baseColWidth="10" defaultColWidth="10.85546875" defaultRowHeight="39.950000000000003" customHeight="1" x14ac:dyDescent="0.25"/>
  <cols>
    <col min="1" max="1" width="16.7109375" style="377" customWidth="1"/>
    <col min="2" max="2" width="50" style="6" customWidth="1"/>
    <col min="3" max="3" width="33.28515625" style="406" customWidth="1"/>
    <col min="4" max="9" width="16.7109375" style="407" customWidth="1"/>
    <col min="10" max="13" width="11" style="6" customWidth="1"/>
    <col min="14" max="14" width="33.140625" style="385" customWidth="1"/>
    <col min="15" max="15" width="33.140625" style="6" customWidth="1"/>
    <col min="16" max="16" width="6.7109375" style="122" customWidth="1"/>
    <col min="17" max="17" width="23.7109375" style="128" customWidth="1"/>
    <col min="18" max="20" width="21.85546875" style="128" customWidth="1"/>
    <col min="21" max="21" width="22.7109375" style="128" customWidth="1"/>
    <col min="22" max="25" width="21.85546875" style="128" customWidth="1"/>
    <col min="26" max="27" width="22.140625" style="150" customWidth="1"/>
    <col min="28" max="38" width="21.85546875" style="128" customWidth="1"/>
    <col min="39" max="39" width="16.28515625" style="151" hidden="1" customWidth="1"/>
    <col min="40" max="51" width="16.28515625" style="128" hidden="1" customWidth="1"/>
    <col min="52" max="52" width="23" style="128" hidden="1" customWidth="1"/>
    <col min="53" max="53" width="6.7109375" style="5" hidden="1" customWidth="1"/>
    <col min="54" max="55" width="10.85546875" style="6" hidden="1" customWidth="1"/>
    <col min="56" max="56" width="26.42578125" style="5" customWidth="1"/>
    <col min="57" max="57" width="22.140625" style="10" customWidth="1"/>
    <col min="58" max="58" width="19.7109375" style="6" customWidth="1"/>
    <col min="59" max="59" width="20.28515625" style="6" customWidth="1"/>
    <col min="60" max="60" width="21.140625" style="6" customWidth="1"/>
    <col min="61" max="61" width="6.42578125" style="5" customWidth="1"/>
    <col min="62" max="62" width="19.42578125" style="6" customWidth="1"/>
    <col min="63" max="63" width="17" style="6" customWidth="1"/>
    <col min="64" max="64" width="26.140625" style="6" customWidth="1"/>
    <col min="65" max="65" width="17" style="6" customWidth="1"/>
    <col min="66" max="66" width="20.85546875" style="6" customWidth="1"/>
    <col min="67" max="67" width="6.7109375" style="5" customWidth="1"/>
    <col min="68" max="74" width="21.7109375" style="6" customWidth="1"/>
    <col min="75" max="75" width="6.42578125" style="5" customWidth="1"/>
    <col min="76" max="81" width="21.42578125" style="6" customWidth="1"/>
    <col min="82" max="82" width="21.42578125" style="12" customWidth="1"/>
    <col min="83" max="83" width="6.7109375" style="6" customWidth="1"/>
    <col min="84" max="84" width="21.42578125" style="10" customWidth="1"/>
    <col min="85" max="86" width="21.42578125" style="6" customWidth="1"/>
    <col min="87" max="87" width="21.42578125" style="12" customWidth="1"/>
    <col min="88" max="88" width="6.7109375" style="5" customWidth="1"/>
    <col min="89" max="93" width="10.85546875" style="6" hidden="1" customWidth="1"/>
    <col min="94" max="98" width="0" style="6" hidden="1" customWidth="1"/>
    <col min="99" max="99" width="10" style="6" customWidth="1"/>
    <col min="100" max="100" width="27.28515625" style="13" customWidth="1"/>
    <col min="101" max="101" width="10" style="6" customWidth="1"/>
    <col min="102" max="102" width="27.28515625" style="13" customWidth="1"/>
    <col min="103" max="103" width="10" style="6" customWidth="1"/>
    <col min="104" max="104" width="27.28515625" style="13" customWidth="1"/>
    <col min="105" max="105" width="10" style="6" customWidth="1"/>
    <col min="106" max="106" width="27.28515625" style="13" customWidth="1"/>
    <col min="107" max="107" width="10" style="6" customWidth="1"/>
    <col min="108" max="108" width="27.28515625" style="13" customWidth="1"/>
    <col min="109" max="110" width="10.85546875" style="6"/>
    <col min="111" max="111" width="24.42578125" style="6" customWidth="1"/>
    <col min="112" max="112" width="24.42578125" style="470" customWidth="1"/>
    <col min="113" max="117" width="24.42578125" style="454" customWidth="1"/>
    <col min="118" max="118" width="36.42578125" style="454" bestFit="1" customWidth="1"/>
    <col min="119" max="119" width="24.42578125" style="454" customWidth="1"/>
    <col min="120" max="121" width="34.42578125" style="454" bestFit="1" customWidth="1"/>
    <col min="122" max="122" width="36.28515625" style="454" bestFit="1" customWidth="1"/>
    <col min="123" max="123" width="33.7109375" style="454" bestFit="1" customWidth="1"/>
    <col min="124" max="124" width="30.42578125" style="454" bestFit="1" customWidth="1"/>
    <col min="125" max="125" width="24.42578125" style="454" customWidth="1"/>
    <col min="126" max="127" width="24.42578125" style="463" customWidth="1"/>
    <col min="128" max="129" width="24.42578125" style="454" customWidth="1"/>
    <col min="130" max="16384" width="10.85546875" style="6"/>
  </cols>
  <sheetData>
    <row r="1" spans="1:194" ht="39.950000000000003" customHeight="1" x14ac:dyDescent="0.35">
      <c r="A1" s="359"/>
      <c r="B1" s="360"/>
      <c r="C1" s="386"/>
      <c r="D1" s="387"/>
      <c r="E1" s="387"/>
      <c r="F1" s="387"/>
      <c r="G1" s="387"/>
      <c r="H1" s="387"/>
      <c r="I1" s="387"/>
      <c r="J1" s="412"/>
      <c r="K1" s="412"/>
      <c r="L1" s="412"/>
      <c r="M1" s="413"/>
      <c r="N1" s="414"/>
      <c r="O1" s="414"/>
      <c r="P1" s="1"/>
      <c r="Q1" s="2"/>
      <c r="R1" s="2"/>
      <c r="S1" s="2"/>
      <c r="T1" s="2"/>
      <c r="U1" s="2"/>
      <c r="V1" s="2"/>
      <c r="W1" s="2"/>
      <c r="X1" s="2"/>
      <c r="Y1" s="2"/>
      <c r="Z1" s="3"/>
      <c r="AA1" s="3"/>
      <c r="AB1" s="2"/>
      <c r="AC1" s="2"/>
      <c r="AD1" s="2"/>
      <c r="AE1" s="2"/>
      <c r="AF1" s="2"/>
      <c r="AG1" s="2"/>
      <c r="AH1" s="2"/>
      <c r="AI1" s="2"/>
      <c r="AJ1" s="2"/>
      <c r="AK1" s="2"/>
      <c r="AL1" s="2"/>
      <c r="AM1" s="4"/>
      <c r="AN1" s="2"/>
      <c r="AO1" s="2"/>
      <c r="AP1" s="2"/>
      <c r="AQ1" s="2"/>
      <c r="AR1" s="2"/>
      <c r="AS1" s="2"/>
      <c r="AT1" s="2"/>
      <c r="AU1" s="2"/>
      <c r="AV1" s="2"/>
      <c r="AW1" s="2"/>
      <c r="AX1" s="2"/>
      <c r="AY1" s="2"/>
      <c r="AZ1" s="2"/>
      <c r="BD1" s="9"/>
      <c r="BE1" s="7"/>
      <c r="BF1" s="8"/>
      <c r="BG1" s="8"/>
      <c r="BH1" s="8"/>
      <c r="BI1" s="9"/>
      <c r="BJ1" s="8"/>
      <c r="BK1" s="8"/>
      <c r="BL1" s="8"/>
      <c r="BM1" s="8"/>
      <c r="BN1" s="8"/>
      <c r="BO1" s="10"/>
      <c r="BP1" s="11"/>
    </row>
    <row r="2" spans="1:194" ht="39.950000000000003" customHeight="1" x14ac:dyDescent="0.35">
      <c r="A2" s="359"/>
      <c r="B2" s="360"/>
      <c r="C2" s="386"/>
      <c r="D2" s="387"/>
      <c r="E2" s="387"/>
      <c r="F2" s="387"/>
      <c r="G2" s="387"/>
      <c r="H2" s="387"/>
      <c r="I2" s="387"/>
      <c r="J2" s="412"/>
      <c r="K2" s="412"/>
      <c r="L2" s="412"/>
      <c r="M2" s="413"/>
      <c r="N2" s="414"/>
      <c r="O2" s="414"/>
      <c r="P2" s="1"/>
      <c r="Q2" s="2"/>
      <c r="R2" s="2"/>
      <c r="S2" s="2"/>
      <c r="T2" s="2"/>
      <c r="U2" s="2"/>
      <c r="V2" s="2"/>
      <c r="W2" s="2"/>
      <c r="X2" s="2"/>
      <c r="Y2" s="2"/>
      <c r="Z2" s="3"/>
      <c r="AA2" s="3"/>
      <c r="AB2" s="2"/>
      <c r="AC2" s="2"/>
      <c r="AD2" s="2"/>
      <c r="AE2" s="2"/>
      <c r="AF2" s="2"/>
      <c r="AG2" s="2"/>
      <c r="AH2" s="2"/>
      <c r="AI2" s="2"/>
      <c r="AJ2" s="2"/>
      <c r="AK2" s="2"/>
      <c r="AL2" s="2"/>
      <c r="AM2" s="4"/>
      <c r="AN2" s="2"/>
      <c r="AO2" s="2"/>
      <c r="AP2" s="2"/>
      <c r="AQ2" s="2"/>
      <c r="AR2" s="2"/>
      <c r="AS2" s="2"/>
      <c r="AT2" s="2"/>
      <c r="AU2" s="2"/>
      <c r="AV2" s="2"/>
      <c r="AW2" s="2"/>
      <c r="AX2" s="2"/>
      <c r="AY2" s="2"/>
      <c r="AZ2" s="2"/>
      <c r="BE2" s="664"/>
      <c r="BF2" s="665"/>
      <c r="BK2" s="14"/>
      <c r="BL2" s="14"/>
      <c r="BO2" s="10"/>
      <c r="BP2" s="666" t="s">
        <v>169</v>
      </c>
      <c r="BQ2" s="666"/>
      <c r="BR2" s="666"/>
      <c r="BS2" s="666"/>
      <c r="BT2" s="666"/>
      <c r="BU2" s="666"/>
      <c r="BV2" s="666"/>
      <c r="BW2" s="12"/>
      <c r="BX2" s="660" t="s">
        <v>153</v>
      </c>
      <c r="BY2" s="660"/>
      <c r="BZ2" s="660"/>
      <c r="CA2" s="660"/>
      <c r="CB2" s="660"/>
      <c r="CC2" s="660"/>
      <c r="CD2" s="660"/>
      <c r="CF2" s="660" t="s">
        <v>293</v>
      </c>
      <c r="CG2" s="660"/>
      <c r="CH2" s="660"/>
      <c r="CI2" s="660"/>
    </row>
    <row r="3" spans="1:194" ht="39.950000000000003" customHeight="1" x14ac:dyDescent="0.35">
      <c r="A3" s="359"/>
      <c r="B3" s="360"/>
      <c r="C3" s="386"/>
      <c r="D3" s="387"/>
      <c r="E3" s="387"/>
      <c r="F3" s="387"/>
      <c r="G3" s="387"/>
      <c r="H3" s="387"/>
      <c r="I3" s="387"/>
      <c r="J3" s="412"/>
      <c r="K3" s="412"/>
      <c r="L3" s="412"/>
      <c r="M3" s="413"/>
      <c r="N3" s="414"/>
      <c r="O3" s="414"/>
      <c r="P3" s="1"/>
      <c r="Q3" s="2"/>
      <c r="R3" s="2"/>
      <c r="S3" s="2"/>
      <c r="T3" s="2"/>
      <c r="U3" s="2"/>
      <c r="V3" s="2"/>
      <c r="W3" s="2"/>
      <c r="X3" s="2"/>
      <c r="Y3" s="2"/>
      <c r="Z3" s="3"/>
      <c r="AA3" s="3"/>
      <c r="AB3" s="2"/>
      <c r="AC3" s="2"/>
      <c r="AD3" s="2"/>
      <c r="AE3" s="2"/>
      <c r="AF3" s="2"/>
      <c r="AG3" s="2"/>
      <c r="AH3" s="2"/>
      <c r="AI3" s="2"/>
      <c r="AJ3" s="2"/>
      <c r="AK3" s="2"/>
      <c r="AL3" s="2"/>
      <c r="AM3" s="4"/>
      <c r="AN3" s="2"/>
      <c r="AO3" s="2"/>
      <c r="AP3" s="2"/>
      <c r="AQ3" s="2"/>
      <c r="AR3" s="2"/>
      <c r="AS3" s="2"/>
      <c r="AT3" s="2"/>
      <c r="AU3" s="2"/>
      <c r="AV3" s="2"/>
      <c r="AW3" s="2"/>
      <c r="AX3" s="2"/>
      <c r="AY3" s="2"/>
      <c r="AZ3" s="2"/>
      <c r="BE3" s="15"/>
      <c r="BF3" s="16"/>
      <c r="BG3" s="17"/>
      <c r="BH3" s="18"/>
      <c r="BJ3" s="16"/>
      <c r="BK3" s="14"/>
      <c r="BL3" s="14"/>
      <c r="BM3" s="16"/>
      <c r="BN3" s="16"/>
      <c r="BO3" s="10"/>
      <c r="BP3" s="19" t="s">
        <v>141</v>
      </c>
      <c r="BQ3" s="19" t="s">
        <v>142</v>
      </c>
      <c r="BR3" s="20" t="s">
        <v>147</v>
      </c>
      <c r="BS3" s="19" t="s">
        <v>143</v>
      </c>
      <c r="BT3" s="19" t="s">
        <v>148</v>
      </c>
      <c r="BU3" s="20" t="s">
        <v>184</v>
      </c>
      <c r="BV3" s="19" t="s">
        <v>144</v>
      </c>
      <c r="BW3" s="12"/>
      <c r="BX3" s="19" t="s">
        <v>140</v>
      </c>
      <c r="BY3" s="20" t="s">
        <v>185</v>
      </c>
      <c r="BZ3" s="20" t="s">
        <v>295</v>
      </c>
      <c r="CA3" s="19" t="s">
        <v>186</v>
      </c>
      <c r="CB3" s="21" t="s">
        <v>187</v>
      </c>
      <c r="CC3" s="20" t="s">
        <v>188</v>
      </c>
      <c r="CD3" s="20" t="s">
        <v>155</v>
      </c>
      <c r="CF3" s="19" t="s">
        <v>156</v>
      </c>
      <c r="CG3" s="19" t="s">
        <v>157</v>
      </c>
      <c r="CH3" s="21" t="s">
        <v>158</v>
      </c>
      <c r="CI3" s="19" t="s">
        <v>159</v>
      </c>
    </row>
    <row r="4" spans="1:194" ht="45" customHeight="1" x14ac:dyDescent="0.25">
      <c r="A4" s="709"/>
      <c r="B4" s="710"/>
      <c r="C4" s="710"/>
      <c r="D4" s="710"/>
      <c r="E4" s="710"/>
      <c r="F4" s="710"/>
      <c r="G4" s="710"/>
      <c r="H4" s="710"/>
      <c r="I4" s="710"/>
      <c r="J4" s="710"/>
      <c r="K4" s="710"/>
      <c r="L4" s="710"/>
      <c r="M4" s="711"/>
      <c r="N4" s="443" t="s">
        <v>316</v>
      </c>
      <c r="O4" s="444" t="s">
        <v>314</v>
      </c>
      <c r="P4" s="1"/>
      <c r="Q4" s="22"/>
      <c r="R4" s="23"/>
      <c r="S4" s="23"/>
      <c r="T4" s="23"/>
      <c r="U4" s="23"/>
      <c r="V4" s="23"/>
      <c r="W4" s="23"/>
      <c r="X4" s="23"/>
      <c r="Y4" s="23"/>
      <c r="Z4" s="24"/>
      <c r="AA4" s="24"/>
      <c r="AB4" s="23"/>
      <c r="AC4" s="23"/>
      <c r="AD4" s="23"/>
      <c r="AE4" s="23"/>
      <c r="AF4" s="23"/>
      <c r="AG4" s="23"/>
      <c r="AH4" s="23"/>
      <c r="AI4" s="23"/>
      <c r="AJ4" s="23"/>
      <c r="AK4" s="23"/>
      <c r="AL4" s="25"/>
      <c r="AM4" s="2"/>
      <c r="AN4" s="2"/>
      <c r="AO4" s="2"/>
      <c r="AP4" s="2"/>
      <c r="AQ4" s="2"/>
      <c r="AR4" s="2"/>
      <c r="AS4" s="2"/>
      <c r="AT4" s="2"/>
      <c r="AU4" s="2"/>
      <c r="AV4" s="2"/>
      <c r="AW4" s="2"/>
      <c r="AX4" s="2"/>
      <c r="AY4" s="2"/>
      <c r="AZ4" s="2"/>
      <c r="BE4" s="26"/>
      <c r="BF4" s="27"/>
      <c r="BG4" s="28"/>
      <c r="BH4" s="29"/>
      <c r="BJ4" s="26"/>
      <c r="BK4" s="30"/>
      <c r="BL4" s="30"/>
      <c r="BM4" s="27"/>
      <c r="BN4" s="31"/>
      <c r="BO4" s="10"/>
      <c r="BP4" s="32" t="s">
        <v>152</v>
      </c>
      <c r="BQ4" s="33">
        <f>VLOOKUP(BP4,[1]Hoja1!$AE$5:$AH$93,2,FALSE)</f>
        <v>1500000</v>
      </c>
      <c r="BR4" s="33">
        <f>BQ4*40%</f>
        <v>600000</v>
      </c>
      <c r="BS4" s="33">
        <f>(BQ4+BR4)/20</f>
        <v>105000</v>
      </c>
      <c r="BT4" s="34"/>
      <c r="BU4" s="35">
        <f>IFERROR(ROUNDUP(BT14,0),"")</f>
        <v>8</v>
      </c>
      <c r="BV4" s="33">
        <f t="shared" ref="BV4" si="0">BS4*BU4*BT4</f>
        <v>0</v>
      </c>
      <c r="BW4" s="12"/>
      <c r="BX4" s="32" t="s">
        <v>137</v>
      </c>
      <c r="BY4" s="33">
        <f>VLOOKUP(BX4,[1]Hoja1!$AR$5:$AU$559,2,FALSE)</f>
        <v>0</v>
      </c>
      <c r="BZ4" s="33">
        <f>VLOOKUP(BX4,[1]Hoja1!$AR$5:$AU$559,3,FALSE)</f>
        <v>0</v>
      </c>
      <c r="CA4" s="33">
        <f>VLOOKUP(BX4,[1]Hoja1!$AR$5:$AU$559,4,FALSE)</f>
        <v>0</v>
      </c>
      <c r="CB4" s="37"/>
      <c r="CC4" s="38">
        <f>BY4*CB4</f>
        <v>0</v>
      </c>
      <c r="CD4" s="38">
        <f>BZ4*CB4</f>
        <v>0</v>
      </c>
      <c r="CF4" s="32" t="s">
        <v>137</v>
      </c>
      <c r="CG4" s="33">
        <f>VLOOKUP(CF4,[1]Hoja1!$AW$5:$AX$1333,2,FALSE)</f>
        <v>10000</v>
      </c>
      <c r="CH4" s="37"/>
      <c r="CI4" s="33">
        <f>CG4*CH4</f>
        <v>0</v>
      </c>
      <c r="CU4" s="584" t="s">
        <v>422</v>
      </c>
      <c r="CV4" s="585"/>
      <c r="CW4" s="585"/>
      <c r="CX4" s="585"/>
      <c r="CY4" s="585"/>
      <c r="CZ4" s="585"/>
      <c r="DA4" s="585"/>
      <c r="DB4" s="585"/>
      <c r="DC4" s="586"/>
    </row>
    <row r="5" spans="1:194" ht="45" customHeight="1" x14ac:dyDescent="0.25">
      <c r="A5" s="712"/>
      <c r="B5" s="713"/>
      <c r="C5" s="713"/>
      <c r="D5" s="713"/>
      <c r="E5" s="713"/>
      <c r="F5" s="713"/>
      <c r="G5" s="713"/>
      <c r="H5" s="713"/>
      <c r="I5" s="713"/>
      <c r="J5" s="713"/>
      <c r="K5" s="713"/>
      <c r="L5" s="713"/>
      <c r="M5" s="714"/>
      <c r="N5" s="445" t="s">
        <v>317</v>
      </c>
      <c r="O5" s="444" t="s">
        <v>106</v>
      </c>
      <c r="P5" s="1"/>
      <c r="Q5" s="39"/>
      <c r="R5" s="2"/>
      <c r="S5" s="2"/>
      <c r="T5" s="2"/>
      <c r="U5" s="2"/>
      <c r="V5" s="2"/>
      <c r="W5" s="2"/>
      <c r="X5" s="2"/>
      <c r="Y5" s="2"/>
      <c r="Z5" s="3"/>
      <c r="AA5" s="3"/>
      <c r="AB5" s="2"/>
      <c r="AC5" s="2"/>
      <c r="AD5" s="2"/>
      <c r="AE5" s="2"/>
      <c r="AF5" s="2"/>
      <c r="AG5" s="2"/>
      <c r="AH5" s="2"/>
      <c r="AI5" s="2"/>
      <c r="AJ5" s="2"/>
      <c r="AK5" s="2"/>
      <c r="AL5" s="40"/>
      <c r="AM5" s="2"/>
      <c r="AN5" s="2"/>
      <c r="AO5" s="2"/>
      <c r="AP5" s="2"/>
      <c r="AQ5" s="2"/>
      <c r="AR5" s="2"/>
      <c r="AS5" s="2"/>
      <c r="AT5" s="2"/>
      <c r="AU5" s="2"/>
      <c r="AV5" s="2"/>
      <c r="AW5" s="2"/>
      <c r="AX5" s="2"/>
      <c r="AY5" s="2"/>
      <c r="AZ5" s="2"/>
      <c r="BE5" s="15"/>
      <c r="BF5" s="16"/>
      <c r="BG5" s="17"/>
      <c r="BH5" s="41"/>
      <c r="BJ5" s="15"/>
      <c r="BK5" s="14"/>
      <c r="BL5" s="14"/>
      <c r="BM5" s="16"/>
      <c r="BN5" s="42"/>
      <c r="BO5" s="10"/>
      <c r="BP5" s="32" t="s">
        <v>146</v>
      </c>
      <c r="BQ5" s="33">
        <v>1700000</v>
      </c>
      <c r="BR5" s="33">
        <f>BQ5*40%</f>
        <v>680000</v>
      </c>
      <c r="BS5" s="33">
        <f>(BQ5+BR5)/20</f>
        <v>119000</v>
      </c>
      <c r="BT5" s="34"/>
      <c r="BU5" s="35">
        <f>IFERROR(ROUNDUP(BT14,0),"")</f>
        <v>8</v>
      </c>
      <c r="BV5" s="33">
        <f>BS5*BU5*BT5</f>
        <v>0</v>
      </c>
      <c r="BW5" s="12"/>
      <c r="BX5" s="32" t="s">
        <v>138</v>
      </c>
      <c r="BY5" s="33">
        <f>VLOOKUP(BX5,'BD GN'!BT:BW,2,FALSE)</f>
        <v>45000</v>
      </c>
      <c r="BZ5" s="33">
        <v>65000</v>
      </c>
      <c r="CA5" s="33">
        <f>VLOOKUP(BX5,'BD GN'!BT:BW,4,FALSE)</f>
        <v>110000</v>
      </c>
      <c r="CB5" s="37"/>
      <c r="CC5" s="38">
        <f>BY5*CB5</f>
        <v>0</v>
      </c>
      <c r="CD5" s="38">
        <f>BZ5*CB5</f>
        <v>0</v>
      </c>
      <c r="CF5" s="32" t="s">
        <v>138</v>
      </c>
      <c r="CG5" s="33">
        <f>VLOOKUP(CF5,[1]Hoja1!$AW$5:$AX$1333,2,FALSE)</f>
        <v>180000</v>
      </c>
      <c r="CH5" s="37"/>
      <c r="CI5" s="33">
        <f t="shared" ref="CI5:CI8" si="1">CG5*CH5</f>
        <v>0</v>
      </c>
      <c r="CU5" s="589" t="s">
        <v>423</v>
      </c>
      <c r="CV5" s="582"/>
      <c r="CW5" s="582">
        <v>0</v>
      </c>
      <c r="CX5" s="582"/>
      <c r="CY5" s="582" t="s">
        <v>427</v>
      </c>
      <c r="CZ5" s="582"/>
      <c r="DA5" s="592">
        <f>DB13</f>
        <v>0</v>
      </c>
      <c r="DB5" s="593"/>
      <c r="DC5" s="43" t="str">
        <f>IFERROR(DA5/$CW$9,"0%")</f>
        <v>0%</v>
      </c>
    </row>
    <row r="6" spans="1:194" ht="45" customHeight="1" x14ac:dyDescent="0.2">
      <c r="A6" s="715"/>
      <c r="B6" s="716"/>
      <c r="C6" s="716"/>
      <c r="D6" s="716"/>
      <c r="E6" s="716"/>
      <c r="F6" s="716"/>
      <c r="G6" s="716"/>
      <c r="H6" s="716"/>
      <c r="I6" s="716"/>
      <c r="J6" s="716"/>
      <c r="K6" s="716"/>
      <c r="L6" s="716"/>
      <c r="M6" s="717"/>
      <c r="N6" s="445" t="s">
        <v>1</v>
      </c>
      <c r="O6" s="446">
        <v>44579</v>
      </c>
      <c r="P6" s="1"/>
      <c r="Q6" s="39"/>
      <c r="R6" s="2"/>
      <c r="S6" s="2"/>
      <c r="T6" s="2"/>
      <c r="U6" s="2"/>
      <c r="V6" s="2"/>
      <c r="W6" s="2"/>
      <c r="X6" s="2"/>
      <c r="Y6" s="2"/>
      <c r="Z6" s="3"/>
      <c r="AA6" s="3"/>
      <c r="AB6" s="2"/>
      <c r="AC6" s="2"/>
      <c r="AD6" s="2"/>
      <c r="AE6" s="2"/>
      <c r="AF6" s="2"/>
      <c r="AG6" s="2"/>
      <c r="AH6" s="2"/>
      <c r="AI6" s="2"/>
      <c r="AJ6" s="2"/>
      <c r="AK6" s="2"/>
      <c r="AL6" s="40"/>
      <c r="AM6" s="2"/>
      <c r="AN6" s="2"/>
      <c r="AO6" s="2"/>
      <c r="AP6" s="2"/>
      <c r="AQ6" s="2"/>
      <c r="AR6" s="2"/>
      <c r="AS6" s="2"/>
      <c r="AT6" s="2"/>
      <c r="AU6" s="2"/>
      <c r="AV6" s="2"/>
      <c r="AW6" s="2"/>
      <c r="AX6" s="2"/>
      <c r="AY6" s="2"/>
      <c r="AZ6" s="2"/>
      <c r="BE6" s="44"/>
      <c r="BF6" s="36"/>
      <c r="BG6" s="45"/>
      <c r="BH6" s="46"/>
      <c r="BJ6" s="44"/>
      <c r="BK6" s="14"/>
      <c r="BL6" s="14"/>
      <c r="BM6" s="47"/>
      <c r="BN6" s="48"/>
      <c r="BO6" s="10"/>
      <c r="BP6" s="49"/>
      <c r="BQ6" s="36"/>
      <c r="BR6" s="36"/>
      <c r="BS6" s="36"/>
      <c r="BT6" s="47"/>
      <c r="BU6" s="50"/>
      <c r="BV6" s="36"/>
      <c r="BX6" s="32" t="s">
        <v>490</v>
      </c>
      <c r="BY6" s="33">
        <f>VLOOKUP(BX6,'BD GN'!BT:BW,2,FALSE)</f>
        <v>45000</v>
      </c>
      <c r="BZ6" s="33">
        <v>65000</v>
      </c>
      <c r="CA6" s="33">
        <f>VLOOKUP(BX6,'BD GN'!BT:BW,4,FALSE)</f>
        <v>110000</v>
      </c>
      <c r="CB6" s="37"/>
      <c r="CC6" s="38">
        <f>BY6*CB6</f>
        <v>0</v>
      </c>
      <c r="CD6" s="38">
        <f>BZ6*CB6</f>
        <v>0</v>
      </c>
      <c r="CE6" s="51"/>
      <c r="CF6" s="32" t="s">
        <v>490</v>
      </c>
      <c r="CG6" s="33">
        <f>VLOOKUP(CF6,'BD GN'!BY:BZ,2,FALSE)</f>
        <v>280000</v>
      </c>
      <c r="CH6" s="37"/>
      <c r="CI6" s="33">
        <f t="shared" si="1"/>
        <v>0</v>
      </c>
      <c r="CU6" s="589" t="s">
        <v>424</v>
      </c>
      <c r="CV6" s="582"/>
      <c r="CW6" s="582">
        <f>(O343-CW5)</f>
        <v>0</v>
      </c>
      <c r="CX6" s="582"/>
      <c r="CY6" s="582" t="s">
        <v>428</v>
      </c>
      <c r="CZ6" s="582"/>
      <c r="DA6" s="592">
        <f>DD13</f>
        <v>0</v>
      </c>
      <c r="DB6" s="593"/>
      <c r="DC6" s="52" t="str">
        <f>IFERROR(DA6/$CW$9,"0%")</f>
        <v>0%</v>
      </c>
    </row>
    <row r="7" spans="1:194" ht="45" customHeight="1" x14ac:dyDescent="0.25">
      <c r="A7" s="718" t="s">
        <v>315</v>
      </c>
      <c r="B7" s="719"/>
      <c r="C7" s="719"/>
      <c r="D7" s="719"/>
      <c r="E7" s="719"/>
      <c r="F7" s="719"/>
      <c r="G7" s="719"/>
      <c r="H7" s="719"/>
      <c r="I7" s="719"/>
      <c r="J7" s="719"/>
      <c r="K7" s="719"/>
      <c r="L7" s="719"/>
      <c r="M7" s="720"/>
      <c r="N7" s="445" t="s">
        <v>318</v>
      </c>
      <c r="O7" s="444" t="s">
        <v>321</v>
      </c>
      <c r="P7" s="1"/>
      <c r="Q7" s="695" t="s">
        <v>104</v>
      </c>
      <c r="R7" s="696"/>
      <c r="S7" s="696"/>
      <c r="T7" s="696"/>
      <c r="U7" s="696"/>
      <c r="V7" s="696"/>
      <c r="W7" s="696"/>
      <c r="X7" s="696"/>
      <c r="Y7" s="696"/>
      <c r="Z7" s="696"/>
      <c r="AA7" s="696"/>
      <c r="AB7" s="696"/>
      <c r="AC7" s="696"/>
      <c r="AD7" s="696"/>
      <c r="AE7" s="696"/>
      <c r="AF7" s="696"/>
      <c r="AG7" s="696"/>
      <c r="AH7" s="696"/>
      <c r="AI7" s="696"/>
      <c r="AJ7" s="696"/>
      <c r="AK7" s="696"/>
      <c r="AL7" s="697"/>
      <c r="AM7" s="681" t="s">
        <v>105</v>
      </c>
      <c r="AN7" s="681"/>
      <c r="AO7" s="681"/>
      <c r="AP7" s="681"/>
      <c r="AQ7" s="681"/>
      <c r="AR7" s="681"/>
      <c r="AS7" s="681"/>
      <c r="AT7" s="681"/>
      <c r="AU7" s="681"/>
      <c r="AV7" s="681"/>
      <c r="AW7" s="681"/>
      <c r="AX7" s="681"/>
      <c r="AY7" s="681"/>
      <c r="AZ7" s="682"/>
      <c r="BB7" s="6" t="s">
        <v>12</v>
      </c>
      <c r="BC7" s="6" t="s">
        <v>106</v>
      </c>
      <c r="BD7" s="12"/>
      <c r="BE7" s="661"/>
      <c r="BF7" s="662"/>
      <c r="BG7" s="662"/>
      <c r="BH7" s="663"/>
      <c r="BI7" s="12"/>
      <c r="BJ7" s="44"/>
      <c r="BK7" s="14"/>
      <c r="BL7" s="14"/>
      <c r="BM7" s="47"/>
      <c r="BN7" s="48"/>
      <c r="BO7" s="10"/>
      <c r="BP7" s="668" t="s">
        <v>171</v>
      </c>
      <c r="BQ7" s="670"/>
      <c r="BR7" s="53" t="s">
        <v>6</v>
      </c>
      <c r="BS7" s="36"/>
      <c r="BT7" s="47"/>
      <c r="BU7" s="14"/>
      <c r="BV7" s="36"/>
      <c r="BX7" s="32" t="s">
        <v>135</v>
      </c>
      <c r="BY7" s="33">
        <f>VLOOKUP(BX7,'BD GN'!BT:BW,2,FALSE)</f>
        <v>45000</v>
      </c>
      <c r="BZ7" s="33">
        <v>65000</v>
      </c>
      <c r="CA7" s="33">
        <f>VLOOKUP(BX7,'BD GN'!BT:BW,4,FALSE)</f>
        <v>110000</v>
      </c>
      <c r="CB7" s="37"/>
      <c r="CC7" s="38">
        <f t="shared" ref="CC7:CC8" si="2">BY7*CB7</f>
        <v>0</v>
      </c>
      <c r="CD7" s="38">
        <f t="shared" ref="CD7:CD8" si="3">BZ7*CB7</f>
        <v>0</v>
      </c>
      <c r="CE7" s="14"/>
      <c r="CF7" s="32" t="s">
        <v>135</v>
      </c>
      <c r="CG7" s="33">
        <f>VLOOKUP(CF7,'BD GN'!BY:BZ,2,FALSE)</f>
        <v>320000</v>
      </c>
      <c r="CH7" s="21"/>
      <c r="CI7" s="33">
        <f t="shared" si="1"/>
        <v>0</v>
      </c>
      <c r="CU7" s="589" t="s">
        <v>425</v>
      </c>
      <c r="CV7" s="582"/>
      <c r="CW7" s="582">
        <f>O1432</f>
        <v>0</v>
      </c>
      <c r="CX7" s="582"/>
      <c r="CY7" s="582" t="s">
        <v>429</v>
      </c>
      <c r="CZ7" s="582"/>
      <c r="DA7" s="582">
        <v>0</v>
      </c>
      <c r="DB7" s="590"/>
      <c r="DC7" s="52" t="str">
        <f>IFERROR(DA7/$CW$9,"0%")</f>
        <v>0%</v>
      </c>
    </row>
    <row r="8" spans="1:194" ht="45" customHeight="1" x14ac:dyDescent="0.25">
      <c r="A8" s="721"/>
      <c r="B8" s="722"/>
      <c r="C8" s="722"/>
      <c r="D8" s="722"/>
      <c r="E8" s="722"/>
      <c r="F8" s="722"/>
      <c r="G8" s="722"/>
      <c r="H8" s="722"/>
      <c r="I8" s="722"/>
      <c r="J8" s="722"/>
      <c r="K8" s="722"/>
      <c r="L8" s="722"/>
      <c r="M8" s="723"/>
      <c r="N8" s="445" t="s">
        <v>319</v>
      </c>
      <c r="O8" s="444" t="s">
        <v>442</v>
      </c>
      <c r="P8" s="1"/>
      <c r="Q8" s="695"/>
      <c r="R8" s="696"/>
      <c r="S8" s="696"/>
      <c r="T8" s="696"/>
      <c r="U8" s="696"/>
      <c r="V8" s="696"/>
      <c r="W8" s="696"/>
      <c r="X8" s="696"/>
      <c r="Y8" s="696"/>
      <c r="Z8" s="696"/>
      <c r="AA8" s="696"/>
      <c r="AB8" s="696"/>
      <c r="AC8" s="696"/>
      <c r="AD8" s="696"/>
      <c r="AE8" s="696"/>
      <c r="AF8" s="696"/>
      <c r="AG8" s="696"/>
      <c r="AH8" s="696"/>
      <c r="AI8" s="696"/>
      <c r="AJ8" s="696"/>
      <c r="AK8" s="696"/>
      <c r="AL8" s="697"/>
      <c r="AM8" s="54"/>
      <c r="AN8" s="54"/>
      <c r="AO8" s="54"/>
      <c r="AP8" s="54"/>
      <c r="AQ8" s="54"/>
      <c r="AR8" s="54"/>
      <c r="AS8" s="54"/>
      <c r="AT8" s="54"/>
      <c r="AU8" s="54"/>
      <c r="AV8" s="54"/>
      <c r="AW8" s="54"/>
      <c r="AX8" s="54"/>
      <c r="AY8" s="54"/>
      <c r="AZ8" s="54"/>
      <c r="BE8" s="55"/>
      <c r="BF8" s="56"/>
      <c r="BG8" s="56"/>
      <c r="BH8" s="57"/>
      <c r="BJ8" s="44"/>
      <c r="BK8" s="14"/>
      <c r="BL8" s="14"/>
      <c r="BM8" s="47"/>
      <c r="BN8" s="48"/>
      <c r="BO8" s="10"/>
      <c r="BP8" s="32">
        <v>0</v>
      </c>
      <c r="BQ8" s="58">
        <v>200</v>
      </c>
      <c r="BR8" s="33">
        <v>26000</v>
      </c>
      <c r="BS8" s="36"/>
      <c r="BT8" s="47"/>
      <c r="BU8" s="14"/>
      <c r="BV8" s="36"/>
      <c r="BX8" s="32" t="s">
        <v>151</v>
      </c>
      <c r="BY8" s="33">
        <f>VLOOKUP(BX8,'BD GN'!BT:BW,2,FALSE)</f>
        <v>45000</v>
      </c>
      <c r="BZ8" s="33">
        <v>65000</v>
      </c>
      <c r="CA8" s="33">
        <f>VLOOKUP(BX8,'BD GN'!BT:BW,4,FALSE)</f>
        <v>110000</v>
      </c>
      <c r="CB8" s="37"/>
      <c r="CC8" s="38">
        <f t="shared" si="2"/>
        <v>0</v>
      </c>
      <c r="CD8" s="38">
        <f t="shared" si="3"/>
        <v>0</v>
      </c>
      <c r="CE8" s="14"/>
      <c r="CF8" s="32" t="s">
        <v>151</v>
      </c>
      <c r="CG8" s="33">
        <f>VLOOKUP(CF8,'BD GN'!BY:BZ,2,FALSE)</f>
        <v>350000</v>
      </c>
      <c r="CH8" s="37"/>
      <c r="CI8" s="33">
        <f t="shared" si="1"/>
        <v>0</v>
      </c>
      <c r="CU8" s="589" t="s">
        <v>440</v>
      </c>
      <c r="CV8" s="582"/>
      <c r="CW8" s="582">
        <v>0</v>
      </c>
      <c r="CX8" s="582"/>
      <c r="CY8" s="582" t="s">
        <v>441</v>
      </c>
      <c r="CZ8" s="582"/>
      <c r="DA8" s="582">
        <v>0</v>
      </c>
      <c r="DB8" s="590"/>
      <c r="DC8" s="52" t="str">
        <f>IFERROR(DA8/$CW$9,"0%")</f>
        <v>0%</v>
      </c>
    </row>
    <row r="9" spans="1:194" s="51" customFormat="1" ht="39.950000000000003" customHeight="1" x14ac:dyDescent="0.2">
      <c r="A9" s="361"/>
      <c r="B9" s="54"/>
      <c r="C9" s="388"/>
      <c r="D9" s="388"/>
      <c r="E9" s="388"/>
      <c r="F9" s="388"/>
      <c r="G9" s="388"/>
      <c r="H9" s="388"/>
      <c r="I9" s="388"/>
      <c r="J9" s="415"/>
      <c r="K9" s="415"/>
      <c r="L9" s="415"/>
      <c r="M9" s="415"/>
      <c r="N9" s="416"/>
      <c r="O9" s="417"/>
      <c r="P9" s="60"/>
      <c r="Q9" s="695"/>
      <c r="R9" s="696"/>
      <c r="S9" s="696"/>
      <c r="T9" s="696"/>
      <c r="U9" s="696"/>
      <c r="V9" s="696"/>
      <c r="W9" s="696"/>
      <c r="X9" s="696"/>
      <c r="Y9" s="696"/>
      <c r="Z9" s="696"/>
      <c r="AA9" s="696"/>
      <c r="AB9" s="696"/>
      <c r="AC9" s="696"/>
      <c r="AD9" s="696"/>
      <c r="AE9" s="696"/>
      <c r="AF9" s="696"/>
      <c r="AG9" s="696"/>
      <c r="AH9" s="696"/>
      <c r="AI9" s="696"/>
      <c r="AJ9" s="696"/>
      <c r="AK9" s="696"/>
      <c r="AL9" s="697"/>
      <c r="AM9" s="59"/>
      <c r="AN9" s="59"/>
      <c r="AO9" s="59"/>
      <c r="AP9" s="59"/>
      <c r="AQ9" s="59"/>
      <c r="AR9" s="59"/>
      <c r="AS9" s="59"/>
      <c r="AT9" s="59"/>
      <c r="AU9" s="59"/>
      <c r="AV9" s="59"/>
      <c r="AW9" s="59"/>
      <c r="AX9" s="59"/>
      <c r="AY9" s="59"/>
      <c r="AZ9" s="59"/>
      <c r="BA9" s="61"/>
      <c r="BB9" s="6" t="s">
        <v>13</v>
      </c>
      <c r="BC9" s="51" t="s">
        <v>107</v>
      </c>
      <c r="BD9" s="61"/>
      <c r="BE9" s="62"/>
      <c r="BF9" s="63" t="s">
        <v>207</v>
      </c>
      <c r="BG9" s="64" t="s">
        <v>204</v>
      </c>
      <c r="BH9" s="65"/>
      <c r="BI9" s="61"/>
      <c r="BJ9" s="44"/>
      <c r="BK9" s="14"/>
      <c r="BL9" s="66"/>
      <c r="BM9" s="47"/>
      <c r="BN9" s="48"/>
      <c r="BO9" s="67"/>
      <c r="BP9" s="32">
        <v>201</v>
      </c>
      <c r="BQ9" s="58">
        <v>550</v>
      </c>
      <c r="BR9" s="33">
        <v>13000</v>
      </c>
      <c r="BS9" s="36"/>
      <c r="BT9" s="47"/>
      <c r="BU9" s="14"/>
      <c r="BV9" s="36"/>
      <c r="BW9" s="68"/>
      <c r="BX9" s="14"/>
      <c r="BY9" s="14"/>
      <c r="BZ9" s="14"/>
      <c r="CA9" s="14"/>
      <c r="CB9" s="14"/>
      <c r="CC9" s="14"/>
      <c r="CD9" s="69"/>
      <c r="CE9" s="14"/>
      <c r="CF9" s="44"/>
      <c r="CG9" s="14"/>
      <c r="CH9" s="14"/>
      <c r="CI9" s="69"/>
      <c r="CJ9" s="61"/>
      <c r="CU9" s="591" t="s">
        <v>426</v>
      </c>
      <c r="CV9" s="583"/>
      <c r="CW9" s="583">
        <f>CW5+CW6+CW7</f>
        <v>0</v>
      </c>
      <c r="CX9" s="583"/>
      <c r="CY9" s="583" t="s">
        <v>430</v>
      </c>
      <c r="CZ9" s="583"/>
      <c r="DA9" s="594">
        <f>DA5-DA7</f>
        <v>0</v>
      </c>
      <c r="DB9" s="595"/>
      <c r="DC9" s="70" t="str">
        <f>IFERROR(DA9/$CW$9,"0%")</f>
        <v>0%</v>
      </c>
      <c r="DD9" s="71"/>
      <c r="DH9" s="471"/>
      <c r="DI9" s="455"/>
      <c r="DJ9" s="455"/>
      <c r="DK9" s="455"/>
      <c r="DL9" s="455"/>
      <c r="DM9" s="455"/>
      <c r="DN9" s="455"/>
      <c r="DO9" s="455"/>
      <c r="DP9" s="455"/>
      <c r="DQ9" s="455"/>
      <c r="DR9" s="455"/>
      <c r="DS9" s="455"/>
      <c r="DT9" s="455"/>
      <c r="DU9" s="455"/>
      <c r="DV9" s="464"/>
      <c r="DW9" s="464"/>
      <c r="DX9" s="455"/>
      <c r="DY9" s="455"/>
    </row>
    <row r="10" spans="1:194" s="14" customFormat="1" ht="45" customHeight="1" x14ac:dyDescent="0.25">
      <c r="A10" s="650" t="s">
        <v>11</v>
      </c>
      <c r="B10" s="651"/>
      <c r="C10" s="559"/>
      <c r="D10" s="559"/>
      <c r="E10" s="651" t="s">
        <v>586</v>
      </c>
      <c r="F10" s="651"/>
      <c r="G10" s="651"/>
      <c r="H10" s="651"/>
      <c r="I10" s="652"/>
      <c r="J10" s="652"/>
      <c r="K10" s="652"/>
      <c r="L10" s="652"/>
      <c r="M10" s="654" t="s">
        <v>451</v>
      </c>
      <c r="N10" s="654"/>
      <c r="O10" s="447"/>
      <c r="P10" s="72"/>
      <c r="Q10" s="698"/>
      <c r="R10" s="699"/>
      <c r="S10" s="699"/>
      <c r="T10" s="699"/>
      <c r="U10" s="699"/>
      <c r="V10" s="699"/>
      <c r="W10" s="699"/>
      <c r="X10" s="699"/>
      <c r="Y10" s="699"/>
      <c r="Z10" s="699"/>
      <c r="AA10" s="699"/>
      <c r="AB10" s="699"/>
      <c r="AC10" s="699"/>
      <c r="AD10" s="699"/>
      <c r="AE10" s="699"/>
      <c r="AF10" s="699"/>
      <c r="AG10" s="699"/>
      <c r="AH10" s="699"/>
      <c r="AI10" s="699"/>
      <c r="AJ10" s="699"/>
      <c r="AK10" s="699"/>
      <c r="AL10" s="700"/>
      <c r="AM10" s="73"/>
      <c r="AN10" s="73"/>
      <c r="AO10" s="73"/>
      <c r="AP10" s="73"/>
      <c r="AQ10" s="73"/>
      <c r="AR10" s="73"/>
      <c r="AS10" s="73"/>
      <c r="AT10" s="73"/>
      <c r="AU10" s="73"/>
      <c r="AV10" s="73"/>
      <c r="AW10" s="73"/>
      <c r="AX10" s="73"/>
      <c r="AY10" s="73"/>
      <c r="AZ10" s="73"/>
      <c r="BA10" s="74"/>
      <c r="BB10" s="6" t="s">
        <v>14</v>
      </c>
      <c r="BC10" s="6" t="s">
        <v>108</v>
      </c>
      <c r="BD10" s="74"/>
      <c r="BE10" s="75"/>
      <c r="BH10" s="76"/>
      <c r="BI10" s="74"/>
      <c r="BJ10" s="44"/>
      <c r="BK10" s="36"/>
      <c r="BL10" s="66"/>
      <c r="BM10" s="47"/>
      <c r="BN10" s="48"/>
      <c r="BO10" s="74"/>
      <c r="BP10" s="32">
        <v>551</v>
      </c>
      <c r="BQ10" s="58" t="s">
        <v>195</v>
      </c>
      <c r="BR10" s="33">
        <v>7000</v>
      </c>
      <c r="BU10" s="77" t="s">
        <v>172</v>
      </c>
      <c r="BW10" s="74"/>
      <c r="BX10" s="674" t="s">
        <v>488</v>
      </c>
      <c r="BY10" s="675"/>
      <c r="BZ10" s="675"/>
      <c r="CA10" s="675"/>
      <c r="CB10" s="675"/>
      <c r="CC10" s="675"/>
      <c r="CD10" s="676"/>
      <c r="CF10" s="44"/>
      <c r="CG10" s="19" t="s">
        <v>170</v>
      </c>
      <c r="CH10" s="19" t="s">
        <v>160</v>
      </c>
      <c r="CI10" s="19" t="s">
        <v>161</v>
      </c>
      <c r="CJ10" s="74"/>
      <c r="DD10" s="36"/>
      <c r="DH10" s="50"/>
      <c r="DI10" s="456"/>
      <c r="DJ10" s="456"/>
      <c r="DK10" s="456"/>
      <c r="DL10" s="456"/>
      <c r="DM10" s="456"/>
      <c r="DN10" s="456"/>
      <c r="DO10" s="456"/>
      <c r="DP10" s="456"/>
      <c r="DQ10" s="456"/>
      <c r="DR10" s="456"/>
      <c r="DS10" s="456"/>
      <c r="DT10" s="456"/>
      <c r="DU10" s="456"/>
      <c r="DV10" s="465"/>
      <c r="DW10" s="465"/>
      <c r="DX10" s="456"/>
      <c r="DY10" s="456"/>
    </row>
    <row r="11" spans="1:194" s="14" customFormat="1" ht="45" customHeight="1" x14ac:dyDescent="0.2">
      <c r="A11" s="650" t="s">
        <v>19</v>
      </c>
      <c r="B11" s="651"/>
      <c r="C11" s="559"/>
      <c r="D11" s="559"/>
      <c r="E11" s="651" t="s">
        <v>487</v>
      </c>
      <c r="F11" s="651"/>
      <c r="G11" s="651"/>
      <c r="H11" s="651"/>
      <c r="I11" s="653" t="s">
        <v>67</v>
      </c>
      <c r="J11" s="653"/>
      <c r="K11" s="653"/>
      <c r="L11" s="653"/>
      <c r="M11" s="655" t="s">
        <v>194</v>
      </c>
      <c r="N11" s="655"/>
      <c r="O11" s="447">
        <f ca="1">+TODAY()</f>
        <v>46203</v>
      </c>
      <c r="P11" s="72"/>
      <c r="Q11" s="2"/>
      <c r="R11" s="2"/>
      <c r="S11" s="78"/>
      <c r="T11" s="78"/>
      <c r="U11" s="78"/>
      <c r="V11" s="78"/>
      <c r="W11" s="78"/>
      <c r="X11" s="78"/>
      <c r="Y11" s="78"/>
      <c r="Z11" s="79"/>
      <c r="AA11" s="79"/>
      <c r="AB11" s="78"/>
      <c r="AC11" s="78"/>
      <c r="AD11" s="78"/>
      <c r="AE11" s="78"/>
      <c r="AF11" s="78"/>
      <c r="AG11" s="78"/>
      <c r="AH11" s="78"/>
      <c r="AI11" s="78"/>
      <c r="AJ11" s="78"/>
      <c r="AK11" s="78"/>
      <c r="AL11" s="80"/>
      <c r="AM11" s="81"/>
      <c r="AN11" s="81"/>
      <c r="AO11" s="81"/>
      <c r="AP11" s="81"/>
      <c r="AQ11" s="81"/>
      <c r="AR11" s="81"/>
      <c r="AS11" s="81"/>
      <c r="AT11" s="81"/>
      <c r="AU11" s="81"/>
      <c r="AV11" s="81"/>
      <c r="AW11" s="81"/>
      <c r="AX11" s="81"/>
      <c r="AY11" s="81"/>
      <c r="AZ11" s="81"/>
      <c r="BA11" s="74"/>
      <c r="BB11" s="6" t="s">
        <v>15</v>
      </c>
      <c r="BC11" s="51" t="s">
        <v>109</v>
      </c>
      <c r="BD11" s="74"/>
      <c r="BE11" s="82"/>
      <c r="BF11" s="63" t="s">
        <v>178</v>
      </c>
      <c r="BG11" s="64" t="s">
        <v>176</v>
      </c>
      <c r="BH11" s="83"/>
      <c r="BI11" s="74"/>
      <c r="BJ11" s="84"/>
      <c r="BK11" s="85"/>
      <c r="BL11" s="86"/>
      <c r="BM11" s="87"/>
      <c r="BN11" s="88"/>
      <c r="BO11" s="74"/>
      <c r="BQ11" s="36"/>
      <c r="BR11" s="36"/>
      <c r="BS11" s="36"/>
      <c r="BT11" s="47"/>
      <c r="BU11" s="89">
        <f>+IF(F339&lt;=200,BR8,IF(AND(F339&gt;200,F339&lt;=550),BR9,BR10))</f>
        <v>26000</v>
      </c>
      <c r="BV11" s="36"/>
      <c r="BW11" s="74"/>
      <c r="BX11" s="674"/>
      <c r="BY11" s="675"/>
      <c r="BZ11" s="675"/>
      <c r="CA11" s="675"/>
      <c r="CB11" s="675"/>
      <c r="CC11" s="675"/>
      <c r="CD11" s="676"/>
      <c r="CE11" s="18"/>
      <c r="CF11" s="44"/>
      <c r="CG11" s="37"/>
      <c r="CH11" s="38">
        <f>(SUM(CC4:CC8)+SUM(CD4:CD8)+SUM(CI4:CI8))*CG11</f>
        <v>0</v>
      </c>
      <c r="CI11" s="33" t="str">
        <f>IFERROR(CH11/F339,"")</f>
        <v/>
      </c>
      <c r="CJ11" s="74"/>
      <c r="CV11" s="36"/>
      <c r="CX11" s="36"/>
      <c r="CZ11" s="36"/>
      <c r="DB11" s="36"/>
      <c r="DD11" s="36"/>
      <c r="DH11" s="50"/>
      <c r="DI11" s="456"/>
      <c r="DJ11" s="456"/>
      <c r="DK11" s="456"/>
      <c r="DL11" s="456"/>
      <c r="DM11" s="456"/>
      <c r="DN11" s="456"/>
      <c r="DO11" s="456"/>
      <c r="DP11" s="456"/>
      <c r="DQ11" s="456"/>
      <c r="DR11" s="456"/>
      <c r="DS11" s="456"/>
      <c r="DT11" s="456"/>
      <c r="DU11" s="456"/>
      <c r="DV11" s="465"/>
      <c r="DW11" s="465"/>
      <c r="DX11" s="456"/>
      <c r="DY11" s="456"/>
    </row>
    <row r="12" spans="1:194" s="14" customFormat="1" ht="45" customHeight="1" x14ac:dyDescent="0.25">
      <c r="A12" s="650" t="s">
        <v>192</v>
      </c>
      <c r="B12" s="651"/>
      <c r="C12" s="559"/>
      <c r="D12" s="559"/>
      <c r="E12" s="651" t="s">
        <v>21</v>
      </c>
      <c r="F12" s="651"/>
      <c r="G12" s="651"/>
      <c r="H12" s="651"/>
      <c r="I12" s="653" t="s">
        <v>524</v>
      </c>
      <c r="J12" s="653"/>
      <c r="K12" s="653"/>
      <c r="L12" s="653"/>
      <c r="M12" s="655" t="s">
        <v>22</v>
      </c>
      <c r="N12" s="655"/>
      <c r="O12" s="447" t="s">
        <v>320</v>
      </c>
      <c r="P12" s="90"/>
      <c r="Q12" s="692" t="s">
        <v>94</v>
      </c>
      <c r="R12" s="693"/>
      <c r="S12" s="694"/>
      <c r="T12" s="679" t="s">
        <v>191</v>
      </c>
      <c r="U12" s="679"/>
      <c r="V12" s="679"/>
      <c r="W12" s="678" t="s">
        <v>37</v>
      </c>
      <c r="X12" s="679"/>
      <c r="Y12" s="679"/>
      <c r="Z12" s="679"/>
      <c r="AA12" s="91"/>
      <c r="AB12" s="679" t="s">
        <v>100</v>
      </c>
      <c r="AC12" s="679"/>
      <c r="AD12" s="679"/>
      <c r="AE12" s="679"/>
      <c r="AF12" s="679"/>
      <c r="AG12" s="692" t="s">
        <v>121</v>
      </c>
      <c r="AH12" s="693"/>
      <c r="AI12" s="693"/>
      <c r="AJ12" s="693"/>
      <c r="AK12" s="693"/>
      <c r="AL12" s="694"/>
      <c r="AM12" s="683" t="s">
        <v>94</v>
      </c>
      <c r="AN12" s="683"/>
      <c r="AO12" s="684"/>
      <c r="AP12" s="687" t="s">
        <v>98</v>
      </c>
      <c r="AQ12" s="688"/>
      <c r="AR12" s="688"/>
      <c r="AS12" s="689"/>
      <c r="AT12" s="690" t="s">
        <v>37</v>
      </c>
      <c r="AU12" s="684"/>
      <c r="AV12" s="687" t="s">
        <v>100</v>
      </c>
      <c r="AW12" s="689"/>
      <c r="AX12" s="687" t="s">
        <v>101</v>
      </c>
      <c r="AY12" s="688"/>
      <c r="AZ12" s="689"/>
      <c r="BA12" s="74"/>
      <c r="BB12" s="6" t="s">
        <v>16</v>
      </c>
      <c r="BC12" s="6" t="s">
        <v>110</v>
      </c>
      <c r="BD12" s="44"/>
      <c r="BE12" s="666" t="s">
        <v>125</v>
      </c>
      <c r="BF12" s="666"/>
      <c r="BG12" s="666"/>
      <c r="BH12" s="666"/>
      <c r="BI12" s="44"/>
      <c r="BJ12" s="666" t="s">
        <v>131</v>
      </c>
      <c r="BK12" s="666"/>
      <c r="BL12" s="666"/>
      <c r="BM12" s="666"/>
      <c r="BN12" s="666"/>
      <c r="BO12" s="74"/>
      <c r="BP12" s="671" t="s">
        <v>407</v>
      </c>
      <c r="BQ12" s="672"/>
      <c r="BR12" s="672"/>
      <c r="BS12" s="672"/>
      <c r="BT12" s="672"/>
      <c r="BU12" s="672"/>
      <c r="BV12" s="673"/>
      <c r="BW12" s="74"/>
      <c r="BX12" s="674"/>
      <c r="BY12" s="675"/>
      <c r="BZ12" s="675"/>
      <c r="CA12" s="675"/>
      <c r="CB12" s="675"/>
      <c r="CC12" s="675"/>
      <c r="CD12" s="676"/>
      <c r="CF12" s="44"/>
      <c r="CG12" s="20" t="s">
        <v>294</v>
      </c>
      <c r="CH12" s="92"/>
      <c r="CI12" s="19" t="s">
        <v>297</v>
      </c>
      <c r="CJ12" s="74"/>
      <c r="CK12" s="706" t="s">
        <v>414</v>
      </c>
      <c r="CL12" s="707"/>
      <c r="CM12" s="707"/>
      <c r="CN12" s="707"/>
      <c r="CO12" s="707"/>
      <c r="CP12" s="707"/>
      <c r="CQ12" s="707"/>
      <c r="CR12" s="707"/>
      <c r="CS12" s="707"/>
      <c r="CT12" s="708"/>
      <c r="CU12" s="587" t="s">
        <v>12</v>
      </c>
      <c r="CV12" s="588"/>
      <c r="CW12" s="587" t="s">
        <v>13</v>
      </c>
      <c r="CX12" s="588"/>
      <c r="CY12" s="587" t="s">
        <v>14</v>
      </c>
      <c r="CZ12" s="588"/>
      <c r="DA12" s="587" t="s">
        <v>421</v>
      </c>
      <c r="DB12" s="588"/>
      <c r="DC12" s="587" t="s">
        <v>420</v>
      </c>
      <c r="DD12" s="588"/>
      <c r="DG12" s="578" t="s">
        <v>505</v>
      </c>
      <c r="DH12" s="581" t="s">
        <v>509</v>
      </c>
      <c r="DI12" s="580" t="s">
        <v>506</v>
      </c>
      <c r="DJ12" s="580" t="s">
        <v>134</v>
      </c>
      <c r="DK12" s="579" t="s">
        <v>498</v>
      </c>
      <c r="DL12" s="579" t="s">
        <v>499</v>
      </c>
      <c r="DM12" s="579" t="s">
        <v>500</v>
      </c>
      <c r="DN12" s="579" t="s">
        <v>131</v>
      </c>
      <c r="DO12" s="579" t="s">
        <v>390</v>
      </c>
      <c r="DP12" s="579" t="s">
        <v>36</v>
      </c>
      <c r="DQ12" s="579" t="s">
        <v>501</v>
      </c>
      <c r="DR12" s="579" t="s">
        <v>502</v>
      </c>
      <c r="DS12" s="579" t="s">
        <v>503</v>
      </c>
      <c r="DT12" s="579" t="s">
        <v>4</v>
      </c>
      <c r="DU12" s="579" t="s">
        <v>504</v>
      </c>
      <c r="DV12" s="725" t="s">
        <v>507</v>
      </c>
      <c r="DW12" s="725" t="s">
        <v>508</v>
      </c>
      <c r="DX12" s="579" t="s">
        <v>510</v>
      </c>
      <c r="DY12" s="579" t="s">
        <v>511</v>
      </c>
    </row>
    <row r="13" spans="1:194" s="110" customFormat="1" ht="39.950000000000003" customHeight="1" x14ac:dyDescent="0.2">
      <c r="A13" s="93"/>
      <c r="B13" s="94"/>
      <c r="C13" s="389"/>
      <c r="D13" s="389"/>
      <c r="E13" s="389"/>
      <c r="F13" s="389"/>
      <c r="G13" s="389"/>
      <c r="H13" s="389"/>
      <c r="I13" s="390"/>
      <c r="J13" s="95"/>
      <c r="K13" s="95"/>
      <c r="L13" s="95"/>
      <c r="M13" s="96"/>
      <c r="N13" s="96"/>
      <c r="O13" s="97"/>
      <c r="P13" s="90"/>
      <c r="Q13" s="703"/>
      <c r="R13" s="704"/>
      <c r="S13" s="705"/>
      <c r="T13" s="493">
        <v>0.14000000000000001</v>
      </c>
      <c r="U13" s="701" t="s">
        <v>96</v>
      </c>
      <c r="V13" s="701" t="s">
        <v>97</v>
      </c>
      <c r="W13" s="679" t="s">
        <v>388</v>
      </c>
      <c r="X13" s="679"/>
      <c r="Y13" s="488">
        <f>'BD P&amp;G'!E28+'BD P&amp;G'!E30</f>
        <v>4.2320606400000002E-2</v>
      </c>
      <c r="Z13" s="488">
        <f>'BD P&amp;G'!E29</f>
        <v>5.8493099999999999E-3</v>
      </c>
      <c r="AA13" s="99"/>
      <c r="AB13" s="98">
        <v>0.02</v>
      </c>
      <c r="AC13" s="680" t="s">
        <v>395</v>
      </c>
      <c r="AD13" s="677" t="s">
        <v>36</v>
      </c>
      <c r="AE13" s="488">
        <f>'BD P&amp;G'!E7+'BD P&amp;G'!E9+'BD P&amp;G'!E10+'BD P&amp;G'!E11+'BD P&amp;G'!E16+'BD P&amp;G'!E17+'BD P&amp;G'!E18+'BD P&amp;G'!E19+'BD P&amp;G'!E20+'BD P&amp;G'!E21+'BD P&amp;G'!E22+'BD P&amp;G'!E23+'BD P&amp;G'!E32+'BD P&amp;G'!E33+'BD P&amp;G'!E34+'BD P&amp;G'!E35+'BD P&amp;G'!E36+'BD P&amp;G'!E37+'BD P&amp;G'!E38+'BD P&amp;G'!E39</f>
        <v>6.436977599999999E-2</v>
      </c>
      <c r="AF13" s="680" t="s">
        <v>390</v>
      </c>
      <c r="AG13" s="493">
        <v>0.5</v>
      </c>
      <c r="AH13" s="677" t="s">
        <v>396</v>
      </c>
      <c r="AI13" s="494">
        <v>0.02</v>
      </c>
      <c r="AJ13" s="488">
        <f>'BD P&amp;G'!E44+'BD P&amp;G'!E45</f>
        <v>5.5799999999999999E-3</v>
      </c>
      <c r="AK13" s="677" t="s">
        <v>391</v>
      </c>
      <c r="AL13" s="677" t="s">
        <v>392</v>
      </c>
      <c r="AM13" s="685"/>
      <c r="AN13" s="685"/>
      <c r="AO13" s="686"/>
      <c r="AP13" s="100">
        <v>0.28000000000000003</v>
      </c>
      <c r="AQ13" s="101">
        <v>0.01</v>
      </c>
      <c r="AR13" s="101">
        <v>0.02</v>
      </c>
      <c r="AS13" s="102">
        <v>5.5E-2</v>
      </c>
      <c r="AT13" s="691"/>
      <c r="AU13" s="686"/>
      <c r="AV13" s="100">
        <v>0.01</v>
      </c>
      <c r="AW13" s="103">
        <v>0.03</v>
      </c>
      <c r="AX13" s="100">
        <v>0.6</v>
      </c>
      <c r="AY13" s="101">
        <v>0.03</v>
      </c>
      <c r="AZ13" s="104"/>
      <c r="BA13" s="74"/>
      <c r="BB13" s="6" t="s">
        <v>18</v>
      </c>
      <c r="BC13" s="51" t="s">
        <v>111</v>
      </c>
      <c r="BD13" s="74"/>
      <c r="BE13" s="667" t="s">
        <v>189</v>
      </c>
      <c r="BF13" s="669" t="s">
        <v>124</v>
      </c>
      <c r="BG13" s="669" t="s">
        <v>179</v>
      </c>
      <c r="BH13" s="668" t="s">
        <v>291</v>
      </c>
      <c r="BI13" s="74"/>
      <c r="BJ13" s="667" t="s">
        <v>132</v>
      </c>
      <c r="BK13" s="669" t="s">
        <v>129</v>
      </c>
      <c r="BL13" s="669"/>
      <c r="BM13" s="669"/>
      <c r="BN13" s="668" t="s">
        <v>133</v>
      </c>
      <c r="BO13" s="74"/>
      <c r="BP13" s="19" t="s">
        <v>120</v>
      </c>
      <c r="BQ13" s="19" t="s">
        <v>145</v>
      </c>
      <c r="BR13" s="20" t="s">
        <v>183</v>
      </c>
      <c r="BS13" s="20" t="s">
        <v>181</v>
      </c>
      <c r="BT13" s="20" t="s">
        <v>182</v>
      </c>
      <c r="BU13" s="19" t="s">
        <v>149</v>
      </c>
      <c r="BV13" s="19" t="s">
        <v>150</v>
      </c>
      <c r="BW13" s="74"/>
      <c r="BX13" s="14"/>
      <c r="BY13" s="14"/>
      <c r="BZ13" s="14"/>
      <c r="CA13" s="14"/>
      <c r="CB13" s="14"/>
      <c r="CC13" s="14"/>
      <c r="CD13" s="69"/>
      <c r="CE13" s="14"/>
      <c r="CF13" s="44"/>
      <c r="CG13" s="105"/>
      <c r="CH13" s="106" t="s">
        <v>296</v>
      </c>
      <c r="CI13" s="32" t="str">
        <f>IFERROR(CG13/F339,"")</f>
        <v/>
      </c>
      <c r="CJ13" s="44"/>
      <c r="CK13" s="107">
        <f t="shared" ref="CK13:CT13" si="4">SUM(CK14:CK2066)</f>
        <v>0</v>
      </c>
      <c r="CL13" s="108">
        <f t="shared" si="4"/>
        <v>0</v>
      </c>
      <c r="CM13" s="108">
        <f t="shared" si="4"/>
        <v>0</v>
      </c>
      <c r="CN13" s="108">
        <f t="shared" si="4"/>
        <v>0</v>
      </c>
      <c r="CO13" s="108">
        <f t="shared" si="4"/>
        <v>0</v>
      </c>
      <c r="CP13" s="108">
        <f t="shared" si="4"/>
        <v>0</v>
      </c>
      <c r="CQ13" s="108">
        <f t="shared" si="4"/>
        <v>0</v>
      </c>
      <c r="CR13" s="108">
        <f t="shared" si="4"/>
        <v>0</v>
      </c>
      <c r="CS13" s="108">
        <f t="shared" si="4"/>
        <v>0</v>
      </c>
      <c r="CT13" s="108">
        <f t="shared" si="4"/>
        <v>0</v>
      </c>
      <c r="CU13" s="107">
        <f t="shared" ref="CU13:DD13" si="5">SUM(CU15:CU1996)</f>
        <v>0</v>
      </c>
      <c r="CV13" s="109">
        <f t="shared" si="5"/>
        <v>0</v>
      </c>
      <c r="CW13" s="107">
        <f t="shared" si="5"/>
        <v>0</v>
      </c>
      <c r="CX13" s="109">
        <f t="shared" si="5"/>
        <v>0</v>
      </c>
      <c r="CY13" s="107">
        <f t="shared" si="5"/>
        <v>0</v>
      </c>
      <c r="CZ13" s="109">
        <f t="shared" si="5"/>
        <v>0</v>
      </c>
      <c r="DA13" s="107">
        <f t="shared" si="5"/>
        <v>0</v>
      </c>
      <c r="DB13" s="109">
        <f t="shared" si="5"/>
        <v>0</v>
      </c>
      <c r="DC13" s="107">
        <f t="shared" si="5"/>
        <v>0</v>
      </c>
      <c r="DD13" s="109">
        <f t="shared" si="5"/>
        <v>0</v>
      </c>
      <c r="DE13" s="14"/>
      <c r="DF13" s="14"/>
      <c r="DG13" s="578"/>
      <c r="DH13" s="581"/>
      <c r="DI13" s="580"/>
      <c r="DJ13" s="580"/>
      <c r="DK13" s="579"/>
      <c r="DL13" s="579"/>
      <c r="DM13" s="579"/>
      <c r="DN13" s="579"/>
      <c r="DO13" s="579"/>
      <c r="DP13" s="579"/>
      <c r="DQ13" s="579"/>
      <c r="DR13" s="579"/>
      <c r="DS13" s="579"/>
      <c r="DT13" s="579"/>
      <c r="DU13" s="579"/>
      <c r="DV13" s="725"/>
      <c r="DW13" s="725"/>
      <c r="DX13" s="579"/>
      <c r="DY13" s="579"/>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row>
    <row r="14" spans="1:194" s="191" customFormat="1" ht="60" customHeight="1" x14ac:dyDescent="0.25">
      <c r="A14" s="362" t="s">
        <v>193</v>
      </c>
      <c r="B14" s="363" t="s">
        <v>25</v>
      </c>
      <c r="C14" s="391" t="s">
        <v>174</v>
      </c>
      <c r="D14" s="640" t="s">
        <v>173</v>
      </c>
      <c r="E14" s="640"/>
      <c r="F14" s="640"/>
      <c r="G14" s="640"/>
      <c r="H14" s="640"/>
      <c r="I14" s="640"/>
      <c r="J14" s="418" t="s">
        <v>443</v>
      </c>
      <c r="K14" s="418" t="s">
        <v>444</v>
      </c>
      <c r="L14" s="418" t="s">
        <v>171</v>
      </c>
      <c r="M14" s="363" t="s">
        <v>2</v>
      </c>
      <c r="N14" s="419" t="s">
        <v>7</v>
      </c>
      <c r="O14" s="420" t="s">
        <v>8</v>
      </c>
      <c r="P14" s="159"/>
      <c r="Q14" s="160" t="s">
        <v>93</v>
      </c>
      <c r="R14" s="161" t="s">
        <v>34</v>
      </c>
      <c r="S14" s="162" t="s">
        <v>28</v>
      </c>
      <c r="T14" s="163" t="s">
        <v>95</v>
      </c>
      <c r="U14" s="702"/>
      <c r="V14" s="702"/>
      <c r="W14" s="164" t="s">
        <v>4</v>
      </c>
      <c r="X14" s="164" t="s">
        <v>103</v>
      </c>
      <c r="Y14" s="160" t="s">
        <v>402</v>
      </c>
      <c r="Z14" s="165" t="s">
        <v>403</v>
      </c>
      <c r="AA14" s="166" t="s">
        <v>404</v>
      </c>
      <c r="AB14" s="164" t="s">
        <v>99</v>
      </c>
      <c r="AC14" s="680"/>
      <c r="AD14" s="677"/>
      <c r="AE14" s="164" t="s">
        <v>389</v>
      </c>
      <c r="AF14" s="680"/>
      <c r="AG14" s="164" t="s">
        <v>164</v>
      </c>
      <c r="AH14" s="677"/>
      <c r="AI14" s="164" t="s">
        <v>190</v>
      </c>
      <c r="AJ14" s="164" t="s">
        <v>339</v>
      </c>
      <c r="AK14" s="677"/>
      <c r="AL14" s="677"/>
      <c r="AM14" s="167" t="s">
        <v>93</v>
      </c>
      <c r="AN14" s="168" t="s">
        <v>34</v>
      </c>
      <c r="AO14" s="169" t="s">
        <v>28</v>
      </c>
      <c r="AP14" s="170" t="s">
        <v>95</v>
      </c>
      <c r="AQ14" s="167" t="s">
        <v>3</v>
      </c>
      <c r="AR14" s="167" t="s">
        <v>96</v>
      </c>
      <c r="AS14" s="169" t="s">
        <v>97</v>
      </c>
      <c r="AT14" s="170" t="s">
        <v>4</v>
      </c>
      <c r="AU14" s="169" t="s">
        <v>103</v>
      </c>
      <c r="AV14" s="170" t="s">
        <v>99</v>
      </c>
      <c r="AW14" s="169" t="s">
        <v>36</v>
      </c>
      <c r="AX14" s="171" t="s">
        <v>29</v>
      </c>
      <c r="AY14" s="172" t="s">
        <v>190</v>
      </c>
      <c r="AZ14" s="173" t="s">
        <v>102</v>
      </c>
      <c r="BA14" s="174"/>
      <c r="BB14" s="175" t="s">
        <v>20</v>
      </c>
      <c r="BC14" s="175" t="s">
        <v>112</v>
      </c>
      <c r="BD14" s="174"/>
      <c r="BE14" s="667"/>
      <c r="BF14" s="669"/>
      <c r="BG14" s="669"/>
      <c r="BH14" s="668"/>
      <c r="BI14" s="174"/>
      <c r="BJ14" s="667"/>
      <c r="BK14" s="176" t="s">
        <v>130</v>
      </c>
      <c r="BL14" s="177" t="s">
        <v>28</v>
      </c>
      <c r="BM14" s="177" t="s">
        <v>134</v>
      </c>
      <c r="BN14" s="668"/>
      <c r="BO14" s="174"/>
      <c r="BP14" s="178"/>
      <c r="BQ14" s="178"/>
      <c r="BR14" s="179">
        <f>(ROUNDUP(+F339*0.05,0)+7)+1.5</f>
        <v>8.5</v>
      </c>
      <c r="BS14" s="179">
        <f>ROUNDUP(BR14,0)*0.4</f>
        <v>3.6</v>
      </c>
      <c r="BT14" s="179">
        <f>(ROUNDUP(BR14,0)*0.6)+(2)</f>
        <v>7.3999999999999995</v>
      </c>
      <c r="BU14" s="180">
        <f>((SUM(BV4:BV5)))</f>
        <v>0</v>
      </c>
      <c r="BV14" s="181" t="str">
        <f>IFERROR((BU14/F339)+BU11,"")</f>
        <v/>
      </c>
      <c r="BW14" s="182"/>
      <c r="BX14" s="175"/>
      <c r="BY14" s="175"/>
      <c r="BZ14" s="175"/>
      <c r="CA14" s="175"/>
      <c r="CB14" s="175"/>
      <c r="CC14" s="175"/>
      <c r="CD14" s="184"/>
      <c r="CE14" s="175"/>
      <c r="CF14" s="185"/>
      <c r="CG14" s="175"/>
      <c r="CH14" s="175"/>
      <c r="CI14" s="184"/>
      <c r="CJ14" s="174"/>
      <c r="CK14" s="186" t="s">
        <v>415</v>
      </c>
      <c r="CL14" s="187" t="s">
        <v>417</v>
      </c>
      <c r="CM14" s="187" t="s">
        <v>416</v>
      </c>
      <c r="CN14" s="188" t="s">
        <v>418</v>
      </c>
      <c r="CO14" s="183" t="s">
        <v>417</v>
      </c>
      <c r="CP14" s="183" t="s">
        <v>409</v>
      </c>
      <c r="CQ14" s="183" t="s">
        <v>410</v>
      </c>
      <c r="CR14" s="183" t="s">
        <v>411</v>
      </c>
      <c r="CS14" s="183" t="s">
        <v>412</v>
      </c>
      <c r="CT14" s="183" t="s">
        <v>413</v>
      </c>
      <c r="CU14" s="189" t="s">
        <v>2</v>
      </c>
      <c r="CV14" s="190" t="s">
        <v>159</v>
      </c>
      <c r="CW14" s="189" t="s">
        <v>2</v>
      </c>
      <c r="CX14" s="190" t="s">
        <v>159</v>
      </c>
      <c r="CY14" s="189" t="s">
        <v>2</v>
      </c>
      <c r="CZ14" s="190" t="s">
        <v>159</v>
      </c>
      <c r="DA14" s="189" t="s">
        <v>2</v>
      </c>
      <c r="DB14" s="190" t="s">
        <v>159</v>
      </c>
      <c r="DC14" s="189" t="s">
        <v>2</v>
      </c>
      <c r="DD14" s="190" t="s">
        <v>159</v>
      </c>
      <c r="DE14" s="183"/>
      <c r="DF14" s="183"/>
      <c r="DG14" s="578"/>
      <c r="DH14" s="581"/>
      <c r="DI14" s="580"/>
      <c r="DJ14" s="580"/>
      <c r="DK14" s="579"/>
      <c r="DL14" s="579"/>
      <c r="DM14" s="579"/>
      <c r="DN14" s="579"/>
      <c r="DO14" s="579"/>
      <c r="DP14" s="579"/>
      <c r="DQ14" s="579"/>
      <c r="DR14" s="579"/>
      <c r="DS14" s="579"/>
      <c r="DT14" s="579"/>
      <c r="DU14" s="579"/>
      <c r="DV14" s="725"/>
      <c r="DW14" s="725"/>
      <c r="DX14" s="579"/>
      <c r="DY14" s="579"/>
      <c r="DZ14" s="183"/>
      <c r="EA14" s="183"/>
      <c r="EB14" s="183"/>
      <c r="EC14" s="183"/>
      <c r="ED14" s="183"/>
      <c r="EE14" s="183"/>
      <c r="EF14" s="183"/>
      <c r="EG14" s="183"/>
      <c r="EH14" s="183"/>
      <c r="EI14" s="183"/>
      <c r="EJ14" s="183"/>
      <c r="EK14" s="183"/>
      <c r="EL14" s="183"/>
      <c r="EM14" s="183"/>
      <c r="EN14" s="183"/>
      <c r="EO14" s="183"/>
      <c r="EP14" s="183"/>
      <c r="EQ14" s="183"/>
      <c r="ER14" s="183"/>
      <c r="ES14" s="183"/>
      <c r="ET14" s="183"/>
      <c r="EU14" s="183"/>
      <c r="EV14" s="183"/>
      <c r="EW14" s="183"/>
      <c r="EX14" s="183"/>
      <c r="EY14" s="183"/>
      <c r="EZ14" s="183"/>
      <c r="FA14" s="183"/>
      <c r="FB14" s="183"/>
      <c r="FC14" s="183"/>
      <c r="FD14" s="183"/>
      <c r="FE14" s="183"/>
      <c r="FF14" s="183"/>
      <c r="FG14" s="183"/>
      <c r="FH14" s="183"/>
      <c r="FI14" s="183"/>
      <c r="FJ14" s="183"/>
      <c r="FK14" s="183"/>
      <c r="FL14" s="183"/>
      <c r="FM14" s="183"/>
      <c r="FN14" s="183"/>
      <c r="FO14" s="183"/>
      <c r="FP14" s="183"/>
      <c r="FQ14" s="183"/>
      <c r="FR14" s="183"/>
      <c r="FS14" s="183"/>
      <c r="FT14" s="183"/>
      <c r="FU14" s="183"/>
      <c r="FV14" s="183"/>
      <c r="FW14" s="183"/>
      <c r="FX14" s="183"/>
      <c r="FY14" s="183"/>
      <c r="FZ14" s="183"/>
      <c r="GA14" s="183"/>
      <c r="GB14" s="183"/>
      <c r="GC14" s="183"/>
      <c r="GD14" s="183"/>
      <c r="GE14" s="183"/>
      <c r="GF14" s="183"/>
      <c r="GG14" s="183"/>
      <c r="GH14" s="183"/>
      <c r="GI14" s="183"/>
      <c r="GJ14" s="183"/>
      <c r="GK14" s="183"/>
      <c r="GL14" s="183"/>
    </row>
    <row r="15" spans="1:194" s="175" customFormat="1" ht="60" customHeight="1" x14ac:dyDescent="0.3">
      <c r="A15" s="364"/>
      <c r="B15" s="365"/>
      <c r="C15" s="392" t="s">
        <v>27</v>
      </c>
      <c r="D15" s="602"/>
      <c r="E15" s="602"/>
      <c r="F15" s="602"/>
      <c r="G15" s="602"/>
      <c r="H15" s="602"/>
      <c r="I15" s="602"/>
      <c r="J15" s="603"/>
      <c r="K15" s="603"/>
      <c r="L15" s="606">
        <f>J15*K15*M15</f>
        <v>0</v>
      </c>
      <c r="M15" s="596"/>
      <c r="N15" s="609">
        <f>IFERROR(AL15,"")</f>
        <v>1.0765546639999999</v>
      </c>
      <c r="O15" s="612">
        <f>IFERROR(N15*M15,"")</f>
        <v>0</v>
      </c>
      <c r="P15" s="192"/>
      <c r="Q15" s="193">
        <f>Q16+BF15+($R$350*Q16)</f>
        <v>0</v>
      </c>
      <c r="R15" s="193">
        <f>IFERROR(R16+($R$348*R16),"")</f>
        <v>0</v>
      </c>
      <c r="S15" s="194">
        <f>+IF(R17="SI",((W19*'BD GN'!$AB$2)+S16)*1,COTIZACIÓN!S16*1)+(P16*S16)</f>
        <v>0</v>
      </c>
      <c r="T15" s="487">
        <f>R15*T13</f>
        <v>0</v>
      </c>
      <c r="U15" s="196">
        <f>BH15+BG15</f>
        <v>0</v>
      </c>
      <c r="V15" s="197" t="str">
        <f>IFERROR(BN15,0)</f>
        <v/>
      </c>
      <c r="W15" s="198" t="str">
        <f>IFERROR(IF(X17="SI",W18*J15*K15,IF(BE15=3,BE17,IF(BE15=4,BE18,IF(BE15=5,BE19,IF(BE15&gt;5,BE19+(BE20*(BE15-5)),"")))))*0,"")</f>
        <v/>
      </c>
      <c r="X15" s="198" t="str">
        <f>IFERROR(IF(X16="NO",(VLOOKUP(D15,'BD M.O'!C:E,3,FALSE))*W19,((VLOOKUP(D15,'BD M.O'!C:E,3,FALSE))+7500)*W19),"")</f>
        <v/>
      </c>
      <c r="Y15" s="198">
        <f>IFERROR($Y$13*AK15,"")</f>
        <v>4.2084457416288003E-2</v>
      </c>
      <c r="Z15" s="332" t="str">
        <f>IFERROR(($Z$13*AK15)+X15,"")</f>
        <v/>
      </c>
      <c r="AA15" s="199" t="str">
        <f>IFERROR(Y15+Z15,"")</f>
        <v/>
      </c>
      <c r="AB15" s="200">
        <f>IFERROR((SUM(Q15:X15)-T15+T17)*$AB$13,"")</f>
        <v>0</v>
      </c>
      <c r="AC15" s="201">
        <f>IFERROR(((SUM(Q15:V15,IF(X20&gt;AA15,AVERAGE(X20,AA15),AA15))-T15+T17))*$AB$13,"")</f>
        <v>0</v>
      </c>
      <c r="AD15" s="202" t="str">
        <f>IFERROR((J15*K15*$BV$14),"")</f>
        <v/>
      </c>
      <c r="AE15" s="202">
        <f>IFERROR($AE$13*AK15,"")</f>
        <v>6.4010592649919984E-2</v>
      </c>
      <c r="AF15" s="203" t="str">
        <f>IFERROR(($CI$11+$CI$13)*W19,"")</f>
        <v/>
      </c>
      <c r="AG15" s="202">
        <f>IFERROR((SUM(Q15:X15,AB15,AD15,AF15)-T15+T17)*$AG$13,"")</f>
        <v>0</v>
      </c>
      <c r="AH15" s="202">
        <f>IFERROR((SUM(Q15:V15,(IF(X20&gt;AA15,AVERAGE(X20,AA15),AA15)),AC15,AE15,AF15)-T15+T17)*$AG$13,"")</f>
        <v>3.2005296324959992E-2</v>
      </c>
      <c r="AI15" s="204">
        <f>IFERROR(AL15*$AI$13,"")</f>
        <v>2.1531093279999997E-2</v>
      </c>
      <c r="AJ15" s="204">
        <f>IFERROR($AJ$13*AL15,"")</f>
        <v>6.007175025119999E-3</v>
      </c>
      <c r="AK15" s="205">
        <f>IFERROR(SUM(Q15:X15,AB15,AD15,AG15,AF15)/(1-$AI$13)+(1-$AJ$13)-T15+T17,"")</f>
        <v>0.99441999999999997</v>
      </c>
      <c r="AL15" s="205">
        <f>IFERROR(SUM(Q15:V15,AC15,(IF(AD15&gt;AE15,AVERAGE(AD15,AE15),AE15)),AF15,,AH15,(IF(SUM(X20)&gt;AA15,AVERAGE(AA15,X20),AA15)))/(1-$AJ$13)+(1-$AI$13)-T15+T17,"")</f>
        <v>1.0765546639999999</v>
      </c>
      <c r="AM15" s="206">
        <f>$M$15*Q15</f>
        <v>0</v>
      </c>
      <c r="AN15" s="207">
        <f>$M$15*R15</f>
        <v>0</v>
      </c>
      <c r="AO15" s="208">
        <f>$M$15*S15</f>
        <v>0</v>
      </c>
      <c r="AP15" s="207">
        <f>$M$15*T15</f>
        <v>0</v>
      </c>
      <c r="AQ15" s="207" t="e">
        <f>$M$15*#REF!</f>
        <v>#REF!</v>
      </c>
      <c r="AR15" s="207">
        <f>$M$15*U15</f>
        <v>0</v>
      </c>
      <c r="AS15" s="208" t="e">
        <f>$M$15*V15</f>
        <v>#VALUE!</v>
      </c>
      <c r="AT15" s="207" t="e">
        <f>$M$15*W15</f>
        <v>#VALUE!</v>
      </c>
      <c r="AU15" s="208" t="e">
        <f>$M$15*X15</f>
        <v>#VALUE!</v>
      </c>
      <c r="AV15" s="207">
        <f>$M$15*AB15</f>
        <v>0</v>
      </c>
      <c r="AW15" s="208">
        <f>$M$15*AE15</f>
        <v>0</v>
      </c>
      <c r="AX15" s="207">
        <f>$M$15*AG15</f>
        <v>0</v>
      </c>
      <c r="AY15" s="209">
        <f>$M$15*AI15</f>
        <v>0</v>
      </c>
      <c r="AZ15" s="207">
        <f>$M$15*AK15</f>
        <v>0</v>
      </c>
      <c r="BA15" s="210"/>
      <c r="BB15" s="175" t="s">
        <v>23</v>
      </c>
      <c r="BC15" s="211" t="s">
        <v>113</v>
      </c>
      <c r="BD15" s="210"/>
      <c r="BE15" s="212"/>
      <c r="BF15" s="213">
        <f>IF(BH16="NO",((2*J15)+(2*K15))*'BD GN'!$AU$3,((3*J15)+(2*K15))*'BD GN'!$AU$3)</f>
        <v>0</v>
      </c>
      <c r="BG15" s="213">
        <f>'BD GN'!$BB$3*J15*K15</f>
        <v>0</v>
      </c>
      <c r="BH15" s="214">
        <f>((J15*2*BE15)+(K15*2*BE15))*'BD GN'!$AN$4</f>
        <v>0</v>
      </c>
      <c r="BI15" s="210"/>
      <c r="BJ15" s="212"/>
      <c r="BK15" s="212"/>
      <c r="BL15" s="215">
        <f>J15*K15*2.5*BJ15</f>
        <v>0</v>
      </c>
      <c r="BM15" s="215">
        <f>BK15+BL15</f>
        <v>0</v>
      </c>
      <c r="BN15" s="216" t="str">
        <f>IFERROR((VLOOKUP($C$12,'BD GN'!BD:BM,10,FALSE)*BM15)+$BR$338,"")</f>
        <v/>
      </c>
      <c r="BO15" s="210"/>
      <c r="BW15" s="210"/>
      <c r="CD15" s="184"/>
      <c r="CF15" s="185"/>
      <c r="CI15" s="184"/>
      <c r="CJ15" s="210"/>
      <c r="CK15" s="565"/>
      <c r="CL15" s="596"/>
      <c r="CM15" s="596"/>
      <c r="CN15" s="596"/>
      <c r="CO15" s="567"/>
      <c r="CP15" s="567"/>
      <c r="CQ15" s="567"/>
      <c r="CR15" s="567"/>
      <c r="CS15" s="567"/>
      <c r="CT15" s="567"/>
      <c r="CU15" s="565"/>
      <c r="CV15" s="560">
        <f>IFERROR(N15*CU15,"")</f>
        <v>0</v>
      </c>
      <c r="CW15" s="565"/>
      <c r="CX15" s="560">
        <f>IFERROR(P15*CW15,"")</f>
        <v>0</v>
      </c>
      <c r="CY15" s="565"/>
      <c r="CZ15" s="560">
        <f>IFERROR(R15*CY15,"")</f>
        <v>0</v>
      </c>
      <c r="DA15" s="565">
        <f>CU15+CW15+CY15</f>
        <v>0</v>
      </c>
      <c r="DB15" s="560">
        <f>IFERROR(CV15+CX15+CZ15,"")</f>
        <v>0</v>
      </c>
      <c r="DC15" s="565">
        <f>M15-(CU15+CW15+CY15)</f>
        <v>0</v>
      </c>
      <c r="DD15" s="560">
        <f>IFERROR(O15-(CV15+CX15+CZ15),"")</f>
        <v>0</v>
      </c>
      <c r="DG15" s="575">
        <v>10001</v>
      </c>
      <c r="DH15" s="575">
        <v>1</v>
      </c>
      <c r="DI15" s="569">
        <f>IFERROR(IF(DG15&gt;0,(((N15)/(1+10%+19%*5%)+((N15)/(1+10%+19%*5%))*10%)*DH15),0),0)</f>
        <v>1.0673367556557005</v>
      </c>
      <c r="DJ15" s="569">
        <f>IFERROR(IF(DG15&gt;0,(N15*DH15),0),0)</f>
        <v>1.0765546639999999</v>
      </c>
      <c r="DK15" s="569">
        <f>IF(DG15&gt;0,((R15+T15)*DH15),0)</f>
        <v>0</v>
      </c>
      <c r="DL15" s="569">
        <f>IF(DG15&gt;0,(Q15*DH15),0)</f>
        <v>0</v>
      </c>
      <c r="DM15" s="572">
        <f>IF(DG15&gt;0,(S15*DH15),0)</f>
        <v>0</v>
      </c>
      <c r="DN15" s="569" t="e">
        <f>IF(DG15&gt;0,(BN15*DH15),0)</f>
        <v>#VALUE!</v>
      </c>
      <c r="DO15" s="569" t="e">
        <f>IF(DG15&gt;0,(AF15*DH15),0)</f>
        <v>#VALUE!</v>
      </c>
      <c r="DP15" s="569">
        <f>IF(DG15&gt;0,((DI15)*('BD P&amp;G'!$E$16+'BD P&amp;G'!$E$17+'BD P&amp;G'!$E$18+'BD P&amp;G'!$E$19+'BD P&amp;G'!$E$20+'BD P&amp;G'!$E$21+'BD P&amp;G'!$E$22+'BD P&amp;G'!$E$23)*DH15),0)</f>
        <v>2.9016015061325683E-2</v>
      </c>
      <c r="DQ15" s="569">
        <f>IFERROR(IF(DG15&gt;0,((DI15*'BD P&amp;G'!$E$7)+(DI15*'BD P&amp;G'!$E$9)+AI15),0),0)</f>
        <v>4.582337471508513E-2</v>
      </c>
      <c r="DR15" s="569">
        <f>IFERROR(IF(DG15&gt;0,((DI15*1%)),0),0)</f>
        <v>1.0673367556557005E-2</v>
      </c>
      <c r="DS15" s="569">
        <f>IFERROR(IF(DG15&gt;0,(((DI15*'BD P&amp;G'!$E$32+DI15*'BD P&amp;G'!$E$33+DI15*'BD P&amp;G'!$E$35+DI15*'BD P&amp;G'!$E$36+DI15*'BD P&amp;G'!$E$37))),0),0)</f>
        <v>1.1041197418638094E-2</v>
      </c>
      <c r="DT15" s="569">
        <f>IF(DG15&gt;0,(Y15*DH15),0)</f>
        <v>4.2084457416288003E-2</v>
      </c>
      <c r="DU15" s="569" t="e">
        <f>IF(DG15&gt;0,(Z15*DH15),0)</f>
        <v>#VALUE!</v>
      </c>
      <c r="DV15" s="575">
        <f>IF(DG15&gt;0,(Y19*DH15),0)</f>
        <v>0</v>
      </c>
      <c r="DW15" s="575">
        <f>IF(DG15&gt;0,(Z19*DH15),0)</f>
        <v>0</v>
      </c>
      <c r="DX15" s="569">
        <f>IF(DV15&gt;0,DJ15,0)</f>
        <v>0</v>
      </c>
      <c r="DY15" s="569">
        <f>IF(DW15&gt;0,DJ15,0)</f>
        <v>0</v>
      </c>
    </row>
    <row r="16" spans="1:194" s="175" customFormat="1" ht="60" customHeight="1" x14ac:dyDescent="0.25">
      <c r="A16" s="366"/>
      <c r="B16" s="367"/>
      <c r="C16" s="393" t="s">
        <v>28</v>
      </c>
      <c r="D16" s="598"/>
      <c r="E16" s="598"/>
      <c r="F16" s="598"/>
      <c r="G16" s="598"/>
      <c r="H16" s="598"/>
      <c r="I16" s="598"/>
      <c r="J16" s="604"/>
      <c r="K16" s="604"/>
      <c r="L16" s="607"/>
      <c r="M16" s="559"/>
      <c r="N16" s="610"/>
      <c r="O16" s="613"/>
      <c r="P16" s="192"/>
      <c r="Q16" s="217"/>
      <c r="R16" s="217"/>
      <c r="S16" s="218"/>
      <c r="T16" s="219">
        <f>IFERROR(T15/$R$353,"")</f>
        <v>0</v>
      </c>
      <c r="U16" s="206"/>
      <c r="V16" s="220"/>
      <c r="W16" s="221" t="s">
        <v>239</v>
      </c>
      <c r="X16" s="222" t="s">
        <v>204</v>
      </c>
      <c r="Y16" s="223"/>
      <c r="Z16" s="224"/>
      <c r="AA16" s="225"/>
      <c r="AB16" s="226"/>
      <c r="AC16" s="206"/>
      <c r="AD16" s="206"/>
      <c r="AE16" s="206"/>
      <c r="AF16" s="227"/>
      <c r="AG16" s="206"/>
      <c r="AH16" s="206"/>
      <c r="AI16" s="206"/>
      <c r="AJ16" s="206"/>
      <c r="AK16" s="227"/>
      <c r="AL16" s="210"/>
      <c r="AM16" s="206"/>
      <c r="AN16" s="206"/>
      <c r="AO16" s="228"/>
      <c r="AP16" s="229"/>
      <c r="AQ16" s="206"/>
      <c r="AR16" s="206"/>
      <c r="AS16" s="228"/>
      <c r="AT16" s="229"/>
      <c r="AU16" s="228"/>
      <c r="AV16" s="229"/>
      <c r="AW16" s="228"/>
      <c r="AX16" s="229"/>
      <c r="AY16" s="206"/>
      <c r="AZ16" s="229"/>
      <c r="BA16" s="210"/>
      <c r="BB16" s="175" t="s">
        <v>24</v>
      </c>
      <c r="BC16" s="175" t="s">
        <v>114</v>
      </c>
      <c r="BD16" s="210"/>
      <c r="BE16" s="176" t="s">
        <v>206</v>
      </c>
      <c r="BF16" s="230" t="s">
        <v>204</v>
      </c>
      <c r="BG16" s="176" t="s">
        <v>290</v>
      </c>
      <c r="BH16" s="231" t="s">
        <v>204</v>
      </c>
      <c r="BI16" s="210"/>
      <c r="BN16" s="232"/>
      <c r="BO16" s="210"/>
      <c r="BP16" s="671" t="s">
        <v>408</v>
      </c>
      <c r="BQ16" s="672"/>
      <c r="BR16" s="672"/>
      <c r="BS16" s="672"/>
      <c r="BT16" s="672"/>
      <c r="BU16" s="672"/>
      <c r="BV16" s="673"/>
      <c r="BW16" s="210"/>
      <c r="CD16" s="184"/>
      <c r="CF16" s="185"/>
      <c r="CI16" s="184"/>
      <c r="CJ16" s="210"/>
      <c r="CK16" s="563"/>
      <c r="CL16" s="559"/>
      <c r="CM16" s="559"/>
      <c r="CN16" s="559"/>
      <c r="CO16" s="567"/>
      <c r="CP16" s="567"/>
      <c r="CQ16" s="567"/>
      <c r="CR16" s="567"/>
      <c r="CS16" s="567"/>
      <c r="CT16" s="567"/>
      <c r="CU16" s="563"/>
      <c r="CV16" s="561"/>
      <c r="CW16" s="563"/>
      <c r="CX16" s="561"/>
      <c r="CY16" s="563"/>
      <c r="CZ16" s="561"/>
      <c r="DA16" s="563"/>
      <c r="DB16" s="561"/>
      <c r="DC16" s="563"/>
      <c r="DD16" s="561"/>
      <c r="DG16" s="576"/>
      <c r="DH16" s="576"/>
      <c r="DI16" s="570"/>
      <c r="DJ16" s="570"/>
      <c r="DK16" s="570"/>
      <c r="DL16" s="570"/>
      <c r="DM16" s="573"/>
      <c r="DN16" s="570"/>
      <c r="DO16" s="570"/>
      <c r="DP16" s="570"/>
      <c r="DQ16" s="570"/>
      <c r="DR16" s="570"/>
      <c r="DS16" s="570"/>
      <c r="DT16" s="570"/>
      <c r="DU16" s="570"/>
      <c r="DV16" s="576"/>
      <c r="DW16" s="576"/>
      <c r="DX16" s="570"/>
      <c r="DY16" s="570"/>
    </row>
    <row r="17" spans="1:194" s="175" customFormat="1" ht="60" customHeight="1" x14ac:dyDescent="0.3">
      <c r="A17" s="366"/>
      <c r="B17" s="367"/>
      <c r="C17" s="393" t="s">
        <v>30</v>
      </c>
      <c r="D17" s="599"/>
      <c r="E17" s="599"/>
      <c r="F17" s="599"/>
      <c r="G17" s="599"/>
      <c r="H17" s="599"/>
      <c r="I17" s="599"/>
      <c r="J17" s="604"/>
      <c r="K17" s="604"/>
      <c r="L17" s="607"/>
      <c r="M17" s="559"/>
      <c r="N17" s="610"/>
      <c r="O17" s="613"/>
      <c r="P17" s="192"/>
      <c r="Q17" s="176" t="s">
        <v>205</v>
      </c>
      <c r="R17" s="233" t="s">
        <v>204</v>
      </c>
      <c r="S17" s="234"/>
      <c r="T17" s="235">
        <f>IFERROR(($R$353-8000)*T16,"")</f>
        <v>0</v>
      </c>
      <c r="U17" s="206"/>
      <c r="V17" s="220"/>
      <c r="W17" s="221" t="s">
        <v>258</v>
      </c>
      <c r="X17" s="222" t="s">
        <v>204</v>
      </c>
      <c r="Y17" s="236"/>
      <c r="Z17" s="237"/>
      <c r="AA17" s="225"/>
      <c r="AB17" s="226"/>
      <c r="AC17" s="206"/>
      <c r="AD17" s="206"/>
      <c r="AE17" s="206"/>
      <c r="AF17" s="227"/>
      <c r="AG17" s="206"/>
      <c r="AH17" s="206"/>
      <c r="AI17" s="206"/>
      <c r="AJ17" s="206"/>
      <c r="AK17" s="227"/>
      <c r="AL17" s="238"/>
      <c r="AM17" s="206"/>
      <c r="AN17" s="206"/>
      <c r="AO17" s="228"/>
      <c r="AP17" s="229"/>
      <c r="AQ17" s="206"/>
      <c r="AR17" s="206"/>
      <c r="AS17" s="228"/>
      <c r="AT17" s="229"/>
      <c r="AU17" s="228"/>
      <c r="AV17" s="229"/>
      <c r="AW17" s="228"/>
      <c r="AX17" s="229"/>
      <c r="AY17" s="206"/>
      <c r="AZ17" s="229"/>
      <c r="BA17" s="210"/>
      <c r="BB17" s="175" t="s">
        <v>26</v>
      </c>
      <c r="BC17" s="211" t="s">
        <v>115</v>
      </c>
      <c r="BD17" s="210"/>
      <c r="BE17" s="177" t="str">
        <f>IFERROR(VLOOKUP(D15,'BD M.O'!C:H,4,FALSE),"")</f>
        <v/>
      </c>
      <c r="BF17" s="177" t="s">
        <v>259</v>
      </c>
      <c r="BI17" s="210"/>
      <c r="BO17" s="210"/>
      <c r="BP17" s="177" t="s">
        <v>120</v>
      </c>
      <c r="BQ17" s="177" t="s">
        <v>145</v>
      </c>
      <c r="BR17" s="176" t="s">
        <v>183</v>
      </c>
      <c r="BS17" s="176" t="s">
        <v>181</v>
      </c>
      <c r="BT17" s="176" t="s">
        <v>182</v>
      </c>
      <c r="BU17" s="656"/>
      <c r="BV17" s="657"/>
      <c r="BW17" s="210"/>
      <c r="CD17" s="184"/>
      <c r="CF17" s="185"/>
      <c r="CI17" s="184"/>
      <c r="CJ17" s="210"/>
      <c r="CK17" s="563"/>
      <c r="CL17" s="559"/>
      <c r="CM17" s="559"/>
      <c r="CN17" s="559"/>
      <c r="CO17" s="567"/>
      <c r="CP17" s="567"/>
      <c r="CQ17" s="567"/>
      <c r="CR17" s="567"/>
      <c r="CS17" s="567"/>
      <c r="CT17" s="567"/>
      <c r="CU17" s="563"/>
      <c r="CV17" s="561"/>
      <c r="CW17" s="563"/>
      <c r="CX17" s="561"/>
      <c r="CY17" s="563"/>
      <c r="CZ17" s="561"/>
      <c r="DA17" s="563"/>
      <c r="DB17" s="561"/>
      <c r="DC17" s="563"/>
      <c r="DD17" s="561"/>
      <c r="DG17" s="577"/>
      <c r="DH17" s="577"/>
      <c r="DI17" s="571"/>
      <c r="DJ17" s="571"/>
      <c r="DK17" s="571"/>
      <c r="DL17" s="571"/>
      <c r="DM17" s="574"/>
      <c r="DN17" s="571"/>
      <c r="DO17" s="571"/>
      <c r="DP17" s="571"/>
      <c r="DQ17" s="571"/>
      <c r="DR17" s="571"/>
      <c r="DS17" s="571"/>
      <c r="DT17" s="571"/>
      <c r="DU17" s="571"/>
      <c r="DV17" s="577"/>
      <c r="DW17" s="577"/>
      <c r="DX17" s="571"/>
      <c r="DY17" s="571"/>
    </row>
    <row r="18" spans="1:194" s="175" customFormat="1" ht="60" customHeight="1" x14ac:dyDescent="0.25">
      <c r="A18" s="366"/>
      <c r="B18" s="367"/>
      <c r="C18" s="395" t="s">
        <v>180</v>
      </c>
      <c r="D18" s="599" t="s">
        <v>31</v>
      </c>
      <c r="E18" s="599"/>
      <c r="F18" s="394" t="s">
        <v>9</v>
      </c>
      <c r="G18" s="599" t="s">
        <v>33</v>
      </c>
      <c r="H18" s="599"/>
      <c r="I18" s="394" t="str">
        <f>+IF($BG$9="SI","","X")</f>
        <v>X</v>
      </c>
      <c r="J18" s="604"/>
      <c r="K18" s="604"/>
      <c r="L18" s="607"/>
      <c r="M18" s="559"/>
      <c r="N18" s="610"/>
      <c r="O18" s="613"/>
      <c r="P18" s="192"/>
      <c r="Q18" s="239"/>
      <c r="R18" s="221" t="s">
        <v>209</v>
      </c>
      <c r="S18" s="234" t="str">
        <f>IF(S16="","",S16/(J15*K15))</f>
        <v/>
      </c>
      <c r="T18" s="226"/>
      <c r="U18" s="206"/>
      <c r="V18" s="220"/>
      <c r="W18" s="239" t="str">
        <f>IFERROR(IF(X17="SI",VLOOKUP(D15,'BD M.O'!C:F,4,FALSE),""),"")</f>
        <v/>
      </c>
      <c r="X18" s="221" t="s">
        <v>258</v>
      </c>
      <c r="Y18" s="221" t="s">
        <v>507</v>
      </c>
      <c r="Z18" s="221" t="s">
        <v>508</v>
      </c>
      <c r="AA18" s="225"/>
      <c r="AB18" s="226"/>
      <c r="AC18" s="206"/>
      <c r="AD18" s="206"/>
      <c r="AE18" s="206"/>
      <c r="AF18" s="227"/>
      <c r="AG18" s="206"/>
      <c r="AH18" s="206"/>
      <c r="AI18" s="206"/>
      <c r="AJ18" s="206"/>
      <c r="AK18" s="227"/>
      <c r="AL18" s="240"/>
      <c r="AM18" s="206"/>
      <c r="AN18" s="206"/>
      <c r="AO18" s="228"/>
      <c r="AP18" s="229"/>
      <c r="AQ18" s="206"/>
      <c r="AR18" s="206"/>
      <c r="AS18" s="228"/>
      <c r="AT18" s="229"/>
      <c r="AU18" s="228"/>
      <c r="AV18" s="229"/>
      <c r="AW18" s="228"/>
      <c r="AX18" s="229"/>
      <c r="AY18" s="206"/>
      <c r="AZ18" s="229"/>
      <c r="BA18" s="210"/>
      <c r="BC18" s="175" t="s">
        <v>116</v>
      </c>
      <c r="BD18" s="210"/>
      <c r="BE18" s="177" t="str">
        <f>IFERROR(VLOOKUP(COTIZACIÓN!D15,'BD M.O'!C:I,5,FALSE),"")</f>
        <v/>
      </c>
      <c r="BF18" s="177" t="s">
        <v>260</v>
      </c>
      <c r="BI18" s="210"/>
      <c r="BO18" s="210"/>
      <c r="BP18" s="178"/>
      <c r="BQ18" s="178"/>
      <c r="BR18" s="179">
        <f>IFERROR((SUM(Y340:Z340)),"")</f>
        <v>0</v>
      </c>
      <c r="BS18" s="179">
        <f>Y340</f>
        <v>0</v>
      </c>
      <c r="BT18" s="179">
        <f>Z340</f>
        <v>0</v>
      </c>
      <c r="BU18" s="658"/>
      <c r="BV18" s="659"/>
      <c r="BW18" s="210"/>
      <c r="BX18" s="183"/>
      <c r="BY18" s="183"/>
      <c r="BZ18" s="183"/>
      <c r="CA18" s="183"/>
      <c r="CB18" s="183"/>
      <c r="CC18" s="183"/>
      <c r="CD18" s="182"/>
      <c r="CE18" s="183"/>
      <c r="CF18" s="241"/>
      <c r="CG18" s="183"/>
      <c r="CH18" s="183"/>
      <c r="CI18" s="182"/>
      <c r="CJ18" s="210"/>
      <c r="CK18" s="563"/>
      <c r="CL18" s="559"/>
      <c r="CM18" s="559"/>
      <c r="CN18" s="559"/>
      <c r="CO18" s="567"/>
      <c r="CP18" s="567"/>
      <c r="CQ18" s="567"/>
      <c r="CR18" s="567"/>
      <c r="CS18" s="567"/>
      <c r="CT18" s="567"/>
      <c r="CU18" s="563"/>
      <c r="CV18" s="561"/>
      <c r="CW18" s="563"/>
      <c r="CX18" s="561"/>
      <c r="CY18" s="563"/>
      <c r="CZ18" s="561"/>
      <c r="DA18" s="563"/>
      <c r="DB18" s="561"/>
      <c r="DC18" s="563"/>
      <c r="DD18" s="561"/>
      <c r="DG18" s="575"/>
      <c r="DH18" s="575"/>
      <c r="DI18" s="569">
        <f>IFERROR(IF(DG18&gt;0,(((N15)/(1+10%+19%*5%)+((N15)/(1+10%+19%*5%))*10%)*DH18),0),0)</f>
        <v>0</v>
      </c>
      <c r="DJ18" s="569">
        <f>IFERROR(IF(DG18&gt;0,(N15*DH18),0),0)</f>
        <v>0</v>
      </c>
      <c r="DK18" s="569">
        <f>IF(DG18&gt;0,((R15+T15)*DH18),0)</f>
        <v>0</v>
      </c>
      <c r="DL18" s="569">
        <f>IF(DG18&gt;0,(Q15*DH18),0)</f>
        <v>0</v>
      </c>
      <c r="DM18" s="572">
        <f>IF(DG18&gt;0,(S15*DH18),0)</f>
        <v>0</v>
      </c>
      <c r="DN18" s="569">
        <f>IF(DG18&gt;0,(BN15*DH18),0)</f>
        <v>0</v>
      </c>
      <c r="DO18" s="569">
        <f>IF(DG18&gt;0,(AF15*DH18),0)</f>
        <v>0</v>
      </c>
      <c r="DP18" s="569">
        <f>IF(DG18&gt;0,((DI18)*('BD P&amp;G'!$E$16+'BD P&amp;G'!$E$17+'BD P&amp;G'!$E$18+'BD P&amp;G'!$E$19+'BD P&amp;G'!$E$20+'BD P&amp;G'!$E$21+'BD P&amp;G'!$E$22+'BD P&amp;G'!$E$23)*DH18),0)</f>
        <v>0</v>
      </c>
      <c r="DQ18" s="569">
        <f>IFERROR(IF(DG18&gt;0,((DI18*'BD P&amp;G'!$E$7)+(DI18*'BD P&amp;G'!$E$9)+AI15),0),0)</f>
        <v>0</v>
      </c>
      <c r="DR18" s="569">
        <f>IFERROR(IF(DG18&gt;0,((DI18*1%)),0),0)</f>
        <v>0</v>
      </c>
      <c r="DS18" s="569">
        <f>IFERROR(IF(DG18&gt;0,(((DI18*'BD P&amp;G'!$E$32+DI18*'BD P&amp;G'!$E$33+DI18*'BD P&amp;G'!$E$35+DI18*'BD P&amp;G'!$E$36+DI18*'BD P&amp;G'!$E$37))),0),0)</f>
        <v>0</v>
      </c>
      <c r="DT18" s="569">
        <f>IF(DG18&gt;0,(Y15*DH18),0)</f>
        <v>0</v>
      </c>
      <c r="DU18" s="569">
        <f>IF(DG18&gt;0,(Z15*DH18),0)</f>
        <v>0</v>
      </c>
      <c r="DV18" s="575">
        <f>IF(DG18&gt;0,(Y19*DH18),0)</f>
        <v>0</v>
      </c>
      <c r="DW18" s="575">
        <f>IF(DG18&gt;0,(Z19*DH18),0)</f>
        <v>0</v>
      </c>
      <c r="DX18" s="569">
        <f>IF(DV18&gt;0,DJ18,0)</f>
        <v>0</v>
      </c>
      <c r="DY18" s="569">
        <f>IF(DW18&gt;0,DJ18,0)</f>
        <v>0</v>
      </c>
    </row>
    <row r="19" spans="1:194" s="175" customFormat="1" ht="60" customHeight="1" x14ac:dyDescent="0.3">
      <c r="A19" s="366"/>
      <c r="B19" s="367"/>
      <c r="C19" s="393" t="s">
        <v>35</v>
      </c>
      <c r="D19" s="599" t="str">
        <f>IFERROR(VLOOKUP(D15,'BD GN'!C:E,3,),"")</f>
        <v/>
      </c>
      <c r="E19" s="599"/>
      <c r="F19" s="599"/>
      <c r="G19" s="599"/>
      <c r="H19" s="599"/>
      <c r="I19" s="599"/>
      <c r="J19" s="604"/>
      <c r="K19" s="604"/>
      <c r="L19" s="607"/>
      <c r="M19" s="559"/>
      <c r="N19" s="610"/>
      <c r="O19" s="613"/>
      <c r="P19" s="192"/>
      <c r="Q19" s="239"/>
      <c r="R19" s="221" t="s">
        <v>210</v>
      </c>
      <c r="S19" s="234" t="str">
        <f>IFERROR(IF(N15="","",N15/W19),"")</f>
        <v/>
      </c>
      <c r="T19" s="226"/>
      <c r="U19" s="206"/>
      <c r="V19" s="220"/>
      <c r="W19" s="242" t="str">
        <f>+IF(J15*K15&gt;=1,J15*K15,IF(AND(J15*K15&gt;0,J15*K15&lt;1),1,""))</f>
        <v/>
      </c>
      <c r="X19" s="221" t="s">
        <v>298</v>
      </c>
      <c r="Y19" s="461">
        <f>IFERROR(IF(D15='BD GN'!$C$25,COTIZACIÓN!W19,IF(D15='BD GN'!$C$26,COTIZACIÓN!W19,IF(D15='BD GN'!$C$27,COTIZACIÓN!W19,IF(COTIZACIÓN!D15='BD GN'!$C$28,COTIZACIÓN!W19,IF(COTIZACIÓN!D15='BD GN'!$C$29,COTIZACIÓN!W19,IF(COTIZACIÓN!D15='BD GN'!$C$35,COTIZACIÓN!W19,IF(COTIZACIÓN!D15='BD GN'!$C$36,COTIZACIÓN!W19,IF(COTIZACIÓN!D15='BD GN'!$C$37,COTIZACIÓN!W19,IF(COTIZACIÓN!D15='BD GN'!$C$38,COTIZACIÓN!W19,IF(COTIZACIÓN!D15='BD GN'!$C$39,COTIZACIÓN!W19,IF(COTIZACIÓN!D15='BD GN'!$C$40,COTIZACIÓN!W19,IF(COTIZACIÓN!D15='BD GN'!$C$41,COTIZACIÓN!W19,IF(COTIZACIÓN!D15='BD GN'!$C$42,COTIZACIÓN!W19,IF(COTIZACIÓN!D15='BD GN'!$C$49,COTIZACIÓN!W19,IF(COTIZACIÓN!D15='BD GN'!$C$50,COTIZACIÓN!W19,IF(COTIZACIÓN!D15='BD GN'!$C$51,COTIZACIÓN!W19,IF(COTIZACIÓN!D15='BD GN'!$C$67,COTIZACIÓN!W19,0))))))))))))))))),0)</f>
        <v>0</v>
      </c>
      <c r="Z19" s="461">
        <f>IFERROR(W19-Y19,0)</f>
        <v>0</v>
      </c>
      <c r="AA19" s="225"/>
      <c r="AB19" s="226"/>
      <c r="AC19" s="206"/>
      <c r="AD19" s="206"/>
      <c r="AE19" s="206"/>
      <c r="AF19" s="227"/>
      <c r="AG19" s="206"/>
      <c r="AH19" s="206"/>
      <c r="AI19" s="206"/>
      <c r="AJ19" s="206"/>
      <c r="AK19" s="227"/>
      <c r="AL19" s="210"/>
      <c r="AM19" s="206"/>
      <c r="AN19" s="206"/>
      <c r="AO19" s="228"/>
      <c r="AP19" s="229"/>
      <c r="AQ19" s="206"/>
      <c r="AR19" s="206"/>
      <c r="AS19" s="228"/>
      <c r="AT19" s="229"/>
      <c r="AU19" s="228"/>
      <c r="AV19" s="229"/>
      <c r="AW19" s="228"/>
      <c r="AX19" s="229"/>
      <c r="AY19" s="206"/>
      <c r="AZ19" s="229"/>
      <c r="BA19" s="210"/>
      <c r="BC19" s="211" t="s">
        <v>117</v>
      </c>
      <c r="BD19" s="210"/>
      <c r="BE19" s="177" t="str">
        <f>IFERROR(VLOOKUP(D15,'BD M.O'!C:I,6,FALSE),"")</f>
        <v/>
      </c>
      <c r="BF19" s="177" t="s">
        <v>261</v>
      </c>
      <c r="BI19" s="210"/>
      <c r="BO19" s="210"/>
      <c r="BP19" s="183"/>
      <c r="BQ19" s="183"/>
      <c r="BR19" s="183"/>
      <c r="BW19" s="210"/>
      <c r="CD19" s="184"/>
      <c r="CF19" s="185"/>
      <c r="CI19" s="184"/>
      <c r="CJ19" s="210"/>
      <c r="CK19" s="563"/>
      <c r="CL19" s="559"/>
      <c r="CM19" s="559"/>
      <c r="CN19" s="559"/>
      <c r="CO19" s="567"/>
      <c r="CP19" s="567"/>
      <c r="CQ19" s="567"/>
      <c r="CR19" s="567"/>
      <c r="CS19" s="567"/>
      <c r="CT19" s="567"/>
      <c r="CU19" s="563"/>
      <c r="CV19" s="561"/>
      <c r="CW19" s="563"/>
      <c r="CX19" s="561"/>
      <c r="CY19" s="563"/>
      <c r="CZ19" s="561"/>
      <c r="DA19" s="563"/>
      <c r="DB19" s="561"/>
      <c r="DC19" s="563"/>
      <c r="DD19" s="561"/>
      <c r="DG19" s="576"/>
      <c r="DH19" s="576"/>
      <c r="DI19" s="570"/>
      <c r="DJ19" s="570"/>
      <c r="DK19" s="570"/>
      <c r="DL19" s="570"/>
      <c r="DM19" s="573"/>
      <c r="DN19" s="570"/>
      <c r="DO19" s="570"/>
      <c r="DP19" s="570"/>
      <c r="DQ19" s="570"/>
      <c r="DR19" s="570"/>
      <c r="DS19" s="570"/>
      <c r="DT19" s="570"/>
      <c r="DU19" s="570"/>
      <c r="DV19" s="576"/>
      <c r="DW19" s="576"/>
      <c r="DX19" s="570"/>
      <c r="DY19" s="570"/>
    </row>
    <row r="20" spans="1:194" s="252" customFormat="1" ht="60" customHeight="1" x14ac:dyDescent="0.25">
      <c r="A20" s="368"/>
      <c r="B20" s="369"/>
      <c r="C20" s="396" t="s">
        <v>10</v>
      </c>
      <c r="D20" s="600" t="s">
        <v>32</v>
      </c>
      <c r="E20" s="600"/>
      <c r="F20" s="600"/>
      <c r="G20" s="600"/>
      <c r="H20" s="600"/>
      <c r="I20" s="600"/>
      <c r="J20" s="605"/>
      <c r="K20" s="605"/>
      <c r="L20" s="608"/>
      <c r="M20" s="597"/>
      <c r="N20" s="611"/>
      <c r="O20" s="614"/>
      <c r="P20" s="192"/>
      <c r="Q20" s="239"/>
      <c r="R20" s="334" t="s">
        <v>475</v>
      </c>
      <c r="S20" s="234" t="str">
        <f>IFERROR(IF($C$12='BD GN'!$CC$1,VLOOKUP(COTIZACIÓN!D15,'BD GN'!CB:CG,2,FALSE),IF(COTIZACIÓN!$C$12='BD GN'!$CD$1,VLOOKUP(COTIZACIÓN!D15,'BD GN'!CB:CG,3,FALSE),IF($C$12='BD GN'!$CE$1,VLOOKUP(COTIZACIÓN!D15,'BD GN'!CB:CG,4,FALSE),IF(COTIZACIÓN!$C$12='BD GN'!$CF$1,VLOOKUP(COTIZACIÓN!D15,'BD GN'!CB:CG,5,FALSE),IF(COTIZACIÓN!$C$12='BD GN'!$CG$1,VLOOKUP(COTIZACIÓN!D15,'BD GN'!CB:CG,6,FALSE),""))))),"-")</f>
        <v/>
      </c>
      <c r="T20" s="243"/>
      <c r="U20" s="244"/>
      <c r="V20" s="245"/>
      <c r="W20" s="177" t="s">
        <v>394</v>
      </c>
      <c r="X20" s="246">
        <f>IFERROR(SUM(W15:X15),"")</f>
        <v>0</v>
      </c>
      <c r="Y20" s="166" t="s">
        <v>404</v>
      </c>
      <c r="Z20" s="199" t="str">
        <f>IFERROR(Y15+Z15,"")</f>
        <v/>
      </c>
      <c r="AA20" s="247"/>
      <c r="AB20" s="243"/>
      <c r="AC20" s="244"/>
      <c r="AD20" s="244"/>
      <c r="AE20" s="244"/>
      <c r="AF20" s="227"/>
      <c r="AG20" s="206"/>
      <c r="AH20" s="206"/>
      <c r="AI20" s="206"/>
      <c r="AJ20" s="206"/>
      <c r="AK20" s="227"/>
      <c r="AL20" s="227"/>
      <c r="AM20" s="248"/>
      <c r="AN20" s="248"/>
      <c r="AO20" s="249"/>
      <c r="AP20" s="250"/>
      <c r="AQ20" s="248"/>
      <c r="AR20" s="248"/>
      <c r="AS20" s="249"/>
      <c r="AT20" s="250"/>
      <c r="AU20" s="249"/>
      <c r="AV20" s="250"/>
      <c r="AW20" s="249"/>
      <c r="AX20" s="250"/>
      <c r="AY20" s="248"/>
      <c r="AZ20" s="250"/>
      <c r="BA20" s="210"/>
      <c r="BB20" s="175"/>
      <c r="BC20" s="175" t="s">
        <v>118</v>
      </c>
      <c r="BD20" s="210"/>
      <c r="BE20" s="251" t="str">
        <f>IFERROR(VLOOKUP(D15,'BD M.O'!C:I,7,FALSE),"")</f>
        <v/>
      </c>
      <c r="BF20" s="251" t="s">
        <v>262</v>
      </c>
      <c r="BG20" s="175"/>
      <c r="BH20" s="175"/>
      <c r="BI20" s="210"/>
      <c r="BJ20" s="175"/>
      <c r="BK20" s="175"/>
      <c r="BL20" s="175"/>
      <c r="BM20" s="175"/>
      <c r="BN20" s="175"/>
      <c r="BO20" s="210"/>
      <c r="BP20" s="175"/>
      <c r="BQ20" s="175"/>
      <c r="BR20" s="175"/>
      <c r="BS20" s="183"/>
      <c r="BT20" s="183"/>
      <c r="BU20" s="183"/>
      <c r="BV20" s="183"/>
      <c r="BW20" s="210"/>
      <c r="BX20" s="175"/>
      <c r="BY20" s="175"/>
      <c r="BZ20" s="175"/>
      <c r="CA20" s="175"/>
      <c r="CB20" s="175"/>
      <c r="CC20" s="175"/>
      <c r="CD20" s="184"/>
      <c r="CE20" s="175"/>
      <c r="CF20" s="185"/>
      <c r="CG20" s="175"/>
      <c r="CH20" s="175"/>
      <c r="CI20" s="184"/>
      <c r="CJ20" s="210"/>
      <c r="CK20" s="564"/>
      <c r="CL20" s="597"/>
      <c r="CM20" s="597"/>
      <c r="CN20" s="597"/>
      <c r="CO20" s="567"/>
      <c r="CP20" s="567"/>
      <c r="CQ20" s="567"/>
      <c r="CR20" s="567"/>
      <c r="CS20" s="567"/>
      <c r="CT20" s="567"/>
      <c r="CU20" s="564"/>
      <c r="CV20" s="562"/>
      <c r="CW20" s="564"/>
      <c r="CX20" s="562"/>
      <c r="CY20" s="564"/>
      <c r="CZ20" s="562"/>
      <c r="DA20" s="564"/>
      <c r="DB20" s="562"/>
      <c r="DC20" s="564"/>
      <c r="DD20" s="562"/>
      <c r="DE20" s="175"/>
      <c r="DF20" s="175"/>
      <c r="DG20" s="577"/>
      <c r="DH20" s="577"/>
      <c r="DI20" s="571"/>
      <c r="DJ20" s="571"/>
      <c r="DK20" s="571"/>
      <c r="DL20" s="571"/>
      <c r="DM20" s="574"/>
      <c r="DN20" s="571"/>
      <c r="DO20" s="571"/>
      <c r="DP20" s="571"/>
      <c r="DQ20" s="571"/>
      <c r="DR20" s="571"/>
      <c r="DS20" s="571"/>
      <c r="DT20" s="571"/>
      <c r="DU20" s="571"/>
      <c r="DV20" s="577"/>
      <c r="DW20" s="577"/>
      <c r="DX20" s="571"/>
      <c r="DY20" s="571"/>
      <c r="DZ20" s="175"/>
      <c r="EA20" s="175"/>
      <c r="EB20" s="175"/>
      <c r="EC20" s="175"/>
      <c r="ED20" s="175"/>
      <c r="EE20" s="175"/>
      <c r="EF20" s="175"/>
      <c r="EG20" s="175"/>
      <c r="EH20" s="175"/>
      <c r="EI20" s="175"/>
      <c r="EJ20" s="175"/>
      <c r="EK20" s="175"/>
      <c r="EL20" s="175"/>
      <c r="EM20" s="175"/>
      <c r="EN20" s="175"/>
      <c r="EO20" s="175"/>
      <c r="EP20" s="175"/>
      <c r="EQ20" s="175"/>
      <c r="ER20" s="175"/>
      <c r="ES20" s="175"/>
      <c r="ET20" s="175"/>
      <c r="EU20" s="175"/>
      <c r="EV20" s="175"/>
      <c r="EW20" s="175"/>
      <c r="EX20" s="175"/>
      <c r="EY20" s="175"/>
      <c r="EZ20" s="175"/>
      <c r="FA20" s="175"/>
      <c r="FB20" s="175"/>
      <c r="FC20" s="175"/>
      <c r="FD20" s="175"/>
      <c r="FE20" s="175"/>
      <c r="FF20" s="175"/>
      <c r="FG20" s="175"/>
      <c r="FH20" s="175"/>
      <c r="FI20" s="175"/>
      <c r="FJ20" s="175"/>
      <c r="FK20" s="175"/>
      <c r="FL20" s="175"/>
      <c r="FM20" s="175"/>
      <c r="FN20" s="175"/>
      <c r="FO20" s="175"/>
      <c r="FP20" s="175"/>
      <c r="FQ20" s="175"/>
      <c r="FR20" s="175"/>
      <c r="FS20" s="175"/>
      <c r="FT20" s="175"/>
      <c r="FU20" s="175"/>
      <c r="FV20" s="175"/>
      <c r="FW20" s="175"/>
      <c r="FX20" s="175"/>
      <c r="FY20" s="175"/>
      <c r="FZ20" s="175"/>
      <c r="GA20" s="175"/>
      <c r="GB20" s="175"/>
      <c r="GC20" s="175"/>
      <c r="GD20" s="175"/>
      <c r="GE20" s="175"/>
      <c r="GF20" s="175"/>
      <c r="GG20" s="175"/>
      <c r="GH20" s="175"/>
      <c r="GI20" s="175"/>
      <c r="GJ20" s="175"/>
      <c r="GK20" s="175"/>
      <c r="GL20" s="175"/>
    </row>
    <row r="21" spans="1:194" s="255" customFormat="1" ht="60" customHeight="1" x14ac:dyDescent="0.3">
      <c r="A21" s="362" t="s">
        <v>193</v>
      </c>
      <c r="B21" s="363" t="s">
        <v>25</v>
      </c>
      <c r="C21" s="391" t="s">
        <v>174</v>
      </c>
      <c r="D21" s="640" t="s">
        <v>173</v>
      </c>
      <c r="E21" s="640"/>
      <c r="F21" s="640"/>
      <c r="G21" s="640"/>
      <c r="H21" s="640"/>
      <c r="I21" s="640"/>
      <c r="J21" s="418" t="s">
        <v>443</v>
      </c>
      <c r="K21" s="418" t="s">
        <v>444</v>
      </c>
      <c r="L21" s="418" t="s">
        <v>171</v>
      </c>
      <c r="M21" s="363" t="s">
        <v>2</v>
      </c>
      <c r="N21" s="419" t="s">
        <v>7</v>
      </c>
      <c r="O21" s="420" t="s">
        <v>8</v>
      </c>
      <c r="P21" s="159"/>
      <c r="Q21" s="164" t="s">
        <v>93</v>
      </c>
      <c r="R21" s="164" t="s">
        <v>34</v>
      </c>
      <c r="S21" s="164" t="s">
        <v>28</v>
      </c>
      <c r="T21" s="164" t="s">
        <v>95</v>
      </c>
      <c r="U21" s="164" t="s">
        <v>96</v>
      </c>
      <c r="V21" s="164" t="s">
        <v>97</v>
      </c>
      <c r="W21" s="164" t="s">
        <v>4</v>
      </c>
      <c r="X21" s="164" t="s">
        <v>103</v>
      </c>
      <c r="Y21" s="160" t="s">
        <v>402</v>
      </c>
      <c r="Z21" s="165" t="s">
        <v>403</v>
      </c>
      <c r="AA21" s="166" t="s">
        <v>404</v>
      </c>
      <c r="AB21" s="164" t="s">
        <v>99</v>
      </c>
      <c r="AC21" s="164" t="s">
        <v>395</v>
      </c>
      <c r="AD21" s="253" t="s">
        <v>36</v>
      </c>
      <c r="AE21" s="164" t="s">
        <v>389</v>
      </c>
      <c r="AF21" s="164" t="s">
        <v>390</v>
      </c>
      <c r="AG21" s="164" t="s">
        <v>164</v>
      </c>
      <c r="AH21" s="253" t="s">
        <v>396</v>
      </c>
      <c r="AI21" s="164" t="s">
        <v>190</v>
      </c>
      <c r="AJ21" s="164" t="s">
        <v>339</v>
      </c>
      <c r="AK21" s="253" t="s">
        <v>391</v>
      </c>
      <c r="AL21" s="253" t="s">
        <v>393</v>
      </c>
      <c r="AM21" s="167" t="s">
        <v>93</v>
      </c>
      <c r="AN21" s="168" t="s">
        <v>34</v>
      </c>
      <c r="AO21" s="169" t="s">
        <v>28</v>
      </c>
      <c r="AP21" s="170" t="s">
        <v>95</v>
      </c>
      <c r="AQ21" s="167" t="s">
        <v>3</v>
      </c>
      <c r="AR21" s="167" t="s">
        <v>96</v>
      </c>
      <c r="AS21" s="169" t="s">
        <v>97</v>
      </c>
      <c r="AT21" s="170" t="s">
        <v>4</v>
      </c>
      <c r="AU21" s="169" t="s">
        <v>103</v>
      </c>
      <c r="AV21" s="170" t="s">
        <v>99</v>
      </c>
      <c r="AW21" s="169" t="s">
        <v>36</v>
      </c>
      <c r="AX21" s="171" t="s">
        <v>29</v>
      </c>
      <c r="AY21" s="172" t="s">
        <v>190</v>
      </c>
      <c r="AZ21" s="173" t="s">
        <v>102</v>
      </c>
      <c r="BA21" s="174"/>
      <c r="BB21" s="183"/>
      <c r="BC21" s="211" t="s">
        <v>119</v>
      </c>
      <c r="BD21" s="174"/>
      <c r="BE21" s="176" t="s">
        <v>189</v>
      </c>
      <c r="BF21" s="177" t="str">
        <f>$BF$13</f>
        <v xml:space="preserve">VR SILICONA </v>
      </c>
      <c r="BG21" s="177" t="str">
        <f>$BG$13</f>
        <v xml:space="preserve">VR PELÍCULA </v>
      </c>
      <c r="BH21" s="254" t="str">
        <f>$BH$13</f>
        <v>VR EMBALAJE</v>
      </c>
      <c r="BI21" s="174"/>
      <c r="BJ21" s="176" t="str">
        <f>$BJ$13</f>
        <v>ESP. CRISTAL</v>
      </c>
      <c r="BK21" s="176" t="s">
        <v>130</v>
      </c>
      <c r="BL21" s="177" t="s">
        <v>28</v>
      </c>
      <c r="BM21" s="177" t="str">
        <f>BM14</f>
        <v>TOTAL</v>
      </c>
      <c r="BN21" s="177" t="s">
        <v>133</v>
      </c>
      <c r="BO21" s="174"/>
      <c r="BP21" s="175"/>
      <c r="BQ21" s="175"/>
      <c r="BR21" s="175"/>
      <c r="BS21" s="175"/>
      <c r="BT21" s="175"/>
      <c r="BU21" s="175"/>
      <c r="BV21" s="175"/>
      <c r="BW21" s="174"/>
      <c r="BX21" s="175"/>
      <c r="BY21" s="175"/>
      <c r="BZ21" s="175"/>
      <c r="CA21" s="175"/>
      <c r="CB21" s="175"/>
      <c r="CC21" s="175"/>
      <c r="CD21" s="184"/>
      <c r="CE21" s="175"/>
      <c r="CF21" s="185"/>
      <c r="CG21" s="175"/>
      <c r="CH21" s="175"/>
      <c r="CI21" s="184"/>
      <c r="CJ21" s="174"/>
      <c r="CK21" s="186" t="s">
        <v>415</v>
      </c>
      <c r="CL21" s="187" t="s">
        <v>417</v>
      </c>
      <c r="CM21" s="187" t="s">
        <v>416</v>
      </c>
      <c r="CN21" s="188" t="s">
        <v>418</v>
      </c>
      <c r="CO21" s="187" t="s">
        <v>417</v>
      </c>
      <c r="CP21" s="187" t="s">
        <v>409</v>
      </c>
      <c r="CQ21" s="187" t="s">
        <v>410</v>
      </c>
      <c r="CR21" s="187" t="s">
        <v>411</v>
      </c>
      <c r="CS21" s="187" t="s">
        <v>412</v>
      </c>
      <c r="CT21" s="187" t="s">
        <v>413</v>
      </c>
      <c r="CU21" s="189" t="s">
        <v>2</v>
      </c>
      <c r="CV21" s="190" t="s">
        <v>159</v>
      </c>
      <c r="CW21" s="189" t="s">
        <v>2</v>
      </c>
      <c r="CX21" s="190" t="s">
        <v>159</v>
      </c>
      <c r="CY21" s="189" t="s">
        <v>2</v>
      </c>
      <c r="CZ21" s="190" t="s">
        <v>159</v>
      </c>
      <c r="DA21" s="189" t="s">
        <v>2</v>
      </c>
      <c r="DB21" s="190" t="s">
        <v>159</v>
      </c>
      <c r="DC21" s="189" t="s">
        <v>2</v>
      </c>
      <c r="DD21" s="190" t="s">
        <v>159</v>
      </c>
      <c r="DE21" s="183"/>
      <c r="DF21" s="183"/>
      <c r="DG21" s="177" t="s">
        <v>505</v>
      </c>
      <c r="DH21" s="472" t="s">
        <v>509</v>
      </c>
      <c r="DI21" s="457" t="s">
        <v>506</v>
      </c>
      <c r="DJ21" s="457" t="s">
        <v>134</v>
      </c>
      <c r="DK21" s="457" t="s">
        <v>498</v>
      </c>
      <c r="DL21" s="457" t="s">
        <v>499</v>
      </c>
      <c r="DM21" s="457" t="s">
        <v>500</v>
      </c>
      <c r="DN21" s="457" t="s">
        <v>131</v>
      </c>
      <c r="DO21" s="457" t="s">
        <v>390</v>
      </c>
      <c r="DP21" s="457" t="s">
        <v>36</v>
      </c>
      <c r="DQ21" s="457" t="s">
        <v>501</v>
      </c>
      <c r="DR21" s="457" t="s">
        <v>502</v>
      </c>
      <c r="DS21" s="457" t="s">
        <v>503</v>
      </c>
      <c r="DT21" s="457" t="s">
        <v>4</v>
      </c>
      <c r="DU21" s="457" t="s">
        <v>504</v>
      </c>
      <c r="DV21" s="466" t="s">
        <v>507</v>
      </c>
      <c r="DW21" s="466" t="s">
        <v>508</v>
      </c>
      <c r="DX21" s="457" t="s">
        <v>510</v>
      </c>
      <c r="DY21" s="457" t="s">
        <v>511</v>
      </c>
      <c r="DZ21" s="183"/>
      <c r="EA21" s="183"/>
      <c r="EB21" s="183"/>
      <c r="EC21" s="183"/>
      <c r="ED21" s="183"/>
      <c r="EE21" s="183"/>
      <c r="EF21" s="183"/>
      <c r="EG21" s="183"/>
      <c r="EH21" s="183"/>
      <c r="EI21" s="183"/>
      <c r="EJ21" s="183"/>
      <c r="EK21" s="183"/>
      <c r="EL21" s="183"/>
      <c r="EM21" s="183"/>
      <c r="EN21" s="183"/>
      <c r="EO21" s="183"/>
      <c r="EP21" s="183"/>
      <c r="EQ21" s="183"/>
      <c r="ER21" s="183"/>
      <c r="ES21" s="183"/>
      <c r="ET21" s="183"/>
      <c r="EU21" s="183"/>
      <c r="EV21" s="183"/>
      <c r="EW21" s="183"/>
      <c r="EX21" s="183"/>
      <c r="EY21" s="183"/>
      <c r="EZ21" s="183"/>
      <c r="FA21" s="183"/>
      <c r="FB21" s="183"/>
      <c r="FC21" s="183"/>
      <c r="FD21" s="183"/>
      <c r="FE21" s="183"/>
      <c r="FF21" s="183"/>
      <c r="FG21" s="183"/>
      <c r="FH21" s="183"/>
      <c r="FI21" s="183"/>
      <c r="FJ21" s="183"/>
      <c r="FK21" s="183"/>
      <c r="FL21" s="183"/>
      <c r="FM21" s="183"/>
      <c r="FN21" s="183"/>
      <c r="FO21" s="183"/>
      <c r="FP21" s="183"/>
      <c r="FQ21" s="183"/>
      <c r="FR21" s="183"/>
      <c r="FS21" s="183"/>
      <c r="FT21" s="183"/>
      <c r="FU21" s="183"/>
      <c r="FV21" s="183"/>
      <c r="FW21" s="183"/>
      <c r="FX21" s="183"/>
      <c r="FY21" s="183"/>
      <c r="FZ21" s="183"/>
      <c r="GA21" s="183"/>
      <c r="GB21" s="183"/>
      <c r="GC21" s="183"/>
      <c r="GD21" s="183"/>
      <c r="GE21" s="183"/>
      <c r="GF21" s="183"/>
      <c r="GG21" s="183"/>
      <c r="GH21" s="183"/>
      <c r="GI21" s="183"/>
      <c r="GJ21" s="183"/>
      <c r="GK21" s="183"/>
      <c r="GL21" s="183"/>
    </row>
    <row r="22" spans="1:194" s="175" customFormat="1" ht="60" customHeight="1" x14ac:dyDescent="0.3">
      <c r="A22" s="364"/>
      <c r="B22" s="365"/>
      <c r="C22" s="392" t="s">
        <v>27</v>
      </c>
      <c r="D22" s="641"/>
      <c r="E22" s="641"/>
      <c r="F22" s="641"/>
      <c r="G22" s="641"/>
      <c r="H22" s="641"/>
      <c r="I22" s="641"/>
      <c r="J22" s="603"/>
      <c r="K22" s="603"/>
      <c r="L22" s="606">
        <f>J22*K22*M22</f>
        <v>0</v>
      </c>
      <c r="M22" s="596"/>
      <c r="N22" s="609">
        <f>IFERROR(AL22,"")</f>
        <v>1.0765546639999999</v>
      </c>
      <c r="O22" s="612">
        <f>IFERROR(N22*M22,"")</f>
        <v>0</v>
      </c>
      <c r="P22" s="192"/>
      <c r="Q22" s="193">
        <f>Q23+BF22+($R$350*Q23)</f>
        <v>0</v>
      </c>
      <c r="R22" s="193">
        <f>IFERROR(R23+($R$348*R23),"")</f>
        <v>0</v>
      </c>
      <c r="S22" s="194">
        <f>+IF(R24="SI",((W26*'BD GN'!$AB$2)+S23)*1,COTIZACIÓN!S23*1)+(P23*S23)</f>
        <v>0</v>
      </c>
      <c r="T22" s="195">
        <f>IFERROR(R22*IF(K22&lt;=3,$T$13,15%),"")</f>
        <v>0</v>
      </c>
      <c r="U22" s="196">
        <f>BH22+BG22</f>
        <v>0</v>
      </c>
      <c r="V22" s="197" t="str">
        <f>IFERROR(BN22,0)</f>
        <v/>
      </c>
      <c r="W22" s="198" t="str">
        <f>IFERROR(IF(X24="SI",W25*J22*K22,IF(BE22=3,BE24,IF(BE22=4,BE25,IF(BE22=5,BE26,IF(BE22&gt;5,BE26+(BE27*(BE22-5)),"")))))*0,"")</f>
        <v/>
      </c>
      <c r="X22" s="198" t="str">
        <f>IFERROR(IF(X23="NO",(VLOOKUP(D22,'BD M.O'!C:E,3,FALSE))*W26,((VLOOKUP(D22,'BD M.O'!C:E,3,FALSE))+7500)*W26),"")</f>
        <v/>
      </c>
      <c r="Y22" s="198">
        <f>IFERROR($Y$13*AK22,"")</f>
        <v>4.2084457416288003E-2</v>
      </c>
      <c r="Z22" s="332" t="str">
        <f>IFERROR(($Z$13*AK22)+X22,"")</f>
        <v/>
      </c>
      <c r="AA22" s="199" t="str">
        <f>IFERROR(Y22+Z22,"")</f>
        <v/>
      </c>
      <c r="AB22" s="200">
        <f>IFERROR((SUM(Q22:X22)-T22+T24)*$AB$13,"")</f>
        <v>0</v>
      </c>
      <c r="AC22" s="201">
        <f>IFERROR(((SUM(Q22:V22,IF(X27&gt;AA22,AVERAGE(X27,AA22),AA22))-T22+T24))*$AB$13,"")</f>
        <v>0</v>
      </c>
      <c r="AD22" s="202" t="str">
        <f>IFERROR((J22*K22*$BV$14),"")</f>
        <v/>
      </c>
      <c r="AE22" s="202">
        <f>IFERROR($AE$13*AK22,"")</f>
        <v>6.4010592649919984E-2</v>
      </c>
      <c r="AF22" s="203" t="str">
        <f>IFERROR(($CI$11+$CI$13)*W26,"")</f>
        <v/>
      </c>
      <c r="AG22" s="202">
        <f>IFERROR((SUM(Q22:X22,AB22,AD22,AF22)-T22+T24)*$AG$13,"")</f>
        <v>0</v>
      </c>
      <c r="AH22" s="202">
        <f>IFERROR((SUM(Q22:V22,(IF(X27&gt;AA22,AVERAGE(X27,AA22),AA22)),AC22,AE22,AF22)-T22+T24)*$AG$13,"")</f>
        <v>3.2005296324959992E-2</v>
      </c>
      <c r="AI22" s="204">
        <f>IFERROR(AL22*$AI$13,"")</f>
        <v>2.1531093279999997E-2</v>
      </c>
      <c r="AJ22" s="204">
        <f>IFERROR($AJ$13*AL22,"")</f>
        <v>6.007175025119999E-3</v>
      </c>
      <c r="AK22" s="205">
        <f>IFERROR(SUM(Q22:X22,AB22,AD22,AG22,AF22)/(1-$AI$13)+(1-$AJ$13)-T22+T24,"")</f>
        <v>0.99441999999999997</v>
      </c>
      <c r="AL22" s="205">
        <f>IFERROR(SUM(Q22:V22,AC22,(IF(AD22&gt;AE22,AVERAGE(AD22,AE22),AE22)),AF22,,AH22,(IF(SUM(X27)&gt;AA22,AVERAGE(AA22,X27),AA22)))/(1-$AJ$13)+(1-$AI$13)-T22+T24,"")</f>
        <v>1.0765546639999999</v>
      </c>
      <c r="AM22" s="206">
        <f>$M$15*Q22</f>
        <v>0</v>
      </c>
      <c r="AN22" s="207">
        <f>$M$15*R22</f>
        <v>0</v>
      </c>
      <c r="AO22" s="208">
        <f>$M$15*S22</f>
        <v>0</v>
      </c>
      <c r="AP22" s="207">
        <f>$M$15*T22</f>
        <v>0</v>
      </c>
      <c r="AQ22" s="207" t="e">
        <f>$M$15*#REF!</f>
        <v>#REF!</v>
      </c>
      <c r="AR22" s="207">
        <f>$M$15*U22</f>
        <v>0</v>
      </c>
      <c r="AS22" s="208" t="e">
        <f>$M$15*V22</f>
        <v>#VALUE!</v>
      </c>
      <c r="AT22" s="207" t="e">
        <f>$M$15*W22</f>
        <v>#VALUE!</v>
      </c>
      <c r="AU22" s="208" t="e">
        <f>$M$15*X22</f>
        <v>#VALUE!</v>
      </c>
      <c r="AV22" s="207">
        <f>$M$15*AB22</f>
        <v>0</v>
      </c>
      <c r="AW22" s="208">
        <f>$M$15*AE22</f>
        <v>0</v>
      </c>
      <c r="AX22" s="207">
        <f>$M$15*AG22</f>
        <v>0</v>
      </c>
      <c r="AY22" s="209">
        <f>$M$15*AI22</f>
        <v>0</v>
      </c>
      <c r="AZ22" s="207">
        <f>$M$15*AK22</f>
        <v>0</v>
      </c>
      <c r="BA22" s="210"/>
      <c r="BB22" s="175" t="s">
        <v>23</v>
      </c>
      <c r="BC22" s="211" t="s">
        <v>113</v>
      </c>
      <c r="BD22" s="210"/>
      <c r="BE22" s="212"/>
      <c r="BF22" s="213">
        <f>IF(BH23="NO",((2*J22)+(2*K22))*'BD GN'!$AU$3,((3*J22)+(2*K22))*'BD GN'!$AU$3)</f>
        <v>0</v>
      </c>
      <c r="BG22" s="213">
        <f>'BD GN'!$BB$3*J22*K22</f>
        <v>0</v>
      </c>
      <c r="BH22" s="214">
        <f>((J22*2*BE22)+(K22*2*BE22))*'BD GN'!$AN$4</f>
        <v>0</v>
      </c>
      <c r="BI22" s="210"/>
      <c r="BJ22" s="212"/>
      <c r="BK22" s="212"/>
      <c r="BL22" s="215">
        <f>J22*K22*2.5*BJ22</f>
        <v>0</v>
      </c>
      <c r="BM22" s="215">
        <f>BK22+BL22</f>
        <v>0</v>
      </c>
      <c r="BN22" s="216" t="str">
        <f>IFERROR((VLOOKUP($C$12,'BD GN'!BD:BM,10,FALSE)*BM22)+$BR$338,"")</f>
        <v/>
      </c>
      <c r="BO22" s="210"/>
      <c r="BW22" s="210"/>
      <c r="CD22" s="184"/>
      <c r="CF22" s="185"/>
      <c r="CI22" s="184"/>
      <c r="CJ22" s="210"/>
      <c r="CK22" s="565"/>
      <c r="CL22" s="256"/>
      <c r="CM22" s="596"/>
      <c r="CN22" s="596"/>
      <c r="CO22" s="567"/>
      <c r="CP22" s="567"/>
      <c r="CQ22" s="567"/>
      <c r="CR22" s="567"/>
      <c r="CS22" s="567"/>
      <c r="CT22" s="567"/>
      <c r="CU22" s="565"/>
      <c r="CV22" s="560">
        <f>IFERROR(N22*CU22,"")</f>
        <v>0</v>
      </c>
      <c r="CW22" s="565"/>
      <c r="CX22" s="560">
        <f>IFERROR(P22*CW22,"")</f>
        <v>0</v>
      </c>
      <c r="CY22" s="565"/>
      <c r="CZ22" s="560">
        <f>IFERROR(R22*CY22,"")</f>
        <v>0</v>
      </c>
      <c r="DA22" s="565">
        <f>CU22+CW22+CY22</f>
        <v>0</v>
      </c>
      <c r="DB22" s="560">
        <f>IFERROR(CV22+CX22+CZ22,"")</f>
        <v>0</v>
      </c>
      <c r="DC22" s="565">
        <f>M22-(CU22+CW22+CY22)</f>
        <v>0</v>
      </c>
      <c r="DD22" s="560">
        <f>IFERROR(O22-(CV22+CX22+CZ22),"")</f>
        <v>0</v>
      </c>
      <c r="DG22" s="575"/>
      <c r="DH22" s="575"/>
      <c r="DI22" s="569">
        <f>IFERROR(IF(DG22&gt;0,(((N22)/(1+10%+19%*5%)+((N22)/(1+10%+19%*5%))*10%)*DH22),0),0)</f>
        <v>0</v>
      </c>
      <c r="DJ22" s="569">
        <f>IFERROR(IF(DG22&gt;0,(N22*DH22),0),0)</f>
        <v>0</v>
      </c>
      <c r="DK22" s="569">
        <f>IF(DG22&gt;0,((R22+T22)*DH22),0)</f>
        <v>0</v>
      </c>
      <c r="DL22" s="569">
        <f>IF(DG22&gt;0,(Q22*DH22),0)</f>
        <v>0</v>
      </c>
      <c r="DM22" s="572">
        <f>IF(DG22&gt;0,(S22*DH22),0)</f>
        <v>0</v>
      </c>
      <c r="DN22" s="569">
        <f>IF(DG22&gt;0,(BN22*DH22),0)</f>
        <v>0</v>
      </c>
      <c r="DO22" s="569">
        <f>IF(DG22&gt;0,(AF22*DH22),0)</f>
        <v>0</v>
      </c>
      <c r="DP22" s="569">
        <f>IF(DG22&gt;0,((DI22)*('BD P&amp;G'!$E$16+'BD P&amp;G'!$E$17+'BD P&amp;G'!$E$18+'BD P&amp;G'!$E$19+'BD P&amp;G'!$E$20+'BD P&amp;G'!$E$21+'BD P&amp;G'!$E$22+'BD P&amp;G'!$E$23)*DH22),0)</f>
        <v>0</v>
      </c>
      <c r="DQ22" s="569">
        <f>IFERROR(IF(DG22&gt;0,((DI22*'BD P&amp;G'!$E$7)+(DI22*'BD P&amp;G'!$E$9)+AI22),0),0)</f>
        <v>0</v>
      </c>
      <c r="DR22" s="569">
        <f>IFERROR(IF(DG22&gt;0,((DI22*1%)),0),0)</f>
        <v>0</v>
      </c>
      <c r="DS22" s="569">
        <f>IFERROR(IF(DG22&gt;0,(((DI22*'BD P&amp;G'!$E$32+DI22*'BD P&amp;G'!$E$33+DI22*'BD P&amp;G'!$E$35+DI22*'BD P&amp;G'!$E$36+DI22*'BD P&amp;G'!$E$37))),0),0)</f>
        <v>0</v>
      </c>
      <c r="DT22" s="569">
        <f>IF(DG22&gt;0,(Y22*DH22),0)</f>
        <v>0</v>
      </c>
      <c r="DU22" s="569">
        <f>IF(DG22&gt;0,(Z22*DH22),0)</f>
        <v>0</v>
      </c>
      <c r="DV22" s="575">
        <f>IF(DG22&gt;0,(Y26*DH22),0)</f>
        <v>0</v>
      </c>
      <c r="DW22" s="575">
        <f>IF(DG22&gt;0,(Z26*DH22),0)</f>
        <v>0</v>
      </c>
      <c r="DX22" s="569">
        <f>IF(DV22&gt;0,DJ22,0)</f>
        <v>0</v>
      </c>
      <c r="DY22" s="569">
        <f>IF(DW22&gt;0,DJ22,0)</f>
        <v>0</v>
      </c>
    </row>
    <row r="23" spans="1:194" s="175" customFormat="1" ht="60" customHeight="1" x14ac:dyDescent="0.25">
      <c r="A23" s="366"/>
      <c r="B23" s="367"/>
      <c r="C23" s="393" t="s">
        <v>28</v>
      </c>
      <c r="D23" s="598"/>
      <c r="E23" s="598"/>
      <c r="F23" s="598"/>
      <c r="G23" s="598"/>
      <c r="H23" s="598"/>
      <c r="I23" s="598"/>
      <c r="J23" s="604"/>
      <c r="K23" s="604"/>
      <c r="L23" s="607"/>
      <c r="M23" s="559"/>
      <c r="N23" s="610"/>
      <c r="O23" s="613"/>
      <c r="P23" s="192"/>
      <c r="Q23" s="217"/>
      <c r="R23" s="217"/>
      <c r="S23" s="218"/>
      <c r="T23" s="219">
        <f>IFERROR(T22/$R$353,"")</f>
        <v>0</v>
      </c>
      <c r="U23" s="206"/>
      <c r="V23" s="220"/>
      <c r="W23" s="221" t="s">
        <v>239</v>
      </c>
      <c r="X23" s="222" t="s">
        <v>204</v>
      </c>
      <c r="Y23" s="223"/>
      <c r="Z23" s="224"/>
      <c r="AA23" s="225"/>
      <c r="AB23" s="226"/>
      <c r="AC23" s="206"/>
      <c r="AD23" s="206"/>
      <c r="AE23" s="206"/>
      <c r="AF23" s="227"/>
      <c r="AG23" s="206"/>
      <c r="AH23" s="206"/>
      <c r="AI23" s="206"/>
      <c r="AJ23" s="206"/>
      <c r="AK23" s="227"/>
      <c r="AL23" s="210"/>
      <c r="AM23" s="206"/>
      <c r="AN23" s="206"/>
      <c r="AO23" s="228"/>
      <c r="AP23" s="229"/>
      <c r="AQ23" s="206"/>
      <c r="AR23" s="206"/>
      <c r="AS23" s="228"/>
      <c r="AT23" s="229"/>
      <c r="AU23" s="228"/>
      <c r="AV23" s="229"/>
      <c r="AW23" s="228"/>
      <c r="AX23" s="229"/>
      <c r="AY23" s="206"/>
      <c r="AZ23" s="229"/>
      <c r="BA23" s="210"/>
      <c r="BB23" s="175" t="s">
        <v>24</v>
      </c>
      <c r="BC23" s="175" t="s">
        <v>114</v>
      </c>
      <c r="BD23" s="210"/>
      <c r="BE23" s="176" t="s">
        <v>206</v>
      </c>
      <c r="BF23" s="230" t="s">
        <v>204</v>
      </c>
      <c r="BG23" s="176" t="s">
        <v>290</v>
      </c>
      <c r="BH23" s="231" t="s">
        <v>204</v>
      </c>
      <c r="BI23" s="210"/>
      <c r="BN23" s="232"/>
      <c r="BO23" s="210"/>
      <c r="BV23" s="184"/>
      <c r="BW23" s="210"/>
      <c r="CD23" s="184"/>
      <c r="CF23" s="185"/>
      <c r="CI23" s="184"/>
      <c r="CJ23" s="210"/>
      <c r="CK23" s="563"/>
      <c r="CM23" s="559"/>
      <c r="CN23" s="559"/>
      <c r="CO23" s="567"/>
      <c r="CP23" s="567"/>
      <c r="CQ23" s="567"/>
      <c r="CR23" s="567"/>
      <c r="CS23" s="567"/>
      <c r="CT23" s="567"/>
      <c r="CU23" s="563"/>
      <c r="CV23" s="561"/>
      <c r="CW23" s="563"/>
      <c r="CX23" s="561"/>
      <c r="CY23" s="563"/>
      <c r="CZ23" s="561"/>
      <c r="DA23" s="563"/>
      <c r="DB23" s="561"/>
      <c r="DC23" s="563"/>
      <c r="DD23" s="561"/>
      <c r="DG23" s="576"/>
      <c r="DH23" s="576"/>
      <c r="DI23" s="570"/>
      <c r="DJ23" s="570"/>
      <c r="DK23" s="570"/>
      <c r="DL23" s="570"/>
      <c r="DM23" s="573"/>
      <c r="DN23" s="570"/>
      <c r="DO23" s="570"/>
      <c r="DP23" s="570"/>
      <c r="DQ23" s="570"/>
      <c r="DR23" s="570"/>
      <c r="DS23" s="570"/>
      <c r="DT23" s="570"/>
      <c r="DU23" s="570"/>
      <c r="DV23" s="576"/>
      <c r="DW23" s="576"/>
      <c r="DX23" s="570"/>
      <c r="DY23" s="570"/>
    </row>
    <row r="24" spans="1:194" s="175" customFormat="1" ht="60" customHeight="1" x14ac:dyDescent="0.3">
      <c r="A24" s="366"/>
      <c r="B24" s="367"/>
      <c r="C24" s="393" t="s">
        <v>30</v>
      </c>
      <c r="D24" s="599"/>
      <c r="E24" s="599"/>
      <c r="F24" s="599"/>
      <c r="G24" s="599"/>
      <c r="H24" s="599"/>
      <c r="I24" s="599"/>
      <c r="J24" s="604"/>
      <c r="K24" s="604"/>
      <c r="L24" s="607"/>
      <c r="M24" s="559"/>
      <c r="N24" s="610"/>
      <c r="O24" s="613"/>
      <c r="P24" s="192"/>
      <c r="Q24" s="176" t="s">
        <v>205</v>
      </c>
      <c r="R24" s="233" t="s">
        <v>204</v>
      </c>
      <c r="S24" s="234"/>
      <c r="T24" s="235">
        <f>IFERROR(($R$353-8000)*T23,"")</f>
        <v>0</v>
      </c>
      <c r="U24" s="206"/>
      <c r="V24" s="220"/>
      <c r="W24" s="221" t="s">
        <v>258</v>
      </c>
      <c r="X24" s="222" t="s">
        <v>204</v>
      </c>
      <c r="Y24" s="236"/>
      <c r="Z24" s="237"/>
      <c r="AA24" s="225"/>
      <c r="AB24" s="226"/>
      <c r="AC24" s="206"/>
      <c r="AD24" s="206"/>
      <c r="AE24" s="206"/>
      <c r="AF24" s="227"/>
      <c r="AG24" s="206"/>
      <c r="AH24" s="206"/>
      <c r="AI24" s="206"/>
      <c r="AJ24" s="206"/>
      <c r="AK24" s="227"/>
      <c r="AL24" s="238"/>
      <c r="AM24" s="206"/>
      <c r="AN24" s="206"/>
      <c r="AO24" s="228"/>
      <c r="AP24" s="229"/>
      <c r="AQ24" s="206"/>
      <c r="AR24" s="206"/>
      <c r="AS24" s="228"/>
      <c r="AT24" s="229"/>
      <c r="AU24" s="228"/>
      <c r="AV24" s="229"/>
      <c r="AW24" s="228"/>
      <c r="AX24" s="229"/>
      <c r="AY24" s="206"/>
      <c r="AZ24" s="229"/>
      <c r="BA24" s="210"/>
      <c r="BB24" s="175" t="s">
        <v>26</v>
      </c>
      <c r="BC24" s="211" t="s">
        <v>115</v>
      </c>
      <c r="BD24" s="210"/>
      <c r="BE24" s="177" t="str">
        <f>IFERROR(VLOOKUP(D22,'BD M.O'!C:H,4,FALSE),"")</f>
        <v/>
      </c>
      <c r="BF24" s="177" t="s">
        <v>259</v>
      </c>
      <c r="BI24" s="210"/>
      <c r="BO24" s="210"/>
      <c r="BV24" s="184"/>
      <c r="BW24" s="210"/>
      <c r="CD24" s="184"/>
      <c r="CF24" s="185"/>
      <c r="CI24" s="184"/>
      <c r="CJ24" s="210"/>
      <c r="CK24" s="563"/>
      <c r="CM24" s="559"/>
      <c r="CN24" s="559"/>
      <c r="CO24" s="567"/>
      <c r="CP24" s="567"/>
      <c r="CQ24" s="567"/>
      <c r="CR24" s="567"/>
      <c r="CS24" s="567"/>
      <c r="CT24" s="567"/>
      <c r="CU24" s="563"/>
      <c r="CV24" s="561"/>
      <c r="CW24" s="563"/>
      <c r="CX24" s="561"/>
      <c r="CY24" s="563"/>
      <c r="CZ24" s="561"/>
      <c r="DA24" s="563"/>
      <c r="DB24" s="561"/>
      <c r="DC24" s="563"/>
      <c r="DD24" s="561"/>
      <c r="DG24" s="577"/>
      <c r="DH24" s="577"/>
      <c r="DI24" s="571"/>
      <c r="DJ24" s="571"/>
      <c r="DK24" s="571"/>
      <c r="DL24" s="571"/>
      <c r="DM24" s="574"/>
      <c r="DN24" s="571"/>
      <c r="DO24" s="571"/>
      <c r="DP24" s="571"/>
      <c r="DQ24" s="571"/>
      <c r="DR24" s="571"/>
      <c r="DS24" s="571"/>
      <c r="DT24" s="571"/>
      <c r="DU24" s="571"/>
      <c r="DV24" s="577"/>
      <c r="DW24" s="577"/>
      <c r="DX24" s="571"/>
      <c r="DY24" s="571"/>
    </row>
    <row r="25" spans="1:194" s="175" customFormat="1" ht="60" customHeight="1" x14ac:dyDescent="0.25">
      <c r="A25" s="366"/>
      <c r="B25" s="367"/>
      <c r="C25" s="395" t="s">
        <v>180</v>
      </c>
      <c r="D25" s="599" t="s">
        <v>31</v>
      </c>
      <c r="E25" s="599"/>
      <c r="F25" s="394" t="s">
        <v>9</v>
      </c>
      <c r="G25" s="599" t="s">
        <v>33</v>
      </c>
      <c r="H25" s="599"/>
      <c r="I25" s="394" t="str">
        <f>+IF($BG$9="SI","","X")</f>
        <v>X</v>
      </c>
      <c r="J25" s="604"/>
      <c r="K25" s="604"/>
      <c r="L25" s="607"/>
      <c r="M25" s="559"/>
      <c r="N25" s="610"/>
      <c r="O25" s="613"/>
      <c r="P25" s="192"/>
      <c r="Q25" s="239"/>
      <c r="R25" s="221" t="s">
        <v>209</v>
      </c>
      <c r="S25" s="234" t="str">
        <f>IF(S23="","",S23/(J22*K22))</f>
        <v/>
      </c>
      <c r="T25" s="226"/>
      <c r="U25" s="206"/>
      <c r="V25" s="220"/>
      <c r="W25" s="239" t="str">
        <f>IFERROR(IF(X24="SI",VLOOKUP(D22,'BD M.O'!C:F,4,FALSE),""),"")</f>
        <v/>
      </c>
      <c r="X25" s="221" t="s">
        <v>258</v>
      </c>
      <c r="Y25" s="221" t="s">
        <v>507</v>
      </c>
      <c r="Z25" s="221" t="s">
        <v>508</v>
      </c>
      <c r="AA25" s="225"/>
      <c r="AB25" s="226"/>
      <c r="AC25" s="206"/>
      <c r="AD25" s="206"/>
      <c r="AE25" s="206"/>
      <c r="AF25" s="227"/>
      <c r="AG25" s="206"/>
      <c r="AH25" s="206"/>
      <c r="AI25" s="206"/>
      <c r="AJ25" s="206"/>
      <c r="AK25" s="227"/>
      <c r="AL25" s="240"/>
      <c r="AM25" s="206"/>
      <c r="AN25" s="206"/>
      <c r="AO25" s="228"/>
      <c r="AP25" s="229"/>
      <c r="AQ25" s="206"/>
      <c r="AR25" s="206"/>
      <c r="AS25" s="228"/>
      <c r="AT25" s="229"/>
      <c r="AU25" s="228"/>
      <c r="AV25" s="229"/>
      <c r="AW25" s="228"/>
      <c r="AX25" s="229"/>
      <c r="AY25" s="206"/>
      <c r="AZ25" s="229"/>
      <c r="BA25" s="210"/>
      <c r="BC25" s="175" t="s">
        <v>116</v>
      </c>
      <c r="BD25" s="210"/>
      <c r="BE25" s="177" t="str">
        <f>IFERROR(VLOOKUP(COTIZACIÓN!D22,'BD M.O'!C:I,5,FALSE),"")</f>
        <v/>
      </c>
      <c r="BF25" s="177" t="s">
        <v>260</v>
      </c>
      <c r="BI25" s="210"/>
      <c r="BO25" s="210"/>
      <c r="BP25" s="183"/>
      <c r="BQ25" s="183"/>
      <c r="BR25" s="183"/>
      <c r="BS25" s="183"/>
      <c r="BT25" s="183"/>
      <c r="BU25" s="183"/>
      <c r="BV25" s="182"/>
      <c r="BW25" s="210"/>
      <c r="BX25" s="183"/>
      <c r="BY25" s="183"/>
      <c r="BZ25" s="183"/>
      <c r="CA25" s="183"/>
      <c r="CB25" s="183"/>
      <c r="CC25" s="183"/>
      <c r="CD25" s="182"/>
      <c r="CE25" s="183"/>
      <c r="CF25" s="241"/>
      <c r="CG25" s="183"/>
      <c r="CH25" s="183"/>
      <c r="CI25" s="182"/>
      <c r="CJ25" s="210"/>
      <c r="CK25" s="563"/>
      <c r="CM25" s="559"/>
      <c r="CN25" s="559"/>
      <c r="CO25" s="567"/>
      <c r="CP25" s="567"/>
      <c r="CQ25" s="567"/>
      <c r="CR25" s="567"/>
      <c r="CS25" s="567"/>
      <c r="CT25" s="567"/>
      <c r="CU25" s="563"/>
      <c r="CV25" s="561"/>
      <c r="CW25" s="563"/>
      <c r="CX25" s="561"/>
      <c r="CY25" s="563"/>
      <c r="CZ25" s="561"/>
      <c r="DA25" s="563"/>
      <c r="DB25" s="561"/>
      <c r="DC25" s="563"/>
      <c r="DD25" s="561"/>
      <c r="DG25" s="575"/>
      <c r="DH25" s="575"/>
      <c r="DI25" s="569">
        <f>IFERROR(IF(DG25&gt;0,(((N22)/(1+10%+19%*5%)+((N22)/(1+10%+19%*5%))*10%)*DH25),0),0)</f>
        <v>0</v>
      </c>
      <c r="DJ25" s="569">
        <f>IFERROR(IF(DG25&gt;0,(N22*DH25),0),0)</f>
        <v>0</v>
      </c>
      <c r="DK25" s="569">
        <f>IF(DG25&gt;0,((R22+T22)*DH25),0)</f>
        <v>0</v>
      </c>
      <c r="DL25" s="569">
        <f>IF(DG25&gt;0,(Q22*DH25),0)</f>
        <v>0</v>
      </c>
      <c r="DM25" s="572">
        <f>IF(DG25&gt;0,(S22*DH25),0)</f>
        <v>0</v>
      </c>
      <c r="DN25" s="569">
        <f>IF(DG25&gt;0,(BN22*DH25),0)</f>
        <v>0</v>
      </c>
      <c r="DO25" s="569">
        <f>IF(DG25&gt;0,(AF22*DH25),0)</f>
        <v>0</v>
      </c>
      <c r="DP25" s="569">
        <f>IF(DG25&gt;0,((DI25)*('BD P&amp;G'!$E$16+'BD P&amp;G'!$E$17+'BD P&amp;G'!$E$18+'BD P&amp;G'!$E$19+'BD P&amp;G'!$E$20+'BD P&amp;G'!$E$21+'BD P&amp;G'!$E$22+'BD P&amp;G'!$E$23)*DH25),0)</f>
        <v>0</v>
      </c>
      <c r="DQ25" s="569">
        <f>IFERROR(IF(DG25&gt;0,((DI25*'BD P&amp;G'!$E$7)+(DI25*'BD P&amp;G'!$E$9)+AI22),0),0)</f>
        <v>0</v>
      </c>
      <c r="DR25" s="569">
        <f>IFERROR(IF(DG25&gt;0,((DI25*1%)),0),0)</f>
        <v>0</v>
      </c>
      <c r="DS25" s="569">
        <f>IFERROR(IF(DG25&gt;0,(((DI25*'BD P&amp;G'!$E$32+DI25*'BD P&amp;G'!$E$33+DI25*'BD P&amp;G'!$E$35+DI25*'BD P&amp;G'!$E$36+DI25*'BD P&amp;G'!$E$37))),0),0)</f>
        <v>0</v>
      </c>
      <c r="DT25" s="569">
        <f>IF(DG25&gt;0,(Y22*DH25),0)</f>
        <v>0</v>
      </c>
      <c r="DU25" s="569">
        <f>IF(DG25&gt;0,(Z22*DH25),0)</f>
        <v>0</v>
      </c>
      <c r="DV25" s="575">
        <f>IF(DG25&gt;0,(Y26*DH25),0)</f>
        <v>0</v>
      </c>
      <c r="DW25" s="575">
        <f>IF(DG25&gt;0,(Z26*DH25),0)</f>
        <v>0</v>
      </c>
      <c r="DX25" s="569">
        <f>IF(DV25&gt;0,DJ25,0)</f>
        <v>0</v>
      </c>
      <c r="DY25" s="569">
        <f>IF(DW25&gt;0,DJ25,0)</f>
        <v>0</v>
      </c>
    </row>
    <row r="26" spans="1:194" s="175" customFormat="1" ht="60" customHeight="1" x14ac:dyDescent="0.3">
      <c r="A26" s="366"/>
      <c r="B26" s="367"/>
      <c r="C26" s="393" t="s">
        <v>35</v>
      </c>
      <c r="D26" s="599" t="str">
        <f>IFERROR(VLOOKUP(D22,'BD GN'!C:E,3,),"")</f>
        <v/>
      </c>
      <c r="E26" s="599"/>
      <c r="F26" s="599"/>
      <c r="G26" s="599"/>
      <c r="H26" s="599"/>
      <c r="I26" s="599"/>
      <c r="J26" s="604"/>
      <c r="K26" s="604"/>
      <c r="L26" s="607"/>
      <c r="M26" s="559"/>
      <c r="N26" s="610"/>
      <c r="O26" s="613"/>
      <c r="P26" s="192"/>
      <c r="Q26" s="239"/>
      <c r="R26" s="221" t="s">
        <v>210</v>
      </c>
      <c r="S26" s="234" t="str">
        <f>IFERROR(IF(N22="","",N22/W26),"")</f>
        <v/>
      </c>
      <c r="T26" s="226"/>
      <c r="U26" s="206"/>
      <c r="V26" s="220"/>
      <c r="W26" s="242" t="str">
        <f>+IF(J22*K22&gt;=1,J22*K22,IF(AND(J22*K22&gt;0,J22*K22&lt;1),1,""))</f>
        <v/>
      </c>
      <c r="X26" s="221" t="s">
        <v>298</v>
      </c>
      <c r="Y26" s="461">
        <f>IFERROR(IF(D22='BD GN'!$C$25,COTIZACIÓN!W26,IF(D22='BD GN'!$C$26,COTIZACIÓN!W26,IF(D22='BD GN'!$C$27,COTIZACIÓN!W26,IF(COTIZACIÓN!D22='BD GN'!$C$28,COTIZACIÓN!W26,IF(COTIZACIÓN!D22='BD GN'!$C$29,COTIZACIÓN!W26,IF(COTIZACIÓN!D22='BD GN'!$C$35,COTIZACIÓN!W26,IF(COTIZACIÓN!D22='BD GN'!$C$36,COTIZACIÓN!W26,IF(COTIZACIÓN!D22='BD GN'!$C$37,COTIZACIÓN!W26,IF(COTIZACIÓN!D22='BD GN'!$C$38,COTIZACIÓN!W26,IF(COTIZACIÓN!D22='BD GN'!$C$39,COTIZACIÓN!W26,IF(COTIZACIÓN!D22='BD GN'!$C$40,COTIZACIÓN!W26,IF(COTIZACIÓN!D22='BD GN'!$C$41,COTIZACIÓN!W26,IF(COTIZACIÓN!D22='BD GN'!$C$42,COTIZACIÓN!W26,IF(COTIZACIÓN!D22='BD GN'!$C$49,COTIZACIÓN!W26,IF(COTIZACIÓN!D22='BD GN'!$C$50,COTIZACIÓN!W26,IF(COTIZACIÓN!D22='BD GN'!$C$51,COTIZACIÓN!W26,IF(COTIZACIÓN!D22='BD GN'!$C$67,COTIZACIÓN!W26,0))))))))))))))))),0)</f>
        <v>0</v>
      </c>
      <c r="Z26" s="461">
        <f>IFERROR(W26-Y26,0)</f>
        <v>0</v>
      </c>
      <c r="AA26" s="225"/>
      <c r="AB26" s="226"/>
      <c r="AC26" s="206"/>
      <c r="AD26" s="206"/>
      <c r="AE26" s="206"/>
      <c r="AF26" s="227"/>
      <c r="AG26" s="206"/>
      <c r="AH26" s="206"/>
      <c r="AI26" s="206"/>
      <c r="AJ26" s="206"/>
      <c r="AK26" s="227"/>
      <c r="AL26" s="210"/>
      <c r="AM26" s="206"/>
      <c r="AN26" s="206"/>
      <c r="AO26" s="228"/>
      <c r="AP26" s="229"/>
      <c r="AQ26" s="206"/>
      <c r="AR26" s="206"/>
      <c r="AS26" s="228"/>
      <c r="AT26" s="229"/>
      <c r="AU26" s="228"/>
      <c r="AV26" s="229"/>
      <c r="AW26" s="228"/>
      <c r="AX26" s="229"/>
      <c r="AY26" s="206"/>
      <c r="AZ26" s="229"/>
      <c r="BA26" s="210"/>
      <c r="BC26" s="211" t="s">
        <v>117</v>
      </c>
      <c r="BD26" s="210"/>
      <c r="BE26" s="177" t="str">
        <f>IFERROR(VLOOKUP(D22,'BD M.O'!C:I,6,FALSE),"")</f>
        <v/>
      </c>
      <c r="BF26" s="177" t="s">
        <v>261</v>
      </c>
      <c r="BI26" s="210"/>
      <c r="BO26" s="210"/>
      <c r="BP26" s="183"/>
      <c r="BQ26" s="183"/>
      <c r="BR26" s="183"/>
      <c r="BW26" s="210"/>
      <c r="CD26" s="184"/>
      <c r="CF26" s="185"/>
      <c r="CI26" s="184"/>
      <c r="CJ26" s="210"/>
      <c r="CK26" s="563"/>
      <c r="CM26" s="559"/>
      <c r="CN26" s="559"/>
      <c r="CO26" s="567"/>
      <c r="CP26" s="567"/>
      <c r="CQ26" s="567"/>
      <c r="CR26" s="567"/>
      <c r="CS26" s="567"/>
      <c r="CT26" s="567"/>
      <c r="CU26" s="563"/>
      <c r="CV26" s="561"/>
      <c r="CW26" s="563"/>
      <c r="CX26" s="561"/>
      <c r="CY26" s="563"/>
      <c r="CZ26" s="561"/>
      <c r="DA26" s="563"/>
      <c r="DB26" s="561"/>
      <c r="DC26" s="563"/>
      <c r="DD26" s="561"/>
      <c r="DG26" s="576"/>
      <c r="DH26" s="576"/>
      <c r="DI26" s="570"/>
      <c r="DJ26" s="570"/>
      <c r="DK26" s="570"/>
      <c r="DL26" s="570"/>
      <c r="DM26" s="573"/>
      <c r="DN26" s="570"/>
      <c r="DO26" s="570"/>
      <c r="DP26" s="570"/>
      <c r="DQ26" s="570"/>
      <c r="DR26" s="570"/>
      <c r="DS26" s="570"/>
      <c r="DT26" s="570"/>
      <c r="DU26" s="570"/>
      <c r="DV26" s="576"/>
      <c r="DW26" s="576"/>
      <c r="DX26" s="570"/>
      <c r="DY26" s="570"/>
    </row>
    <row r="27" spans="1:194" s="252" customFormat="1" ht="60" customHeight="1" x14ac:dyDescent="0.25">
      <c r="A27" s="368"/>
      <c r="B27" s="369"/>
      <c r="C27" s="396" t="s">
        <v>10</v>
      </c>
      <c r="D27" s="645" t="s">
        <v>32</v>
      </c>
      <c r="E27" s="645"/>
      <c r="F27" s="645"/>
      <c r="G27" s="645"/>
      <c r="H27" s="645"/>
      <c r="I27" s="645"/>
      <c r="J27" s="605"/>
      <c r="K27" s="605"/>
      <c r="L27" s="608"/>
      <c r="M27" s="597"/>
      <c r="N27" s="611"/>
      <c r="O27" s="614"/>
      <c r="P27" s="192"/>
      <c r="Q27" s="239"/>
      <c r="R27" s="334" t="s">
        <v>475</v>
      </c>
      <c r="S27" s="234" t="str">
        <f>IFERROR(IF($C$12='BD GN'!$CC$1,VLOOKUP(COTIZACIÓN!D22,'BD GN'!CB:CG,2,FALSE),IF(COTIZACIÓN!$C$12='BD GN'!$CD$1,VLOOKUP(COTIZACIÓN!D22,'BD GN'!CB:CG,3,FALSE),IF($C$12='BD GN'!$CE$1,VLOOKUP(COTIZACIÓN!D22,'BD GN'!CB:CG,4,FALSE),IF(COTIZACIÓN!$C$12='BD GN'!$CF$1,VLOOKUP(COTIZACIÓN!D22,'BD GN'!CB:CG,5,FALSE),IF(COTIZACIÓN!$C$12='BD GN'!$CG$1,VLOOKUP(COTIZACIÓN!D22,'BD GN'!CB:CG,6,FALSE),""))))),"-")</f>
        <v/>
      </c>
      <c r="T27" s="243"/>
      <c r="U27" s="244"/>
      <c r="V27" s="245"/>
      <c r="W27" s="177" t="s">
        <v>394</v>
      </c>
      <c r="X27" s="246">
        <f>IFERROR(SUM(W22:X22),"")</f>
        <v>0</v>
      </c>
      <c r="Y27" s="166" t="s">
        <v>404</v>
      </c>
      <c r="Z27" s="199" t="str">
        <f>IFERROR(Y22+Z22,"")</f>
        <v/>
      </c>
      <c r="AA27" s="247"/>
      <c r="AB27" s="243"/>
      <c r="AC27" s="244"/>
      <c r="AD27" s="244"/>
      <c r="AE27" s="244"/>
      <c r="AF27" s="227"/>
      <c r="AG27" s="206"/>
      <c r="AH27" s="206"/>
      <c r="AI27" s="206"/>
      <c r="AJ27" s="206"/>
      <c r="AK27" s="227"/>
      <c r="AL27" s="227"/>
      <c r="AM27" s="248"/>
      <c r="AN27" s="248"/>
      <c r="AO27" s="249"/>
      <c r="AP27" s="250"/>
      <c r="AQ27" s="248"/>
      <c r="AR27" s="248"/>
      <c r="AS27" s="249"/>
      <c r="AT27" s="250"/>
      <c r="AU27" s="249"/>
      <c r="AV27" s="250"/>
      <c r="AW27" s="249"/>
      <c r="AX27" s="250"/>
      <c r="AY27" s="248"/>
      <c r="AZ27" s="250"/>
      <c r="BA27" s="210"/>
      <c r="BB27" s="175"/>
      <c r="BC27" s="175" t="s">
        <v>118</v>
      </c>
      <c r="BD27" s="210"/>
      <c r="BE27" s="251" t="str">
        <f>IFERROR(VLOOKUP(D22,'BD M.O'!C:I,7,FALSE),"")</f>
        <v/>
      </c>
      <c r="BF27" s="251" t="s">
        <v>262</v>
      </c>
      <c r="BG27" s="175"/>
      <c r="BH27" s="175"/>
      <c r="BI27" s="210"/>
      <c r="BJ27" s="175"/>
      <c r="BK27" s="175"/>
      <c r="BL27" s="175"/>
      <c r="BM27" s="175"/>
      <c r="BN27" s="175"/>
      <c r="BO27" s="210"/>
      <c r="BP27" s="175"/>
      <c r="BQ27" s="175"/>
      <c r="BR27" s="175"/>
      <c r="BS27" s="183"/>
      <c r="BT27" s="183"/>
      <c r="BU27" s="183"/>
      <c r="BV27" s="183"/>
      <c r="BW27" s="210"/>
      <c r="BX27" s="175"/>
      <c r="BY27" s="175"/>
      <c r="BZ27" s="175"/>
      <c r="CA27" s="175"/>
      <c r="CB27" s="175"/>
      <c r="CC27" s="175"/>
      <c r="CD27" s="184"/>
      <c r="CE27" s="175"/>
      <c r="CF27" s="185"/>
      <c r="CG27" s="175"/>
      <c r="CH27" s="175"/>
      <c r="CI27" s="184"/>
      <c r="CJ27" s="210"/>
      <c r="CK27" s="564"/>
      <c r="CL27" s="257"/>
      <c r="CM27" s="597"/>
      <c r="CN27" s="597"/>
      <c r="CO27" s="567"/>
      <c r="CP27" s="567"/>
      <c r="CQ27" s="567"/>
      <c r="CR27" s="567"/>
      <c r="CS27" s="567"/>
      <c r="CT27" s="567"/>
      <c r="CU27" s="564"/>
      <c r="CV27" s="562"/>
      <c r="CW27" s="564"/>
      <c r="CX27" s="562"/>
      <c r="CY27" s="564"/>
      <c r="CZ27" s="562"/>
      <c r="DA27" s="564"/>
      <c r="DB27" s="562"/>
      <c r="DC27" s="564"/>
      <c r="DD27" s="562"/>
      <c r="DE27" s="175"/>
      <c r="DF27" s="175"/>
      <c r="DG27" s="577"/>
      <c r="DH27" s="577"/>
      <c r="DI27" s="571"/>
      <c r="DJ27" s="571"/>
      <c r="DK27" s="571"/>
      <c r="DL27" s="571"/>
      <c r="DM27" s="574"/>
      <c r="DN27" s="571"/>
      <c r="DO27" s="571"/>
      <c r="DP27" s="571"/>
      <c r="DQ27" s="571"/>
      <c r="DR27" s="571"/>
      <c r="DS27" s="571"/>
      <c r="DT27" s="571"/>
      <c r="DU27" s="571"/>
      <c r="DV27" s="577"/>
      <c r="DW27" s="577"/>
      <c r="DX27" s="571"/>
      <c r="DY27" s="571"/>
      <c r="DZ27" s="175"/>
      <c r="EA27" s="175"/>
      <c r="EB27" s="175"/>
      <c r="EC27" s="175"/>
      <c r="ED27" s="175"/>
      <c r="EE27" s="175"/>
      <c r="EF27" s="175"/>
      <c r="EG27" s="175"/>
      <c r="EH27" s="175"/>
      <c r="EI27" s="175"/>
      <c r="EJ27" s="175"/>
      <c r="EK27" s="175"/>
      <c r="EL27" s="175"/>
      <c r="EM27" s="175"/>
      <c r="EN27" s="175"/>
      <c r="EO27" s="175"/>
      <c r="EP27" s="175"/>
      <c r="EQ27" s="175"/>
      <c r="ER27" s="175"/>
      <c r="ES27" s="175"/>
      <c r="ET27" s="175"/>
      <c r="EU27" s="175"/>
      <c r="EV27" s="175"/>
      <c r="EW27" s="175"/>
      <c r="EX27" s="175"/>
      <c r="EY27" s="175"/>
      <c r="EZ27" s="175"/>
      <c r="FA27" s="175"/>
      <c r="FB27" s="175"/>
      <c r="FC27" s="175"/>
      <c r="FD27" s="175"/>
      <c r="FE27" s="175"/>
      <c r="FF27" s="175"/>
      <c r="FG27" s="175"/>
      <c r="FH27" s="175"/>
      <c r="FI27" s="175"/>
      <c r="FJ27" s="175"/>
      <c r="FK27" s="175"/>
      <c r="FL27" s="175"/>
      <c r="FM27" s="175"/>
      <c r="FN27" s="175"/>
      <c r="FO27" s="175"/>
      <c r="FP27" s="175"/>
      <c r="FQ27" s="175"/>
      <c r="FR27" s="175"/>
      <c r="FS27" s="175"/>
      <c r="FT27" s="175"/>
      <c r="FU27" s="175"/>
      <c r="FV27" s="175"/>
      <c r="FW27" s="175"/>
      <c r="FX27" s="175"/>
      <c r="FY27" s="175"/>
      <c r="FZ27" s="175"/>
      <c r="GA27" s="175"/>
      <c r="GB27" s="175"/>
      <c r="GC27" s="175"/>
      <c r="GD27" s="175"/>
      <c r="GE27" s="175"/>
      <c r="GF27" s="175"/>
      <c r="GG27" s="175"/>
      <c r="GH27" s="175"/>
      <c r="GI27" s="175"/>
      <c r="GJ27" s="175"/>
      <c r="GK27" s="175"/>
      <c r="GL27" s="175"/>
    </row>
    <row r="28" spans="1:194" s="255" customFormat="1" ht="60" customHeight="1" x14ac:dyDescent="0.3">
      <c r="A28" s="362" t="s">
        <v>193</v>
      </c>
      <c r="B28" s="363" t="s">
        <v>25</v>
      </c>
      <c r="C28" s="391" t="s">
        <v>174</v>
      </c>
      <c r="D28" s="640" t="s">
        <v>173</v>
      </c>
      <c r="E28" s="640"/>
      <c r="F28" s="640"/>
      <c r="G28" s="640"/>
      <c r="H28" s="640"/>
      <c r="I28" s="640"/>
      <c r="J28" s="418" t="s">
        <v>443</v>
      </c>
      <c r="K28" s="418" t="s">
        <v>444</v>
      </c>
      <c r="L28" s="418" t="s">
        <v>171</v>
      </c>
      <c r="M28" s="363" t="s">
        <v>2</v>
      </c>
      <c r="N28" s="419" t="s">
        <v>7</v>
      </c>
      <c r="O28" s="420" t="s">
        <v>8</v>
      </c>
      <c r="P28" s="159"/>
      <c r="Q28" s="164" t="s">
        <v>93</v>
      </c>
      <c r="R28" s="164" t="s">
        <v>34</v>
      </c>
      <c r="S28" s="164" t="s">
        <v>28</v>
      </c>
      <c r="T28" s="164" t="s">
        <v>95</v>
      </c>
      <c r="U28" s="164" t="s">
        <v>96</v>
      </c>
      <c r="V28" s="164" t="s">
        <v>97</v>
      </c>
      <c r="W28" s="164" t="s">
        <v>4</v>
      </c>
      <c r="X28" s="164" t="s">
        <v>103</v>
      </c>
      <c r="Y28" s="160" t="s">
        <v>402</v>
      </c>
      <c r="Z28" s="165" t="s">
        <v>403</v>
      </c>
      <c r="AA28" s="166" t="s">
        <v>404</v>
      </c>
      <c r="AB28" s="164" t="s">
        <v>99</v>
      </c>
      <c r="AC28" s="164" t="s">
        <v>395</v>
      </c>
      <c r="AD28" s="253" t="s">
        <v>36</v>
      </c>
      <c r="AE28" s="164" t="s">
        <v>389</v>
      </c>
      <c r="AF28" s="164" t="s">
        <v>390</v>
      </c>
      <c r="AG28" s="164" t="s">
        <v>164</v>
      </c>
      <c r="AH28" s="253" t="s">
        <v>396</v>
      </c>
      <c r="AI28" s="164" t="s">
        <v>190</v>
      </c>
      <c r="AJ28" s="164" t="s">
        <v>339</v>
      </c>
      <c r="AK28" s="253" t="s">
        <v>391</v>
      </c>
      <c r="AL28" s="253" t="s">
        <v>393</v>
      </c>
      <c r="AM28" s="167" t="s">
        <v>93</v>
      </c>
      <c r="AN28" s="168" t="s">
        <v>34</v>
      </c>
      <c r="AO28" s="169" t="s">
        <v>28</v>
      </c>
      <c r="AP28" s="170" t="s">
        <v>95</v>
      </c>
      <c r="AQ28" s="167" t="s">
        <v>3</v>
      </c>
      <c r="AR28" s="167" t="s">
        <v>96</v>
      </c>
      <c r="AS28" s="169" t="s">
        <v>97</v>
      </c>
      <c r="AT28" s="170" t="s">
        <v>4</v>
      </c>
      <c r="AU28" s="169" t="s">
        <v>103</v>
      </c>
      <c r="AV28" s="170" t="s">
        <v>99</v>
      </c>
      <c r="AW28" s="169" t="s">
        <v>36</v>
      </c>
      <c r="AX28" s="171" t="s">
        <v>29</v>
      </c>
      <c r="AY28" s="172" t="s">
        <v>190</v>
      </c>
      <c r="AZ28" s="173" t="s">
        <v>102</v>
      </c>
      <c r="BA28" s="174"/>
      <c r="BB28" s="183"/>
      <c r="BC28" s="211" t="s">
        <v>119</v>
      </c>
      <c r="BD28" s="174"/>
      <c r="BE28" s="176" t="s">
        <v>189</v>
      </c>
      <c r="BF28" s="177" t="str">
        <f>$BF$13</f>
        <v xml:space="preserve">VR SILICONA </v>
      </c>
      <c r="BG28" s="177" t="str">
        <f>$BG$13</f>
        <v xml:space="preserve">VR PELÍCULA </v>
      </c>
      <c r="BH28" s="254" t="str">
        <f>$BH$13</f>
        <v>VR EMBALAJE</v>
      </c>
      <c r="BI28" s="174"/>
      <c r="BJ28" s="176" t="str">
        <f>$BJ$13</f>
        <v>ESP. CRISTAL</v>
      </c>
      <c r="BK28" s="176" t="s">
        <v>130</v>
      </c>
      <c r="BL28" s="177" t="s">
        <v>28</v>
      </c>
      <c r="BM28" s="177" t="str">
        <f>BM21</f>
        <v>TOTAL</v>
      </c>
      <c r="BN28" s="177" t="s">
        <v>133</v>
      </c>
      <c r="BO28" s="174"/>
      <c r="BP28" s="175"/>
      <c r="BQ28" s="175"/>
      <c r="BR28" s="175"/>
      <c r="BS28" s="175"/>
      <c r="BT28" s="175"/>
      <c r="BU28" s="175"/>
      <c r="BV28" s="175"/>
      <c r="BW28" s="174"/>
      <c r="BX28" s="175"/>
      <c r="BY28" s="175"/>
      <c r="BZ28" s="175"/>
      <c r="CA28" s="175"/>
      <c r="CB28" s="175"/>
      <c r="CC28" s="175"/>
      <c r="CD28" s="184"/>
      <c r="CE28" s="175"/>
      <c r="CF28" s="185"/>
      <c r="CG28" s="175"/>
      <c r="CH28" s="175"/>
      <c r="CI28" s="184"/>
      <c r="CJ28" s="174"/>
      <c r="CK28" s="186" t="s">
        <v>415</v>
      </c>
      <c r="CL28" s="187" t="s">
        <v>417</v>
      </c>
      <c r="CM28" s="187" t="s">
        <v>416</v>
      </c>
      <c r="CN28" s="188" t="s">
        <v>418</v>
      </c>
      <c r="CO28" s="187" t="s">
        <v>417</v>
      </c>
      <c r="CP28" s="187" t="s">
        <v>409</v>
      </c>
      <c r="CQ28" s="187" t="s">
        <v>410</v>
      </c>
      <c r="CR28" s="187" t="s">
        <v>411</v>
      </c>
      <c r="CS28" s="187" t="s">
        <v>412</v>
      </c>
      <c r="CT28" s="187" t="s">
        <v>413</v>
      </c>
      <c r="CU28" s="189" t="s">
        <v>2</v>
      </c>
      <c r="CV28" s="190" t="s">
        <v>159</v>
      </c>
      <c r="CW28" s="189" t="s">
        <v>2</v>
      </c>
      <c r="CX28" s="190" t="s">
        <v>159</v>
      </c>
      <c r="CY28" s="189" t="s">
        <v>2</v>
      </c>
      <c r="CZ28" s="190" t="s">
        <v>159</v>
      </c>
      <c r="DA28" s="189" t="s">
        <v>2</v>
      </c>
      <c r="DB28" s="190" t="s">
        <v>159</v>
      </c>
      <c r="DC28" s="189" t="s">
        <v>2</v>
      </c>
      <c r="DD28" s="190" t="s">
        <v>159</v>
      </c>
      <c r="DE28" s="183"/>
      <c r="DF28" s="183"/>
      <c r="DG28" s="177" t="s">
        <v>505</v>
      </c>
      <c r="DH28" s="472" t="s">
        <v>509</v>
      </c>
      <c r="DI28" s="457" t="s">
        <v>506</v>
      </c>
      <c r="DJ28" s="457" t="s">
        <v>134</v>
      </c>
      <c r="DK28" s="457" t="s">
        <v>498</v>
      </c>
      <c r="DL28" s="457" t="s">
        <v>499</v>
      </c>
      <c r="DM28" s="457" t="s">
        <v>500</v>
      </c>
      <c r="DN28" s="457" t="s">
        <v>131</v>
      </c>
      <c r="DO28" s="457" t="s">
        <v>390</v>
      </c>
      <c r="DP28" s="457" t="s">
        <v>36</v>
      </c>
      <c r="DQ28" s="457" t="s">
        <v>501</v>
      </c>
      <c r="DR28" s="457" t="s">
        <v>502</v>
      </c>
      <c r="DS28" s="457" t="s">
        <v>503</v>
      </c>
      <c r="DT28" s="457" t="s">
        <v>4</v>
      </c>
      <c r="DU28" s="457" t="s">
        <v>504</v>
      </c>
      <c r="DV28" s="466" t="s">
        <v>507</v>
      </c>
      <c r="DW28" s="466" t="s">
        <v>508</v>
      </c>
      <c r="DX28" s="457" t="s">
        <v>510</v>
      </c>
      <c r="DY28" s="457" t="s">
        <v>511</v>
      </c>
      <c r="DZ28" s="183"/>
      <c r="EA28" s="183"/>
      <c r="EB28" s="183"/>
      <c r="EC28" s="183"/>
      <c r="ED28" s="183"/>
      <c r="EE28" s="183"/>
      <c r="EF28" s="183"/>
      <c r="EG28" s="183"/>
      <c r="EH28" s="183"/>
      <c r="EI28" s="183"/>
      <c r="EJ28" s="183"/>
      <c r="EK28" s="183"/>
      <c r="EL28" s="183"/>
      <c r="EM28" s="183"/>
      <c r="EN28" s="183"/>
      <c r="EO28" s="183"/>
      <c r="EP28" s="183"/>
      <c r="EQ28" s="183"/>
      <c r="ER28" s="183"/>
      <c r="ES28" s="183"/>
      <c r="ET28" s="183"/>
      <c r="EU28" s="183"/>
      <c r="EV28" s="183"/>
      <c r="EW28" s="183"/>
      <c r="EX28" s="183"/>
      <c r="EY28" s="183"/>
      <c r="EZ28" s="183"/>
      <c r="FA28" s="183"/>
      <c r="FB28" s="183"/>
      <c r="FC28" s="183"/>
      <c r="FD28" s="183"/>
      <c r="FE28" s="183"/>
      <c r="FF28" s="183"/>
      <c r="FG28" s="183"/>
      <c r="FH28" s="183"/>
      <c r="FI28" s="183"/>
      <c r="FJ28" s="183"/>
      <c r="FK28" s="183"/>
      <c r="FL28" s="183"/>
      <c r="FM28" s="183"/>
      <c r="FN28" s="183"/>
      <c r="FO28" s="183"/>
      <c r="FP28" s="183"/>
      <c r="FQ28" s="183"/>
      <c r="FR28" s="183"/>
      <c r="FS28" s="183"/>
      <c r="FT28" s="183"/>
      <c r="FU28" s="183"/>
      <c r="FV28" s="183"/>
      <c r="FW28" s="183"/>
      <c r="FX28" s="183"/>
      <c r="FY28" s="183"/>
      <c r="FZ28" s="183"/>
      <c r="GA28" s="183"/>
      <c r="GB28" s="183"/>
      <c r="GC28" s="183"/>
      <c r="GD28" s="183"/>
      <c r="GE28" s="183"/>
      <c r="GF28" s="183"/>
      <c r="GG28" s="183"/>
      <c r="GH28" s="183"/>
      <c r="GI28" s="183"/>
      <c r="GJ28" s="183"/>
      <c r="GK28" s="183"/>
      <c r="GL28" s="183"/>
    </row>
    <row r="29" spans="1:194" s="175" customFormat="1" ht="60" customHeight="1" x14ac:dyDescent="0.3">
      <c r="A29" s="364"/>
      <c r="B29" s="365"/>
      <c r="C29" s="392" t="s">
        <v>27</v>
      </c>
      <c r="D29" s="641"/>
      <c r="E29" s="641"/>
      <c r="F29" s="641"/>
      <c r="G29" s="641"/>
      <c r="H29" s="641"/>
      <c r="I29" s="641"/>
      <c r="J29" s="642"/>
      <c r="K29" s="642"/>
      <c r="L29" s="622">
        <f>J29*K29*M29</f>
        <v>0</v>
      </c>
      <c r="M29" s="623"/>
      <c r="N29" s="620">
        <f>IFERROR(AL29,"")</f>
        <v>1.0765546639999999</v>
      </c>
      <c r="O29" s="621">
        <f>IFERROR(N29*M29,"")</f>
        <v>0</v>
      </c>
      <c r="P29" s="192"/>
      <c r="Q29" s="193">
        <f>Q30+BF29+($R$350*Q30)</f>
        <v>0</v>
      </c>
      <c r="R29" s="193">
        <f>IFERROR(R30+($R$348*R30),"")</f>
        <v>0</v>
      </c>
      <c r="S29" s="194">
        <f>+IF(R31="SI",((W33*'BD GN'!$AB$2)+S30)*1,COTIZACIÓN!S30*1)+(P30*S30)</f>
        <v>0</v>
      </c>
      <c r="T29" s="195">
        <f>IFERROR(R29*IF(K29&lt;=3,$T$13,15%),"")</f>
        <v>0</v>
      </c>
      <c r="U29" s="196">
        <f>BH29+BG29</f>
        <v>0</v>
      </c>
      <c r="V29" s="197" t="str">
        <f>IFERROR(BN29,0)</f>
        <v/>
      </c>
      <c r="W29" s="198" t="str">
        <f>IFERROR(IF(X31="SI",W32*J29*K29,IF(BE29=3,BE31,IF(BE29=4,BE32,IF(BE29=5,BE33,IF(BE29&gt;5,BE33+(BE34*(BE29-5)),"")))))*0,"")</f>
        <v/>
      </c>
      <c r="X29" s="198" t="str">
        <f>IFERROR(IF(X30="NO",(VLOOKUP(D29,'BD M.O'!C:E,3,FALSE))*W33,((VLOOKUP(D29,'BD M.O'!C:E,3,FALSE))+7500)*W33),"")</f>
        <v/>
      </c>
      <c r="Y29" s="198">
        <f>IFERROR($Y$13*AK29,"")</f>
        <v>4.2084457416288003E-2</v>
      </c>
      <c r="Z29" s="332" t="str">
        <f>IFERROR(($Z$13*AK29)+X29,"")</f>
        <v/>
      </c>
      <c r="AA29" s="199" t="str">
        <f>IFERROR(Y29+Z29,"")</f>
        <v/>
      </c>
      <c r="AB29" s="200">
        <f>IFERROR((SUM(Q29:X29)-T29+T31)*$AB$13,"")</f>
        <v>0</v>
      </c>
      <c r="AC29" s="201">
        <f>IFERROR(((SUM(Q29:V29,IF(X34&gt;AA29,AVERAGE(X34,AA29),AA29))-T29+T31))*$AB$13,"")</f>
        <v>0</v>
      </c>
      <c r="AD29" s="202" t="str">
        <f>IFERROR((J29*K29*$BV$14),"")</f>
        <v/>
      </c>
      <c r="AE29" s="202">
        <f>IFERROR($AE$13*AK29,"")</f>
        <v>6.4010592649919984E-2</v>
      </c>
      <c r="AF29" s="203" t="str">
        <f>IFERROR(($CI$11+$CI$13)*W33,"")</f>
        <v/>
      </c>
      <c r="AG29" s="202">
        <f>IFERROR((SUM(Q29:X29,AB29,AD29,AF29)-T29+T31)*$AG$13,"")</f>
        <v>0</v>
      </c>
      <c r="AH29" s="202">
        <f>IFERROR((SUM(Q29:V29,(IF(X34&gt;AA29,AVERAGE(X34,AA29),AA29)),AC29,AE29,AF29)-T29+T31)*$AG$13,"")</f>
        <v>3.2005296324959992E-2</v>
      </c>
      <c r="AI29" s="204">
        <f>IFERROR(AL29*$AI$13,"")</f>
        <v>2.1531093279999997E-2</v>
      </c>
      <c r="AJ29" s="204">
        <f>IFERROR($AJ$13*AL29,"")</f>
        <v>6.007175025119999E-3</v>
      </c>
      <c r="AK29" s="205">
        <f>IFERROR(SUM(Q29:X29,AB29,AD29,AG29,AF29)/(1-$AI$13)+(1-$AJ$13)-T29+T31,"")</f>
        <v>0.99441999999999997</v>
      </c>
      <c r="AL29" s="205">
        <f>IFERROR(SUM(Q29:V29,AC29,(IF(AD29&gt;AE29,AVERAGE(AD29,AE29),AE29)),AF29,,AH29,(IF(SUM(X34)&gt;AA29,AVERAGE(AA29,X34),AA29)))/(1-$AJ$13)+(1-$AI$13)-T29+T31,"")</f>
        <v>1.0765546639999999</v>
      </c>
      <c r="AM29" s="206">
        <f>$M$15*Q29</f>
        <v>0</v>
      </c>
      <c r="AN29" s="207">
        <f>$M$15*R29</f>
        <v>0</v>
      </c>
      <c r="AO29" s="208">
        <f>$M$15*S29</f>
        <v>0</v>
      </c>
      <c r="AP29" s="207">
        <f>$M$15*T29</f>
        <v>0</v>
      </c>
      <c r="AQ29" s="207" t="e">
        <f>$M$15*#REF!</f>
        <v>#REF!</v>
      </c>
      <c r="AR29" s="207">
        <f>$M$15*U29</f>
        <v>0</v>
      </c>
      <c r="AS29" s="208" t="e">
        <f>$M$15*V29</f>
        <v>#VALUE!</v>
      </c>
      <c r="AT29" s="207" t="e">
        <f>$M$15*W29</f>
        <v>#VALUE!</v>
      </c>
      <c r="AU29" s="208" t="e">
        <f>$M$15*X29</f>
        <v>#VALUE!</v>
      </c>
      <c r="AV29" s="207">
        <f>$M$15*AB29</f>
        <v>0</v>
      </c>
      <c r="AW29" s="208">
        <f>$M$15*AE29</f>
        <v>0</v>
      </c>
      <c r="AX29" s="207">
        <f>$M$15*AG29</f>
        <v>0</v>
      </c>
      <c r="AY29" s="209">
        <f>$M$15*AI29</f>
        <v>0</v>
      </c>
      <c r="AZ29" s="207">
        <f>$M$15*AK29</f>
        <v>0</v>
      </c>
      <c r="BA29" s="210"/>
      <c r="BB29" s="175" t="s">
        <v>23</v>
      </c>
      <c r="BC29" s="211" t="s">
        <v>113</v>
      </c>
      <c r="BD29" s="210"/>
      <c r="BE29" s="212"/>
      <c r="BF29" s="213">
        <f>IF(BH30="NO",((2*J29)+(2*K29))*'BD GN'!$AU$3,((3*J29)+(2*K29))*'BD GN'!$AU$3)</f>
        <v>0</v>
      </c>
      <c r="BG29" s="213">
        <f>'BD GN'!$BB$3*J29*K29</f>
        <v>0</v>
      </c>
      <c r="BH29" s="214">
        <f>((J29*2*BE29)+(K29*2*BE29))*'BD GN'!$AN$4</f>
        <v>0</v>
      </c>
      <c r="BI29" s="210"/>
      <c r="BJ29" s="212"/>
      <c r="BK29" s="212"/>
      <c r="BL29" s="215">
        <f>J29*K29*2.5*BJ29</f>
        <v>0</v>
      </c>
      <c r="BM29" s="215">
        <f>BK29+BL29</f>
        <v>0</v>
      </c>
      <c r="BN29" s="216" t="str">
        <f>IFERROR((VLOOKUP($C$12,'BD GN'!BD:BM,10,FALSE)*BM29)+$BR$338,"")</f>
        <v/>
      </c>
      <c r="BO29" s="210"/>
      <c r="BW29" s="210"/>
      <c r="CD29" s="184"/>
      <c r="CF29" s="185"/>
      <c r="CI29" s="184"/>
      <c r="CJ29" s="210"/>
      <c r="CK29" s="565"/>
      <c r="CL29" s="256"/>
      <c r="CM29" s="596"/>
      <c r="CN29" s="626"/>
      <c r="CO29" s="629"/>
      <c r="CP29" s="629"/>
      <c r="CQ29" s="629"/>
      <c r="CR29" s="629"/>
      <c r="CS29" s="629"/>
      <c r="CT29" s="632"/>
      <c r="CU29" s="565"/>
      <c r="CV29" s="560">
        <f>IFERROR(N29*CU29,"")</f>
        <v>0</v>
      </c>
      <c r="CW29" s="565"/>
      <c r="CX29" s="560">
        <f>IFERROR(P29*CW29,"")</f>
        <v>0</v>
      </c>
      <c r="CY29" s="565"/>
      <c r="CZ29" s="560">
        <f>IFERROR(R29*CY29,"")</f>
        <v>0</v>
      </c>
      <c r="DA29" s="565">
        <f t="shared" ref="DA29" si="6">CU29+CW29+CY29</f>
        <v>0</v>
      </c>
      <c r="DB29" s="560">
        <f t="shared" ref="DB29" si="7">IFERROR(CV29+CX29+CZ29,"")</f>
        <v>0</v>
      </c>
      <c r="DC29" s="565">
        <f>M29-(CU29+CW29+CY29)</f>
        <v>0</v>
      </c>
      <c r="DD29" s="560">
        <f>IFERROR(O29-(CV29+CX29+CZ29),"")</f>
        <v>0</v>
      </c>
      <c r="DG29" s="575"/>
      <c r="DH29" s="575"/>
      <c r="DI29" s="569">
        <f t="shared" ref="DI29" si="8">IFERROR(IF(DG29&gt;0,(((N29)/(1+10%+19%*5%)+((N29)/(1+10%+19%*5%))*10%)*DH29),0),0)</f>
        <v>0</v>
      </c>
      <c r="DJ29" s="569">
        <f t="shared" ref="DJ29" si="9">IFERROR(IF(DG29&gt;0,(N29*DH29),0),0)</f>
        <v>0</v>
      </c>
      <c r="DK29" s="569">
        <f t="shared" ref="DK29" si="10">IF(DG29&gt;0,((R29+T29)*DH29),0)</f>
        <v>0</v>
      </c>
      <c r="DL29" s="569">
        <f t="shared" ref="DL29" si="11">IF(DG29&gt;0,(Q29*DH29),0)</f>
        <v>0</v>
      </c>
      <c r="DM29" s="572">
        <f t="shared" ref="DM29" si="12">IF(DG29&gt;0,(S29*DH29),0)</f>
        <v>0</v>
      </c>
      <c r="DN29" s="569">
        <f t="shared" ref="DN29" si="13">IF(DG29&gt;0,(BN29*DH29),0)</f>
        <v>0</v>
      </c>
      <c r="DO29" s="569">
        <f t="shared" ref="DO29" si="14">IF(DG29&gt;0,(AF29*DH29),0)</f>
        <v>0</v>
      </c>
      <c r="DP29" s="569">
        <f>IF(DG29&gt;0,((DI29)*('BD P&amp;G'!$E$16+'BD P&amp;G'!$E$17+'BD P&amp;G'!$E$18+'BD P&amp;G'!$E$19+'BD P&amp;G'!$E$20+'BD P&amp;G'!$E$21+'BD P&amp;G'!$E$22+'BD P&amp;G'!$E$23)*DH29),0)</f>
        <v>0</v>
      </c>
      <c r="DQ29" s="569">
        <f>IFERROR(IF(DG29&gt;0,((DI29*'BD P&amp;G'!$E$7)+(DI29*'BD P&amp;G'!$E$9)+AI29),0),0)</f>
        <v>0</v>
      </c>
      <c r="DR29" s="569">
        <f t="shared" ref="DR29" si="15">IFERROR(IF(DG29&gt;0,((DI29*1%)),0),0)</f>
        <v>0</v>
      </c>
      <c r="DS29" s="569">
        <f>IFERROR(IF(DG29&gt;0,(((DI29*'BD P&amp;G'!$E$32+DI29*'BD P&amp;G'!$E$33+DI29*'BD P&amp;G'!$E$35+DI29*'BD P&amp;G'!$E$36+DI29*'BD P&amp;G'!$E$37))),0),0)</f>
        <v>0</v>
      </c>
      <c r="DT29" s="569">
        <f t="shared" ref="DT29" si="16">IF(DG29&gt;0,(Y29*DH29),0)</f>
        <v>0</v>
      </c>
      <c r="DU29" s="569">
        <f t="shared" ref="DU29" si="17">IF(DG29&gt;0,(Z29*DH29),0)</f>
        <v>0</v>
      </c>
      <c r="DV29" s="575">
        <f t="shared" ref="DV29" si="18">IF(DG29&gt;0,(Y33*DH29),0)</f>
        <v>0</v>
      </c>
      <c r="DW29" s="575">
        <f t="shared" ref="DW29" si="19">IF(DG29&gt;0,(Z33*DH29),0)</f>
        <v>0</v>
      </c>
      <c r="DX29" s="569">
        <f t="shared" ref="DX29" si="20">IF(DV29&gt;0,DJ29,0)</f>
        <v>0</v>
      </c>
      <c r="DY29" s="569">
        <f t="shared" ref="DY29" si="21">IF(DW29&gt;0,DJ29,0)</f>
        <v>0</v>
      </c>
    </row>
    <row r="30" spans="1:194" s="175" customFormat="1" ht="60" customHeight="1" x14ac:dyDescent="0.25">
      <c r="A30" s="366"/>
      <c r="B30" s="367"/>
      <c r="C30" s="393" t="s">
        <v>28</v>
      </c>
      <c r="D30" s="598"/>
      <c r="E30" s="598"/>
      <c r="F30" s="598"/>
      <c r="G30" s="598"/>
      <c r="H30" s="598"/>
      <c r="I30" s="598"/>
      <c r="J30" s="604"/>
      <c r="K30" s="604"/>
      <c r="L30" s="607"/>
      <c r="M30" s="559"/>
      <c r="N30" s="610"/>
      <c r="O30" s="613"/>
      <c r="P30" s="192"/>
      <c r="Q30" s="217"/>
      <c r="R30" s="217"/>
      <c r="S30" s="218"/>
      <c r="T30" s="219">
        <f>IFERROR(T29/$R$353,"")</f>
        <v>0</v>
      </c>
      <c r="U30" s="206"/>
      <c r="V30" s="220"/>
      <c r="W30" s="221" t="s">
        <v>239</v>
      </c>
      <c r="X30" s="222" t="s">
        <v>204</v>
      </c>
      <c r="Y30" s="223"/>
      <c r="Z30" s="224"/>
      <c r="AA30" s="225"/>
      <c r="AB30" s="226"/>
      <c r="AC30" s="206"/>
      <c r="AD30" s="206"/>
      <c r="AE30" s="206"/>
      <c r="AF30" s="227"/>
      <c r="AG30" s="206"/>
      <c r="AH30" s="206"/>
      <c r="AI30" s="206"/>
      <c r="AJ30" s="206"/>
      <c r="AK30" s="227"/>
      <c r="AL30" s="210"/>
      <c r="AM30" s="206"/>
      <c r="AN30" s="206"/>
      <c r="AO30" s="228"/>
      <c r="AP30" s="229"/>
      <c r="AQ30" s="206"/>
      <c r="AR30" s="206"/>
      <c r="AS30" s="228"/>
      <c r="AT30" s="229"/>
      <c r="AU30" s="228"/>
      <c r="AV30" s="229"/>
      <c r="AW30" s="228"/>
      <c r="AX30" s="229"/>
      <c r="AY30" s="206"/>
      <c r="AZ30" s="229"/>
      <c r="BA30" s="210"/>
      <c r="BB30" s="175" t="s">
        <v>24</v>
      </c>
      <c r="BC30" s="175" t="s">
        <v>114</v>
      </c>
      <c r="BD30" s="210"/>
      <c r="BE30" s="176" t="s">
        <v>206</v>
      </c>
      <c r="BF30" s="230" t="s">
        <v>204</v>
      </c>
      <c r="BG30" s="176" t="s">
        <v>290</v>
      </c>
      <c r="BH30" s="231" t="s">
        <v>204</v>
      </c>
      <c r="BI30" s="210"/>
      <c r="BN30" s="232"/>
      <c r="BO30" s="210"/>
      <c r="BV30" s="184"/>
      <c r="BW30" s="210"/>
      <c r="CD30" s="184"/>
      <c r="CF30" s="185"/>
      <c r="CI30" s="184"/>
      <c r="CJ30" s="210"/>
      <c r="CK30" s="563"/>
      <c r="CM30" s="559"/>
      <c r="CN30" s="627"/>
      <c r="CO30" s="630"/>
      <c r="CP30" s="630"/>
      <c r="CQ30" s="630"/>
      <c r="CR30" s="630"/>
      <c r="CS30" s="630"/>
      <c r="CT30" s="633"/>
      <c r="CU30" s="563"/>
      <c r="CV30" s="561"/>
      <c r="CW30" s="563"/>
      <c r="CX30" s="561"/>
      <c r="CY30" s="563"/>
      <c r="CZ30" s="561"/>
      <c r="DA30" s="563"/>
      <c r="DB30" s="561"/>
      <c r="DC30" s="563"/>
      <c r="DD30" s="561"/>
      <c r="DG30" s="576"/>
      <c r="DH30" s="576"/>
      <c r="DI30" s="570"/>
      <c r="DJ30" s="570"/>
      <c r="DK30" s="570"/>
      <c r="DL30" s="570"/>
      <c r="DM30" s="573"/>
      <c r="DN30" s="570"/>
      <c r="DO30" s="570"/>
      <c r="DP30" s="570"/>
      <c r="DQ30" s="570"/>
      <c r="DR30" s="570"/>
      <c r="DS30" s="570"/>
      <c r="DT30" s="570"/>
      <c r="DU30" s="570"/>
      <c r="DV30" s="576"/>
      <c r="DW30" s="576"/>
      <c r="DX30" s="570"/>
      <c r="DY30" s="570"/>
    </row>
    <row r="31" spans="1:194" s="175" customFormat="1" ht="60" customHeight="1" x14ac:dyDescent="0.3">
      <c r="A31" s="366"/>
      <c r="B31" s="367"/>
      <c r="C31" s="393" t="s">
        <v>30</v>
      </c>
      <c r="D31" s="599"/>
      <c r="E31" s="599"/>
      <c r="F31" s="599"/>
      <c r="G31" s="599"/>
      <c r="H31" s="599"/>
      <c r="I31" s="599"/>
      <c r="J31" s="604"/>
      <c r="K31" s="604"/>
      <c r="L31" s="607"/>
      <c r="M31" s="559"/>
      <c r="N31" s="610"/>
      <c r="O31" s="613"/>
      <c r="P31" s="192"/>
      <c r="Q31" s="176" t="s">
        <v>205</v>
      </c>
      <c r="R31" s="233" t="s">
        <v>204</v>
      </c>
      <c r="S31" s="234"/>
      <c r="T31" s="235">
        <f>IFERROR(($R$353-8000)*T30,"")</f>
        <v>0</v>
      </c>
      <c r="U31" s="206"/>
      <c r="V31" s="220"/>
      <c r="W31" s="221" t="s">
        <v>258</v>
      </c>
      <c r="X31" s="222" t="s">
        <v>204</v>
      </c>
      <c r="Y31" s="236"/>
      <c r="Z31" s="237"/>
      <c r="AA31" s="225"/>
      <c r="AB31" s="226"/>
      <c r="AC31" s="206"/>
      <c r="AD31" s="206"/>
      <c r="AE31" s="206"/>
      <c r="AF31" s="227"/>
      <c r="AG31" s="206"/>
      <c r="AH31" s="206"/>
      <c r="AI31" s="206"/>
      <c r="AJ31" s="206"/>
      <c r="AK31" s="227"/>
      <c r="AL31" s="238"/>
      <c r="AM31" s="206"/>
      <c r="AN31" s="206"/>
      <c r="AO31" s="228"/>
      <c r="AP31" s="229"/>
      <c r="AQ31" s="206"/>
      <c r="AR31" s="206"/>
      <c r="AS31" s="228"/>
      <c r="AT31" s="229"/>
      <c r="AU31" s="228"/>
      <c r="AV31" s="229"/>
      <c r="AW31" s="228"/>
      <c r="AX31" s="229"/>
      <c r="AY31" s="206"/>
      <c r="AZ31" s="229"/>
      <c r="BA31" s="210"/>
      <c r="BB31" s="175" t="s">
        <v>26</v>
      </c>
      <c r="BC31" s="211" t="s">
        <v>115</v>
      </c>
      <c r="BD31" s="210"/>
      <c r="BE31" s="177" t="str">
        <f>IFERROR(VLOOKUP(D29,'BD M.O'!C:H,4,FALSE),"")</f>
        <v/>
      </c>
      <c r="BF31" s="177" t="s">
        <v>259</v>
      </c>
      <c r="BI31" s="210"/>
      <c r="BO31" s="210"/>
      <c r="BV31" s="184"/>
      <c r="BW31" s="210"/>
      <c r="CD31" s="184"/>
      <c r="CF31" s="185"/>
      <c r="CI31" s="184"/>
      <c r="CJ31" s="210"/>
      <c r="CK31" s="563"/>
      <c r="CM31" s="559"/>
      <c r="CN31" s="627"/>
      <c r="CO31" s="630"/>
      <c r="CP31" s="630"/>
      <c r="CQ31" s="630"/>
      <c r="CR31" s="630"/>
      <c r="CS31" s="630"/>
      <c r="CT31" s="633"/>
      <c r="CU31" s="563"/>
      <c r="CV31" s="561"/>
      <c r="CW31" s="563"/>
      <c r="CX31" s="561"/>
      <c r="CY31" s="563"/>
      <c r="CZ31" s="561"/>
      <c r="DA31" s="563"/>
      <c r="DB31" s="561"/>
      <c r="DC31" s="563"/>
      <c r="DD31" s="561"/>
      <c r="DG31" s="577"/>
      <c r="DH31" s="577"/>
      <c r="DI31" s="571"/>
      <c r="DJ31" s="571"/>
      <c r="DK31" s="571"/>
      <c r="DL31" s="571"/>
      <c r="DM31" s="574"/>
      <c r="DN31" s="571"/>
      <c r="DO31" s="571"/>
      <c r="DP31" s="571"/>
      <c r="DQ31" s="571"/>
      <c r="DR31" s="571"/>
      <c r="DS31" s="571"/>
      <c r="DT31" s="571"/>
      <c r="DU31" s="571"/>
      <c r="DV31" s="577"/>
      <c r="DW31" s="577"/>
      <c r="DX31" s="571"/>
      <c r="DY31" s="571"/>
    </row>
    <row r="32" spans="1:194" s="175" customFormat="1" ht="60" customHeight="1" x14ac:dyDescent="0.25">
      <c r="A32" s="366"/>
      <c r="B32" s="367"/>
      <c r="C32" s="395" t="s">
        <v>180</v>
      </c>
      <c r="D32" s="599" t="s">
        <v>31</v>
      </c>
      <c r="E32" s="599"/>
      <c r="F32" s="394" t="s">
        <v>9</v>
      </c>
      <c r="G32" s="599" t="s">
        <v>33</v>
      </c>
      <c r="H32" s="599"/>
      <c r="I32" s="394" t="str">
        <f>+IF($BG$9="SI","","X")</f>
        <v>X</v>
      </c>
      <c r="J32" s="604"/>
      <c r="K32" s="604"/>
      <c r="L32" s="607"/>
      <c r="M32" s="559"/>
      <c r="N32" s="610"/>
      <c r="O32" s="613"/>
      <c r="P32" s="192"/>
      <c r="Q32" s="239"/>
      <c r="R32" s="221" t="s">
        <v>209</v>
      </c>
      <c r="S32" s="234" t="str">
        <f>IF(S30="","",S30/(J29*K29))</f>
        <v/>
      </c>
      <c r="T32" s="226"/>
      <c r="U32" s="206"/>
      <c r="V32" s="220"/>
      <c r="W32" s="239" t="str">
        <f>IFERROR(IF(X31="SI",VLOOKUP(D29,'BD M.O'!C:F,4,FALSE),""),"")</f>
        <v/>
      </c>
      <c r="X32" s="221" t="s">
        <v>258</v>
      </c>
      <c r="Y32" s="221" t="s">
        <v>507</v>
      </c>
      <c r="Z32" s="221" t="s">
        <v>508</v>
      </c>
      <c r="AA32" s="225"/>
      <c r="AB32" s="226"/>
      <c r="AC32" s="206"/>
      <c r="AD32" s="206"/>
      <c r="AE32" s="206"/>
      <c r="AF32" s="227"/>
      <c r="AG32" s="206"/>
      <c r="AH32" s="206"/>
      <c r="AI32" s="206"/>
      <c r="AJ32" s="206"/>
      <c r="AK32" s="227"/>
      <c r="AL32" s="240"/>
      <c r="AM32" s="206"/>
      <c r="AN32" s="206"/>
      <c r="AO32" s="228"/>
      <c r="AP32" s="229"/>
      <c r="AQ32" s="206"/>
      <c r="AR32" s="206"/>
      <c r="AS32" s="228"/>
      <c r="AT32" s="229"/>
      <c r="AU32" s="228"/>
      <c r="AV32" s="229"/>
      <c r="AW32" s="228"/>
      <c r="AX32" s="229"/>
      <c r="AY32" s="206"/>
      <c r="AZ32" s="229"/>
      <c r="BA32" s="210"/>
      <c r="BC32" s="175" t="s">
        <v>116</v>
      </c>
      <c r="BD32" s="210"/>
      <c r="BE32" s="177" t="str">
        <f>IFERROR(VLOOKUP(COTIZACIÓN!D29,'BD M.O'!C:I,5,FALSE),"")</f>
        <v/>
      </c>
      <c r="BF32" s="177" t="s">
        <v>260</v>
      </c>
      <c r="BI32" s="210"/>
      <c r="BO32" s="210"/>
      <c r="BP32" s="183"/>
      <c r="BQ32" s="183"/>
      <c r="BR32" s="183"/>
      <c r="BS32" s="183"/>
      <c r="BT32" s="183"/>
      <c r="BU32" s="183"/>
      <c r="BV32" s="182"/>
      <c r="BW32" s="210"/>
      <c r="BX32" s="183"/>
      <c r="BY32" s="183"/>
      <c r="BZ32" s="183"/>
      <c r="CA32" s="183"/>
      <c r="CB32" s="183"/>
      <c r="CC32" s="183"/>
      <c r="CD32" s="182"/>
      <c r="CE32" s="183"/>
      <c r="CF32" s="241"/>
      <c r="CG32" s="183"/>
      <c r="CH32" s="183"/>
      <c r="CI32" s="182"/>
      <c r="CJ32" s="210"/>
      <c r="CK32" s="563"/>
      <c r="CM32" s="559"/>
      <c r="CN32" s="627"/>
      <c r="CO32" s="630"/>
      <c r="CP32" s="630"/>
      <c r="CQ32" s="630"/>
      <c r="CR32" s="630"/>
      <c r="CS32" s="630"/>
      <c r="CT32" s="633"/>
      <c r="CU32" s="563"/>
      <c r="CV32" s="561"/>
      <c r="CW32" s="563"/>
      <c r="CX32" s="561"/>
      <c r="CY32" s="563"/>
      <c r="CZ32" s="561"/>
      <c r="DA32" s="563"/>
      <c r="DB32" s="561"/>
      <c r="DC32" s="563"/>
      <c r="DD32" s="561"/>
      <c r="DG32" s="575"/>
      <c r="DH32" s="575"/>
      <c r="DI32" s="569">
        <f t="shared" ref="DI32" si="22">IFERROR(IF(DG32&gt;0,(((N29)/(1+10%+19%*5%)+((N29)/(1+10%+19%*5%))*10%)*DH32),0),0)</f>
        <v>0</v>
      </c>
      <c r="DJ32" s="569">
        <f t="shared" ref="DJ32" si="23">IFERROR(IF(DG32&gt;0,(N29*DH32),0),0)</f>
        <v>0</v>
      </c>
      <c r="DK32" s="569">
        <f t="shared" ref="DK32" si="24">IF(DG32&gt;0,((R29+T29)*DH32),0)</f>
        <v>0</v>
      </c>
      <c r="DL32" s="569">
        <f t="shared" ref="DL32" si="25">IF(DG32&gt;0,(Q29*DH32),0)</f>
        <v>0</v>
      </c>
      <c r="DM32" s="572">
        <f t="shared" ref="DM32" si="26">IF(DG32&gt;0,(S29*DH32),0)</f>
        <v>0</v>
      </c>
      <c r="DN32" s="569">
        <f t="shared" ref="DN32" si="27">IF(DG32&gt;0,(BN29*DH32),0)</f>
        <v>0</v>
      </c>
      <c r="DO32" s="569">
        <f t="shared" ref="DO32" si="28">IF(DG32&gt;0,(AF29*DH32),0)</f>
        <v>0</v>
      </c>
      <c r="DP32" s="569">
        <f>IF(DG32&gt;0,((DI32)*('BD P&amp;G'!$E$16+'BD P&amp;G'!$E$17+'BD P&amp;G'!$E$18+'BD P&amp;G'!$E$19+'BD P&amp;G'!$E$20+'BD P&amp;G'!$E$21+'BD P&amp;G'!$E$22+'BD P&amp;G'!$E$23)*DH32),0)</f>
        <v>0</v>
      </c>
      <c r="DQ32" s="569">
        <f>IFERROR(IF(DG32&gt;0,((DI32*'BD P&amp;G'!$E$7)+(DI32*'BD P&amp;G'!$E$9)+AI29),0),0)</f>
        <v>0</v>
      </c>
      <c r="DR32" s="569">
        <f t="shared" ref="DR32" si="29">IFERROR(IF(DG32&gt;0,((DI32*1%)),0),0)</f>
        <v>0</v>
      </c>
      <c r="DS32" s="569">
        <f>IFERROR(IF(DG32&gt;0,(((DI32*'BD P&amp;G'!$E$32+DI32*'BD P&amp;G'!$E$33+DI32*'BD P&amp;G'!$E$35+DI32*'BD P&amp;G'!$E$36+DI32*'BD P&amp;G'!$E$37))),0),0)</f>
        <v>0</v>
      </c>
      <c r="DT32" s="569">
        <f t="shared" ref="DT32" si="30">IF(DG32&gt;0,(Y29*DH32),0)</f>
        <v>0</v>
      </c>
      <c r="DU32" s="569">
        <f t="shared" ref="DU32" si="31">IF(DG32&gt;0,(Z29*DH32),0)</f>
        <v>0</v>
      </c>
      <c r="DV32" s="575">
        <f t="shared" ref="DV32" si="32">IF(DG32&gt;0,(Y33*DH32),0)</f>
        <v>0</v>
      </c>
      <c r="DW32" s="575">
        <f t="shared" ref="DW32" si="33">IF(DG32&gt;0,(Z33*DH32),0)</f>
        <v>0</v>
      </c>
      <c r="DX32" s="569">
        <f t="shared" ref="DX32" si="34">IF(DV32&gt;0,DJ32,0)</f>
        <v>0</v>
      </c>
      <c r="DY32" s="569">
        <f t="shared" ref="DY32" si="35">IF(DW32&gt;0,DJ32,0)</f>
        <v>0</v>
      </c>
    </row>
    <row r="33" spans="1:194" s="175" customFormat="1" ht="60" customHeight="1" x14ac:dyDescent="0.3">
      <c r="A33" s="366"/>
      <c r="B33" s="367"/>
      <c r="C33" s="393" t="s">
        <v>35</v>
      </c>
      <c r="D33" s="599" t="str">
        <f>IFERROR(VLOOKUP(D29,'BD GN'!C:E,3,),"")</f>
        <v/>
      </c>
      <c r="E33" s="599"/>
      <c r="F33" s="599"/>
      <c r="G33" s="599"/>
      <c r="H33" s="599"/>
      <c r="I33" s="599"/>
      <c r="J33" s="604"/>
      <c r="K33" s="604"/>
      <c r="L33" s="607"/>
      <c r="M33" s="559"/>
      <c r="N33" s="610"/>
      <c r="O33" s="613"/>
      <c r="P33" s="192"/>
      <c r="Q33" s="239"/>
      <c r="R33" s="221" t="s">
        <v>210</v>
      </c>
      <c r="S33" s="234" t="str">
        <f>IFERROR(IF(N29="","",N29/W33),"")</f>
        <v/>
      </c>
      <c r="T33" s="226"/>
      <c r="U33" s="206"/>
      <c r="V33" s="220"/>
      <c r="W33" s="242" t="str">
        <f>+IF(J29*K29&gt;=1,J29*K29,IF(AND(J29*K29&gt;0,J29*K29&lt;1),1,""))</f>
        <v/>
      </c>
      <c r="X33" s="221" t="s">
        <v>298</v>
      </c>
      <c r="Y33" s="461">
        <f>IFERROR(IF(D29='BD GN'!$C$25,COTIZACIÓN!W33,IF(D29='BD GN'!$C$26,COTIZACIÓN!W33,IF(D29='BD GN'!$C$27,COTIZACIÓN!W33,IF(COTIZACIÓN!D29='BD GN'!$C$28,COTIZACIÓN!W33,IF(COTIZACIÓN!D29='BD GN'!$C$29,COTIZACIÓN!W33,IF(COTIZACIÓN!D29='BD GN'!$C$35,COTIZACIÓN!W33,IF(COTIZACIÓN!D29='BD GN'!$C$36,COTIZACIÓN!W33,IF(COTIZACIÓN!D29='BD GN'!$C$37,COTIZACIÓN!W33,IF(COTIZACIÓN!D29='BD GN'!$C$38,COTIZACIÓN!W33,IF(COTIZACIÓN!D29='BD GN'!$C$39,COTIZACIÓN!W33,IF(COTIZACIÓN!D29='BD GN'!$C$40,COTIZACIÓN!W33,IF(COTIZACIÓN!D29='BD GN'!$C$41,COTIZACIÓN!W33,IF(COTIZACIÓN!D29='BD GN'!$C$42,COTIZACIÓN!W33,IF(COTIZACIÓN!D29='BD GN'!$C$49,COTIZACIÓN!W33,IF(COTIZACIÓN!D29='BD GN'!$C$50,COTIZACIÓN!W33,IF(COTIZACIÓN!D29='BD GN'!$C$51,COTIZACIÓN!W33,IF(COTIZACIÓN!D29='BD GN'!$C$67,COTIZACIÓN!W33,0))))))))))))))))),0)</f>
        <v>0</v>
      </c>
      <c r="Z33" s="461">
        <f>IFERROR(W33-Y33,0)</f>
        <v>0</v>
      </c>
      <c r="AA33" s="225"/>
      <c r="AB33" s="226"/>
      <c r="AC33" s="206"/>
      <c r="AD33" s="206"/>
      <c r="AE33" s="206"/>
      <c r="AF33" s="227"/>
      <c r="AG33" s="206"/>
      <c r="AH33" s="206"/>
      <c r="AI33" s="206"/>
      <c r="AJ33" s="206"/>
      <c r="AK33" s="227"/>
      <c r="AL33" s="210"/>
      <c r="AM33" s="206"/>
      <c r="AN33" s="206"/>
      <c r="AO33" s="228"/>
      <c r="AP33" s="229"/>
      <c r="AQ33" s="206"/>
      <c r="AR33" s="206"/>
      <c r="AS33" s="228"/>
      <c r="AT33" s="229"/>
      <c r="AU33" s="228"/>
      <c r="AV33" s="229"/>
      <c r="AW33" s="228"/>
      <c r="AX33" s="229"/>
      <c r="AY33" s="206"/>
      <c r="AZ33" s="229"/>
      <c r="BA33" s="210"/>
      <c r="BC33" s="211" t="s">
        <v>117</v>
      </c>
      <c r="BD33" s="210"/>
      <c r="BE33" s="177" t="str">
        <f>IFERROR(VLOOKUP(D29,'BD M.O'!C:I,6,FALSE),"")</f>
        <v/>
      </c>
      <c r="BF33" s="177" t="s">
        <v>261</v>
      </c>
      <c r="BI33" s="210"/>
      <c r="BO33" s="210"/>
      <c r="BP33" s="183"/>
      <c r="BQ33" s="183"/>
      <c r="BR33" s="183"/>
      <c r="BW33" s="210"/>
      <c r="CD33" s="184"/>
      <c r="CF33" s="185"/>
      <c r="CI33" s="184"/>
      <c r="CJ33" s="210"/>
      <c r="CK33" s="563"/>
      <c r="CM33" s="559"/>
      <c r="CN33" s="627"/>
      <c r="CO33" s="630"/>
      <c r="CP33" s="630"/>
      <c r="CQ33" s="630"/>
      <c r="CR33" s="630"/>
      <c r="CS33" s="630"/>
      <c r="CT33" s="633"/>
      <c r="CU33" s="563"/>
      <c r="CV33" s="561"/>
      <c r="CW33" s="563"/>
      <c r="CX33" s="561"/>
      <c r="CY33" s="563"/>
      <c r="CZ33" s="561"/>
      <c r="DA33" s="563"/>
      <c r="DB33" s="561"/>
      <c r="DC33" s="563"/>
      <c r="DD33" s="561"/>
      <c r="DG33" s="576"/>
      <c r="DH33" s="576"/>
      <c r="DI33" s="570"/>
      <c r="DJ33" s="570"/>
      <c r="DK33" s="570"/>
      <c r="DL33" s="570"/>
      <c r="DM33" s="573"/>
      <c r="DN33" s="570"/>
      <c r="DO33" s="570"/>
      <c r="DP33" s="570"/>
      <c r="DQ33" s="570"/>
      <c r="DR33" s="570"/>
      <c r="DS33" s="570"/>
      <c r="DT33" s="570"/>
      <c r="DU33" s="570"/>
      <c r="DV33" s="576"/>
      <c r="DW33" s="576"/>
      <c r="DX33" s="570"/>
      <c r="DY33" s="570"/>
    </row>
    <row r="34" spans="1:194" s="252" customFormat="1" ht="60" customHeight="1" x14ac:dyDescent="0.25">
      <c r="A34" s="368"/>
      <c r="B34" s="369"/>
      <c r="C34" s="396" t="s">
        <v>10</v>
      </c>
      <c r="D34" s="645" t="s">
        <v>32</v>
      </c>
      <c r="E34" s="645"/>
      <c r="F34" s="645"/>
      <c r="G34" s="645"/>
      <c r="H34" s="645"/>
      <c r="I34" s="645"/>
      <c r="J34" s="643"/>
      <c r="K34" s="643"/>
      <c r="L34" s="646"/>
      <c r="M34" s="648"/>
      <c r="N34" s="649"/>
      <c r="O34" s="644"/>
      <c r="P34" s="192"/>
      <c r="Q34" s="239"/>
      <c r="R34" s="334" t="s">
        <v>475</v>
      </c>
      <c r="S34" s="234" t="str">
        <f>IFERROR(IF($C$12='BD GN'!$CC$1,VLOOKUP(COTIZACIÓN!D29,'BD GN'!CB:CG,2,FALSE),IF(COTIZACIÓN!$C$12='BD GN'!$CD$1,VLOOKUP(COTIZACIÓN!D29,'BD GN'!CB:CG,3,FALSE),IF($C$12='BD GN'!$CE$1,VLOOKUP(COTIZACIÓN!D29,'BD GN'!CB:CG,4,FALSE),IF(COTIZACIÓN!$C$12='BD GN'!$CF$1,VLOOKUP(COTIZACIÓN!D29,'BD GN'!CB:CG,5,FALSE),IF(COTIZACIÓN!$C$12='BD GN'!$CG$1,VLOOKUP(COTIZACIÓN!D29,'BD GN'!CB:CG,6,FALSE),""))))),"-")</f>
        <v/>
      </c>
      <c r="T34" s="243"/>
      <c r="U34" s="244"/>
      <c r="V34" s="245"/>
      <c r="W34" s="177" t="s">
        <v>394</v>
      </c>
      <c r="X34" s="246">
        <f>IFERROR(SUM(W29:X29),"")</f>
        <v>0</v>
      </c>
      <c r="Y34" s="166" t="s">
        <v>404</v>
      </c>
      <c r="Z34" s="199" t="str">
        <f>IFERROR(Y29+Z29,"")</f>
        <v/>
      </c>
      <c r="AA34" s="247"/>
      <c r="AB34" s="243"/>
      <c r="AC34" s="244"/>
      <c r="AD34" s="244"/>
      <c r="AE34" s="244"/>
      <c r="AF34" s="227"/>
      <c r="AG34" s="206"/>
      <c r="AH34" s="206"/>
      <c r="AI34" s="206"/>
      <c r="AJ34" s="206"/>
      <c r="AK34" s="227"/>
      <c r="AL34" s="227"/>
      <c r="AM34" s="248"/>
      <c r="AN34" s="248"/>
      <c r="AO34" s="249"/>
      <c r="AP34" s="250"/>
      <c r="AQ34" s="248"/>
      <c r="AR34" s="248"/>
      <c r="AS34" s="249"/>
      <c r="AT34" s="250"/>
      <c r="AU34" s="249"/>
      <c r="AV34" s="250"/>
      <c r="AW34" s="249"/>
      <c r="AX34" s="250"/>
      <c r="AY34" s="248"/>
      <c r="AZ34" s="250"/>
      <c r="BA34" s="210"/>
      <c r="BB34" s="175"/>
      <c r="BC34" s="175" t="s">
        <v>118</v>
      </c>
      <c r="BD34" s="210"/>
      <c r="BE34" s="251" t="str">
        <f>IFERROR(VLOOKUP(D29,'BD M.O'!C:I,7,FALSE),"")</f>
        <v/>
      </c>
      <c r="BF34" s="251" t="s">
        <v>262</v>
      </c>
      <c r="BG34" s="175"/>
      <c r="BH34" s="175"/>
      <c r="BI34" s="210"/>
      <c r="BJ34" s="175"/>
      <c r="BK34" s="175"/>
      <c r="BL34" s="175"/>
      <c r="BM34" s="175"/>
      <c r="BN34" s="175"/>
      <c r="BO34" s="210"/>
      <c r="BP34" s="175"/>
      <c r="BQ34" s="175"/>
      <c r="BR34" s="175"/>
      <c r="BS34" s="183"/>
      <c r="BT34" s="183"/>
      <c r="BU34" s="183"/>
      <c r="BV34" s="183"/>
      <c r="BW34" s="210"/>
      <c r="BX34" s="175"/>
      <c r="BY34" s="175"/>
      <c r="BZ34" s="175"/>
      <c r="CA34" s="175"/>
      <c r="CB34" s="175"/>
      <c r="CC34" s="175"/>
      <c r="CD34" s="184"/>
      <c r="CE34" s="175"/>
      <c r="CF34" s="185"/>
      <c r="CG34" s="175"/>
      <c r="CH34" s="175"/>
      <c r="CI34" s="184"/>
      <c r="CJ34" s="210"/>
      <c r="CK34" s="564"/>
      <c r="CL34" s="257"/>
      <c r="CM34" s="597"/>
      <c r="CN34" s="628"/>
      <c r="CO34" s="631"/>
      <c r="CP34" s="631"/>
      <c r="CQ34" s="631"/>
      <c r="CR34" s="631"/>
      <c r="CS34" s="631"/>
      <c r="CT34" s="634"/>
      <c r="CU34" s="564"/>
      <c r="CV34" s="562"/>
      <c r="CW34" s="564"/>
      <c r="CX34" s="562"/>
      <c r="CY34" s="564"/>
      <c r="CZ34" s="562"/>
      <c r="DA34" s="564"/>
      <c r="DB34" s="562"/>
      <c r="DC34" s="564"/>
      <c r="DD34" s="562"/>
      <c r="DE34" s="175"/>
      <c r="DF34" s="175"/>
      <c r="DG34" s="577"/>
      <c r="DH34" s="577"/>
      <c r="DI34" s="571"/>
      <c r="DJ34" s="571"/>
      <c r="DK34" s="571"/>
      <c r="DL34" s="571"/>
      <c r="DM34" s="574"/>
      <c r="DN34" s="571"/>
      <c r="DO34" s="571"/>
      <c r="DP34" s="571"/>
      <c r="DQ34" s="571"/>
      <c r="DR34" s="571"/>
      <c r="DS34" s="571"/>
      <c r="DT34" s="571"/>
      <c r="DU34" s="571"/>
      <c r="DV34" s="577"/>
      <c r="DW34" s="577"/>
      <c r="DX34" s="571"/>
      <c r="DY34" s="571"/>
      <c r="DZ34" s="175"/>
      <c r="EA34" s="175"/>
      <c r="EB34" s="175"/>
      <c r="EC34" s="175"/>
      <c r="ED34" s="175"/>
      <c r="EE34" s="175"/>
      <c r="EF34" s="175"/>
      <c r="EG34" s="175"/>
      <c r="EH34" s="175"/>
      <c r="EI34" s="175"/>
      <c r="EJ34" s="175"/>
      <c r="EK34" s="175"/>
      <c r="EL34" s="175"/>
      <c r="EM34" s="175"/>
      <c r="EN34" s="175"/>
      <c r="EO34" s="175"/>
      <c r="EP34" s="175"/>
      <c r="EQ34" s="175"/>
      <c r="ER34" s="175"/>
      <c r="ES34" s="175"/>
      <c r="ET34" s="175"/>
      <c r="EU34" s="175"/>
      <c r="EV34" s="175"/>
      <c r="EW34" s="175"/>
      <c r="EX34" s="175"/>
      <c r="EY34" s="175"/>
      <c r="EZ34" s="175"/>
      <c r="FA34" s="175"/>
      <c r="FB34" s="175"/>
      <c r="FC34" s="175"/>
      <c r="FD34" s="175"/>
      <c r="FE34" s="175"/>
      <c r="FF34" s="175"/>
      <c r="FG34" s="175"/>
      <c r="FH34" s="175"/>
      <c r="FI34" s="175"/>
      <c r="FJ34" s="175"/>
      <c r="FK34" s="175"/>
      <c r="FL34" s="175"/>
      <c r="FM34" s="175"/>
      <c r="FN34" s="175"/>
      <c r="FO34" s="175"/>
      <c r="FP34" s="175"/>
      <c r="FQ34" s="175"/>
      <c r="FR34" s="175"/>
      <c r="FS34" s="175"/>
      <c r="FT34" s="175"/>
      <c r="FU34" s="175"/>
      <c r="FV34" s="175"/>
      <c r="FW34" s="175"/>
      <c r="FX34" s="175"/>
      <c r="FY34" s="175"/>
      <c r="FZ34" s="175"/>
      <c r="GA34" s="175"/>
      <c r="GB34" s="175"/>
      <c r="GC34" s="175"/>
      <c r="GD34" s="175"/>
      <c r="GE34" s="175"/>
      <c r="GF34" s="175"/>
      <c r="GG34" s="175"/>
      <c r="GH34" s="175"/>
      <c r="GI34" s="175"/>
      <c r="GJ34" s="175"/>
      <c r="GK34" s="175"/>
      <c r="GL34" s="175"/>
    </row>
    <row r="35" spans="1:194" s="255" customFormat="1" ht="60" customHeight="1" x14ac:dyDescent="0.3">
      <c r="A35" s="362" t="s">
        <v>193</v>
      </c>
      <c r="B35" s="363" t="s">
        <v>25</v>
      </c>
      <c r="C35" s="391" t="s">
        <v>174</v>
      </c>
      <c r="D35" s="640" t="s">
        <v>173</v>
      </c>
      <c r="E35" s="640"/>
      <c r="F35" s="640"/>
      <c r="G35" s="640"/>
      <c r="H35" s="640"/>
      <c r="I35" s="640"/>
      <c r="J35" s="418" t="s">
        <v>443</v>
      </c>
      <c r="K35" s="418" t="s">
        <v>444</v>
      </c>
      <c r="L35" s="418" t="s">
        <v>171</v>
      </c>
      <c r="M35" s="363" t="s">
        <v>2</v>
      </c>
      <c r="N35" s="419" t="s">
        <v>7</v>
      </c>
      <c r="O35" s="420" t="s">
        <v>8</v>
      </c>
      <c r="P35" s="159"/>
      <c r="Q35" s="164" t="s">
        <v>93</v>
      </c>
      <c r="R35" s="164" t="s">
        <v>34</v>
      </c>
      <c r="S35" s="164" t="s">
        <v>28</v>
      </c>
      <c r="T35" s="164" t="s">
        <v>95</v>
      </c>
      <c r="U35" s="164" t="s">
        <v>96</v>
      </c>
      <c r="V35" s="164" t="s">
        <v>97</v>
      </c>
      <c r="W35" s="164" t="s">
        <v>4</v>
      </c>
      <c r="X35" s="164" t="s">
        <v>103</v>
      </c>
      <c r="Y35" s="160" t="s">
        <v>402</v>
      </c>
      <c r="Z35" s="165" t="s">
        <v>403</v>
      </c>
      <c r="AA35" s="166" t="s">
        <v>404</v>
      </c>
      <c r="AB35" s="164" t="s">
        <v>99</v>
      </c>
      <c r="AC35" s="164" t="s">
        <v>395</v>
      </c>
      <c r="AD35" s="253" t="s">
        <v>36</v>
      </c>
      <c r="AE35" s="164" t="s">
        <v>389</v>
      </c>
      <c r="AF35" s="164" t="s">
        <v>390</v>
      </c>
      <c r="AG35" s="164" t="s">
        <v>164</v>
      </c>
      <c r="AH35" s="253" t="s">
        <v>396</v>
      </c>
      <c r="AI35" s="164" t="s">
        <v>190</v>
      </c>
      <c r="AJ35" s="164" t="s">
        <v>339</v>
      </c>
      <c r="AK35" s="253" t="s">
        <v>391</v>
      </c>
      <c r="AL35" s="253" t="s">
        <v>393</v>
      </c>
      <c r="AM35" s="167" t="s">
        <v>93</v>
      </c>
      <c r="AN35" s="168" t="s">
        <v>34</v>
      </c>
      <c r="AO35" s="169" t="s">
        <v>28</v>
      </c>
      <c r="AP35" s="170" t="s">
        <v>95</v>
      </c>
      <c r="AQ35" s="167" t="s">
        <v>3</v>
      </c>
      <c r="AR35" s="167" t="s">
        <v>96</v>
      </c>
      <c r="AS35" s="169" t="s">
        <v>97</v>
      </c>
      <c r="AT35" s="170" t="s">
        <v>4</v>
      </c>
      <c r="AU35" s="169" t="s">
        <v>103</v>
      </c>
      <c r="AV35" s="170" t="s">
        <v>99</v>
      </c>
      <c r="AW35" s="169" t="s">
        <v>36</v>
      </c>
      <c r="AX35" s="171" t="s">
        <v>29</v>
      </c>
      <c r="AY35" s="172" t="s">
        <v>190</v>
      </c>
      <c r="AZ35" s="173" t="s">
        <v>102</v>
      </c>
      <c r="BA35" s="174"/>
      <c r="BB35" s="183"/>
      <c r="BC35" s="211" t="s">
        <v>119</v>
      </c>
      <c r="BD35" s="174"/>
      <c r="BE35" s="176" t="s">
        <v>189</v>
      </c>
      <c r="BF35" s="177" t="str">
        <f>$BF$13</f>
        <v xml:space="preserve">VR SILICONA </v>
      </c>
      <c r="BG35" s="177" t="str">
        <f>$BG$13</f>
        <v xml:space="preserve">VR PELÍCULA </v>
      </c>
      <c r="BH35" s="254" t="str">
        <f>$BH$13</f>
        <v>VR EMBALAJE</v>
      </c>
      <c r="BI35" s="174"/>
      <c r="BJ35" s="176" t="str">
        <f>$BJ$13</f>
        <v>ESP. CRISTAL</v>
      </c>
      <c r="BK35" s="176" t="s">
        <v>130</v>
      </c>
      <c r="BL35" s="177" t="s">
        <v>28</v>
      </c>
      <c r="BM35" s="177" t="str">
        <f>BM28</f>
        <v>TOTAL</v>
      </c>
      <c r="BN35" s="177" t="s">
        <v>133</v>
      </c>
      <c r="BO35" s="174"/>
      <c r="BP35" s="175"/>
      <c r="BQ35" s="175"/>
      <c r="BR35" s="175"/>
      <c r="BS35" s="175"/>
      <c r="BT35" s="175"/>
      <c r="BU35" s="175"/>
      <c r="BV35" s="175"/>
      <c r="BW35" s="174"/>
      <c r="BX35" s="175"/>
      <c r="BY35" s="175"/>
      <c r="BZ35" s="175"/>
      <c r="CA35" s="175"/>
      <c r="CB35" s="175"/>
      <c r="CC35" s="175"/>
      <c r="CD35" s="184"/>
      <c r="CE35" s="175"/>
      <c r="CF35" s="185"/>
      <c r="CG35" s="175"/>
      <c r="CH35" s="175"/>
      <c r="CI35" s="184"/>
      <c r="CJ35" s="174"/>
      <c r="CK35" s="186" t="s">
        <v>415</v>
      </c>
      <c r="CL35" s="187" t="s">
        <v>417</v>
      </c>
      <c r="CM35" s="187" t="s">
        <v>416</v>
      </c>
      <c r="CN35" s="188" t="s">
        <v>418</v>
      </c>
      <c r="CO35" s="187" t="s">
        <v>417</v>
      </c>
      <c r="CP35" s="187" t="s">
        <v>409</v>
      </c>
      <c r="CQ35" s="187" t="s">
        <v>410</v>
      </c>
      <c r="CR35" s="187" t="s">
        <v>411</v>
      </c>
      <c r="CS35" s="187" t="s">
        <v>412</v>
      </c>
      <c r="CT35" s="187" t="s">
        <v>413</v>
      </c>
      <c r="CU35" s="189" t="s">
        <v>2</v>
      </c>
      <c r="CV35" s="190" t="s">
        <v>159</v>
      </c>
      <c r="CW35" s="189" t="s">
        <v>2</v>
      </c>
      <c r="CX35" s="190" t="s">
        <v>159</v>
      </c>
      <c r="CY35" s="189" t="s">
        <v>2</v>
      </c>
      <c r="CZ35" s="190" t="s">
        <v>159</v>
      </c>
      <c r="DA35" s="189" t="s">
        <v>2</v>
      </c>
      <c r="DB35" s="190" t="s">
        <v>159</v>
      </c>
      <c r="DC35" s="189" t="s">
        <v>2</v>
      </c>
      <c r="DD35" s="190" t="s">
        <v>159</v>
      </c>
      <c r="DE35" s="183"/>
      <c r="DF35" s="183"/>
      <c r="DG35" s="177" t="s">
        <v>505</v>
      </c>
      <c r="DH35" s="472" t="s">
        <v>509</v>
      </c>
      <c r="DI35" s="457" t="s">
        <v>506</v>
      </c>
      <c r="DJ35" s="457" t="s">
        <v>134</v>
      </c>
      <c r="DK35" s="457" t="s">
        <v>498</v>
      </c>
      <c r="DL35" s="457" t="s">
        <v>499</v>
      </c>
      <c r="DM35" s="457" t="s">
        <v>500</v>
      </c>
      <c r="DN35" s="457" t="s">
        <v>131</v>
      </c>
      <c r="DO35" s="457" t="s">
        <v>390</v>
      </c>
      <c r="DP35" s="457" t="s">
        <v>36</v>
      </c>
      <c r="DQ35" s="457" t="s">
        <v>501</v>
      </c>
      <c r="DR35" s="457" t="s">
        <v>502</v>
      </c>
      <c r="DS35" s="457" t="s">
        <v>503</v>
      </c>
      <c r="DT35" s="457" t="s">
        <v>4</v>
      </c>
      <c r="DU35" s="457" t="s">
        <v>504</v>
      </c>
      <c r="DV35" s="466" t="s">
        <v>507</v>
      </c>
      <c r="DW35" s="466" t="s">
        <v>508</v>
      </c>
      <c r="DX35" s="457" t="s">
        <v>510</v>
      </c>
      <c r="DY35" s="457" t="s">
        <v>511</v>
      </c>
      <c r="DZ35" s="183"/>
      <c r="EA35" s="183"/>
      <c r="EB35" s="183"/>
      <c r="EC35" s="183"/>
      <c r="ED35" s="183"/>
      <c r="EE35" s="183"/>
      <c r="EF35" s="183"/>
      <c r="EG35" s="183"/>
      <c r="EH35" s="183"/>
      <c r="EI35" s="183"/>
      <c r="EJ35" s="183"/>
      <c r="EK35" s="183"/>
      <c r="EL35" s="183"/>
      <c r="EM35" s="183"/>
      <c r="EN35" s="183"/>
      <c r="EO35" s="183"/>
      <c r="EP35" s="183"/>
      <c r="EQ35" s="183"/>
      <c r="ER35" s="183"/>
      <c r="ES35" s="183"/>
      <c r="ET35" s="183"/>
      <c r="EU35" s="183"/>
      <c r="EV35" s="183"/>
      <c r="EW35" s="183"/>
      <c r="EX35" s="183"/>
      <c r="EY35" s="183"/>
      <c r="EZ35" s="183"/>
      <c r="FA35" s="183"/>
      <c r="FB35" s="183"/>
      <c r="FC35" s="183"/>
      <c r="FD35" s="183"/>
      <c r="FE35" s="183"/>
      <c r="FF35" s="183"/>
      <c r="FG35" s="183"/>
      <c r="FH35" s="183"/>
      <c r="FI35" s="183"/>
      <c r="FJ35" s="183"/>
      <c r="FK35" s="183"/>
      <c r="FL35" s="183"/>
      <c r="FM35" s="183"/>
      <c r="FN35" s="183"/>
      <c r="FO35" s="183"/>
      <c r="FP35" s="183"/>
      <c r="FQ35" s="183"/>
      <c r="FR35" s="183"/>
      <c r="FS35" s="183"/>
      <c r="FT35" s="183"/>
      <c r="FU35" s="183"/>
      <c r="FV35" s="183"/>
      <c r="FW35" s="183"/>
      <c r="FX35" s="183"/>
      <c r="FY35" s="183"/>
      <c r="FZ35" s="183"/>
      <c r="GA35" s="183"/>
      <c r="GB35" s="183"/>
      <c r="GC35" s="183"/>
      <c r="GD35" s="183"/>
      <c r="GE35" s="183"/>
      <c r="GF35" s="183"/>
      <c r="GG35" s="183"/>
      <c r="GH35" s="183"/>
      <c r="GI35" s="183"/>
      <c r="GJ35" s="183"/>
      <c r="GK35" s="183"/>
      <c r="GL35" s="183"/>
    </row>
    <row r="36" spans="1:194" s="175" customFormat="1" ht="60" customHeight="1" x14ac:dyDescent="0.3">
      <c r="A36" s="364"/>
      <c r="B36" s="365"/>
      <c r="C36" s="392" t="s">
        <v>27</v>
      </c>
      <c r="D36" s="641"/>
      <c r="E36" s="641"/>
      <c r="F36" s="641"/>
      <c r="G36" s="641"/>
      <c r="H36" s="641"/>
      <c r="I36" s="641"/>
      <c r="J36" s="642"/>
      <c r="K36" s="642"/>
      <c r="L36" s="622">
        <f>J36*K36*M36</f>
        <v>0</v>
      </c>
      <c r="M36" s="623"/>
      <c r="N36" s="620">
        <f>IFERROR(AL36,"")</f>
        <v>1.0765546639999999</v>
      </c>
      <c r="O36" s="621">
        <f>IFERROR(N36*M36,"")</f>
        <v>0</v>
      </c>
      <c r="P36" s="192"/>
      <c r="Q36" s="193">
        <f>Q37+BF36+($R$350*Q37)</f>
        <v>0</v>
      </c>
      <c r="R36" s="193">
        <f>IFERROR(R37+($R$348*R37),"")</f>
        <v>0</v>
      </c>
      <c r="S36" s="194">
        <f>+IF(R38="SI",((W40*'BD GN'!$AB$2)+S37)*1,COTIZACIÓN!S37*1)+(P37*S37)</f>
        <v>0</v>
      </c>
      <c r="T36" s="195">
        <f>IFERROR(R36*IF(K36&lt;=3,$T$13,15%),"")</f>
        <v>0</v>
      </c>
      <c r="U36" s="196">
        <f>BH36+BG36</f>
        <v>0</v>
      </c>
      <c r="V36" s="197" t="str">
        <f>IFERROR(BN36,0)</f>
        <v/>
      </c>
      <c r="W36" s="198" t="str">
        <f>IFERROR(IF(X38="SI",W39*J36*K36,IF(BE36=3,BE38,IF(BE36=4,BE39,IF(BE36=5,BE40,IF(BE36&gt;5,BE40+(BE41*(BE36-5)),"")))))*0,"")</f>
        <v/>
      </c>
      <c r="X36" s="198" t="str">
        <f>IFERROR(IF(X37="NO",(VLOOKUP(D36,'BD M.O'!C:E,3,FALSE))*W40,((VLOOKUP(D36,'BD M.O'!C:E,3,FALSE))+7500)*W40),"")</f>
        <v/>
      </c>
      <c r="Y36" s="198">
        <f>IFERROR($Y$13*AK36,"")</f>
        <v>4.2084457416288003E-2</v>
      </c>
      <c r="Z36" s="332" t="str">
        <f>IFERROR(($Z$13*AK36)+X36,"")</f>
        <v/>
      </c>
      <c r="AA36" s="199" t="str">
        <f>IFERROR(Y36+Z36,"")</f>
        <v/>
      </c>
      <c r="AB36" s="200">
        <f>IFERROR((SUM(Q36:X36)-T36+T38)*$AB$13,"")</f>
        <v>0</v>
      </c>
      <c r="AC36" s="201">
        <f>IFERROR(((SUM(Q36:V36,IF(X41&gt;AA36,AVERAGE(X41,AA36),AA36))-T36+T38))*$AB$13,"")</f>
        <v>0</v>
      </c>
      <c r="AD36" s="202" t="str">
        <f>IFERROR((J36*K36*$BV$14),"")</f>
        <v/>
      </c>
      <c r="AE36" s="202">
        <f>IFERROR($AE$13*AK36,"")</f>
        <v>6.4010592649919984E-2</v>
      </c>
      <c r="AF36" s="203" t="str">
        <f>IFERROR(($CI$11+$CI$13)*W40,"")</f>
        <v/>
      </c>
      <c r="AG36" s="202">
        <f>IFERROR((SUM(Q36:X36,AB36,AD36,AF36)-T36+T38)*$AG$13,"")</f>
        <v>0</v>
      </c>
      <c r="AH36" s="202">
        <f>IFERROR((SUM(Q36:V36,(IF(X41&gt;AA36,AVERAGE(X41,AA36),AA36)),AC36,AE36,AF36)-T36+T38)*$AG$13,"")</f>
        <v>3.2005296324959992E-2</v>
      </c>
      <c r="AI36" s="204">
        <f>IFERROR(AL36*$AI$13,"")</f>
        <v>2.1531093279999997E-2</v>
      </c>
      <c r="AJ36" s="204">
        <f>IFERROR($AJ$13*AL36,"")</f>
        <v>6.007175025119999E-3</v>
      </c>
      <c r="AK36" s="205">
        <f>IFERROR(SUM(Q36:X36,AB36,AD36,AG36,AF36)/(1-$AI$13)+(1-$AJ$13)-T36+T38,"")</f>
        <v>0.99441999999999997</v>
      </c>
      <c r="AL36" s="205">
        <f>IFERROR(SUM(Q36:V36,AC36,(IF(AD36&gt;AE36,AVERAGE(AD36,AE36),AE36)),AF36,,AH36,(IF(SUM(X41)&gt;AA36,AVERAGE(AA36,X41),AA36)))/(1-$AJ$13)+(1-$AI$13)-T36+T38,"")</f>
        <v>1.0765546639999999</v>
      </c>
      <c r="AM36" s="206">
        <f>$M$15*Q36</f>
        <v>0</v>
      </c>
      <c r="AN36" s="207">
        <f>$M$15*R36</f>
        <v>0</v>
      </c>
      <c r="AO36" s="208">
        <f>$M$15*S36</f>
        <v>0</v>
      </c>
      <c r="AP36" s="207">
        <f>$M$15*T36</f>
        <v>0</v>
      </c>
      <c r="AQ36" s="207" t="e">
        <f>$M$15*#REF!</f>
        <v>#REF!</v>
      </c>
      <c r="AR36" s="207">
        <f>$M$15*U36</f>
        <v>0</v>
      </c>
      <c r="AS36" s="208" t="e">
        <f>$M$15*V36</f>
        <v>#VALUE!</v>
      </c>
      <c r="AT36" s="207" t="e">
        <f>$M$15*W36</f>
        <v>#VALUE!</v>
      </c>
      <c r="AU36" s="208" t="e">
        <f>$M$15*X36</f>
        <v>#VALUE!</v>
      </c>
      <c r="AV36" s="207">
        <f>$M$15*AB36</f>
        <v>0</v>
      </c>
      <c r="AW36" s="208">
        <f>$M$15*AE36</f>
        <v>0</v>
      </c>
      <c r="AX36" s="207">
        <f>$M$15*AG36</f>
        <v>0</v>
      </c>
      <c r="AY36" s="209">
        <f>$M$15*AI36</f>
        <v>0</v>
      </c>
      <c r="AZ36" s="207">
        <f>$M$15*AK36</f>
        <v>0</v>
      </c>
      <c r="BA36" s="210"/>
      <c r="BB36" s="175" t="s">
        <v>23</v>
      </c>
      <c r="BC36" s="211" t="s">
        <v>113</v>
      </c>
      <c r="BD36" s="210"/>
      <c r="BE36" s="212"/>
      <c r="BF36" s="213">
        <f>IF(BH37="NO",((2*J36)+(2*K36))*'BD GN'!$AU$3,((3*J36)+(2*K36))*'BD GN'!$AU$3)</f>
        <v>0</v>
      </c>
      <c r="BG36" s="213">
        <f>'BD GN'!$BB$3*J36*K36</f>
        <v>0</v>
      </c>
      <c r="BH36" s="214">
        <f>((J36*2*BE36)+(K36*2*BE36))*'BD GN'!$AN$4</f>
        <v>0</v>
      </c>
      <c r="BI36" s="210"/>
      <c r="BJ36" s="212"/>
      <c r="BK36" s="212"/>
      <c r="BL36" s="215">
        <f>J36*K36*2.5*BJ36</f>
        <v>0</v>
      </c>
      <c r="BM36" s="215">
        <f>BK36+BL36</f>
        <v>0</v>
      </c>
      <c r="BN36" s="216" t="str">
        <f>IFERROR((VLOOKUP($C$12,'BD GN'!BD:BM,10,FALSE)*BM36)+$BR$338,"")</f>
        <v/>
      </c>
      <c r="BO36" s="210"/>
      <c r="BW36" s="210"/>
      <c r="CD36" s="184"/>
      <c r="CF36" s="185"/>
      <c r="CI36" s="184"/>
      <c r="CJ36" s="210"/>
      <c r="CK36" s="565"/>
      <c r="CL36" s="256"/>
      <c r="CM36" s="596"/>
      <c r="CN36" s="626"/>
      <c r="CO36" s="629"/>
      <c r="CP36" s="629"/>
      <c r="CQ36" s="629"/>
      <c r="CR36" s="629"/>
      <c r="CS36" s="629"/>
      <c r="CT36" s="632"/>
      <c r="CU36" s="565"/>
      <c r="CV36" s="560">
        <f>IFERROR(N36*CU36,"")</f>
        <v>0</v>
      </c>
      <c r="CW36" s="565"/>
      <c r="CX36" s="560">
        <f>IFERROR(P36*CW36,"")</f>
        <v>0</v>
      </c>
      <c r="CY36" s="565"/>
      <c r="CZ36" s="560">
        <f>IFERROR(R36*CY36,"")</f>
        <v>0</v>
      </c>
      <c r="DA36" s="565">
        <f t="shared" ref="DA36" si="36">CU36+CW36+CY36</f>
        <v>0</v>
      </c>
      <c r="DB36" s="560">
        <f t="shared" ref="DB36" si="37">IFERROR(CV36+CX36+CZ36,"")</f>
        <v>0</v>
      </c>
      <c r="DC36" s="565">
        <f>M36-(CU36+CW36+CY36)</f>
        <v>0</v>
      </c>
      <c r="DD36" s="560">
        <f>IFERROR(O36-(CV36+CX36+CZ36),"")</f>
        <v>0</v>
      </c>
      <c r="DG36" s="575"/>
      <c r="DH36" s="575"/>
      <c r="DI36" s="569">
        <f t="shared" ref="DI36" si="38">IFERROR(IF(DG36&gt;0,(((N36)/(1+10%+19%*5%)+((N36)/(1+10%+19%*5%))*10%)*DH36),0),0)</f>
        <v>0</v>
      </c>
      <c r="DJ36" s="569">
        <f t="shared" ref="DJ36" si="39">IFERROR(IF(DG36&gt;0,(N36*DH36),0),0)</f>
        <v>0</v>
      </c>
      <c r="DK36" s="569">
        <f t="shared" ref="DK36" si="40">IF(DG36&gt;0,((R36+T36)*DH36),0)</f>
        <v>0</v>
      </c>
      <c r="DL36" s="569">
        <f t="shared" ref="DL36" si="41">IF(DG36&gt;0,(Q36*DH36),0)</f>
        <v>0</v>
      </c>
      <c r="DM36" s="572">
        <f t="shared" ref="DM36" si="42">IF(DG36&gt;0,(S36*DH36),0)</f>
        <v>0</v>
      </c>
      <c r="DN36" s="569">
        <f t="shared" ref="DN36" si="43">IF(DG36&gt;0,(BN36*DH36),0)</f>
        <v>0</v>
      </c>
      <c r="DO36" s="569">
        <f t="shared" ref="DO36" si="44">IF(DG36&gt;0,(AF36*DH36),0)</f>
        <v>0</v>
      </c>
      <c r="DP36" s="569">
        <f>IF(DG36&gt;0,((DI36)*('BD P&amp;G'!$E$16+'BD P&amp;G'!$E$17+'BD P&amp;G'!$E$18+'BD P&amp;G'!$E$19+'BD P&amp;G'!$E$20+'BD P&amp;G'!$E$21+'BD P&amp;G'!$E$22+'BD P&amp;G'!$E$23)*DH36),0)</f>
        <v>0</v>
      </c>
      <c r="DQ36" s="569">
        <f>IFERROR(IF(DG36&gt;0,((DI36*'BD P&amp;G'!$E$7)+(DI36*'BD P&amp;G'!$E$9)+AI36),0),0)</f>
        <v>0</v>
      </c>
      <c r="DR36" s="569">
        <f t="shared" ref="DR36" si="45">IFERROR(IF(DG36&gt;0,((DI36*1%)),0),0)</f>
        <v>0</v>
      </c>
      <c r="DS36" s="569">
        <f>IFERROR(IF(DG36&gt;0,(((DI36*'BD P&amp;G'!$E$32+DI36*'BD P&amp;G'!$E$33+DI36*'BD P&amp;G'!$E$35+DI36*'BD P&amp;G'!$E$36+DI36*'BD P&amp;G'!$E$37))),0),0)</f>
        <v>0</v>
      </c>
      <c r="DT36" s="569">
        <f t="shared" ref="DT36" si="46">IF(DG36&gt;0,(Y36*DH36),0)</f>
        <v>0</v>
      </c>
      <c r="DU36" s="569">
        <f t="shared" ref="DU36" si="47">IF(DG36&gt;0,(Z36*DH36),0)</f>
        <v>0</v>
      </c>
      <c r="DV36" s="575">
        <f t="shared" ref="DV36" si="48">IF(DG36&gt;0,(Y40*DH36),0)</f>
        <v>0</v>
      </c>
      <c r="DW36" s="575">
        <f t="shared" ref="DW36" si="49">IF(DG36&gt;0,(Z40*DH36),0)</f>
        <v>0</v>
      </c>
      <c r="DX36" s="569">
        <f t="shared" ref="DX36" si="50">IF(DV36&gt;0,DJ36,0)</f>
        <v>0</v>
      </c>
      <c r="DY36" s="569">
        <f t="shared" ref="DY36" si="51">IF(DW36&gt;0,DJ36,0)</f>
        <v>0</v>
      </c>
    </row>
    <row r="37" spans="1:194" s="175" customFormat="1" ht="60" customHeight="1" x14ac:dyDescent="0.25">
      <c r="A37" s="366"/>
      <c r="B37" s="367"/>
      <c r="C37" s="393" t="s">
        <v>28</v>
      </c>
      <c r="D37" s="598"/>
      <c r="E37" s="598"/>
      <c r="F37" s="598"/>
      <c r="G37" s="598"/>
      <c r="H37" s="598"/>
      <c r="I37" s="598"/>
      <c r="J37" s="604"/>
      <c r="K37" s="604"/>
      <c r="L37" s="607"/>
      <c r="M37" s="559"/>
      <c r="N37" s="610"/>
      <c r="O37" s="613"/>
      <c r="P37" s="192"/>
      <c r="Q37" s="217"/>
      <c r="R37" s="217"/>
      <c r="S37" s="218"/>
      <c r="T37" s="219">
        <f>IFERROR(T36/$R$353,"")</f>
        <v>0</v>
      </c>
      <c r="U37" s="206"/>
      <c r="V37" s="220"/>
      <c r="W37" s="221" t="s">
        <v>239</v>
      </c>
      <c r="X37" s="222" t="s">
        <v>204</v>
      </c>
      <c r="Y37" s="223"/>
      <c r="Z37" s="224"/>
      <c r="AA37" s="225"/>
      <c r="AB37" s="226"/>
      <c r="AC37" s="206"/>
      <c r="AD37" s="206"/>
      <c r="AE37" s="206"/>
      <c r="AF37" s="227"/>
      <c r="AG37" s="206"/>
      <c r="AH37" s="206"/>
      <c r="AI37" s="206"/>
      <c r="AJ37" s="206"/>
      <c r="AK37" s="227"/>
      <c r="AL37" s="210"/>
      <c r="AM37" s="206"/>
      <c r="AN37" s="206"/>
      <c r="AO37" s="228"/>
      <c r="AP37" s="229"/>
      <c r="AQ37" s="206"/>
      <c r="AR37" s="206"/>
      <c r="AS37" s="228"/>
      <c r="AT37" s="229"/>
      <c r="AU37" s="228"/>
      <c r="AV37" s="229"/>
      <c r="AW37" s="228"/>
      <c r="AX37" s="229"/>
      <c r="AY37" s="206"/>
      <c r="AZ37" s="229"/>
      <c r="BA37" s="210"/>
      <c r="BB37" s="175" t="s">
        <v>24</v>
      </c>
      <c r="BC37" s="175" t="s">
        <v>114</v>
      </c>
      <c r="BD37" s="210"/>
      <c r="BE37" s="176" t="s">
        <v>206</v>
      </c>
      <c r="BF37" s="230" t="s">
        <v>204</v>
      </c>
      <c r="BG37" s="176" t="s">
        <v>290</v>
      </c>
      <c r="BH37" s="231" t="s">
        <v>204</v>
      </c>
      <c r="BI37" s="210"/>
      <c r="BN37" s="232"/>
      <c r="BO37" s="210"/>
      <c r="BV37" s="184"/>
      <c r="BW37" s="210"/>
      <c r="CD37" s="184"/>
      <c r="CF37" s="185"/>
      <c r="CI37" s="184"/>
      <c r="CJ37" s="210"/>
      <c r="CK37" s="563"/>
      <c r="CM37" s="559"/>
      <c r="CN37" s="627"/>
      <c r="CO37" s="630"/>
      <c r="CP37" s="630"/>
      <c r="CQ37" s="630"/>
      <c r="CR37" s="630"/>
      <c r="CS37" s="630"/>
      <c r="CT37" s="633"/>
      <c r="CU37" s="563"/>
      <c r="CV37" s="561"/>
      <c r="CW37" s="563"/>
      <c r="CX37" s="561"/>
      <c r="CY37" s="563"/>
      <c r="CZ37" s="561"/>
      <c r="DA37" s="563"/>
      <c r="DB37" s="561"/>
      <c r="DC37" s="563"/>
      <c r="DD37" s="561"/>
      <c r="DG37" s="576"/>
      <c r="DH37" s="576"/>
      <c r="DI37" s="570"/>
      <c r="DJ37" s="570"/>
      <c r="DK37" s="570"/>
      <c r="DL37" s="570"/>
      <c r="DM37" s="573"/>
      <c r="DN37" s="570"/>
      <c r="DO37" s="570"/>
      <c r="DP37" s="570"/>
      <c r="DQ37" s="570"/>
      <c r="DR37" s="570"/>
      <c r="DS37" s="570"/>
      <c r="DT37" s="570"/>
      <c r="DU37" s="570"/>
      <c r="DV37" s="576"/>
      <c r="DW37" s="576"/>
      <c r="DX37" s="570"/>
      <c r="DY37" s="570"/>
    </row>
    <row r="38" spans="1:194" s="175" customFormat="1" ht="60" customHeight="1" x14ac:dyDescent="0.3">
      <c r="A38" s="366"/>
      <c r="B38" s="367"/>
      <c r="C38" s="393" t="s">
        <v>30</v>
      </c>
      <c r="D38" s="599"/>
      <c r="E38" s="599"/>
      <c r="F38" s="599"/>
      <c r="G38" s="599"/>
      <c r="H38" s="599"/>
      <c r="I38" s="599"/>
      <c r="J38" s="604"/>
      <c r="K38" s="604"/>
      <c r="L38" s="607"/>
      <c r="M38" s="559"/>
      <c r="N38" s="610"/>
      <c r="O38" s="613"/>
      <c r="P38" s="192"/>
      <c r="Q38" s="176" t="s">
        <v>205</v>
      </c>
      <c r="R38" s="233" t="s">
        <v>204</v>
      </c>
      <c r="S38" s="234"/>
      <c r="T38" s="235">
        <f>IFERROR(($R$353-8000)*T37,"")</f>
        <v>0</v>
      </c>
      <c r="U38" s="206"/>
      <c r="V38" s="220"/>
      <c r="W38" s="221" t="s">
        <v>258</v>
      </c>
      <c r="X38" s="222" t="s">
        <v>204</v>
      </c>
      <c r="Y38" s="236"/>
      <c r="Z38" s="237"/>
      <c r="AA38" s="225"/>
      <c r="AB38" s="226"/>
      <c r="AC38" s="206"/>
      <c r="AD38" s="206"/>
      <c r="AE38" s="206"/>
      <c r="AF38" s="227"/>
      <c r="AG38" s="206"/>
      <c r="AH38" s="206"/>
      <c r="AI38" s="206"/>
      <c r="AJ38" s="206"/>
      <c r="AK38" s="227"/>
      <c r="AL38" s="238"/>
      <c r="AM38" s="206"/>
      <c r="AN38" s="206"/>
      <c r="AO38" s="228"/>
      <c r="AP38" s="229"/>
      <c r="AQ38" s="206"/>
      <c r="AR38" s="206"/>
      <c r="AS38" s="228"/>
      <c r="AT38" s="229"/>
      <c r="AU38" s="228"/>
      <c r="AV38" s="229"/>
      <c r="AW38" s="228"/>
      <c r="AX38" s="229"/>
      <c r="AY38" s="206"/>
      <c r="AZ38" s="229"/>
      <c r="BA38" s="210"/>
      <c r="BB38" s="175" t="s">
        <v>26</v>
      </c>
      <c r="BC38" s="211" t="s">
        <v>115</v>
      </c>
      <c r="BD38" s="210"/>
      <c r="BE38" s="177" t="str">
        <f>IFERROR(VLOOKUP(D36,'BD M.O'!C:H,4,FALSE),"")</f>
        <v/>
      </c>
      <c r="BF38" s="177" t="s">
        <v>259</v>
      </c>
      <c r="BI38" s="210"/>
      <c r="BO38" s="210"/>
      <c r="BV38" s="184"/>
      <c r="BW38" s="210"/>
      <c r="CD38" s="184"/>
      <c r="CF38" s="185"/>
      <c r="CI38" s="184"/>
      <c r="CJ38" s="210"/>
      <c r="CK38" s="563"/>
      <c r="CM38" s="559"/>
      <c r="CN38" s="627"/>
      <c r="CO38" s="630"/>
      <c r="CP38" s="630"/>
      <c r="CQ38" s="630"/>
      <c r="CR38" s="630"/>
      <c r="CS38" s="630"/>
      <c r="CT38" s="633"/>
      <c r="CU38" s="563"/>
      <c r="CV38" s="561"/>
      <c r="CW38" s="563"/>
      <c r="CX38" s="561"/>
      <c r="CY38" s="563"/>
      <c r="CZ38" s="561"/>
      <c r="DA38" s="563"/>
      <c r="DB38" s="561"/>
      <c r="DC38" s="563"/>
      <c r="DD38" s="561"/>
      <c r="DG38" s="577"/>
      <c r="DH38" s="577"/>
      <c r="DI38" s="571"/>
      <c r="DJ38" s="571"/>
      <c r="DK38" s="571"/>
      <c r="DL38" s="571"/>
      <c r="DM38" s="574"/>
      <c r="DN38" s="571"/>
      <c r="DO38" s="571"/>
      <c r="DP38" s="571"/>
      <c r="DQ38" s="571"/>
      <c r="DR38" s="571"/>
      <c r="DS38" s="571"/>
      <c r="DT38" s="571"/>
      <c r="DU38" s="571"/>
      <c r="DV38" s="577"/>
      <c r="DW38" s="577"/>
      <c r="DX38" s="571"/>
      <c r="DY38" s="571"/>
    </row>
    <row r="39" spans="1:194" s="175" customFormat="1" ht="60" customHeight="1" x14ac:dyDescent="0.25">
      <c r="A39" s="366"/>
      <c r="B39" s="367"/>
      <c r="C39" s="395" t="s">
        <v>180</v>
      </c>
      <c r="D39" s="599" t="s">
        <v>31</v>
      </c>
      <c r="E39" s="599"/>
      <c r="F39" s="394" t="s">
        <v>9</v>
      </c>
      <c r="G39" s="599" t="s">
        <v>33</v>
      </c>
      <c r="H39" s="599"/>
      <c r="I39" s="394" t="str">
        <f>+IF($BG$9="SI","","X")</f>
        <v>X</v>
      </c>
      <c r="J39" s="604"/>
      <c r="K39" s="604"/>
      <c r="L39" s="607"/>
      <c r="M39" s="559"/>
      <c r="N39" s="610"/>
      <c r="O39" s="613"/>
      <c r="P39" s="192"/>
      <c r="Q39" s="239"/>
      <c r="R39" s="221" t="s">
        <v>209</v>
      </c>
      <c r="S39" s="234" t="str">
        <f>IF(S37="","",S37/(J36*K36))</f>
        <v/>
      </c>
      <c r="T39" s="226"/>
      <c r="U39" s="206"/>
      <c r="V39" s="220"/>
      <c r="W39" s="239" t="str">
        <f>IFERROR(IF(X38="SI",VLOOKUP(D36,'BD M.O'!C:F,4,FALSE),""),"")</f>
        <v/>
      </c>
      <c r="X39" s="221" t="s">
        <v>258</v>
      </c>
      <c r="Y39" s="221" t="s">
        <v>507</v>
      </c>
      <c r="Z39" s="221" t="s">
        <v>508</v>
      </c>
      <c r="AA39" s="225"/>
      <c r="AB39" s="226"/>
      <c r="AC39" s="206"/>
      <c r="AD39" s="206"/>
      <c r="AE39" s="206"/>
      <c r="AF39" s="227"/>
      <c r="AG39" s="206"/>
      <c r="AH39" s="206"/>
      <c r="AI39" s="206"/>
      <c r="AJ39" s="206"/>
      <c r="AK39" s="227"/>
      <c r="AL39" s="240"/>
      <c r="AM39" s="206"/>
      <c r="AN39" s="206"/>
      <c r="AO39" s="228"/>
      <c r="AP39" s="229"/>
      <c r="AQ39" s="206"/>
      <c r="AR39" s="206"/>
      <c r="AS39" s="228"/>
      <c r="AT39" s="229"/>
      <c r="AU39" s="228"/>
      <c r="AV39" s="229"/>
      <c r="AW39" s="228"/>
      <c r="AX39" s="229"/>
      <c r="AY39" s="206"/>
      <c r="AZ39" s="229"/>
      <c r="BA39" s="210"/>
      <c r="BC39" s="175" t="s">
        <v>116</v>
      </c>
      <c r="BD39" s="210"/>
      <c r="BE39" s="177" t="str">
        <f>IFERROR(VLOOKUP(COTIZACIÓN!D36,'BD M.O'!C:I,5,FALSE),"")</f>
        <v/>
      </c>
      <c r="BF39" s="177" t="s">
        <v>260</v>
      </c>
      <c r="BI39" s="210"/>
      <c r="BO39" s="210"/>
      <c r="BP39" s="183"/>
      <c r="BQ39" s="183"/>
      <c r="BR39" s="183"/>
      <c r="BS39" s="183"/>
      <c r="BT39" s="183"/>
      <c r="BU39" s="183"/>
      <c r="BV39" s="182"/>
      <c r="BW39" s="210"/>
      <c r="BX39" s="183"/>
      <c r="BY39" s="183"/>
      <c r="BZ39" s="183"/>
      <c r="CA39" s="183"/>
      <c r="CB39" s="183"/>
      <c r="CC39" s="183"/>
      <c r="CD39" s="182"/>
      <c r="CE39" s="183"/>
      <c r="CF39" s="241"/>
      <c r="CG39" s="183"/>
      <c r="CH39" s="183"/>
      <c r="CI39" s="182"/>
      <c r="CJ39" s="210"/>
      <c r="CK39" s="563"/>
      <c r="CM39" s="559"/>
      <c r="CN39" s="627"/>
      <c r="CO39" s="630"/>
      <c r="CP39" s="630"/>
      <c r="CQ39" s="630"/>
      <c r="CR39" s="630"/>
      <c r="CS39" s="630"/>
      <c r="CT39" s="633"/>
      <c r="CU39" s="563"/>
      <c r="CV39" s="561"/>
      <c r="CW39" s="563"/>
      <c r="CX39" s="561"/>
      <c r="CY39" s="563"/>
      <c r="CZ39" s="561"/>
      <c r="DA39" s="563"/>
      <c r="DB39" s="561"/>
      <c r="DC39" s="563"/>
      <c r="DD39" s="561"/>
      <c r="DG39" s="575"/>
      <c r="DH39" s="575"/>
      <c r="DI39" s="569">
        <f t="shared" ref="DI39" si="52">IFERROR(IF(DG39&gt;0,(((N36)/(1+10%+19%*5%)+((N36)/(1+10%+19%*5%))*10%)*DH39),0),0)</f>
        <v>0</v>
      </c>
      <c r="DJ39" s="569">
        <f t="shared" ref="DJ39" si="53">IFERROR(IF(DG39&gt;0,(N36*DH39),0),0)</f>
        <v>0</v>
      </c>
      <c r="DK39" s="569">
        <f t="shared" ref="DK39" si="54">IF(DG39&gt;0,((R36+T36)*DH39),0)</f>
        <v>0</v>
      </c>
      <c r="DL39" s="569">
        <f t="shared" ref="DL39" si="55">IF(DG39&gt;0,(Q36*DH39),0)</f>
        <v>0</v>
      </c>
      <c r="DM39" s="572">
        <f t="shared" ref="DM39" si="56">IF(DG39&gt;0,(S36*DH39),0)</f>
        <v>0</v>
      </c>
      <c r="DN39" s="569">
        <f t="shared" ref="DN39" si="57">IF(DG39&gt;0,(BN36*DH39),0)</f>
        <v>0</v>
      </c>
      <c r="DO39" s="569">
        <f t="shared" ref="DO39" si="58">IF(DG39&gt;0,(AF36*DH39),0)</f>
        <v>0</v>
      </c>
      <c r="DP39" s="569">
        <f>IF(DG39&gt;0,((DI39)*('BD P&amp;G'!$E$16+'BD P&amp;G'!$E$17+'BD P&amp;G'!$E$18+'BD P&amp;G'!$E$19+'BD P&amp;G'!$E$20+'BD P&amp;G'!$E$21+'BD P&amp;G'!$E$22+'BD P&amp;G'!$E$23)*DH39),0)</f>
        <v>0</v>
      </c>
      <c r="DQ39" s="569">
        <f>IFERROR(IF(DG39&gt;0,((DI39*'BD P&amp;G'!$E$7)+(DI39*'BD P&amp;G'!$E$9)+AI36),0),0)</f>
        <v>0</v>
      </c>
      <c r="DR39" s="569">
        <f t="shared" ref="DR39" si="59">IFERROR(IF(DG39&gt;0,((DI39*1%)),0),0)</f>
        <v>0</v>
      </c>
      <c r="DS39" s="569">
        <f>IFERROR(IF(DG39&gt;0,(((DI39*'BD P&amp;G'!$E$32+DI39*'BD P&amp;G'!$E$33+DI39*'BD P&amp;G'!$E$35+DI39*'BD P&amp;G'!$E$36+DI39*'BD P&amp;G'!$E$37))),0),0)</f>
        <v>0</v>
      </c>
      <c r="DT39" s="569">
        <f t="shared" ref="DT39" si="60">IF(DG39&gt;0,(Y36*DH39),0)</f>
        <v>0</v>
      </c>
      <c r="DU39" s="569">
        <f t="shared" ref="DU39" si="61">IF(DG39&gt;0,(Z36*DH39),0)</f>
        <v>0</v>
      </c>
      <c r="DV39" s="575">
        <f t="shared" ref="DV39" si="62">IF(DG39&gt;0,(Y40*DH39),0)</f>
        <v>0</v>
      </c>
      <c r="DW39" s="575">
        <f t="shared" ref="DW39" si="63">IF(DG39&gt;0,(Z40*DH39),0)</f>
        <v>0</v>
      </c>
      <c r="DX39" s="569">
        <f t="shared" ref="DX39" si="64">IF(DV39&gt;0,DJ39,0)</f>
        <v>0</v>
      </c>
      <c r="DY39" s="569">
        <f t="shared" ref="DY39" si="65">IF(DW39&gt;0,DJ39,0)</f>
        <v>0</v>
      </c>
    </row>
    <row r="40" spans="1:194" s="175" customFormat="1" ht="60" customHeight="1" x14ac:dyDescent="0.3">
      <c r="A40" s="366"/>
      <c r="B40" s="367"/>
      <c r="C40" s="393" t="s">
        <v>35</v>
      </c>
      <c r="D40" s="599" t="str">
        <f>IFERROR(VLOOKUP(D36,'BD GN'!C:E,3,),"")</f>
        <v/>
      </c>
      <c r="E40" s="599"/>
      <c r="F40" s="599"/>
      <c r="G40" s="599"/>
      <c r="H40" s="599"/>
      <c r="I40" s="599"/>
      <c r="J40" s="604"/>
      <c r="K40" s="604"/>
      <c r="L40" s="607"/>
      <c r="M40" s="559"/>
      <c r="N40" s="610"/>
      <c r="O40" s="613"/>
      <c r="P40" s="192"/>
      <c r="Q40" s="239"/>
      <c r="R40" s="221" t="s">
        <v>210</v>
      </c>
      <c r="S40" s="234" t="str">
        <f>IFERROR(IF(N36="","",N36/W40),"")</f>
        <v/>
      </c>
      <c r="T40" s="226"/>
      <c r="U40" s="206"/>
      <c r="V40" s="220"/>
      <c r="W40" s="242" t="str">
        <f>+IF(J36*K36&gt;=1,J36*K36,IF(AND(J36*K36&gt;0,J36*K36&lt;1),1,""))</f>
        <v/>
      </c>
      <c r="X40" s="221" t="s">
        <v>298</v>
      </c>
      <c r="Y40" s="461">
        <f>IFERROR(IF(D36='BD GN'!$C$25,COTIZACIÓN!W40,IF(D36='BD GN'!$C$26,COTIZACIÓN!W40,IF(D36='BD GN'!$C$27,COTIZACIÓN!W40,IF(COTIZACIÓN!D36='BD GN'!$C$28,COTIZACIÓN!W40,IF(COTIZACIÓN!D36='BD GN'!$C$29,COTIZACIÓN!W40,IF(COTIZACIÓN!D36='BD GN'!$C$35,COTIZACIÓN!W40,IF(COTIZACIÓN!D36='BD GN'!$C$36,COTIZACIÓN!W40,IF(COTIZACIÓN!D36='BD GN'!$C$37,COTIZACIÓN!W40,IF(COTIZACIÓN!D36='BD GN'!$C$38,COTIZACIÓN!W40,IF(COTIZACIÓN!D36='BD GN'!$C$39,COTIZACIÓN!W40,IF(COTIZACIÓN!D36='BD GN'!$C$40,COTIZACIÓN!W40,IF(COTIZACIÓN!D36='BD GN'!$C$41,COTIZACIÓN!W40,IF(COTIZACIÓN!D36='BD GN'!$C$42,COTIZACIÓN!W40,IF(COTIZACIÓN!D36='BD GN'!$C$49,COTIZACIÓN!W40,IF(COTIZACIÓN!D36='BD GN'!$C$50,COTIZACIÓN!W40,IF(COTIZACIÓN!D36='BD GN'!$C$51,COTIZACIÓN!W40,IF(COTIZACIÓN!D36='BD GN'!$C$67,COTIZACIÓN!W40,0))))))))))))))))),0)</f>
        <v>0</v>
      </c>
      <c r="Z40" s="461">
        <f>IFERROR(W40-Y40,0)</f>
        <v>0</v>
      </c>
      <c r="AA40" s="225"/>
      <c r="AB40" s="226"/>
      <c r="AC40" s="206"/>
      <c r="AD40" s="206"/>
      <c r="AE40" s="206"/>
      <c r="AF40" s="227"/>
      <c r="AG40" s="206"/>
      <c r="AH40" s="206"/>
      <c r="AI40" s="206"/>
      <c r="AJ40" s="206"/>
      <c r="AK40" s="227"/>
      <c r="AL40" s="210"/>
      <c r="AM40" s="206"/>
      <c r="AN40" s="206"/>
      <c r="AO40" s="228"/>
      <c r="AP40" s="229"/>
      <c r="AQ40" s="206"/>
      <c r="AR40" s="206"/>
      <c r="AS40" s="228"/>
      <c r="AT40" s="229"/>
      <c r="AU40" s="228"/>
      <c r="AV40" s="229"/>
      <c r="AW40" s="228"/>
      <c r="AX40" s="229"/>
      <c r="AY40" s="206"/>
      <c r="AZ40" s="229"/>
      <c r="BA40" s="210"/>
      <c r="BC40" s="211" t="s">
        <v>117</v>
      </c>
      <c r="BD40" s="210"/>
      <c r="BE40" s="177" t="str">
        <f>IFERROR(VLOOKUP(D36,'BD M.O'!C:I,6,FALSE),"")</f>
        <v/>
      </c>
      <c r="BF40" s="177" t="s">
        <v>261</v>
      </c>
      <c r="BI40" s="210"/>
      <c r="BO40" s="210"/>
      <c r="BP40" s="183"/>
      <c r="BQ40" s="183"/>
      <c r="BR40" s="183"/>
      <c r="BW40" s="210"/>
      <c r="CD40" s="184"/>
      <c r="CF40" s="185"/>
      <c r="CI40" s="184"/>
      <c r="CJ40" s="210"/>
      <c r="CK40" s="563"/>
      <c r="CM40" s="559"/>
      <c r="CN40" s="627"/>
      <c r="CO40" s="630"/>
      <c r="CP40" s="630"/>
      <c r="CQ40" s="630"/>
      <c r="CR40" s="630"/>
      <c r="CS40" s="630"/>
      <c r="CT40" s="633"/>
      <c r="CU40" s="563"/>
      <c r="CV40" s="561"/>
      <c r="CW40" s="563"/>
      <c r="CX40" s="561"/>
      <c r="CY40" s="563"/>
      <c r="CZ40" s="561"/>
      <c r="DA40" s="563"/>
      <c r="DB40" s="561"/>
      <c r="DC40" s="563"/>
      <c r="DD40" s="561"/>
      <c r="DG40" s="576"/>
      <c r="DH40" s="576"/>
      <c r="DI40" s="570"/>
      <c r="DJ40" s="570"/>
      <c r="DK40" s="570"/>
      <c r="DL40" s="570"/>
      <c r="DM40" s="573"/>
      <c r="DN40" s="570"/>
      <c r="DO40" s="570"/>
      <c r="DP40" s="570"/>
      <c r="DQ40" s="570"/>
      <c r="DR40" s="570"/>
      <c r="DS40" s="570"/>
      <c r="DT40" s="570"/>
      <c r="DU40" s="570"/>
      <c r="DV40" s="576"/>
      <c r="DW40" s="576"/>
      <c r="DX40" s="570"/>
      <c r="DY40" s="570"/>
    </row>
    <row r="41" spans="1:194" s="252" customFormat="1" ht="60" customHeight="1" x14ac:dyDescent="0.25">
      <c r="A41" s="368"/>
      <c r="B41" s="369"/>
      <c r="C41" s="396" t="s">
        <v>10</v>
      </c>
      <c r="D41" s="645" t="s">
        <v>32</v>
      </c>
      <c r="E41" s="645"/>
      <c r="F41" s="645"/>
      <c r="G41" s="645"/>
      <c r="H41" s="645"/>
      <c r="I41" s="645"/>
      <c r="J41" s="643"/>
      <c r="K41" s="643"/>
      <c r="L41" s="646"/>
      <c r="M41" s="648"/>
      <c r="N41" s="649"/>
      <c r="O41" s="644"/>
      <c r="P41" s="192"/>
      <c r="Q41" s="239"/>
      <c r="R41" s="334" t="s">
        <v>475</v>
      </c>
      <c r="S41" s="234" t="str">
        <f>IFERROR(IF($C$12='BD GN'!$CC$1,VLOOKUP(COTIZACIÓN!D36,'BD GN'!CB:CG,2,FALSE),IF(COTIZACIÓN!$C$12='BD GN'!$CD$1,VLOOKUP(COTIZACIÓN!D36,'BD GN'!CB:CG,3,FALSE),IF($C$12='BD GN'!$CE$1,VLOOKUP(COTIZACIÓN!D36,'BD GN'!CB:CG,4,FALSE),IF(COTIZACIÓN!$C$12='BD GN'!$CF$1,VLOOKUP(COTIZACIÓN!D36,'BD GN'!CB:CG,5,FALSE),IF(COTIZACIÓN!$C$12='BD GN'!$CG$1,VLOOKUP(COTIZACIÓN!D36,'BD GN'!CB:CG,6,FALSE),""))))),"-")</f>
        <v/>
      </c>
      <c r="T41" s="243"/>
      <c r="U41" s="244"/>
      <c r="V41" s="245"/>
      <c r="W41" s="177" t="s">
        <v>394</v>
      </c>
      <c r="X41" s="246">
        <f>IFERROR(SUM(W36:X36),"")</f>
        <v>0</v>
      </c>
      <c r="Y41" s="166" t="s">
        <v>404</v>
      </c>
      <c r="Z41" s="199" t="str">
        <f>IFERROR(Y36+Z36,"")</f>
        <v/>
      </c>
      <c r="AA41" s="247"/>
      <c r="AB41" s="243"/>
      <c r="AC41" s="244"/>
      <c r="AD41" s="244"/>
      <c r="AE41" s="244"/>
      <c r="AF41" s="227"/>
      <c r="AG41" s="206"/>
      <c r="AH41" s="206"/>
      <c r="AI41" s="206"/>
      <c r="AJ41" s="206"/>
      <c r="AK41" s="227"/>
      <c r="AL41" s="227"/>
      <c r="AM41" s="248"/>
      <c r="AN41" s="248"/>
      <c r="AO41" s="249"/>
      <c r="AP41" s="250"/>
      <c r="AQ41" s="248"/>
      <c r="AR41" s="248"/>
      <c r="AS41" s="249"/>
      <c r="AT41" s="250"/>
      <c r="AU41" s="249"/>
      <c r="AV41" s="250"/>
      <c r="AW41" s="249"/>
      <c r="AX41" s="250"/>
      <c r="AY41" s="248"/>
      <c r="AZ41" s="250"/>
      <c r="BA41" s="210"/>
      <c r="BB41" s="175"/>
      <c r="BC41" s="175" t="s">
        <v>118</v>
      </c>
      <c r="BD41" s="210"/>
      <c r="BE41" s="251" t="str">
        <f>IFERROR(VLOOKUP(D36,'BD M.O'!C:I,7,FALSE),"")</f>
        <v/>
      </c>
      <c r="BF41" s="251" t="s">
        <v>262</v>
      </c>
      <c r="BG41" s="175"/>
      <c r="BH41" s="175"/>
      <c r="BI41" s="210"/>
      <c r="BJ41" s="175"/>
      <c r="BK41" s="175"/>
      <c r="BL41" s="175"/>
      <c r="BM41" s="175"/>
      <c r="BN41" s="175"/>
      <c r="BO41" s="210"/>
      <c r="BP41" s="175"/>
      <c r="BQ41" s="175"/>
      <c r="BR41" s="175"/>
      <c r="BS41" s="183"/>
      <c r="BT41" s="183"/>
      <c r="BU41" s="183"/>
      <c r="BV41" s="183"/>
      <c r="BW41" s="210"/>
      <c r="BX41" s="175"/>
      <c r="BY41" s="175"/>
      <c r="BZ41" s="175"/>
      <c r="CA41" s="175"/>
      <c r="CB41" s="175"/>
      <c r="CC41" s="175"/>
      <c r="CD41" s="184"/>
      <c r="CE41" s="175"/>
      <c r="CF41" s="185"/>
      <c r="CG41" s="175"/>
      <c r="CH41" s="175"/>
      <c r="CI41" s="184"/>
      <c r="CJ41" s="210"/>
      <c r="CK41" s="564"/>
      <c r="CL41" s="257"/>
      <c r="CM41" s="597"/>
      <c r="CN41" s="628"/>
      <c r="CO41" s="631"/>
      <c r="CP41" s="631"/>
      <c r="CQ41" s="631"/>
      <c r="CR41" s="631"/>
      <c r="CS41" s="631"/>
      <c r="CT41" s="634"/>
      <c r="CU41" s="564"/>
      <c r="CV41" s="562"/>
      <c r="CW41" s="564"/>
      <c r="CX41" s="562"/>
      <c r="CY41" s="564"/>
      <c r="CZ41" s="562"/>
      <c r="DA41" s="564"/>
      <c r="DB41" s="562"/>
      <c r="DC41" s="564"/>
      <c r="DD41" s="562"/>
      <c r="DE41" s="175"/>
      <c r="DF41" s="175"/>
      <c r="DG41" s="577"/>
      <c r="DH41" s="577"/>
      <c r="DI41" s="571"/>
      <c r="DJ41" s="571"/>
      <c r="DK41" s="571"/>
      <c r="DL41" s="571"/>
      <c r="DM41" s="574"/>
      <c r="DN41" s="571"/>
      <c r="DO41" s="571"/>
      <c r="DP41" s="571"/>
      <c r="DQ41" s="571"/>
      <c r="DR41" s="571"/>
      <c r="DS41" s="571"/>
      <c r="DT41" s="571"/>
      <c r="DU41" s="571"/>
      <c r="DV41" s="577"/>
      <c r="DW41" s="577"/>
      <c r="DX41" s="571"/>
      <c r="DY41" s="571"/>
      <c r="DZ41" s="175"/>
      <c r="EA41" s="175"/>
      <c r="EB41" s="175"/>
      <c r="EC41" s="175"/>
      <c r="ED41" s="175"/>
      <c r="EE41" s="175"/>
      <c r="EF41" s="175"/>
      <c r="EG41" s="175"/>
      <c r="EH41" s="175"/>
      <c r="EI41" s="175"/>
      <c r="EJ41" s="175"/>
      <c r="EK41" s="175"/>
      <c r="EL41" s="175"/>
      <c r="EM41" s="175"/>
      <c r="EN41" s="175"/>
      <c r="EO41" s="175"/>
      <c r="EP41" s="175"/>
      <c r="EQ41" s="175"/>
      <c r="ER41" s="175"/>
      <c r="ES41" s="175"/>
      <c r="ET41" s="175"/>
      <c r="EU41" s="175"/>
      <c r="EV41" s="175"/>
      <c r="EW41" s="175"/>
      <c r="EX41" s="175"/>
      <c r="EY41" s="175"/>
      <c r="EZ41" s="175"/>
      <c r="FA41" s="175"/>
      <c r="FB41" s="175"/>
      <c r="FC41" s="175"/>
      <c r="FD41" s="175"/>
      <c r="FE41" s="175"/>
      <c r="FF41" s="175"/>
      <c r="FG41" s="175"/>
      <c r="FH41" s="175"/>
      <c r="FI41" s="175"/>
      <c r="FJ41" s="175"/>
      <c r="FK41" s="175"/>
      <c r="FL41" s="175"/>
      <c r="FM41" s="175"/>
      <c r="FN41" s="175"/>
      <c r="FO41" s="175"/>
      <c r="FP41" s="175"/>
      <c r="FQ41" s="175"/>
      <c r="FR41" s="175"/>
      <c r="FS41" s="175"/>
      <c r="FT41" s="175"/>
      <c r="FU41" s="175"/>
      <c r="FV41" s="175"/>
      <c r="FW41" s="175"/>
      <c r="FX41" s="175"/>
      <c r="FY41" s="175"/>
      <c r="FZ41" s="175"/>
      <c r="GA41" s="175"/>
      <c r="GB41" s="175"/>
      <c r="GC41" s="175"/>
      <c r="GD41" s="175"/>
      <c r="GE41" s="175"/>
      <c r="GF41" s="175"/>
      <c r="GG41" s="175"/>
      <c r="GH41" s="175"/>
      <c r="GI41" s="175"/>
      <c r="GJ41" s="175"/>
      <c r="GK41" s="175"/>
      <c r="GL41" s="175"/>
    </row>
    <row r="42" spans="1:194" s="255" customFormat="1" ht="60" customHeight="1" x14ac:dyDescent="0.3">
      <c r="A42" s="362" t="s">
        <v>193</v>
      </c>
      <c r="B42" s="363" t="s">
        <v>25</v>
      </c>
      <c r="C42" s="391" t="s">
        <v>174</v>
      </c>
      <c r="D42" s="640" t="s">
        <v>173</v>
      </c>
      <c r="E42" s="640"/>
      <c r="F42" s="640"/>
      <c r="G42" s="640"/>
      <c r="H42" s="640"/>
      <c r="I42" s="640"/>
      <c r="J42" s="418" t="s">
        <v>443</v>
      </c>
      <c r="K42" s="418" t="s">
        <v>444</v>
      </c>
      <c r="L42" s="418" t="s">
        <v>171</v>
      </c>
      <c r="M42" s="363" t="s">
        <v>2</v>
      </c>
      <c r="N42" s="419" t="s">
        <v>7</v>
      </c>
      <c r="O42" s="420" t="s">
        <v>8</v>
      </c>
      <c r="P42" s="159"/>
      <c r="Q42" s="164" t="s">
        <v>93</v>
      </c>
      <c r="R42" s="164" t="s">
        <v>34</v>
      </c>
      <c r="S42" s="164" t="s">
        <v>28</v>
      </c>
      <c r="T42" s="164" t="s">
        <v>95</v>
      </c>
      <c r="U42" s="164" t="s">
        <v>96</v>
      </c>
      <c r="V42" s="164" t="s">
        <v>97</v>
      </c>
      <c r="W42" s="164" t="s">
        <v>4</v>
      </c>
      <c r="X42" s="164" t="s">
        <v>103</v>
      </c>
      <c r="Y42" s="160" t="s">
        <v>402</v>
      </c>
      <c r="Z42" s="165" t="s">
        <v>403</v>
      </c>
      <c r="AA42" s="166" t="s">
        <v>404</v>
      </c>
      <c r="AB42" s="164" t="s">
        <v>99</v>
      </c>
      <c r="AC42" s="164" t="s">
        <v>395</v>
      </c>
      <c r="AD42" s="253" t="s">
        <v>36</v>
      </c>
      <c r="AE42" s="164" t="s">
        <v>389</v>
      </c>
      <c r="AF42" s="164" t="s">
        <v>390</v>
      </c>
      <c r="AG42" s="164" t="s">
        <v>164</v>
      </c>
      <c r="AH42" s="253" t="s">
        <v>396</v>
      </c>
      <c r="AI42" s="164" t="s">
        <v>190</v>
      </c>
      <c r="AJ42" s="164" t="s">
        <v>339</v>
      </c>
      <c r="AK42" s="253" t="s">
        <v>391</v>
      </c>
      <c r="AL42" s="253" t="s">
        <v>393</v>
      </c>
      <c r="AM42" s="167" t="s">
        <v>93</v>
      </c>
      <c r="AN42" s="168" t="s">
        <v>34</v>
      </c>
      <c r="AO42" s="169" t="s">
        <v>28</v>
      </c>
      <c r="AP42" s="170" t="s">
        <v>95</v>
      </c>
      <c r="AQ42" s="167" t="s">
        <v>3</v>
      </c>
      <c r="AR42" s="167" t="s">
        <v>96</v>
      </c>
      <c r="AS42" s="169" t="s">
        <v>97</v>
      </c>
      <c r="AT42" s="170" t="s">
        <v>4</v>
      </c>
      <c r="AU42" s="169" t="s">
        <v>103</v>
      </c>
      <c r="AV42" s="170" t="s">
        <v>99</v>
      </c>
      <c r="AW42" s="169" t="s">
        <v>36</v>
      </c>
      <c r="AX42" s="171" t="s">
        <v>29</v>
      </c>
      <c r="AY42" s="172" t="s">
        <v>190</v>
      </c>
      <c r="AZ42" s="173" t="s">
        <v>102</v>
      </c>
      <c r="BA42" s="174"/>
      <c r="BB42" s="183"/>
      <c r="BC42" s="211" t="s">
        <v>119</v>
      </c>
      <c r="BD42" s="174"/>
      <c r="BE42" s="176" t="s">
        <v>189</v>
      </c>
      <c r="BF42" s="177" t="str">
        <f>$BF$13</f>
        <v xml:space="preserve">VR SILICONA </v>
      </c>
      <c r="BG42" s="177" t="str">
        <f>$BG$13</f>
        <v xml:space="preserve">VR PELÍCULA </v>
      </c>
      <c r="BH42" s="254" t="str">
        <f>$BH$13</f>
        <v>VR EMBALAJE</v>
      </c>
      <c r="BI42" s="174"/>
      <c r="BJ42" s="176" t="str">
        <f>$BJ$13</f>
        <v>ESP. CRISTAL</v>
      </c>
      <c r="BK42" s="176" t="s">
        <v>130</v>
      </c>
      <c r="BL42" s="177" t="s">
        <v>28</v>
      </c>
      <c r="BM42" s="177" t="str">
        <f>BM35</f>
        <v>TOTAL</v>
      </c>
      <c r="BN42" s="177" t="s">
        <v>133</v>
      </c>
      <c r="BO42" s="174"/>
      <c r="BP42" s="175"/>
      <c r="BQ42" s="175"/>
      <c r="BR42" s="175"/>
      <c r="BS42" s="175"/>
      <c r="BT42" s="175"/>
      <c r="BU42" s="175"/>
      <c r="BV42" s="175"/>
      <c r="BW42" s="174"/>
      <c r="BX42" s="175"/>
      <c r="BY42" s="175"/>
      <c r="BZ42" s="175"/>
      <c r="CA42" s="175"/>
      <c r="CB42" s="175"/>
      <c r="CC42" s="175"/>
      <c r="CD42" s="184"/>
      <c r="CE42" s="175"/>
      <c r="CF42" s="185"/>
      <c r="CG42" s="175"/>
      <c r="CH42" s="175"/>
      <c r="CI42" s="184"/>
      <c r="CJ42" s="174"/>
      <c r="CK42" s="186" t="s">
        <v>415</v>
      </c>
      <c r="CL42" s="187" t="s">
        <v>417</v>
      </c>
      <c r="CM42" s="187" t="s">
        <v>416</v>
      </c>
      <c r="CN42" s="188" t="s">
        <v>418</v>
      </c>
      <c r="CO42" s="187" t="s">
        <v>417</v>
      </c>
      <c r="CP42" s="187" t="s">
        <v>409</v>
      </c>
      <c r="CQ42" s="187" t="s">
        <v>410</v>
      </c>
      <c r="CR42" s="187" t="s">
        <v>411</v>
      </c>
      <c r="CS42" s="187" t="s">
        <v>412</v>
      </c>
      <c r="CT42" s="187" t="s">
        <v>413</v>
      </c>
      <c r="CU42" s="189" t="s">
        <v>2</v>
      </c>
      <c r="CV42" s="190" t="s">
        <v>159</v>
      </c>
      <c r="CW42" s="189" t="s">
        <v>2</v>
      </c>
      <c r="CX42" s="190" t="s">
        <v>159</v>
      </c>
      <c r="CY42" s="189" t="s">
        <v>2</v>
      </c>
      <c r="CZ42" s="190" t="s">
        <v>159</v>
      </c>
      <c r="DA42" s="189" t="s">
        <v>2</v>
      </c>
      <c r="DB42" s="190" t="s">
        <v>159</v>
      </c>
      <c r="DC42" s="189" t="s">
        <v>2</v>
      </c>
      <c r="DD42" s="190" t="s">
        <v>159</v>
      </c>
      <c r="DE42" s="183"/>
      <c r="DF42" s="183"/>
      <c r="DG42" s="177" t="s">
        <v>505</v>
      </c>
      <c r="DH42" s="472" t="s">
        <v>509</v>
      </c>
      <c r="DI42" s="457" t="s">
        <v>506</v>
      </c>
      <c r="DJ42" s="457" t="s">
        <v>134</v>
      </c>
      <c r="DK42" s="457" t="s">
        <v>498</v>
      </c>
      <c r="DL42" s="457" t="s">
        <v>499</v>
      </c>
      <c r="DM42" s="457" t="s">
        <v>500</v>
      </c>
      <c r="DN42" s="457" t="s">
        <v>131</v>
      </c>
      <c r="DO42" s="457" t="s">
        <v>390</v>
      </c>
      <c r="DP42" s="457" t="s">
        <v>36</v>
      </c>
      <c r="DQ42" s="457" t="s">
        <v>501</v>
      </c>
      <c r="DR42" s="457" t="s">
        <v>502</v>
      </c>
      <c r="DS42" s="457" t="s">
        <v>503</v>
      </c>
      <c r="DT42" s="457" t="s">
        <v>4</v>
      </c>
      <c r="DU42" s="457" t="s">
        <v>504</v>
      </c>
      <c r="DV42" s="466" t="s">
        <v>507</v>
      </c>
      <c r="DW42" s="466" t="s">
        <v>508</v>
      </c>
      <c r="DX42" s="457" t="s">
        <v>510</v>
      </c>
      <c r="DY42" s="457" t="s">
        <v>511</v>
      </c>
      <c r="DZ42" s="183"/>
      <c r="EA42" s="183"/>
      <c r="EB42" s="183"/>
      <c r="EC42" s="183"/>
      <c r="ED42" s="183"/>
      <c r="EE42" s="183"/>
      <c r="EF42" s="183"/>
      <c r="EG42" s="183"/>
      <c r="EH42" s="183"/>
      <c r="EI42" s="183"/>
      <c r="EJ42" s="183"/>
      <c r="EK42" s="183"/>
      <c r="EL42" s="183"/>
      <c r="EM42" s="183"/>
      <c r="EN42" s="183"/>
      <c r="EO42" s="183"/>
      <c r="EP42" s="183"/>
      <c r="EQ42" s="183"/>
      <c r="ER42" s="183"/>
      <c r="ES42" s="183"/>
      <c r="ET42" s="183"/>
      <c r="EU42" s="183"/>
      <c r="EV42" s="183"/>
      <c r="EW42" s="183"/>
      <c r="EX42" s="183"/>
      <c r="EY42" s="183"/>
      <c r="EZ42" s="183"/>
      <c r="FA42" s="183"/>
      <c r="FB42" s="183"/>
      <c r="FC42" s="183"/>
      <c r="FD42" s="183"/>
      <c r="FE42" s="183"/>
      <c r="FF42" s="183"/>
      <c r="FG42" s="183"/>
      <c r="FH42" s="183"/>
      <c r="FI42" s="183"/>
      <c r="FJ42" s="183"/>
      <c r="FK42" s="183"/>
      <c r="FL42" s="183"/>
      <c r="FM42" s="183"/>
      <c r="FN42" s="183"/>
      <c r="FO42" s="183"/>
      <c r="FP42" s="183"/>
      <c r="FQ42" s="183"/>
      <c r="FR42" s="183"/>
      <c r="FS42" s="183"/>
      <c r="FT42" s="183"/>
      <c r="FU42" s="183"/>
      <c r="FV42" s="183"/>
      <c r="FW42" s="183"/>
      <c r="FX42" s="183"/>
      <c r="FY42" s="183"/>
      <c r="FZ42" s="183"/>
      <c r="GA42" s="183"/>
      <c r="GB42" s="183"/>
      <c r="GC42" s="183"/>
      <c r="GD42" s="183"/>
      <c r="GE42" s="183"/>
      <c r="GF42" s="183"/>
      <c r="GG42" s="183"/>
      <c r="GH42" s="183"/>
      <c r="GI42" s="183"/>
      <c r="GJ42" s="183"/>
      <c r="GK42" s="183"/>
      <c r="GL42" s="183"/>
    </row>
    <row r="43" spans="1:194" s="175" customFormat="1" ht="60" customHeight="1" x14ac:dyDescent="0.3">
      <c r="A43" s="364"/>
      <c r="B43" s="365"/>
      <c r="C43" s="392" t="s">
        <v>27</v>
      </c>
      <c r="D43" s="641"/>
      <c r="E43" s="641"/>
      <c r="F43" s="641"/>
      <c r="G43" s="641"/>
      <c r="H43" s="641"/>
      <c r="I43" s="641"/>
      <c r="J43" s="642"/>
      <c r="K43" s="642"/>
      <c r="L43" s="622">
        <f>J43*K43*M43</f>
        <v>0</v>
      </c>
      <c r="M43" s="623"/>
      <c r="N43" s="620">
        <f>IFERROR(AL43,"")</f>
        <v>1.0765546639999999</v>
      </c>
      <c r="O43" s="621">
        <f>IFERROR(N43*M43,"")</f>
        <v>0</v>
      </c>
      <c r="P43" s="192"/>
      <c r="Q43" s="193">
        <f>Q44+BF43+($R$350*Q44)</f>
        <v>0</v>
      </c>
      <c r="R43" s="193">
        <f>IFERROR(R44+($R$348*R44),"")</f>
        <v>0</v>
      </c>
      <c r="S43" s="194">
        <f>+IF(R45="SI",((W47*'BD GN'!$AB$2)+S44)*1,COTIZACIÓN!S44*1)+(P44*S44)</f>
        <v>0</v>
      </c>
      <c r="T43" s="195">
        <f>IFERROR(R43*IF(K43&lt;=3,$T$13,15%),"")</f>
        <v>0</v>
      </c>
      <c r="U43" s="196">
        <f>BH43+BG43</f>
        <v>0</v>
      </c>
      <c r="V43" s="197" t="str">
        <f>IFERROR(BN43,0)</f>
        <v/>
      </c>
      <c r="W43" s="198" t="str">
        <f>IFERROR(IF(X45="SI",W46*J43*K43,IF(BE43=3,BE45,IF(BE43=4,BE46,IF(BE43=5,BE47,IF(BE43&gt;5,BE47+(BE48*(BE43-5)),"")))))*0,"")</f>
        <v/>
      </c>
      <c r="X43" s="198" t="str">
        <f>IFERROR(IF(X44="NO",(VLOOKUP(D43,'BD M.O'!C:E,3,FALSE))*W47,((VLOOKUP(D43,'BD M.O'!C:E,3,FALSE))+7500)*W47),"")</f>
        <v/>
      </c>
      <c r="Y43" s="198">
        <f>IFERROR($Y$13*AK43,"")</f>
        <v>4.2084457416288003E-2</v>
      </c>
      <c r="Z43" s="332" t="str">
        <f>IFERROR(($Z$13*AK43)+X43,"")</f>
        <v/>
      </c>
      <c r="AA43" s="199" t="str">
        <f>IFERROR(Y43+Z43,"")</f>
        <v/>
      </c>
      <c r="AB43" s="200">
        <f>IFERROR((SUM(Q43:X43)-T43+T45)*$AB$13,"")</f>
        <v>0</v>
      </c>
      <c r="AC43" s="201">
        <f>IFERROR(((SUM(Q43:V43,IF(X48&gt;AA43,AVERAGE(X48,AA43),AA43))-T43+T45))*$AB$13,"")</f>
        <v>0</v>
      </c>
      <c r="AD43" s="202" t="str">
        <f>IFERROR((J43*K43*$BV$14),"")</f>
        <v/>
      </c>
      <c r="AE43" s="202">
        <f>IFERROR($AE$13*AK43,"")</f>
        <v>6.4010592649919984E-2</v>
      </c>
      <c r="AF43" s="203" t="str">
        <f>IFERROR(($CI$11+$CI$13)*W47,"")</f>
        <v/>
      </c>
      <c r="AG43" s="202">
        <f>IFERROR((SUM(Q43:X43,AB43,AD43,AF43)-T43+T45)*$AG$13,"")</f>
        <v>0</v>
      </c>
      <c r="AH43" s="202">
        <f>IFERROR((SUM(Q43:V43,(IF(X48&gt;AA43,AVERAGE(X48,AA43),AA43)),AC43,AE43,AF43)-T43+T45)*$AG$13,"")</f>
        <v>3.2005296324959992E-2</v>
      </c>
      <c r="AI43" s="204">
        <f>IFERROR(AL43*$AI$13,"")</f>
        <v>2.1531093279999997E-2</v>
      </c>
      <c r="AJ43" s="204">
        <f>IFERROR($AJ$13*AL43,"")</f>
        <v>6.007175025119999E-3</v>
      </c>
      <c r="AK43" s="205">
        <f>IFERROR(SUM(Q43:X43,AB43,AD43,AG43,AF43)/(1-$AI$13)+(1-$AJ$13)-T43+T45,"")</f>
        <v>0.99441999999999997</v>
      </c>
      <c r="AL43" s="205">
        <f>IFERROR(SUM(Q43:V43,AC43,(IF(AD43&gt;AE43,AVERAGE(AD43,AE43),AE43)),AF43,,AH43,(IF(SUM(X48)&gt;AA43,AVERAGE(AA43,X48),AA43)))/(1-$AJ$13)+(1-$AI$13)-T43+T45,"")</f>
        <v>1.0765546639999999</v>
      </c>
      <c r="AM43" s="206">
        <f>$M$15*Q43</f>
        <v>0</v>
      </c>
      <c r="AN43" s="207">
        <f>$M$15*R43</f>
        <v>0</v>
      </c>
      <c r="AO43" s="208">
        <f>$M$15*S43</f>
        <v>0</v>
      </c>
      <c r="AP43" s="207">
        <f>$M$15*T43</f>
        <v>0</v>
      </c>
      <c r="AQ43" s="207" t="e">
        <f>$M$15*#REF!</f>
        <v>#REF!</v>
      </c>
      <c r="AR43" s="207">
        <f>$M$15*U43</f>
        <v>0</v>
      </c>
      <c r="AS43" s="208" t="e">
        <f>$M$15*V43</f>
        <v>#VALUE!</v>
      </c>
      <c r="AT43" s="207" t="e">
        <f>$M$15*W43</f>
        <v>#VALUE!</v>
      </c>
      <c r="AU43" s="208" t="e">
        <f>$M$15*X43</f>
        <v>#VALUE!</v>
      </c>
      <c r="AV43" s="207">
        <f>$M$15*AB43</f>
        <v>0</v>
      </c>
      <c r="AW43" s="208">
        <f>$M$15*AE43</f>
        <v>0</v>
      </c>
      <c r="AX43" s="207">
        <f>$M$15*AG43</f>
        <v>0</v>
      </c>
      <c r="AY43" s="209">
        <f>$M$15*AI43</f>
        <v>0</v>
      </c>
      <c r="AZ43" s="207">
        <f>$M$15*AK43</f>
        <v>0</v>
      </c>
      <c r="BA43" s="210"/>
      <c r="BB43" s="175" t="s">
        <v>23</v>
      </c>
      <c r="BC43" s="211" t="s">
        <v>113</v>
      </c>
      <c r="BD43" s="210"/>
      <c r="BE43" s="212"/>
      <c r="BF43" s="213">
        <f>IF(BH44="NO",((2*J43)+(2*K43))*'BD GN'!$AU$3,((3*J43)+(2*K43))*'BD GN'!$AU$3)</f>
        <v>0</v>
      </c>
      <c r="BG43" s="213">
        <f>'BD GN'!$BB$3*J43*K43</f>
        <v>0</v>
      </c>
      <c r="BH43" s="214">
        <f>((J43*2*BE43)+(K43*2*BE43))*'BD GN'!$AN$4</f>
        <v>0</v>
      </c>
      <c r="BI43" s="210"/>
      <c r="BJ43" s="212"/>
      <c r="BK43" s="212"/>
      <c r="BL43" s="215">
        <f>J43*K43*2.5*BJ43</f>
        <v>0</v>
      </c>
      <c r="BM43" s="215">
        <f>BK43+BL43</f>
        <v>0</v>
      </c>
      <c r="BN43" s="216" t="str">
        <f>IFERROR((VLOOKUP($C$12,'BD GN'!BD:BM,10,FALSE)*BM43)+$BR$338,"")</f>
        <v/>
      </c>
      <c r="BO43" s="210"/>
      <c r="BW43" s="210"/>
      <c r="CD43" s="184"/>
      <c r="CF43" s="185"/>
      <c r="CI43" s="184"/>
      <c r="CJ43" s="210"/>
      <c r="CK43" s="565"/>
      <c r="CL43" s="256"/>
      <c r="CM43" s="596"/>
      <c r="CN43" s="626"/>
      <c r="CO43" s="629"/>
      <c r="CP43" s="629"/>
      <c r="CQ43" s="629"/>
      <c r="CR43" s="629"/>
      <c r="CS43" s="629"/>
      <c r="CT43" s="632"/>
      <c r="CU43" s="565"/>
      <c r="CV43" s="560">
        <f>IFERROR(N43*CU43,"")</f>
        <v>0</v>
      </c>
      <c r="CW43" s="565"/>
      <c r="CX43" s="560">
        <f>IFERROR(P43*CW43,"")</f>
        <v>0</v>
      </c>
      <c r="CY43" s="565"/>
      <c r="CZ43" s="560">
        <f>IFERROR(R43*CY43,"")</f>
        <v>0</v>
      </c>
      <c r="DA43" s="565">
        <f t="shared" ref="DA43" si="66">CU43+CW43+CY43</f>
        <v>0</v>
      </c>
      <c r="DB43" s="560">
        <f t="shared" ref="DB43" si="67">IFERROR(CV43+CX43+CZ43,"")</f>
        <v>0</v>
      </c>
      <c r="DC43" s="565">
        <f>M43-(CU43+CW43+CY43)</f>
        <v>0</v>
      </c>
      <c r="DD43" s="560">
        <f>IFERROR(O43-(CV43+CX43+CZ43),"")</f>
        <v>0</v>
      </c>
      <c r="DG43" s="575"/>
      <c r="DH43" s="575"/>
      <c r="DI43" s="569">
        <f t="shared" ref="DI43" si="68">IFERROR(IF(DG43&gt;0,(((N43)/(1+10%+19%*5%)+((N43)/(1+10%+19%*5%))*10%)*DH43),0),0)</f>
        <v>0</v>
      </c>
      <c r="DJ43" s="569">
        <f t="shared" ref="DJ43" si="69">IFERROR(IF(DG43&gt;0,(N43*DH43),0),0)</f>
        <v>0</v>
      </c>
      <c r="DK43" s="569">
        <f t="shared" ref="DK43" si="70">IF(DG43&gt;0,((R43+T43)*DH43),0)</f>
        <v>0</v>
      </c>
      <c r="DL43" s="569">
        <f t="shared" ref="DL43" si="71">IF(DG43&gt;0,(Q43*DH43),0)</f>
        <v>0</v>
      </c>
      <c r="DM43" s="572">
        <f t="shared" ref="DM43" si="72">IF(DG43&gt;0,(S43*DH43),0)</f>
        <v>0</v>
      </c>
      <c r="DN43" s="569">
        <f t="shared" ref="DN43" si="73">IF(DG43&gt;0,(BN43*DH43),0)</f>
        <v>0</v>
      </c>
      <c r="DO43" s="569">
        <f t="shared" ref="DO43" si="74">IF(DG43&gt;0,(AF43*DH43),0)</f>
        <v>0</v>
      </c>
      <c r="DP43" s="569">
        <f>IF(DG43&gt;0,((DI43)*('BD P&amp;G'!$E$16+'BD P&amp;G'!$E$17+'BD P&amp;G'!$E$18+'BD P&amp;G'!$E$19+'BD P&amp;G'!$E$20+'BD P&amp;G'!$E$21+'BD P&amp;G'!$E$22+'BD P&amp;G'!$E$23)*DH43),0)</f>
        <v>0</v>
      </c>
      <c r="DQ43" s="569">
        <f>IFERROR(IF(DG43&gt;0,((DI43*'BD P&amp;G'!$E$7)+(DI43*'BD P&amp;G'!$E$9)+AI43),0),0)</f>
        <v>0</v>
      </c>
      <c r="DR43" s="569">
        <f t="shared" ref="DR43" si="75">IFERROR(IF(DG43&gt;0,((DI43*1%)),0),0)</f>
        <v>0</v>
      </c>
      <c r="DS43" s="569">
        <f>IFERROR(IF(DG43&gt;0,(((DI43*'BD P&amp;G'!$E$32+DI43*'BD P&amp;G'!$E$33+DI43*'BD P&amp;G'!$E$35+DI43*'BD P&amp;G'!$E$36+DI43*'BD P&amp;G'!$E$37))),0),0)</f>
        <v>0</v>
      </c>
      <c r="DT43" s="569">
        <f t="shared" ref="DT43" si="76">IF(DG43&gt;0,(Y43*DH43),0)</f>
        <v>0</v>
      </c>
      <c r="DU43" s="569">
        <f t="shared" ref="DU43" si="77">IF(DG43&gt;0,(Z43*DH43),0)</f>
        <v>0</v>
      </c>
      <c r="DV43" s="575">
        <f t="shared" ref="DV43" si="78">IF(DG43&gt;0,(Y47*DH43),0)</f>
        <v>0</v>
      </c>
      <c r="DW43" s="575">
        <f t="shared" ref="DW43" si="79">IF(DG43&gt;0,(Z47*DH43),0)</f>
        <v>0</v>
      </c>
      <c r="DX43" s="569">
        <f t="shared" ref="DX43" si="80">IF(DV43&gt;0,DJ43,0)</f>
        <v>0</v>
      </c>
      <c r="DY43" s="569">
        <f t="shared" ref="DY43" si="81">IF(DW43&gt;0,DJ43,0)</f>
        <v>0</v>
      </c>
    </row>
    <row r="44" spans="1:194" s="175" customFormat="1" ht="60" customHeight="1" x14ac:dyDescent="0.25">
      <c r="A44" s="366"/>
      <c r="B44" s="367"/>
      <c r="C44" s="393" t="s">
        <v>28</v>
      </c>
      <c r="D44" s="598"/>
      <c r="E44" s="598"/>
      <c r="F44" s="598"/>
      <c r="G44" s="598"/>
      <c r="H44" s="598"/>
      <c r="I44" s="598"/>
      <c r="J44" s="604"/>
      <c r="K44" s="604"/>
      <c r="L44" s="607"/>
      <c r="M44" s="559"/>
      <c r="N44" s="610"/>
      <c r="O44" s="613"/>
      <c r="P44" s="192"/>
      <c r="Q44" s="217"/>
      <c r="R44" s="217"/>
      <c r="S44" s="218"/>
      <c r="T44" s="219">
        <f>IFERROR(T43/$R$353,"")</f>
        <v>0</v>
      </c>
      <c r="U44" s="206"/>
      <c r="V44" s="220"/>
      <c r="W44" s="221" t="s">
        <v>239</v>
      </c>
      <c r="X44" s="222" t="s">
        <v>204</v>
      </c>
      <c r="Y44" s="223"/>
      <c r="Z44" s="224"/>
      <c r="AA44" s="225"/>
      <c r="AB44" s="226"/>
      <c r="AC44" s="206"/>
      <c r="AD44" s="206"/>
      <c r="AE44" s="206"/>
      <c r="AF44" s="227"/>
      <c r="AG44" s="206"/>
      <c r="AH44" s="206"/>
      <c r="AI44" s="206"/>
      <c r="AJ44" s="206"/>
      <c r="AK44" s="227"/>
      <c r="AL44" s="210"/>
      <c r="AM44" s="206"/>
      <c r="AN44" s="206"/>
      <c r="AO44" s="228"/>
      <c r="AP44" s="229"/>
      <c r="AQ44" s="206"/>
      <c r="AR44" s="206"/>
      <c r="AS44" s="228"/>
      <c r="AT44" s="229"/>
      <c r="AU44" s="228"/>
      <c r="AV44" s="229"/>
      <c r="AW44" s="228"/>
      <c r="AX44" s="229"/>
      <c r="AY44" s="206"/>
      <c r="AZ44" s="229"/>
      <c r="BA44" s="210"/>
      <c r="BB44" s="175" t="s">
        <v>24</v>
      </c>
      <c r="BC44" s="175" t="s">
        <v>114</v>
      </c>
      <c r="BD44" s="210"/>
      <c r="BE44" s="176" t="s">
        <v>206</v>
      </c>
      <c r="BF44" s="230" t="s">
        <v>204</v>
      </c>
      <c r="BG44" s="176" t="s">
        <v>290</v>
      </c>
      <c r="BH44" s="231" t="s">
        <v>204</v>
      </c>
      <c r="BI44" s="210"/>
      <c r="BN44" s="232"/>
      <c r="BO44" s="210"/>
      <c r="BV44" s="184"/>
      <c r="BW44" s="210"/>
      <c r="CD44" s="184"/>
      <c r="CF44" s="185"/>
      <c r="CI44" s="184"/>
      <c r="CJ44" s="210"/>
      <c r="CK44" s="563"/>
      <c r="CM44" s="559"/>
      <c r="CN44" s="627"/>
      <c r="CO44" s="630"/>
      <c r="CP44" s="630"/>
      <c r="CQ44" s="630"/>
      <c r="CR44" s="630"/>
      <c r="CS44" s="630"/>
      <c r="CT44" s="633"/>
      <c r="CU44" s="563"/>
      <c r="CV44" s="561"/>
      <c r="CW44" s="563"/>
      <c r="CX44" s="561"/>
      <c r="CY44" s="563"/>
      <c r="CZ44" s="561"/>
      <c r="DA44" s="563"/>
      <c r="DB44" s="561"/>
      <c r="DC44" s="563"/>
      <c r="DD44" s="561"/>
      <c r="DG44" s="576"/>
      <c r="DH44" s="576"/>
      <c r="DI44" s="570"/>
      <c r="DJ44" s="570"/>
      <c r="DK44" s="570"/>
      <c r="DL44" s="570"/>
      <c r="DM44" s="573"/>
      <c r="DN44" s="570"/>
      <c r="DO44" s="570"/>
      <c r="DP44" s="570"/>
      <c r="DQ44" s="570"/>
      <c r="DR44" s="570"/>
      <c r="DS44" s="570"/>
      <c r="DT44" s="570"/>
      <c r="DU44" s="570"/>
      <c r="DV44" s="576"/>
      <c r="DW44" s="576"/>
      <c r="DX44" s="570"/>
      <c r="DY44" s="570"/>
    </row>
    <row r="45" spans="1:194" s="175" customFormat="1" ht="60" customHeight="1" x14ac:dyDescent="0.3">
      <c r="A45" s="366"/>
      <c r="B45" s="367"/>
      <c r="C45" s="393" t="s">
        <v>30</v>
      </c>
      <c r="D45" s="599"/>
      <c r="E45" s="599"/>
      <c r="F45" s="599"/>
      <c r="G45" s="599"/>
      <c r="H45" s="599"/>
      <c r="I45" s="599"/>
      <c r="J45" s="604"/>
      <c r="K45" s="604"/>
      <c r="L45" s="607"/>
      <c r="M45" s="559"/>
      <c r="N45" s="610"/>
      <c r="O45" s="613"/>
      <c r="P45" s="192"/>
      <c r="Q45" s="176" t="s">
        <v>205</v>
      </c>
      <c r="R45" s="233" t="s">
        <v>204</v>
      </c>
      <c r="S45" s="234"/>
      <c r="T45" s="235">
        <f>IFERROR(($R$353-8000)*T44,"")</f>
        <v>0</v>
      </c>
      <c r="U45" s="206"/>
      <c r="V45" s="220"/>
      <c r="W45" s="221" t="s">
        <v>258</v>
      </c>
      <c r="X45" s="222" t="s">
        <v>204</v>
      </c>
      <c r="Y45" s="236"/>
      <c r="Z45" s="237"/>
      <c r="AA45" s="225"/>
      <c r="AB45" s="226"/>
      <c r="AC45" s="206"/>
      <c r="AD45" s="206"/>
      <c r="AE45" s="206"/>
      <c r="AF45" s="227"/>
      <c r="AG45" s="206"/>
      <c r="AH45" s="206"/>
      <c r="AI45" s="206"/>
      <c r="AJ45" s="206"/>
      <c r="AK45" s="227"/>
      <c r="AL45" s="238"/>
      <c r="AM45" s="206"/>
      <c r="AN45" s="206"/>
      <c r="AO45" s="228"/>
      <c r="AP45" s="229"/>
      <c r="AQ45" s="206"/>
      <c r="AR45" s="206"/>
      <c r="AS45" s="228"/>
      <c r="AT45" s="229"/>
      <c r="AU45" s="228"/>
      <c r="AV45" s="229"/>
      <c r="AW45" s="228"/>
      <c r="AX45" s="229"/>
      <c r="AY45" s="206"/>
      <c r="AZ45" s="229"/>
      <c r="BA45" s="210"/>
      <c r="BB45" s="175" t="s">
        <v>26</v>
      </c>
      <c r="BC45" s="211" t="s">
        <v>115</v>
      </c>
      <c r="BD45" s="210"/>
      <c r="BE45" s="177" t="str">
        <f>IFERROR(VLOOKUP(D43,'BD M.O'!C:H,4,FALSE),"")</f>
        <v/>
      </c>
      <c r="BF45" s="177" t="s">
        <v>259</v>
      </c>
      <c r="BI45" s="210"/>
      <c r="BO45" s="210"/>
      <c r="BV45" s="184"/>
      <c r="BW45" s="210"/>
      <c r="CD45" s="184"/>
      <c r="CF45" s="185"/>
      <c r="CI45" s="184"/>
      <c r="CJ45" s="210"/>
      <c r="CK45" s="563"/>
      <c r="CM45" s="559"/>
      <c r="CN45" s="627"/>
      <c r="CO45" s="630"/>
      <c r="CP45" s="630"/>
      <c r="CQ45" s="630"/>
      <c r="CR45" s="630"/>
      <c r="CS45" s="630"/>
      <c r="CT45" s="633"/>
      <c r="CU45" s="563"/>
      <c r="CV45" s="561"/>
      <c r="CW45" s="563"/>
      <c r="CX45" s="561"/>
      <c r="CY45" s="563"/>
      <c r="CZ45" s="561"/>
      <c r="DA45" s="563"/>
      <c r="DB45" s="561"/>
      <c r="DC45" s="563"/>
      <c r="DD45" s="561"/>
      <c r="DG45" s="577"/>
      <c r="DH45" s="577"/>
      <c r="DI45" s="571"/>
      <c r="DJ45" s="571"/>
      <c r="DK45" s="571"/>
      <c r="DL45" s="571"/>
      <c r="DM45" s="574"/>
      <c r="DN45" s="571"/>
      <c r="DO45" s="571"/>
      <c r="DP45" s="571"/>
      <c r="DQ45" s="571"/>
      <c r="DR45" s="571"/>
      <c r="DS45" s="571"/>
      <c r="DT45" s="571"/>
      <c r="DU45" s="571"/>
      <c r="DV45" s="577"/>
      <c r="DW45" s="577"/>
      <c r="DX45" s="571"/>
      <c r="DY45" s="571"/>
    </row>
    <row r="46" spans="1:194" s="175" customFormat="1" ht="60" customHeight="1" x14ac:dyDescent="0.25">
      <c r="A46" s="366"/>
      <c r="B46" s="367"/>
      <c r="C46" s="395" t="s">
        <v>180</v>
      </c>
      <c r="D46" s="599" t="s">
        <v>31</v>
      </c>
      <c r="E46" s="599"/>
      <c r="F46" s="394" t="s">
        <v>9</v>
      </c>
      <c r="G46" s="599" t="s">
        <v>33</v>
      </c>
      <c r="H46" s="599"/>
      <c r="I46" s="394" t="str">
        <f>+IF($BG$9="SI","","X")</f>
        <v>X</v>
      </c>
      <c r="J46" s="604"/>
      <c r="K46" s="604"/>
      <c r="L46" s="607"/>
      <c r="M46" s="559"/>
      <c r="N46" s="610"/>
      <c r="O46" s="613"/>
      <c r="P46" s="192"/>
      <c r="Q46" s="239"/>
      <c r="R46" s="221" t="s">
        <v>209</v>
      </c>
      <c r="S46" s="234" t="str">
        <f>IF(S44="","",S44/(J43*K43))</f>
        <v/>
      </c>
      <c r="T46" s="226"/>
      <c r="U46" s="206"/>
      <c r="V46" s="220"/>
      <c r="W46" s="239" t="str">
        <f>IFERROR(IF(X45="SI",VLOOKUP(D43,'BD M.O'!C:F,4,FALSE),""),"")</f>
        <v/>
      </c>
      <c r="X46" s="221" t="s">
        <v>258</v>
      </c>
      <c r="Y46" s="221" t="s">
        <v>507</v>
      </c>
      <c r="Z46" s="221" t="s">
        <v>508</v>
      </c>
      <c r="AA46" s="225"/>
      <c r="AB46" s="226"/>
      <c r="AC46" s="206"/>
      <c r="AD46" s="206"/>
      <c r="AE46" s="206"/>
      <c r="AF46" s="227"/>
      <c r="AG46" s="206"/>
      <c r="AH46" s="206"/>
      <c r="AI46" s="206"/>
      <c r="AJ46" s="206"/>
      <c r="AK46" s="227"/>
      <c r="AL46" s="240"/>
      <c r="AM46" s="206"/>
      <c r="AN46" s="206"/>
      <c r="AO46" s="228"/>
      <c r="AP46" s="229"/>
      <c r="AQ46" s="206"/>
      <c r="AR46" s="206"/>
      <c r="AS46" s="228"/>
      <c r="AT46" s="229"/>
      <c r="AU46" s="228"/>
      <c r="AV46" s="229"/>
      <c r="AW46" s="228"/>
      <c r="AX46" s="229"/>
      <c r="AY46" s="206"/>
      <c r="AZ46" s="229"/>
      <c r="BA46" s="210"/>
      <c r="BC46" s="175" t="s">
        <v>116</v>
      </c>
      <c r="BD46" s="210"/>
      <c r="BE46" s="177" t="str">
        <f>IFERROR(VLOOKUP(COTIZACIÓN!D43,'BD M.O'!C:I,5,FALSE),"")</f>
        <v/>
      </c>
      <c r="BF46" s="177" t="s">
        <v>260</v>
      </c>
      <c r="BI46" s="210"/>
      <c r="BO46" s="210"/>
      <c r="BP46" s="183"/>
      <c r="BQ46" s="183"/>
      <c r="BR46" s="183"/>
      <c r="BS46" s="183"/>
      <c r="BT46" s="183"/>
      <c r="BU46" s="183"/>
      <c r="BV46" s="182"/>
      <c r="BW46" s="210"/>
      <c r="BX46" s="183"/>
      <c r="BY46" s="183"/>
      <c r="BZ46" s="183"/>
      <c r="CA46" s="183"/>
      <c r="CB46" s="183"/>
      <c r="CC46" s="183"/>
      <c r="CD46" s="182"/>
      <c r="CE46" s="183"/>
      <c r="CF46" s="241"/>
      <c r="CG46" s="183"/>
      <c r="CH46" s="183"/>
      <c r="CI46" s="182"/>
      <c r="CJ46" s="210"/>
      <c r="CK46" s="563"/>
      <c r="CM46" s="559"/>
      <c r="CN46" s="627"/>
      <c r="CO46" s="630"/>
      <c r="CP46" s="630"/>
      <c r="CQ46" s="630"/>
      <c r="CR46" s="630"/>
      <c r="CS46" s="630"/>
      <c r="CT46" s="633"/>
      <c r="CU46" s="563"/>
      <c r="CV46" s="561"/>
      <c r="CW46" s="563"/>
      <c r="CX46" s="561"/>
      <c r="CY46" s="563"/>
      <c r="CZ46" s="561"/>
      <c r="DA46" s="563"/>
      <c r="DB46" s="561"/>
      <c r="DC46" s="563"/>
      <c r="DD46" s="561"/>
      <c r="DG46" s="575"/>
      <c r="DH46" s="575"/>
      <c r="DI46" s="569">
        <f t="shared" ref="DI46" si="82">IFERROR(IF(DG46&gt;0,(((N43)/(1+10%+19%*5%)+((N43)/(1+10%+19%*5%))*10%)*DH46),0),0)</f>
        <v>0</v>
      </c>
      <c r="DJ46" s="569">
        <f t="shared" ref="DJ46" si="83">IFERROR(IF(DG46&gt;0,(N43*DH46),0),0)</f>
        <v>0</v>
      </c>
      <c r="DK46" s="569">
        <f t="shared" ref="DK46" si="84">IF(DG46&gt;0,((R43+T43)*DH46),0)</f>
        <v>0</v>
      </c>
      <c r="DL46" s="569">
        <f t="shared" ref="DL46" si="85">IF(DG46&gt;0,(Q43*DH46),0)</f>
        <v>0</v>
      </c>
      <c r="DM46" s="572">
        <f t="shared" ref="DM46" si="86">IF(DG46&gt;0,(S43*DH46),0)</f>
        <v>0</v>
      </c>
      <c r="DN46" s="569">
        <f t="shared" ref="DN46" si="87">IF(DG46&gt;0,(BN43*DH46),0)</f>
        <v>0</v>
      </c>
      <c r="DO46" s="569">
        <f t="shared" ref="DO46" si="88">IF(DG46&gt;0,(AF43*DH46),0)</f>
        <v>0</v>
      </c>
      <c r="DP46" s="569">
        <f>IF(DG46&gt;0,((DI46)*('BD P&amp;G'!$E$16+'BD P&amp;G'!$E$17+'BD P&amp;G'!$E$18+'BD P&amp;G'!$E$19+'BD P&amp;G'!$E$20+'BD P&amp;G'!$E$21+'BD P&amp;G'!$E$22+'BD P&amp;G'!$E$23)*DH46),0)</f>
        <v>0</v>
      </c>
      <c r="DQ46" s="569">
        <f>IFERROR(IF(DG46&gt;0,((DI46*'BD P&amp;G'!$E$7)+(DI46*'BD P&amp;G'!$E$9)+AI43),0),0)</f>
        <v>0</v>
      </c>
      <c r="DR46" s="569">
        <f t="shared" ref="DR46" si="89">IFERROR(IF(DG46&gt;0,((DI46*1%)),0),0)</f>
        <v>0</v>
      </c>
      <c r="DS46" s="569">
        <f>IFERROR(IF(DG46&gt;0,(((DI46*'BD P&amp;G'!$E$32+DI46*'BD P&amp;G'!$E$33+DI46*'BD P&amp;G'!$E$35+DI46*'BD P&amp;G'!$E$36+DI46*'BD P&amp;G'!$E$37))),0),0)</f>
        <v>0</v>
      </c>
      <c r="DT46" s="569">
        <f t="shared" ref="DT46" si="90">IF(DG46&gt;0,(Y43*DH46),0)</f>
        <v>0</v>
      </c>
      <c r="DU46" s="569">
        <f t="shared" ref="DU46" si="91">IF(DG46&gt;0,(Z43*DH46),0)</f>
        <v>0</v>
      </c>
      <c r="DV46" s="575">
        <f t="shared" ref="DV46" si="92">IF(DG46&gt;0,(Y47*DH46),0)</f>
        <v>0</v>
      </c>
      <c r="DW46" s="575">
        <f t="shared" ref="DW46" si="93">IF(DG46&gt;0,(Z47*DH46),0)</f>
        <v>0</v>
      </c>
      <c r="DX46" s="569">
        <f t="shared" ref="DX46" si="94">IF(DV46&gt;0,DJ46,0)</f>
        <v>0</v>
      </c>
      <c r="DY46" s="569">
        <f t="shared" ref="DY46" si="95">IF(DW46&gt;0,DJ46,0)</f>
        <v>0</v>
      </c>
    </row>
    <row r="47" spans="1:194" s="175" customFormat="1" ht="60" customHeight="1" x14ac:dyDescent="0.3">
      <c r="A47" s="366"/>
      <c r="B47" s="367"/>
      <c r="C47" s="393" t="s">
        <v>35</v>
      </c>
      <c r="D47" s="599" t="str">
        <f>IFERROR(VLOOKUP(D43,'BD GN'!C:E,3,),"")</f>
        <v/>
      </c>
      <c r="E47" s="599"/>
      <c r="F47" s="599"/>
      <c r="G47" s="599"/>
      <c r="H47" s="599"/>
      <c r="I47" s="599"/>
      <c r="J47" s="604"/>
      <c r="K47" s="604"/>
      <c r="L47" s="607"/>
      <c r="M47" s="559"/>
      <c r="N47" s="610"/>
      <c r="O47" s="613"/>
      <c r="P47" s="192"/>
      <c r="Q47" s="239"/>
      <c r="R47" s="221" t="s">
        <v>210</v>
      </c>
      <c r="S47" s="234" t="str">
        <f>IFERROR(IF(N43="","",N43/W47),"")</f>
        <v/>
      </c>
      <c r="T47" s="226"/>
      <c r="U47" s="206"/>
      <c r="V47" s="220"/>
      <c r="W47" s="242" t="str">
        <f>+IF(J43*K43&gt;=1,J43*K43,IF(AND(J43*K43&gt;0,J43*K43&lt;1),1,""))</f>
        <v/>
      </c>
      <c r="X47" s="221" t="s">
        <v>298</v>
      </c>
      <c r="Y47" s="461">
        <f>IFERROR(IF(D43='BD GN'!$C$25,COTIZACIÓN!W47,IF(D43='BD GN'!$C$26,COTIZACIÓN!W47,IF(D43='BD GN'!$C$27,COTIZACIÓN!W47,IF(COTIZACIÓN!D43='BD GN'!$C$28,COTIZACIÓN!W47,IF(COTIZACIÓN!D43='BD GN'!$C$29,COTIZACIÓN!W47,IF(COTIZACIÓN!D43='BD GN'!$C$35,COTIZACIÓN!W47,IF(COTIZACIÓN!D43='BD GN'!$C$36,COTIZACIÓN!W47,IF(COTIZACIÓN!D43='BD GN'!$C$37,COTIZACIÓN!W47,IF(COTIZACIÓN!D43='BD GN'!$C$38,COTIZACIÓN!W47,IF(COTIZACIÓN!D43='BD GN'!$C$39,COTIZACIÓN!W47,IF(COTIZACIÓN!D43='BD GN'!$C$40,COTIZACIÓN!W47,IF(COTIZACIÓN!D43='BD GN'!$C$41,COTIZACIÓN!W47,IF(COTIZACIÓN!D43='BD GN'!$C$42,COTIZACIÓN!W47,IF(COTIZACIÓN!D43='BD GN'!$C$49,COTIZACIÓN!W47,IF(COTIZACIÓN!D43='BD GN'!$C$50,COTIZACIÓN!W47,IF(COTIZACIÓN!D43='BD GN'!$C$51,COTIZACIÓN!W47,IF(COTIZACIÓN!D43='BD GN'!$C$67,COTIZACIÓN!W47,0))))))))))))))))),0)</f>
        <v>0</v>
      </c>
      <c r="Z47" s="461">
        <f>IFERROR(W47-Y47,0)</f>
        <v>0</v>
      </c>
      <c r="AA47" s="225"/>
      <c r="AB47" s="226"/>
      <c r="AC47" s="206"/>
      <c r="AD47" s="206"/>
      <c r="AE47" s="206"/>
      <c r="AF47" s="227"/>
      <c r="AG47" s="206"/>
      <c r="AH47" s="206"/>
      <c r="AI47" s="206"/>
      <c r="AJ47" s="206"/>
      <c r="AK47" s="227"/>
      <c r="AL47" s="210"/>
      <c r="AM47" s="206"/>
      <c r="AN47" s="206"/>
      <c r="AO47" s="228"/>
      <c r="AP47" s="229"/>
      <c r="AQ47" s="206"/>
      <c r="AR47" s="206"/>
      <c r="AS47" s="228"/>
      <c r="AT47" s="229"/>
      <c r="AU47" s="228"/>
      <c r="AV47" s="229"/>
      <c r="AW47" s="228"/>
      <c r="AX47" s="229"/>
      <c r="AY47" s="206"/>
      <c r="AZ47" s="229"/>
      <c r="BA47" s="210"/>
      <c r="BC47" s="211" t="s">
        <v>117</v>
      </c>
      <c r="BD47" s="210"/>
      <c r="BE47" s="177" t="str">
        <f>IFERROR(VLOOKUP(D43,'BD M.O'!C:I,6,FALSE),"")</f>
        <v/>
      </c>
      <c r="BF47" s="177" t="s">
        <v>261</v>
      </c>
      <c r="BI47" s="210"/>
      <c r="BO47" s="210"/>
      <c r="BP47" s="183"/>
      <c r="BQ47" s="183"/>
      <c r="BR47" s="183"/>
      <c r="BW47" s="210"/>
      <c r="CD47" s="184"/>
      <c r="CF47" s="185"/>
      <c r="CI47" s="184"/>
      <c r="CJ47" s="210"/>
      <c r="CK47" s="563"/>
      <c r="CM47" s="559"/>
      <c r="CN47" s="627"/>
      <c r="CO47" s="630"/>
      <c r="CP47" s="630"/>
      <c r="CQ47" s="630"/>
      <c r="CR47" s="630"/>
      <c r="CS47" s="630"/>
      <c r="CT47" s="633"/>
      <c r="CU47" s="563"/>
      <c r="CV47" s="561"/>
      <c r="CW47" s="563"/>
      <c r="CX47" s="561"/>
      <c r="CY47" s="563"/>
      <c r="CZ47" s="561"/>
      <c r="DA47" s="563"/>
      <c r="DB47" s="561"/>
      <c r="DC47" s="563"/>
      <c r="DD47" s="561"/>
      <c r="DG47" s="576"/>
      <c r="DH47" s="576"/>
      <c r="DI47" s="570"/>
      <c r="DJ47" s="570"/>
      <c r="DK47" s="570"/>
      <c r="DL47" s="570"/>
      <c r="DM47" s="573"/>
      <c r="DN47" s="570"/>
      <c r="DO47" s="570"/>
      <c r="DP47" s="570"/>
      <c r="DQ47" s="570"/>
      <c r="DR47" s="570"/>
      <c r="DS47" s="570"/>
      <c r="DT47" s="570"/>
      <c r="DU47" s="570"/>
      <c r="DV47" s="576"/>
      <c r="DW47" s="576"/>
      <c r="DX47" s="570"/>
      <c r="DY47" s="570"/>
    </row>
    <row r="48" spans="1:194" s="252" customFormat="1" ht="60" customHeight="1" x14ac:dyDescent="0.25">
      <c r="A48" s="368"/>
      <c r="B48" s="369"/>
      <c r="C48" s="396" t="s">
        <v>10</v>
      </c>
      <c r="D48" s="645" t="s">
        <v>32</v>
      </c>
      <c r="E48" s="645"/>
      <c r="F48" s="645"/>
      <c r="G48" s="645"/>
      <c r="H48" s="645"/>
      <c r="I48" s="645"/>
      <c r="J48" s="643"/>
      <c r="K48" s="643"/>
      <c r="L48" s="646"/>
      <c r="M48" s="648"/>
      <c r="N48" s="649"/>
      <c r="O48" s="644"/>
      <c r="P48" s="192"/>
      <c r="Q48" s="239"/>
      <c r="R48" s="334" t="s">
        <v>475</v>
      </c>
      <c r="S48" s="234" t="str">
        <f>IFERROR(IF($C$12='BD GN'!$CC$1,VLOOKUP(COTIZACIÓN!D43,'BD GN'!CB:CG,2,FALSE),IF(COTIZACIÓN!$C$12='BD GN'!$CD$1,VLOOKUP(COTIZACIÓN!D43,'BD GN'!CB:CG,3,FALSE),IF($C$12='BD GN'!$CE$1,VLOOKUP(COTIZACIÓN!D43,'BD GN'!CB:CG,4,FALSE),IF(COTIZACIÓN!$C$12='BD GN'!$CF$1,VLOOKUP(COTIZACIÓN!D43,'BD GN'!CB:CG,5,FALSE),IF(COTIZACIÓN!$C$12='BD GN'!$CG$1,VLOOKUP(COTIZACIÓN!D43,'BD GN'!CB:CG,6,FALSE),""))))),"-")</f>
        <v/>
      </c>
      <c r="T48" s="243"/>
      <c r="U48" s="244"/>
      <c r="V48" s="245"/>
      <c r="W48" s="177" t="s">
        <v>394</v>
      </c>
      <c r="X48" s="246">
        <f>IFERROR(SUM(W43:X43),"")</f>
        <v>0</v>
      </c>
      <c r="Y48" s="166" t="s">
        <v>404</v>
      </c>
      <c r="Z48" s="199" t="str">
        <f>IFERROR(Y43+Z43,"")</f>
        <v/>
      </c>
      <c r="AA48" s="247"/>
      <c r="AB48" s="243"/>
      <c r="AC48" s="244"/>
      <c r="AD48" s="244"/>
      <c r="AE48" s="244"/>
      <c r="AF48" s="227"/>
      <c r="AG48" s="206"/>
      <c r="AH48" s="206"/>
      <c r="AI48" s="206"/>
      <c r="AJ48" s="206"/>
      <c r="AK48" s="227"/>
      <c r="AL48" s="227"/>
      <c r="AM48" s="248"/>
      <c r="AN48" s="248"/>
      <c r="AO48" s="249"/>
      <c r="AP48" s="250"/>
      <c r="AQ48" s="248"/>
      <c r="AR48" s="248"/>
      <c r="AS48" s="249"/>
      <c r="AT48" s="250"/>
      <c r="AU48" s="249"/>
      <c r="AV48" s="250"/>
      <c r="AW48" s="249"/>
      <c r="AX48" s="250"/>
      <c r="AY48" s="248"/>
      <c r="AZ48" s="250"/>
      <c r="BA48" s="210"/>
      <c r="BB48" s="175"/>
      <c r="BC48" s="175" t="s">
        <v>118</v>
      </c>
      <c r="BD48" s="210"/>
      <c r="BE48" s="251" t="str">
        <f>IFERROR(VLOOKUP(D43,'BD M.O'!C:I,7,FALSE),"")</f>
        <v/>
      </c>
      <c r="BF48" s="251" t="s">
        <v>262</v>
      </c>
      <c r="BG48" s="175"/>
      <c r="BH48" s="175"/>
      <c r="BI48" s="210"/>
      <c r="BJ48" s="175"/>
      <c r="BK48" s="175"/>
      <c r="BL48" s="175"/>
      <c r="BM48" s="175"/>
      <c r="BN48" s="175"/>
      <c r="BO48" s="210"/>
      <c r="BP48" s="175"/>
      <c r="BQ48" s="175"/>
      <c r="BR48" s="175"/>
      <c r="BS48" s="183"/>
      <c r="BT48" s="183"/>
      <c r="BU48" s="183"/>
      <c r="BV48" s="183"/>
      <c r="BW48" s="210"/>
      <c r="BX48" s="175"/>
      <c r="BY48" s="175"/>
      <c r="BZ48" s="175"/>
      <c r="CA48" s="175"/>
      <c r="CB48" s="175"/>
      <c r="CC48" s="175"/>
      <c r="CD48" s="184"/>
      <c r="CE48" s="175"/>
      <c r="CF48" s="185"/>
      <c r="CG48" s="175"/>
      <c r="CH48" s="175"/>
      <c r="CI48" s="184"/>
      <c r="CJ48" s="210"/>
      <c r="CK48" s="564"/>
      <c r="CL48" s="257"/>
      <c r="CM48" s="597"/>
      <c r="CN48" s="628"/>
      <c r="CO48" s="631"/>
      <c r="CP48" s="631"/>
      <c r="CQ48" s="631"/>
      <c r="CR48" s="631"/>
      <c r="CS48" s="631"/>
      <c r="CT48" s="634"/>
      <c r="CU48" s="564"/>
      <c r="CV48" s="562"/>
      <c r="CW48" s="564"/>
      <c r="CX48" s="562"/>
      <c r="CY48" s="564"/>
      <c r="CZ48" s="562"/>
      <c r="DA48" s="564"/>
      <c r="DB48" s="562"/>
      <c r="DC48" s="564"/>
      <c r="DD48" s="562"/>
      <c r="DE48" s="175"/>
      <c r="DF48" s="175"/>
      <c r="DG48" s="577"/>
      <c r="DH48" s="577"/>
      <c r="DI48" s="571"/>
      <c r="DJ48" s="571"/>
      <c r="DK48" s="571"/>
      <c r="DL48" s="571"/>
      <c r="DM48" s="574"/>
      <c r="DN48" s="571"/>
      <c r="DO48" s="571"/>
      <c r="DP48" s="571"/>
      <c r="DQ48" s="571"/>
      <c r="DR48" s="571"/>
      <c r="DS48" s="571"/>
      <c r="DT48" s="571"/>
      <c r="DU48" s="571"/>
      <c r="DV48" s="577"/>
      <c r="DW48" s="577"/>
      <c r="DX48" s="571"/>
      <c r="DY48" s="571"/>
      <c r="DZ48" s="175"/>
      <c r="EA48" s="175"/>
      <c r="EB48" s="175"/>
      <c r="EC48" s="175"/>
      <c r="ED48" s="175"/>
      <c r="EE48" s="175"/>
      <c r="EF48" s="175"/>
      <c r="EG48" s="175"/>
      <c r="EH48" s="175"/>
      <c r="EI48" s="175"/>
      <c r="EJ48" s="175"/>
      <c r="EK48" s="175"/>
      <c r="EL48" s="175"/>
      <c r="EM48" s="175"/>
      <c r="EN48" s="175"/>
      <c r="EO48" s="175"/>
      <c r="EP48" s="175"/>
      <c r="EQ48" s="175"/>
      <c r="ER48" s="175"/>
      <c r="ES48" s="175"/>
      <c r="ET48" s="175"/>
      <c r="EU48" s="175"/>
      <c r="EV48" s="175"/>
      <c r="EW48" s="175"/>
      <c r="EX48" s="175"/>
      <c r="EY48" s="175"/>
      <c r="EZ48" s="175"/>
      <c r="FA48" s="175"/>
      <c r="FB48" s="175"/>
      <c r="FC48" s="175"/>
      <c r="FD48" s="175"/>
      <c r="FE48" s="175"/>
      <c r="FF48" s="175"/>
      <c r="FG48" s="175"/>
      <c r="FH48" s="175"/>
      <c r="FI48" s="175"/>
      <c r="FJ48" s="175"/>
      <c r="FK48" s="175"/>
      <c r="FL48" s="175"/>
      <c r="FM48" s="175"/>
      <c r="FN48" s="175"/>
      <c r="FO48" s="175"/>
      <c r="FP48" s="175"/>
      <c r="FQ48" s="175"/>
      <c r="FR48" s="175"/>
      <c r="FS48" s="175"/>
      <c r="FT48" s="175"/>
      <c r="FU48" s="175"/>
      <c r="FV48" s="175"/>
      <c r="FW48" s="175"/>
      <c r="FX48" s="175"/>
      <c r="FY48" s="175"/>
      <c r="FZ48" s="175"/>
      <c r="GA48" s="175"/>
      <c r="GB48" s="175"/>
      <c r="GC48" s="175"/>
      <c r="GD48" s="175"/>
      <c r="GE48" s="175"/>
      <c r="GF48" s="175"/>
      <c r="GG48" s="175"/>
      <c r="GH48" s="175"/>
      <c r="GI48" s="175"/>
      <c r="GJ48" s="175"/>
      <c r="GK48" s="175"/>
      <c r="GL48" s="175"/>
    </row>
    <row r="49" spans="1:194" s="255" customFormat="1" ht="60" customHeight="1" x14ac:dyDescent="0.3">
      <c r="A49" s="362" t="s">
        <v>193</v>
      </c>
      <c r="B49" s="363" t="s">
        <v>25</v>
      </c>
      <c r="C49" s="391" t="s">
        <v>174</v>
      </c>
      <c r="D49" s="640" t="s">
        <v>173</v>
      </c>
      <c r="E49" s="640"/>
      <c r="F49" s="640"/>
      <c r="G49" s="640"/>
      <c r="H49" s="640"/>
      <c r="I49" s="640"/>
      <c r="J49" s="418" t="s">
        <v>443</v>
      </c>
      <c r="K49" s="418" t="s">
        <v>444</v>
      </c>
      <c r="L49" s="418" t="s">
        <v>171</v>
      </c>
      <c r="M49" s="363" t="s">
        <v>2</v>
      </c>
      <c r="N49" s="419" t="s">
        <v>7</v>
      </c>
      <c r="O49" s="420" t="s">
        <v>8</v>
      </c>
      <c r="P49" s="159"/>
      <c r="Q49" s="164" t="s">
        <v>93</v>
      </c>
      <c r="R49" s="164" t="s">
        <v>34</v>
      </c>
      <c r="S49" s="164" t="s">
        <v>28</v>
      </c>
      <c r="T49" s="164" t="s">
        <v>95</v>
      </c>
      <c r="U49" s="164" t="s">
        <v>96</v>
      </c>
      <c r="V49" s="164" t="s">
        <v>97</v>
      </c>
      <c r="W49" s="164" t="s">
        <v>4</v>
      </c>
      <c r="X49" s="164" t="s">
        <v>103</v>
      </c>
      <c r="Y49" s="160" t="s">
        <v>402</v>
      </c>
      <c r="Z49" s="165" t="s">
        <v>403</v>
      </c>
      <c r="AA49" s="166" t="s">
        <v>404</v>
      </c>
      <c r="AB49" s="164" t="s">
        <v>99</v>
      </c>
      <c r="AC49" s="164" t="s">
        <v>395</v>
      </c>
      <c r="AD49" s="253" t="s">
        <v>36</v>
      </c>
      <c r="AE49" s="164" t="s">
        <v>389</v>
      </c>
      <c r="AF49" s="164" t="s">
        <v>390</v>
      </c>
      <c r="AG49" s="164" t="s">
        <v>164</v>
      </c>
      <c r="AH49" s="253" t="s">
        <v>396</v>
      </c>
      <c r="AI49" s="164" t="s">
        <v>190</v>
      </c>
      <c r="AJ49" s="164" t="s">
        <v>339</v>
      </c>
      <c r="AK49" s="253" t="s">
        <v>391</v>
      </c>
      <c r="AL49" s="253" t="s">
        <v>393</v>
      </c>
      <c r="AM49" s="167" t="s">
        <v>93</v>
      </c>
      <c r="AN49" s="168" t="s">
        <v>34</v>
      </c>
      <c r="AO49" s="169" t="s">
        <v>28</v>
      </c>
      <c r="AP49" s="170" t="s">
        <v>95</v>
      </c>
      <c r="AQ49" s="167" t="s">
        <v>3</v>
      </c>
      <c r="AR49" s="167" t="s">
        <v>96</v>
      </c>
      <c r="AS49" s="169" t="s">
        <v>97</v>
      </c>
      <c r="AT49" s="170" t="s">
        <v>4</v>
      </c>
      <c r="AU49" s="169" t="s">
        <v>103</v>
      </c>
      <c r="AV49" s="170" t="s">
        <v>99</v>
      </c>
      <c r="AW49" s="169" t="s">
        <v>36</v>
      </c>
      <c r="AX49" s="171" t="s">
        <v>29</v>
      </c>
      <c r="AY49" s="172" t="s">
        <v>190</v>
      </c>
      <c r="AZ49" s="173" t="s">
        <v>102</v>
      </c>
      <c r="BA49" s="174"/>
      <c r="BB49" s="183"/>
      <c r="BC49" s="211" t="s">
        <v>119</v>
      </c>
      <c r="BD49" s="174"/>
      <c r="BE49" s="176" t="s">
        <v>189</v>
      </c>
      <c r="BF49" s="177" t="str">
        <f>$BF$13</f>
        <v xml:space="preserve">VR SILICONA </v>
      </c>
      <c r="BG49" s="177" t="str">
        <f>$BG$13</f>
        <v xml:space="preserve">VR PELÍCULA </v>
      </c>
      <c r="BH49" s="254" t="str">
        <f>$BH$13</f>
        <v>VR EMBALAJE</v>
      </c>
      <c r="BI49" s="174"/>
      <c r="BJ49" s="176" t="str">
        <f>$BJ$13</f>
        <v>ESP. CRISTAL</v>
      </c>
      <c r="BK49" s="176" t="s">
        <v>130</v>
      </c>
      <c r="BL49" s="177" t="s">
        <v>28</v>
      </c>
      <c r="BM49" s="177" t="str">
        <f>BM42</f>
        <v>TOTAL</v>
      </c>
      <c r="BN49" s="177" t="s">
        <v>133</v>
      </c>
      <c r="BO49" s="174"/>
      <c r="BP49" s="175"/>
      <c r="BQ49" s="175"/>
      <c r="BR49" s="175"/>
      <c r="BS49" s="175"/>
      <c r="BT49" s="175"/>
      <c r="BU49" s="175"/>
      <c r="BV49" s="175"/>
      <c r="BW49" s="174"/>
      <c r="BX49" s="175"/>
      <c r="BY49" s="175"/>
      <c r="BZ49" s="175"/>
      <c r="CA49" s="175"/>
      <c r="CB49" s="175"/>
      <c r="CC49" s="175"/>
      <c r="CD49" s="184"/>
      <c r="CE49" s="175"/>
      <c r="CF49" s="185"/>
      <c r="CG49" s="175"/>
      <c r="CH49" s="175"/>
      <c r="CI49" s="184"/>
      <c r="CJ49" s="174"/>
      <c r="CK49" s="186" t="s">
        <v>415</v>
      </c>
      <c r="CL49" s="187" t="s">
        <v>417</v>
      </c>
      <c r="CM49" s="187" t="s">
        <v>416</v>
      </c>
      <c r="CN49" s="188" t="s">
        <v>418</v>
      </c>
      <c r="CO49" s="187" t="s">
        <v>417</v>
      </c>
      <c r="CP49" s="187" t="s">
        <v>409</v>
      </c>
      <c r="CQ49" s="187" t="s">
        <v>410</v>
      </c>
      <c r="CR49" s="187" t="s">
        <v>411</v>
      </c>
      <c r="CS49" s="187" t="s">
        <v>412</v>
      </c>
      <c r="CT49" s="187" t="s">
        <v>413</v>
      </c>
      <c r="CU49" s="189" t="s">
        <v>2</v>
      </c>
      <c r="CV49" s="190" t="s">
        <v>159</v>
      </c>
      <c r="CW49" s="189" t="s">
        <v>2</v>
      </c>
      <c r="CX49" s="190" t="s">
        <v>159</v>
      </c>
      <c r="CY49" s="189" t="s">
        <v>2</v>
      </c>
      <c r="CZ49" s="190" t="s">
        <v>159</v>
      </c>
      <c r="DA49" s="189" t="s">
        <v>2</v>
      </c>
      <c r="DB49" s="190" t="s">
        <v>159</v>
      </c>
      <c r="DC49" s="189" t="s">
        <v>2</v>
      </c>
      <c r="DD49" s="190" t="s">
        <v>159</v>
      </c>
      <c r="DE49" s="183"/>
      <c r="DF49" s="183"/>
      <c r="DG49" s="177" t="s">
        <v>505</v>
      </c>
      <c r="DH49" s="472" t="s">
        <v>509</v>
      </c>
      <c r="DI49" s="457" t="s">
        <v>506</v>
      </c>
      <c r="DJ49" s="457" t="s">
        <v>134</v>
      </c>
      <c r="DK49" s="457" t="s">
        <v>498</v>
      </c>
      <c r="DL49" s="457" t="s">
        <v>499</v>
      </c>
      <c r="DM49" s="457" t="s">
        <v>500</v>
      </c>
      <c r="DN49" s="457" t="s">
        <v>131</v>
      </c>
      <c r="DO49" s="457" t="s">
        <v>390</v>
      </c>
      <c r="DP49" s="457" t="s">
        <v>36</v>
      </c>
      <c r="DQ49" s="457" t="s">
        <v>501</v>
      </c>
      <c r="DR49" s="457" t="s">
        <v>502</v>
      </c>
      <c r="DS49" s="457" t="s">
        <v>503</v>
      </c>
      <c r="DT49" s="457" t="s">
        <v>4</v>
      </c>
      <c r="DU49" s="457" t="s">
        <v>504</v>
      </c>
      <c r="DV49" s="466" t="s">
        <v>507</v>
      </c>
      <c r="DW49" s="466" t="s">
        <v>508</v>
      </c>
      <c r="DX49" s="457" t="s">
        <v>510</v>
      </c>
      <c r="DY49" s="457" t="s">
        <v>511</v>
      </c>
      <c r="DZ49" s="183"/>
      <c r="EA49" s="183"/>
      <c r="EB49" s="183"/>
      <c r="EC49" s="183"/>
      <c r="ED49" s="183"/>
      <c r="EE49" s="183"/>
      <c r="EF49" s="183"/>
      <c r="EG49" s="183"/>
      <c r="EH49" s="183"/>
      <c r="EI49" s="183"/>
      <c r="EJ49" s="183"/>
      <c r="EK49" s="183"/>
      <c r="EL49" s="183"/>
      <c r="EM49" s="183"/>
      <c r="EN49" s="183"/>
      <c r="EO49" s="183"/>
      <c r="EP49" s="183"/>
      <c r="EQ49" s="183"/>
      <c r="ER49" s="183"/>
      <c r="ES49" s="183"/>
      <c r="ET49" s="183"/>
      <c r="EU49" s="183"/>
      <c r="EV49" s="183"/>
      <c r="EW49" s="183"/>
      <c r="EX49" s="183"/>
      <c r="EY49" s="183"/>
      <c r="EZ49" s="183"/>
      <c r="FA49" s="183"/>
      <c r="FB49" s="183"/>
      <c r="FC49" s="183"/>
      <c r="FD49" s="183"/>
      <c r="FE49" s="183"/>
      <c r="FF49" s="183"/>
      <c r="FG49" s="183"/>
      <c r="FH49" s="183"/>
      <c r="FI49" s="183"/>
      <c r="FJ49" s="183"/>
      <c r="FK49" s="183"/>
      <c r="FL49" s="183"/>
      <c r="FM49" s="183"/>
      <c r="FN49" s="183"/>
      <c r="FO49" s="183"/>
      <c r="FP49" s="183"/>
      <c r="FQ49" s="183"/>
      <c r="FR49" s="183"/>
      <c r="FS49" s="183"/>
      <c r="FT49" s="183"/>
      <c r="FU49" s="183"/>
      <c r="FV49" s="183"/>
      <c r="FW49" s="183"/>
      <c r="FX49" s="183"/>
      <c r="FY49" s="183"/>
      <c r="FZ49" s="183"/>
      <c r="GA49" s="183"/>
      <c r="GB49" s="183"/>
      <c r="GC49" s="183"/>
      <c r="GD49" s="183"/>
      <c r="GE49" s="183"/>
      <c r="GF49" s="183"/>
      <c r="GG49" s="183"/>
      <c r="GH49" s="183"/>
      <c r="GI49" s="183"/>
      <c r="GJ49" s="183"/>
      <c r="GK49" s="183"/>
      <c r="GL49" s="183"/>
    </row>
    <row r="50" spans="1:194" s="175" customFormat="1" ht="60" customHeight="1" x14ac:dyDescent="0.3">
      <c r="A50" s="364"/>
      <c r="B50" s="365"/>
      <c r="C50" s="392" t="s">
        <v>27</v>
      </c>
      <c r="D50" s="641"/>
      <c r="E50" s="641"/>
      <c r="F50" s="641"/>
      <c r="G50" s="641"/>
      <c r="H50" s="641"/>
      <c r="I50" s="641"/>
      <c r="J50" s="642"/>
      <c r="K50" s="642"/>
      <c r="L50" s="622">
        <f>J50*K50*M50</f>
        <v>0</v>
      </c>
      <c r="M50" s="623"/>
      <c r="N50" s="620">
        <f>IFERROR(AL50,"")</f>
        <v>1.0765546639999999</v>
      </c>
      <c r="O50" s="621">
        <f>IFERROR(N50*M50,"")</f>
        <v>0</v>
      </c>
      <c r="P50" s="192"/>
      <c r="Q50" s="193">
        <f>Q51+BF50+($R$350*Q51)</f>
        <v>0</v>
      </c>
      <c r="R50" s="193">
        <f>IFERROR(R51+($R$348*R51),"")</f>
        <v>0</v>
      </c>
      <c r="S50" s="194">
        <f>+IF(R52="SI",((W54*'BD GN'!$AB$2)+S51)*1,COTIZACIÓN!S51*1)+(P51*S51)</f>
        <v>0</v>
      </c>
      <c r="T50" s="195">
        <f>IFERROR(R50*IF(K50&lt;=3,$T$13,15%),"")</f>
        <v>0</v>
      </c>
      <c r="U50" s="196">
        <f>BH50+BG50</f>
        <v>0</v>
      </c>
      <c r="V50" s="197" t="str">
        <f>IFERROR(BN50,0)</f>
        <v/>
      </c>
      <c r="W50" s="198" t="str">
        <f>IFERROR(IF(X52="SI",W53*J50*K50,IF(BE50=3,BE52,IF(BE50=4,BE53,IF(BE50=5,BE54,IF(BE50&gt;5,BE54+(BE55*(BE50-5)),"")))))*0,"")</f>
        <v/>
      </c>
      <c r="X50" s="198" t="str">
        <f>IFERROR(IF(X51="NO",(VLOOKUP(D50,'BD M.O'!C:E,3,FALSE))*W54,((VLOOKUP(D50,'BD M.O'!C:E,3,FALSE))+7500)*W54),"")</f>
        <v/>
      </c>
      <c r="Y50" s="198">
        <f>IFERROR($Y$13*AK50,"")</f>
        <v>4.2084457416288003E-2</v>
      </c>
      <c r="Z50" s="332" t="str">
        <f>IFERROR(($Z$13*AK50)+X50,"")</f>
        <v/>
      </c>
      <c r="AA50" s="199" t="str">
        <f>IFERROR(Y50+Z50,"")</f>
        <v/>
      </c>
      <c r="AB50" s="200">
        <f>IFERROR((SUM(Q50:X50)-T50+T52)*$AB$13,"")</f>
        <v>0</v>
      </c>
      <c r="AC50" s="201">
        <f>IFERROR(((SUM(Q50:V50,IF(X55&gt;AA50,AVERAGE(X55,AA50),AA50))-T50+T52))*$AB$13,"")</f>
        <v>0</v>
      </c>
      <c r="AD50" s="202" t="str">
        <f>IFERROR((J50*K50*$BV$14),"")</f>
        <v/>
      </c>
      <c r="AE50" s="202">
        <f>IFERROR($AE$13*AK50,"")</f>
        <v>6.4010592649919984E-2</v>
      </c>
      <c r="AF50" s="203" t="str">
        <f>IFERROR(($CI$11+$CI$13)*W54,"")</f>
        <v/>
      </c>
      <c r="AG50" s="202">
        <f>IFERROR((SUM(Q50:X50,AB50,AD50,AF50)-T50+T52)*$AG$13,"")</f>
        <v>0</v>
      </c>
      <c r="AH50" s="202">
        <f>IFERROR((SUM(Q50:V50,(IF(X55&gt;AA50,AVERAGE(X55,AA50),AA50)),AC50,AE50,AF50)-T50+T52)*$AG$13,"")</f>
        <v>3.2005296324959992E-2</v>
      </c>
      <c r="AI50" s="204">
        <f>IFERROR(AL50*$AI$13,"")</f>
        <v>2.1531093279999997E-2</v>
      </c>
      <c r="AJ50" s="204">
        <f>IFERROR($AJ$13*AL50,"")</f>
        <v>6.007175025119999E-3</v>
      </c>
      <c r="AK50" s="205">
        <f>IFERROR(SUM(Q50:X50,AB50,AD50,AG50,AF50)/(1-$AI$13)+(1-$AJ$13)-T50+T52,"")</f>
        <v>0.99441999999999997</v>
      </c>
      <c r="AL50" s="205">
        <f>IFERROR(SUM(Q50:V50,AC50,(IF(AD50&gt;AE50,AVERAGE(AD50,AE50),AE50)),AF50,,AH50,(IF(SUM(X55)&gt;AA50,AVERAGE(AA50,X55),AA50)))/(1-$AJ$13)+(1-$AI$13)-T50+T52,"")</f>
        <v>1.0765546639999999</v>
      </c>
      <c r="AM50" s="206">
        <f>$M$15*Q50</f>
        <v>0</v>
      </c>
      <c r="AN50" s="207">
        <f>$M$15*R50</f>
        <v>0</v>
      </c>
      <c r="AO50" s="208">
        <f>$M$15*S50</f>
        <v>0</v>
      </c>
      <c r="AP50" s="207">
        <f>$M$15*T50</f>
        <v>0</v>
      </c>
      <c r="AQ50" s="207" t="e">
        <f>$M$15*#REF!</f>
        <v>#REF!</v>
      </c>
      <c r="AR50" s="207">
        <f>$M$15*U50</f>
        <v>0</v>
      </c>
      <c r="AS50" s="208" t="e">
        <f>$M$15*V50</f>
        <v>#VALUE!</v>
      </c>
      <c r="AT50" s="207" t="e">
        <f>$M$15*W50</f>
        <v>#VALUE!</v>
      </c>
      <c r="AU50" s="208" t="e">
        <f>$M$15*X50</f>
        <v>#VALUE!</v>
      </c>
      <c r="AV50" s="207">
        <f>$M$15*AB50</f>
        <v>0</v>
      </c>
      <c r="AW50" s="208">
        <f>$M$15*AE50</f>
        <v>0</v>
      </c>
      <c r="AX50" s="207">
        <f>$M$15*AG50</f>
        <v>0</v>
      </c>
      <c r="AY50" s="209">
        <f>$M$15*AI50</f>
        <v>0</v>
      </c>
      <c r="AZ50" s="207">
        <f>$M$15*AK50</f>
        <v>0</v>
      </c>
      <c r="BA50" s="210"/>
      <c r="BB50" s="175" t="s">
        <v>23</v>
      </c>
      <c r="BC50" s="211" t="s">
        <v>113</v>
      </c>
      <c r="BD50" s="210"/>
      <c r="BE50" s="212"/>
      <c r="BF50" s="213">
        <f>IF(BH51="NO",((2*J50)+(2*K50))*'BD GN'!$AU$3,((3*J50)+(2*K50))*'BD GN'!$AU$3)</f>
        <v>0</v>
      </c>
      <c r="BG50" s="213">
        <f>'BD GN'!$BB$3*J50*K50</f>
        <v>0</v>
      </c>
      <c r="BH50" s="214">
        <f>((J50*2*BE50)+(K50*2*BE50))*'BD GN'!$AN$4</f>
        <v>0</v>
      </c>
      <c r="BI50" s="210"/>
      <c r="BJ50" s="212"/>
      <c r="BK50" s="212"/>
      <c r="BL50" s="215">
        <f>J50*K50*2.5*BJ50</f>
        <v>0</v>
      </c>
      <c r="BM50" s="215">
        <f>BK50+BL50</f>
        <v>0</v>
      </c>
      <c r="BN50" s="216" t="str">
        <f>IFERROR((VLOOKUP($C$12,'BD GN'!BD:BM,10,FALSE)*BM50)+$BR$338,"")</f>
        <v/>
      </c>
      <c r="BO50" s="210"/>
      <c r="BW50" s="210"/>
      <c r="CD50" s="184"/>
      <c r="CF50" s="185"/>
      <c r="CI50" s="184"/>
      <c r="CJ50" s="210"/>
      <c r="CK50" s="565"/>
      <c r="CL50" s="256"/>
      <c r="CM50" s="596"/>
      <c r="CN50" s="626"/>
      <c r="CO50" s="629"/>
      <c r="CP50" s="629"/>
      <c r="CQ50" s="629"/>
      <c r="CR50" s="629"/>
      <c r="CS50" s="629"/>
      <c r="CT50" s="632"/>
      <c r="CU50" s="565"/>
      <c r="CV50" s="560">
        <f>IFERROR(N50*CU50,"")</f>
        <v>0</v>
      </c>
      <c r="CW50" s="565"/>
      <c r="CX50" s="560">
        <f>IFERROR(P50*CW50,"")</f>
        <v>0</v>
      </c>
      <c r="CY50" s="565"/>
      <c r="CZ50" s="560">
        <f>IFERROR(R50*CY50,"")</f>
        <v>0</v>
      </c>
      <c r="DA50" s="565">
        <f t="shared" ref="DA50" si="96">CU50+CW50+CY50</f>
        <v>0</v>
      </c>
      <c r="DB50" s="560">
        <f t="shared" ref="DB50" si="97">IFERROR(CV50+CX50+CZ50,"")</f>
        <v>0</v>
      </c>
      <c r="DC50" s="565">
        <f>M50-(CU50+CW50+CY50)</f>
        <v>0</v>
      </c>
      <c r="DD50" s="560">
        <f>IFERROR(O50-(CV50+CX50+CZ50),"")</f>
        <v>0</v>
      </c>
      <c r="DG50" s="575"/>
      <c r="DH50" s="575"/>
      <c r="DI50" s="569">
        <f t="shared" ref="DI50" si="98">IFERROR(IF(DG50&gt;0,(((N50)/(1+10%+19%*5%)+((N50)/(1+10%+19%*5%))*10%)*DH50),0),0)</f>
        <v>0</v>
      </c>
      <c r="DJ50" s="569">
        <f t="shared" ref="DJ50" si="99">IFERROR(IF(DG50&gt;0,(N50*DH50),0),0)</f>
        <v>0</v>
      </c>
      <c r="DK50" s="569">
        <f t="shared" ref="DK50" si="100">IF(DG50&gt;0,((R50+T50)*DH50),0)</f>
        <v>0</v>
      </c>
      <c r="DL50" s="569">
        <f t="shared" ref="DL50" si="101">IF(DG50&gt;0,(Q50*DH50),0)</f>
        <v>0</v>
      </c>
      <c r="DM50" s="572">
        <f t="shared" ref="DM50" si="102">IF(DG50&gt;0,(S50*DH50),0)</f>
        <v>0</v>
      </c>
      <c r="DN50" s="569">
        <f t="shared" ref="DN50" si="103">IF(DG50&gt;0,(BN50*DH50),0)</f>
        <v>0</v>
      </c>
      <c r="DO50" s="569">
        <f t="shared" ref="DO50" si="104">IF(DG50&gt;0,(AF50*DH50),0)</f>
        <v>0</v>
      </c>
      <c r="DP50" s="569">
        <f>IF(DG50&gt;0,((DI50)*('BD P&amp;G'!$E$16+'BD P&amp;G'!$E$17+'BD P&amp;G'!$E$18+'BD P&amp;G'!$E$19+'BD P&amp;G'!$E$20+'BD P&amp;G'!$E$21+'BD P&amp;G'!$E$22+'BD P&amp;G'!$E$23)*DH50),0)</f>
        <v>0</v>
      </c>
      <c r="DQ50" s="569">
        <f>IFERROR(IF(DG50&gt;0,((DI50*'BD P&amp;G'!$E$7)+(DI50*'BD P&amp;G'!$E$9)+AI50),0),0)</f>
        <v>0</v>
      </c>
      <c r="DR50" s="569">
        <f t="shared" ref="DR50" si="105">IFERROR(IF(DG50&gt;0,((DI50*1%)),0),0)</f>
        <v>0</v>
      </c>
      <c r="DS50" s="569">
        <f>IFERROR(IF(DG50&gt;0,(((DI50*'BD P&amp;G'!$E$32+DI50*'BD P&amp;G'!$E$33+DI50*'BD P&amp;G'!$E$35+DI50*'BD P&amp;G'!$E$36+DI50*'BD P&amp;G'!$E$37))),0),0)</f>
        <v>0</v>
      </c>
      <c r="DT50" s="569">
        <f t="shared" ref="DT50" si="106">IF(DG50&gt;0,(Y50*DH50),0)</f>
        <v>0</v>
      </c>
      <c r="DU50" s="569">
        <f t="shared" ref="DU50" si="107">IF(DG50&gt;0,(Z50*DH50),0)</f>
        <v>0</v>
      </c>
      <c r="DV50" s="575">
        <f t="shared" ref="DV50" si="108">IF(DG50&gt;0,(Y54*DH50),0)</f>
        <v>0</v>
      </c>
      <c r="DW50" s="575">
        <f t="shared" ref="DW50" si="109">IF(DG50&gt;0,(Z54*DH50),0)</f>
        <v>0</v>
      </c>
      <c r="DX50" s="569">
        <f t="shared" ref="DX50" si="110">IF(DV50&gt;0,DJ50,0)</f>
        <v>0</v>
      </c>
      <c r="DY50" s="569">
        <f t="shared" ref="DY50" si="111">IF(DW50&gt;0,DJ50,0)</f>
        <v>0</v>
      </c>
    </row>
    <row r="51" spans="1:194" s="175" customFormat="1" ht="60" customHeight="1" x14ac:dyDescent="0.25">
      <c r="A51" s="366"/>
      <c r="B51" s="367"/>
      <c r="C51" s="393" t="s">
        <v>28</v>
      </c>
      <c r="D51" s="598"/>
      <c r="E51" s="598"/>
      <c r="F51" s="598"/>
      <c r="G51" s="598"/>
      <c r="H51" s="598"/>
      <c r="I51" s="598"/>
      <c r="J51" s="604"/>
      <c r="K51" s="604"/>
      <c r="L51" s="607"/>
      <c r="M51" s="559"/>
      <c r="N51" s="610"/>
      <c r="O51" s="613"/>
      <c r="P51" s="192"/>
      <c r="Q51" s="217"/>
      <c r="R51" s="217"/>
      <c r="S51" s="218"/>
      <c r="T51" s="219">
        <f>IFERROR(T50/$R$353,"")</f>
        <v>0</v>
      </c>
      <c r="U51" s="206"/>
      <c r="V51" s="220"/>
      <c r="W51" s="221" t="s">
        <v>239</v>
      </c>
      <c r="X51" s="222" t="s">
        <v>204</v>
      </c>
      <c r="Y51" s="223"/>
      <c r="Z51" s="224"/>
      <c r="AA51" s="225"/>
      <c r="AB51" s="226"/>
      <c r="AC51" s="206"/>
      <c r="AD51" s="206"/>
      <c r="AE51" s="206"/>
      <c r="AF51" s="227"/>
      <c r="AG51" s="206"/>
      <c r="AH51" s="206"/>
      <c r="AI51" s="206"/>
      <c r="AJ51" s="206"/>
      <c r="AK51" s="227"/>
      <c r="AL51" s="210"/>
      <c r="AM51" s="206"/>
      <c r="AN51" s="206"/>
      <c r="AO51" s="228"/>
      <c r="AP51" s="229"/>
      <c r="AQ51" s="206"/>
      <c r="AR51" s="206"/>
      <c r="AS51" s="228"/>
      <c r="AT51" s="229"/>
      <c r="AU51" s="228"/>
      <c r="AV51" s="229"/>
      <c r="AW51" s="228"/>
      <c r="AX51" s="229"/>
      <c r="AY51" s="206"/>
      <c r="AZ51" s="229"/>
      <c r="BA51" s="210"/>
      <c r="BB51" s="175" t="s">
        <v>24</v>
      </c>
      <c r="BC51" s="175" t="s">
        <v>114</v>
      </c>
      <c r="BD51" s="210"/>
      <c r="BE51" s="176" t="s">
        <v>206</v>
      </c>
      <c r="BF51" s="230" t="s">
        <v>204</v>
      </c>
      <c r="BG51" s="176" t="s">
        <v>290</v>
      </c>
      <c r="BH51" s="231" t="s">
        <v>204</v>
      </c>
      <c r="BI51" s="210"/>
      <c r="BN51" s="232"/>
      <c r="BO51" s="210"/>
      <c r="BV51" s="184"/>
      <c r="BW51" s="210"/>
      <c r="CD51" s="184"/>
      <c r="CF51" s="185"/>
      <c r="CI51" s="184"/>
      <c r="CJ51" s="210"/>
      <c r="CK51" s="563"/>
      <c r="CM51" s="559"/>
      <c r="CN51" s="627"/>
      <c r="CO51" s="630"/>
      <c r="CP51" s="630"/>
      <c r="CQ51" s="630"/>
      <c r="CR51" s="630"/>
      <c r="CS51" s="630"/>
      <c r="CT51" s="633"/>
      <c r="CU51" s="563"/>
      <c r="CV51" s="561"/>
      <c r="CW51" s="563"/>
      <c r="CX51" s="561"/>
      <c r="CY51" s="563"/>
      <c r="CZ51" s="561"/>
      <c r="DA51" s="563"/>
      <c r="DB51" s="561"/>
      <c r="DC51" s="563"/>
      <c r="DD51" s="561"/>
      <c r="DG51" s="576"/>
      <c r="DH51" s="576"/>
      <c r="DI51" s="570"/>
      <c r="DJ51" s="570"/>
      <c r="DK51" s="570"/>
      <c r="DL51" s="570"/>
      <c r="DM51" s="573"/>
      <c r="DN51" s="570"/>
      <c r="DO51" s="570"/>
      <c r="DP51" s="570"/>
      <c r="DQ51" s="570"/>
      <c r="DR51" s="570"/>
      <c r="DS51" s="570"/>
      <c r="DT51" s="570"/>
      <c r="DU51" s="570"/>
      <c r="DV51" s="576"/>
      <c r="DW51" s="576"/>
      <c r="DX51" s="570"/>
      <c r="DY51" s="570"/>
    </row>
    <row r="52" spans="1:194" s="175" customFormat="1" ht="60" customHeight="1" x14ac:dyDescent="0.3">
      <c r="A52" s="366"/>
      <c r="B52" s="367"/>
      <c r="C52" s="393" t="s">
        <v>30</v>
      </c>
      <c r="D52" s="599"/>
      <c r="E52" s="599"/>
      <c r="F52" s="599"/>
      <c r="G52" s="599"/>
      <c r="H52" s="599"/>
      <c r="I52" s="599"/>
      <c r="J52" s="604"/>
      <c r="K52" s="604"/>
      <c r="L52" s="607"/>
      <c r="M52" s="559"/>
      <c r="N52" s="610"/>
      <c r="O52" s="613"/>
      <c r="P52" s="192"/>
      <c r="Q52" s="176" t="s">
        <v>205</v>
      </c>
      <c r="R52" s="233" t="s">
        <v>204</v>
      </c>
      <c r="S52" s="234"/>
      <c r="T52" s="235">
        <f>IFERROR(($R$353-8000)*T51,"")</f>
        <v>0</v>
      </c>
      <c r="U52" s="206"/>
      <c r="V52" s="220"/>
      <c r="W52" s="221" t="s">
        <v>258</v>
      </c>
      <c r="X52" s="222" t="s">
        <v>204</v>
      </c>
      <c r="Y52" s="236"/>
      <c r="Z52" s="237"/>
      <c r="AA52" s="225"/>
      <c r="AB52" s="226"/>
      <c r="AC52" s="206"/>
      <c r="AD52" s="206"/>
      <c r="AE52" s="206"/>
      <c r="AF52" s="227"/>
      <c r="AG52" s="206"/>
      <c r="AH52" s="206"/>
      <c r="AI52" s="206"/>
      <c r="AJ52" s="206"/>
      <c r="AK52" s="227"/>
      <c r="AL52" s="238"/>
      <c r="AM52" s="206"/>
      <c r="AN52" s="206"/>
      <c r="AO52" s="228"/>
      <c r="AP52" s="229"/>
      <c r="AQ52" s="206"/>
      <c r="AR52" s="206"/>
      <c r="AS52" s="228"/>
      <c r="AT52" s="229"/>
      <c r="AU52" s="228"/>
      <c r="AV52" s="229"/>
      <c r="AW52" s="228"/>
      <c r="AX52" s="229"/>
      <c r="AY52" s="206"/>
      <c r="AZ52" s="229"/>
      <c r="BA52" s="210"/>
      <c r="BB52" s="175" t="s">
        <v>26</v>
      </c>
      <c r="BC52" s="211" t="s">
        <v>115</v>
      </c>
      <c r="BD52" s="210"/>
      <c r="BE52" s="177" t="str">
        <f>IFERROR(VLOOKUP(D50,'BD M.O'!C:H,4,FALSE),"")</f>
        <v/>
      </c>
      <c r="BF52" s="177" t="s">
        <v>259</v>
      </c>
      <c r="BI52" s="210"/>
      <c r="BO52" s="210"/>
      <c r="BV52" s="184"/>
      <c r="BW52" s="210"/>
      <c r="CD52" s="184"/>
      <c r="CF52" s="185"/>
      <c r="CI52" s="184"/>
      <c r="CJ52" s="210"/>
      <c r="CK52" s="563"/>
      <c r="CM52" s="559"/>
      <c r="CN52" s="627"/>
      <c r="CO52" s="630"/>
      <c r="CP52" s="630"/>
      <c r="CQ52" s="630"/>
      <c r="CR52" s="630"/>
      <c r="CS52" s="630"/>
      <c r="CT52" s="633"/>
      <c r="CU52" s="563"/>
      <c r="CV52" s="561"/>
      <c r="CW52" s="563"/>
      <c r="CX52" s="561"/>
      <c r="CY52" s="563"/>
      <c r="CZ52" s="561"/>
      <c r="DA52" s="563"/>
      <c r="DB52" s="561"/>
      <c r="DC52" s="563"/>
      <c r="DD52" s="561"/>
      <c r="DG52" s="577"/>
      <c r="DH52" s="577"/>
      <c r="DI52" s="571"/>
      <c r="DJ52" s="571"/>
      <c r="DK52" s="571"/>
      <c r="DL52" s="571"/>
      <c r="DM52" s="574"/>
      <c r="DN52" s="571"/>
      <c r="DO52" s="571"/>
      <c r="DP52" s="571"/>
      <c r="DQ52" s="571"/>
      <c r="DR52" s="571"/>
      <c r="DS52" s="571"/>
      <c r="DT52" s="571"/>
      <c r="DU52" s="571"/>
      <c r="DV52" s="577"/>
      <c r="DW52" s="577"/>
      <c r="DX52" s="571"/>
      <c r="DY52" s="571"/>
    </row>
    <row r="53" spans="1:194" s="175" customFormat="1" ht="60" customHeight="1" x14ac:dyDescent="0.25">
      <c r="A53" s="366"/>
      <c r="B53" s="367"/>
      <c r="C53" s="395" t="s">
        <v>180</v>
      </c>
      <c r="D53" s="599" t="s">
        <v>31</v>
      </c>
      <c r="E53" s="599"/>
      <c r="F53" s="394" t="s">
        <v>9</v>
      </c>
      <c r="G53" s="599" t="s">
        <v>33</v>
      </c>
      <c r="H53" s="599"/>
      <c r="I53" s="394" t="str">
        <f>+IF($BG$9="SI","","X")</f>
        <v>X</v>
      </c>
      <c r="J53" s="604"/>
      <c r="K53" s="604"/>
      <c r="L53" s="607"/>
      <c r="M53" s="559"/>
      <c r="N53" s="610"/>
      <c r="O53" s="613"/>
      <c r="P53" s="192"/>
      <c r="Q53" s="239"/>
      <c r="R53" s="221" t="s">
        <v>209</v>
      </c>
      <c r="S53" s="234" t="str">
        <f>IF(S51="","",S51/(J50*K50))</f>
        <v/>
      </c>
      <c r="T53" s="226"/>
      <c r="U53" s="206"/>
      <c r="V53" s="220"/>
      <c r="W53" s="239" t="str">
        <f>IFERROR(IF(X52="SI",VLOOKUP(D50,'BD M.O'!C:F,4,FALSE),""),"")</f>
        <v/>
      </c>
      <c r="X53" s="221" t="s">
        <v>258</v>
      </c>
      <c r="Y53" s="221" t="s">
        <v>507</v>
      </c>
      <c r="Z53" s="221" t="s">
        <v>508</v>
      </c>
      <c r="AA53" s="225"/>
      <c r="AB53" s="226"/>
      <c r="AC53" s="206"/>
      <c r="AD53" s="206"/>
      <c r="AE53" s="206"/>
      <c r="AF53" s="227"/>
      <c r="AG53" s="206"/>
      <c r="AH53" s="206"/>
      <c r="AI53" s="206"/>
      <c r="AJ53" s="206"/>
      <c r="AK53" s="227"/>
      <c r="AL53" s="240"/>
      <c r="AM53" s="206"/>
      <c r="AN53" s="206"/>
      <c r="AO53" s="228"/>
      <c r="AP53" s="229"/>
      <c r="AQ53" s="206"/>
      <c r="AR53" s="206"/>
      <c r="AS53" s="228"/>
      <c r="AT53" s="229"/>
      <c r="AU53" s="228"/>
      <c r="AV53" s="229"/>
      <c r="AW53" s="228"/>
      <c r="AX53" s="229"/>
      <c r="AY53" s="206"/>
      <c r="AZ53" s="229"/>
      <c r="BA53" s="210"/>
      <c r="BC53" s="175" t="s">
        <v>116</v>
      </c>
      <c r="BD53" s="210"/>
      <c r="BE53" s="177" t="str">
        <f>IFERROR(VLOOKUP(COTIZACIÓN!D50,'BD M.O'!C:I,5,FALSE),"")</f>
        <v/>
      </c>
      <c r="BF53" s="177" t="s">
        <v>260</v>
      </c>
      <c r="BI53" s="210"/>
      <c r="BO53" s="210"/>
      <c r="BP53" s="183"/>
      <c r="BQ53" s="183"/>
      <c r="BR53" s="183"/>
      <c r="BS53" s="183"/>
      <c r="BT53" s="183"/>
      <c r="BU53" s="183"/>
      <c r="BV53" s="182"/>
      <c r="BW53" s="210"/>
      <c r="BX53" s="183"/>
      <c r="BY53" s="183"/>
      <c r="BZ53" s="183"/>
      <c r="CA53" s="183"/>
      <c r="CB53" s="183"/>
      <c r="CC53" s="183"/>
      <c r="CD53" s="182"/>
      <c r="CE53" s="183"/>
      <c r="CF53" s="241"/>
      <c r="CG53" s="183"/>
      <c r="CH53" s="183"/>
      <c r="CI53" s="182"/>
      <c r="CJ53" s="210"/>
      <c r="CK53" s="563"/>
      <c r="CM53" s="559"/>
      <c r="CN53" s="627"/>
      <c r="CO53" s="630"/>
      <c r="CP53" s="630"/>
      <c r="CQ53" s="630"/>
      <c r="CR53" s="630"/>
      <c r="CS53" s="630"/>
      <c r="CT53" s="633"/>
      <c r="CU53" s="563"/>
      <c r="CV53" s="561"/>
      <c r="CW53" s="563"/>
      <c r="CX53" s="561"/>
      <c r="CY53" s="563"/>
      <c r="CZ53" s="561"/>
      <c r="DA53" s="563"/>
      <c r="DB53" s="561"/>
      <c r="DC53" s="563"/>
      <c r="DD53" s="561"/>
      <c r="DG53" s="575"/>
      <c r="DH53" s="575"/>
      <c r="DI53" s="569">
        <f t="shared" ref="DI53" si="112">IFERROR(IF(DG53&gt;0,(((N50)/(1+10%+19%*5%)+((N50)/(1+10%+19%*5%))*10%)*DH53),0),0)</f>
        <v>0</v>
      </c>
      <c r="DJ53" s="569">
        <f t="shared" ref="DJ53" si="113">IFERROR(IF(DG53&gt;0,(N50*DH53),0),0)</f>
        <v>0</v>
      </c>
      <c r="DK53" s="569">
        <f t="shared" ref="DK53" si="114">IF(DG53&gt;0,((R50+T50)*DH53),0)</f>
        <v>0</v>
      </c>
      <c r="DL53" s="569">
        <f t="shared" ref="DL53" si="115">IF(DG53&gt;0,(Q50*DH53),0)</f>
        <v>0</v>
      </c>
      <c r="DM53" s="572">
        <f t="shared" ref="DM53" si="116">IF(DG53&gt;0,(S50*DH53),0)</f>
        <v>0</v>
      </c>
      <c r="DN53" s="569">
        <f t="shared" ref="DN53" si="117">IF(DG53&gt;0,(BN50*DH53),0)</f>
        <v>0</v>
      </c>
      <c r="DO53" s="569">
        <f t="shared" ref="DO53" si="118">IF(DG53&gt;0,(AF50*DH53),0)</f>
        <v>0</v>
      </c>
      <c r="DP53" s="569">
        <f>IF(DG53&gt;0,((DI53)*('BD P&amp;G'!$E$16+'BD P&amp;G'!$E$17+'BD P&amp;G'!$E$18+'BD P&amp;G'!$E$19+'BD P&amp;G'!$E$20+'BD P&amp;G'!$E$21+'BD P&amp;G'!$E$22+'BD P&amp;G'!$E$23)*DH53),0)</f>
        <v>0</v>
      </c>
      <c r="DQ53" s="569">
        <f>IFERROR(IF(DG53&gt;0,((DI53*'BD P&amp;G'!$E$7)+(DI53*'BD P&amp;G'!$E$9)+AI50),0),0)</f>
        <v>0</v>
      </c>
      <c r="DR53" s="569">
        <f t="shared" ref="DR53" si="119">IFERROR(IF(DG53&gt;0,((DI53*1%)),0),0)</f>
        <v>0</v>
      </c>
      <c r="DS53" s="569">
        <f>IFERROR(IF(DG53&gt;0,(((DI53*'BD P&amp;G'!$E$32+DI53*'BD P&amp;G'!$E$33+DI53*'BD P&amp;G'!$E$35+DI53*'BD P&amp;G'!$E$36+DI53*'BD P&amp;G'!$E$37))),0),0)</f>
        <v>0</v>
      </c>
      <c r="DT53" s="569">
        <f t="shared" ref="DT53" si="120">IF(DG53&gt;0,(Y50*DH53),0)</f>
        <v>0</v>
      </c>
      <c r="DU53" s="569">
        <f t="shared" ref="DU53" si="121">IF(DG53&gt;0,(Z50*DH53),0)</f>
        <v>0</v>
      </c>
      <c r="DV53" s="575">
        <f t="shared" ref="DV53" si="122">IF(DG53&gt;0,(Y54*DH53),0)</f>
        <v>0</v>
      </c>
      <c r="DW53" s="575">
        <f t="shared" ref="DW53" si="123">IF(DG53&gt;0,(Z54*DH53),0)</f>
        <v>0</v>
      </c>
      <c r="DX53" s="569">
        <f t="shared" ref="DX53" si="124">IF(DV53&gt;0,DJ53,0)</f>
        <v>0</v>
      </c>
      <c r="DY53" s="569">
        <f t="shared" ref="DY53" si="125">IF(DW53&gt;0,DJ53,0)</f>
        <v>0</v>
      </c>
    </row>
    <row r="54" spans="1:194" s="175" customFormat="1" ht="60" customHeight="1" x14ac:dyDescent="0.3">
      <c r="A54" s="366"/>
      <c r="B54" s="367"/>
      <c r="C54" s="393" t="s">
        <v>35</v>
      </c>
      <c r="D54" s="599" t="str">
        <f>IFERROR(VLOOKUP(D50,'BD GN'!C:E,3,),"")</f>
        <v/>
      </c>
      <c r="E54" s="599"/>
      <c r="F54" s="599"/>
      <c r="G54" s="599"/>
      <c r="H54" s="599"/>
      <c r="I54" s="599"/>
      <c r="J54" s="604"/>
      <c r="K54" s="604"/>
      <c r="L54" s="607"/>
      <c r="M54" s="559"/>
      <c r="N54" s="610"/>
      <c r="O54" s="613"/>
      <c r="P54" s="192"/>
      <c r="Q54" s="239"/>
      <c r="R54" s="221" t="s">
        <v>210</v>
      </c>
      <c r="S54" s="234" t="str">
        <f>IFERROR(IF(N50="","",N50/W54),"")</f>
        <v/>
      </c>
      <c r="T54" s="226"/>
      <c r="U54" s="206"/>
      <c r="V54" s="220"/>
      <c r="W54" s="242" t="str">
        <f>+IF(J50*K50&gt;=1,J50*K50,IF(AND(J50*K50&gt;0,J50*K50&lt;1),1,""))</f>
        <v/>
      </c>
      <c r="X54" s="221" t="s">
        <v>298</v>
      </c>
      <c r="Y54" s="461">
        <f>IFERROR(IF(D50='BD GN'!$C$25,COTIZACIÓN!W54,IF(D50='BD GN'!$C$26,COTIZACIÓN!W54,IF(D50='BD GN'!$C$27,COTIZACIÓN!W54,IF(COTIZACIÓN!D50='BD GN'!$C$28,COTIZACIÓN!W54,IF(COTIZACIÓN!D50='BD GN'!$C$29,COTIZACIÓN!W54,IF(COTIZACIÓN!D50='BD GN'!$C$35,COTIZACIÓN!W54,IF(COTIZACIÓN!D50='BD GN'!$C$36,COTIZACIÓN!W54,IF(COTIZACIÓN!D50='BD GN'!$C$37,COTIZACIÓN!W54,IF(COTIZACIÓN!D50='BD GN'!$C$38,COTIZACIÓN!W54,IF(COTIZACIÓN!D50='BD GN'!$C$39,COTIZACIÓN!W54,IF(COTIZACIÓN!D50='BD GN'!$C$40,COTIZACIÓN!W54,IF(COTIZACIÓN!D50='BD GN'!$C$41,COTIZACIÓN!W54,IF(COTIZACIÓN!D50='BD GN'!$C$42,COTIZACIÓN!W54,IF(COTIZACIÓN!D50='BD GN'!$C$49,COTIZACIÓN!W54,IF(COTIZACIÓN!D50='BD GN'!$C$50,COTIZACIÓN!W54,IF(COTIZACIÓN!D50='BD GN'!$C$51,COTIZACIÓN!W54,IF(COTIZACIÓN!D50='BD GN'!$C$67,COTIZACIÓN!W54,0))))))))))))))))),0)</f>
        <v>0</v>
      </c>
      <c r="Z54" s="461">
        <f>IFERROR(W54-Y54,0)</f>
        <v>0</v>
      </c>
      <c r="AA54" s="225"/>
      <c r="AB54" s="226"/>
      <c r="AC54" s="206"/>
      <c r="AD54" s="206"/>
      <c r="AE54" s="206"/>
      <c r="AF54" s="227"/>
      <c r="AG54" s="206"/>
      <c r="AH54" s="206"/>
      <c r="AI54" s="206"/>
      <c r="AJ54" s="206"/>
      <c r="AK54" s="227"/>
      <c r="AL54" s="210"/>
      <c r="AM54" s="206"/>
      <c r="AN54" s="206"/>
      <c r="AO54" s="228"/>
      <c r="AP54" s="229"/>
      <c r="AQ54" s="206"/>
      <c r="AR54" s="206"/>
      <c r="AS54" s="228"/>
      <c r="AT54" s="229"/>
      <c r="AU54" s="228"/>
      <c r="AV54" s="229"/>
      <c r="AW54" s="228"/>
      <c r="AX54" s="229"/>
      <c r="AY54" s="206"/>
      <c r="AZ54" s="229"/>
      <c r="BA54" s="210"/>
      <c r="BC54" s="211" t="s">
        <v>117</v>
      </c>
      <c r="BD54" s="210"/>
      <c r="BE54" s="177" t="str">
        <f>IFERROR(VLOOKUP(D50,'BD M.O'!C:I,6,FALSE),"")</f>
        <v/>
      </c>
      <c r="BF54" s="177" t="s">
        <v>261</v>
      </c>
      <c r="BI54" s="210"/>
      <c r="BO54" s="210"/>
      <c r="BP54" s="183"/>
      <c r="BQ54" s="183"/>
      <c r="BR54" s="183"/>
      <c r="BW54" s="210"/>
      <c r="CD54" s="184"/>
      <c r="CF54" s="185"/>
      <c r="CI54" s="184"/>
      <c r="CJ54" s="210"/>
      <c r="CK54" s="563"/>
      <c r="CM54" s="559"/>
      <c r="CN54" s="627"/>
      <c r="CO54" s="630"/>
      <c r="CP54" s="630"/>
      <c r="CQ54" s="630"/>
      <c r="CR54" s="630"/>
      <c r="CS54" s="630"/>
      <c r="CT54" s="633"/>
      <c r="CU54" s="563"/>
      <c r="CV54" s="561"/>
      <c r="CW54" s="563"/>
      <c r="CX54" s="561"/>
      <c r="CY54" s="563"/>
      <c r="CZ54" s="561"/>
      <c r="DA54" s="563"/>
      <c r="DB54" s="561"/>
      <c r="DC54" s="563"/>
      <c r="DD54" s="561"/>
      <c r="DG54" s="576"/>
      <c r="DH54" s="576"/>
      <c r="DI54" s="570"/>
      <c r="DJ54" s="570"/>
      <c r="DK54" s="570"/>
      <c r="DL54" s="570"/>
      <c r="DM54" s="573"/>
      <c r="DN54" s="570"/>
      <c r="DO54" s="570"/>
      <c r="DP54" s="570"/>
      <c r="DQ54" s="570"/>
      <c r="DR54" s="570"/>
      <c r="DS54" s="570"/>
      <c r="DT54" s="570"/>
      <c r="DU54" s="570"/>
      <c r="DV54" s="576"/>
      <c r="DW54" s="576"/>
      <c r="DX54" s="570"/>
      <c r="DY54" s="570"/>
    </row>
    <row r="55" spans="1:194" s="252" customFormat="1" ht="60" customHeight="1" x14ac:dyDescent="0.25">
      <c r="A55" s="368"/>
      <c r="B55" s="369"/>
      <c r="C55" s="396" t="s">
        <v>10</v>
      </c>
      <c r="D55" s="645" t="s">
        <v>32</v>
      </c>
      <c r="E55" s="645"/>
      <c r="F55" s="645"/>
      <c r="G55" s="645"/>
      <c r="H55" s="645"/>
      <c r="I55" s="645"/>
      <c r="J55" s="643"/>
      <c r="K55" s="643"/>
      <c r="L55" s="646"/>
      <c r="M55" s="648"/>
      <c r="N55" s="649"/>
      <c r="O55" s="644"/>
      <c r="P55" s="192"/>
      <c r="Q55" s="239"/>
      <c r="R55" s="334" t="s">
        <v>475</v>
      </c>
      <c r="S55" s="234" t="str">
        <f>IFERROR(IF($C$12='BD GN'!$CC$1,VLOOKUP(COTIZACIÓN!D50,'BD GN'!CB:CG,2,FALSE),IF(COTIZACIÓN!$C$12='BD GN'!$CD$1,VLOOKUP(COTIZACIÓN!D50,'BD GN'!CB:CG,3,FALSE),IF($C$12='BD GN'!$CE$1,VLOOKUP(COTIZACIÓN!D50,'BD GN'!CB:CG,4,FALSE),IF(COTIZACIÓN!$C$12='BD GN'!$CF$1,VLOOKUP(COTIZACIÓN!D50,'BD GN'!CB:CG,5,FALSE),IF(COTIZACIÓN!$C$12='BD GN'!$CG$1,VLOOKUP(COTIZACIÓN!D50,'BD GN'!CB:CG,6,FALSE),""))))),"-")</f>
        <v/>
      </c>
      <c r="T55" s="243"/>
      <c r="U55" s="244"/>
      <c r="V55" s="245"/>
      <c r="W55" s="177" t="s">
        <v>394</v>
      </c>
      <c r="X55" s="246">
        <f>IFERROR(SUM(W50:X50),"")</f>
        <v>0</v>
      </c>
      <c r="Y55" s="166" t="s">
        <v>404</v>
      </c>
      <c r="Z55" s="199" t="str">
        <f>IFERROR(Y50+Z50,"")</f>
        <v/>
      </c>
      <c r="AA55" s="247"/>
      <c r="AB55" s="243"/>
      <c r="AC55" s="244"/>
      <c r="AD55" s="244"/>
      <c r="AE55" s="244"/>
      <c r="AF55" s="227"/>
      <c r="AG55" s="206"/>
      <c r="AH55" s="206"/>
      <c r="AI55" s="206"/>
      <c r="AJ55" s="206"/>
      <c r="AK55" s="227"/>
      <c r="AL55" s="227"/>
      <c r="AM55" s="248"/>
      <c r="AN55" s="248"/>
      <c r="AO55" s="249"/>
      <c r="AP55" s="250"/>
      <c r="AQ55" s="248"/>
      <c r="AR55" s="248"/>
      <c r="AS55" s="249"/>
      <c r="AT55" s="250"/>
      <c r="AU55" s="249"/>
      <c r="AV55" s="250"/>
      <c r="AW55" s="249"/>
      <c r="AX55" s="250"/>
      <c r="AY55" s="248"/>
      <c r="AZ55" s="250"/>
      <c r="BA55" s="210"/>
      <c r="BB55" s="175"/>
      <c r="BC55" s="175" t="s">
        <v>118</v>
      </c>
      <c r="BD55" s="210"/>
      <c r="BE55" s="251" t="str">
        <f>IFERROR(VLOOKUP(D50,'BD M.O'!C:I,7,FALSE),"")</f>
        <v/>
      </c>
      <c r="BF55" s="251" t="s">
        <v>262</v>
      </c>
      <c r="BG55" s="175"/>
      <c r="BH55" s="175"/>
      <c r="BI55" s="210"/>
      <c r="BJ55" s="175"/>
      <c r="BK55" s="175"/>
      <c r="BL55" s="175"/>
      <c r="BM55" s="175"/>
      <c r="BN55" s="175"/>
      <c r="BO55" s="210"/>
      <c r="BP55" s="175"/>
      <c r="BQ55" s="175"/>
      <c r="BR55" s="175"/>
      <c r="BS55" s="183"/>
      <c r="BT55" s="183"/>
      <c r="BU55" s="183"/>
      <c r="BV55" s="183"/>
      <c r="BW55" s="210"/>
      <c r="BX55" s="175"/>
      <c r="BY55" s="175"/>
      <c r="BZ55" s="175"/>
      <c r="CA55" s="175"/>
      <c r="CB55" s="175"/>
      <c r="CC55" s="175"/>
      <c r="CD55" s="184"/>
      <c r="CE55" s="175"/>
      <c r="CF55" s="185"/>
      <c r="CG55" s="175"/>
      <c r="CH55" s="175"/>
      <c r="CI55" s="184"/>
      <c r="CJ55" s="210"/>
      <c r="CK55" s="564"/>
      <c r="CL55" s="257"/>
      <c r="CM55" s="597"/>
      <c r="CN55" s="628"/>
      <c r="CO55" s="631"/>
      <c r="CP55" s="631"/>
      <c r="CQ55" s="631"/>
      <c r="CR55" s="631"/>
      <c r="CS55" s="631"/>
      <c r="CT55" s="634"/>
      <c r="CU55" s="564"/>
      <c r="CV55" s="562"/>
      <c r="CW55" s="564"/>
      <c r="CX55" s="562"/>
      <c r="CY55" s="564"/>
      <c r="CZ55" s="562"/>
      <c r="DA55" s="564"/>
      <c r="DB55" s="562"/>
      <c r="DC55" s="564"/>
      <c r="DD55" s="562"/>
      <c r="DE55" s="175"/>
      <c r="DF55" s="175"/>
      <c r="DG55" s="577"/>
      <c r="DH55" s="577"/>
      <c r="DI55" s="571"/>
      <c r="DJ55" s="571"/>
      <c r="DK55" s="571"/>
      <c r="DL55" s="571"/>
      <c r="DM55" s="574"/>
      <c r="DN55" s="571"/>
      <c r="DO55" s="571"/>
      <c r="DP55" s="571"/>
      <c r="DQ55" s="571"/>
      <c r="DR55" s="571"/>
      <c r="DS55" s="571"/>
      <c r="DT55" s="571"/>
      <c r="DU55" s="571"/>
      <c r="DV55" s="577"/>
      <c r="DW55" s="577"/>
      <c r="DX55" s="571"/>
      <c r="DY55" s="571"/>
      <c r="DZ55" s="175"/>
      <c r="EA55" s="175"/>
      <c r="EB55" s="175"/>
      <c r="EC55" s="175"/>
      <c r="ED55" s="175"/>
      <c r="EE55" s="175"/>
      <c r="EF55" s="175"/>
      <c r="EG55" s="175"/>
      <c r="EH55" s="175"/>
      <c r="EI55" s="175"/>
      <c r="EJ55" s="175"/>
      <c r="EK55" s="175"/>
      <c r="EL55" s="175"/>
      <c r="EM55" s="175"/>
      <c r="EN55" s="175"/>
      <c r="EO55" s="175"/>
      <c r="EP55" s="175"/>
      <c r="EQ55" s="175"/>
      <c r="ER55" s="175"/>
      <c r="ES55" s="175"/>
      <c r="ET55" s="175"/>
      <c r="EU55" s="175"/>
      <c r="EV55" s="175"/>
      <c r="EW55" s="175"/>
      <c r="EX55" s="175"/>
      <c r="EY55" s="175"/>
      <c r="EZ55" s="175"/>
      <c r="FA55" s="175"/>
      <c r="FB55" s="175"/>
      <c r="FC55" s="175"/>
      <c r="FD55" s="175"/>
      <c r="FE55" s="175"/>
      <c r="FF55" s="175"/>
      <c r="FG55" s="175"/>
      <c r="FH55" s="175"/>
      <c r="FI55" s="175"/>
      <c r="FJ55" s="175"/>
      <c r="FK55" s="175"/>
      <c r="FL55" s="175"/>
      <c r="FM55" s="175"/>
      <c r="FN55" s="175"/>
      <c r="FO55" s="175"/>
      <c r="FP55" s="175"/>
      <c r="FQ55" s="175"/>
      <c r="FR55" s="175"/>
      <c r="FS55" s="175"/>
      <c r="FT55" s="175"/>
      <c r="FU55" s="175"/>
      <c r="FV55" s="175"/>
      <c r="FW55" s="175"/>
      <c r="FX55" s="175"/>
      <c r="FY55" s="175"/>
      <c r="FZ55" s="175"/>
      <c r="GA55" s="175"/>
      <c r="GB55" s="175"/>
      <c r="GC55" s="175"/>
      <c r="GD55" s="175"/>
      <c r="GE55" s="175"/>
      <c r="GF55" s="175"/>
      <c r="GG55" s="175"/>
      <c r="GH55" s="175"/>
      <c r="GI55" s="175"/>
      <c r="GJ55" s="175"/>
      <c r="GK55" s="175"/>
      <c r="GL55" s="175"/>
    </row>
    <row r="56" spans="1:194" s="255" customFormat="1" ht="60" customHeight="1" x14ac:dyDescent="0.3">
      <c r="A56" s="362" t="s">
        <v>193</v>
      </c>
      <c r="B56" s="363" t="s">
        <v>25</v>
      </c>
      <c r="C56" s="391" t="s">
        <v>174</v>
      </c>
      <c r="D56" s="640" t="s">
        <v>173</v>
      </c>
      <c r="E56" s="640"/>
      <c r="F56" s="640"/>
      <c r="G56" s="640"/>
      <c r="H56" s="640"/>
      <c r="I56" s="640"/>
      <c r="J56" s="418" t="s">
        <v>443</v>
      </c>
      <c r="K56" s="418" t="s">
        <v>444</v>
      </c>
      <c r="L56" s="418" t="s">
        <v>171</v>
      </c>
      <c r="M56" s="363" t="s">
        <v>2</v>
      </c>
      <c r="N56" s="419" t="s">
        <v>7</v>
      </c>
      <c r="O56" s="420" t="s">
        <v>8</v>
      </c>
      <c r="P56" s="159"/>
      <c r="Q56" s="164" t="s">
        <v>93</v>
      </c>
      <c r="R56" s="164" t="s">
        <v>34</v>
      </c>
      <c r="S56" s="164" t="s">
        <v>28</v>
      </c>
      <c r="T56" s="164" t="s">
        <v>95</v>
      </c>
      <c r="U56" s="164" t="s">
        <v>96</v>
      </c>
      <c r="V56" s="164" t="s">
        <v>97</v>
      </c>
      <c r="W56" s="164" t="s">
        <v>4</v>
      </c>
      <c r="X56" s="164" t="s">
        <v>103</v>
      </c>
      <c r="Y56" s="160" t="s">
        <v>402</v>
      </c>
      <c r="Z56" s="165" t="s">
        <v>403</v>
      </c>
      <c r="AA56" s="166" t="s">
        <v>404</v>
      </c>
      <c r="AB56" s="164" t="s">
        <v>99</v>
      </c>
      <c r="AC56" s="164" t="s">
        <v>395</v>
      </c>
      <c r="AD56" s="253" t="s">
        <v>36</v>
      </c>
      <c r="AE56" s="164" t="s">
        <v>389</v>
      </c>
      <c r="AF56" s="164" t="s">
        <v>390</v>
      </c>
      <c r="AG56" s="164" t="s">
        <v>164</v>
      </c>
      <c r="AH56" s="253" t="s">
        <v>396</v>
      </c>
      <c r="AI56" s="164" t="s">
        <v>190</v>
      </c>
      <c r="AJ56" s="164" t="s">
        <v>339</v>
      </c>
      <c r="AK56" s="253" t="s">
        <v>391</v>
      </c>
      <c r="AL56" s="253" t="s">
        <v>393</v>
      </c>
      <c r="AM56" s="167" t="s">
        <v>93</v>
      </c>
      <c r="AN56" s="168" t="s">
        <v>34</v>
      </c>
      <c r="AO56" s="169" t="s">
        <v>28</v>
      </c>
      <c r="AP56" s="170" t="s">
        <v>95</v>
      </c>
      <c r="AQ56" s="167" t="s">
        <v>3</v>
      </c>
      <c r="AR56" s="167" t="s">
        <v>96</v>
      </c>
      <c r="AS56" s="169" t="s">
        <v>97</v>
      </c>
      <c r="AT56" s="170" t="s">
        <v>4</v>
      </c>
      <c r="AU56" s="169" t="s">
        <v>103</v>
      </c>
      <c r="AV56" s="170" t="s">
        <v>99</v>
      </c>
      <c r="AW56" s="169" t="s">
        <v>36</v>
      </c>
      <c r="AX56" s="171" t="s">
        <v>29</v>
      </c>
      <c r="AY56" s="172" t="s">
        <v>190</v>
      </c>
      <c r="AZ56" s="173" t="s">
        <v>102</v>
      </c>
      <c r="BA56" s="174"/>
      <c r="BB56" s="183"/>
      <c r="BC56" s="211" t="s">
        <v>119</v>
      </c>
      <c r="BD56" s="174"/>
      <c r="BE56" s="176" t="s">
        <v>189</v>
      </c>
      <c r="BF56" s="177" t="str">
        <f>$BF$13</f>
        <v xml:space="preserve">VR SILICONA </v>
      </c>
      <c r="BG56" s="177" t="str">
        <f>$BG$13</f>
        <v xml:space="preserve">VR PELÍCULA </v>
      </c>
      <c r="BH56" s="254" t="str">
        <f>$BH$13</f>
        <v>VR EMBALAJE</v>
      </c>
      <c r="BI56" s="174"/>
      <c r="BJ56" s="176" t="str">
        <f>$BJ$13</f>
        <v>ESP. CRISTAL</v>
      </c>
      <c r="BK56" s="176" t="s">
        <v>130</v>
      </c>
      <c r="BL56" s="177" t="s">
        <v>28</v>
      </c>
      <c r="BM56" s="177" t="str">
        <f>BM49</f>
        <v>TOTAL</v>
      </c>
      <c r="BN56" s="177" t="s">
        <v>133</v>
      </c>
      <c r="BO56" s="174"/>
      <c r="BP56" s="175"/>
      <c r="BQ56" s="175"/>
      <c r="BR56" s="175"/>
      <c r="BS56" s="175"/>
      <c r="BT56" s="175"/>
      <c r="BU56" s="175"/>
      <c r="BV56" s="175"/>
      <c r="BW56" s="174"/>
      <c r="BX56" s="175"/>
      <c r="BY56" s="175"/>
      <c r="BZ56" s="175"/>
      <c r="CA56" s="175"/>
      <c r="CB56" s="175"/>
      <c r="CC56" s="175"/>
      <c r="CD56" s="184"/>
      <c r="CE56" s="175"/>
      <c r="CF56" s="185"/>
      <c r="CG56" s="175"/>
      <c r="CH56" s="175"/>
      <c r="CI56" s="184"/>
      <c r="CJ56" s="174"/>
      <c r="CK56" s="186" t="s">
        <v>415</v>
      </c>
      <c r="CL56" s="187" t="s">
        <v>417</v>
      </c>
      <c r="CM56" s="187" t="s">
        <v>416</v>
      </c>
      <c r="CN56" s="188" t="s">
        <v>418</v>
      </c>
      <c r="CO56" s="187" t="s">
        <v>417</v>
      </c>
      <c r="CP56" s="187" t="s">
        <v>409</v>
      </c>
      <c r="CQ56" s="187" t="s">
        <v>410</v>
      </c>
      <c r="CR56" s="187" t="s">
        <v>411</v>
      </c>
      <c r="CS56" s="187" t="s">
        <v>412</v>
      </c>
      <c r="CT56" s="187" t="s">
        <v>413</v>
      </c>
      <c r="CU56" s="189" t="s">
        <v>2</v>
      </c>
      <c r="CV56" s="190" t="s">
        <v>159</v>
      </c>
      <c r="CW56" s="189" t="s">
        <v>2</v>
      </c>
      <c r="CX56" s="190" t="s">
        <v>159</v>
      </c>
      <c r="CY56" s="189" t="s">
        <v>2</v>
      </c>
      <c r="CZ56" s="190" t="s">
        <v>159</v>
      </c>
      <c r="DA56" s="189" t="s">
        <v>2</v>
      </c>
      <c r="DB56" s="190" t="s">
        <v>159</v>
      </c>
      <c r="DC56" s="189" t="s">
        <v>2</v>
      </c>
      <c r="DD56" s="190" t="s">
        <v>159</v>
      </c>
      <c r="DE56" s="183"/>
      <c r="DF56" s="183"/>
      <c r="DG56" s="177" t="s">
        <v>505</v>
      </c>
      <c r="DH56" s="472" t="s">
        <v>509</v>
      </c>
      <c r="DI56" s="457" t="s">
        <v>506</v>
      </c>
      <c r="DJ56" s="457" t="s">
        <v>134</v>
      </c>
      <c r="DK56" s="457" t="s">
        <v>498</v>
      </c>
      <c r="DL56" s="457" t="s">
        <v>499</v>
      </c>
      <c r="DM56" s="457" t="s">
        <v>500</v>
      </c>
      <c r="DN56" s="457" t="s">
        <v>131</v>
      </c>
      <c r="DO56" s="457" t="s">
        <v>390</v>
      </c>
      <c r="DP56" s="457" t="s">
        <v>36</v>
      </c>
      <c r="DQ56" s="457" t="s">
        <v>501</v>
      </c>
      <c r="DR56" s="457" t="s">
        <v>502</v>
      </c>
      <c r="DS56" s="457" t="s">
        <v>503</v>
      </c>
      <c r="DT56" s="457" t="s">
        <v>4</v>
      </c>
      <c r="DU56" s="457" t="s">
        <v>504</v>
      </c>
      <c r="DV56" s="466" t="s">
        <v>507</v>
      </c>
      <c r="DW56" s="466" t="s">
        <v>508</v>
      </c>
      <c r="DX56" s="457" t="s">
        <v>510</v>
      </c>
      <c r="DY56" s="457" t="s">
        <v>511</v>
      </c>
      <c r="DZ56" s="183"/>
      <c r="EA56" s="183"/>
      <c r="EB56" s="183"/>
      <c r="EC56" s="183"/>
      <c r="ED56" s="183"/>
      <c r="EE56" s="183"/>
      <c r="EF56" s="183"/>
      <c r="EG56" s="183"/>
      <c r="EH56" s="183"/>
      <c r="EI56" s="183"/>
      <c r="EJ56" s="183"/>
      <c r="EK56" s="183"/>
      <c r="EL56" s="183"/>
      <c r="EM56" s="183"/>
      <c r="EN56" s="183"/>
      <c r="EO56" s="183"/>
      <c r="EP56" s="183"/>
      <c r="EQ56" s="183"/>
      <c r="ER56" s="183"/>
      <c r="ES56" s="183"/>
      <c r="ET56" s="183"/>
      <c r="EU56" s="183"/>
      <c r="EV56" s="183"/>
      <c r="EW56" s="183"/>
      <c r="EX56" s="183"/>
      <c r="EY56" s="183"/>
      <c r="EZ56" s="183"/>
      <c r="FA56" s="183"/>
      <c r="FB56" s="183"/>
      <c r="FC56" s="183"/>
      <c r="FD56" s="183"/>
      <c r="FE56" s="183"/>
      <c r="FF56" s="183"/>
      <c r="FG56" s="183"/>
      <c r="FH56" s="183"/>
      <c r="FI56" s="183"/>
      <c r="FJ56" s="183"/>
      <c r="FK56" s="183"/>
      <c r="FL56" s="183"/>
      <c r="FM56" s="183"/>
      <c r="FN56" s="183"/>
      <c r="FO56" s="183"/>
      <c r="FP56" s="183"/>
      <c r="FQ56" s="183"/>
      <c r="FR56" s="183"/>
      <c r="FS56" s="183"/>
      <c r="FT56" s="183"/>
      <c r="FU56" s="183"/>
      <c r="FV56" s="183"/>
      <c r="FW56" s="183"/>
      <c r="FX56" s="183"/>
      <c r="FY56" s="183"/>
      <c r="FZ56" s="183"/>
      <c r="GA56" s="183"/>
      <c r="GB56" s="183"/>
      <c r="GC56" s="183"/>
      <c r="GD56" s="183"/>
      <c r="GE56" s="183"/>
      <c r="GF56" s="183"/>
      <c r="GG56" s="183"/>
      <c r="GH56" s="183"/>
      <c r="GI56" s="183"/>
      <c r="GJ56" s="183"/>
      <c r="GK56" s="183"/>
      <c r="GL56" s="183"/>
    </row>
    <row r="57" spans="1:194" s="175" customFormat="1" ht="60" customHeight="1" x14ac:dyDescent="0.3">
      <c r="A57" s="364"/>
      <c r="B57" s="365"/>
      <c r="C57" s="392" t="s">
        <v>27</v>
      </c>
      <c r="D57" s="641"/>
      <c r="E57" s="641"/>
      <c r="F57" s="641"/>
      <c r="G57" s="641"/>
      <c r="H57" s="641"/>
      <c r="I57" s="641"/>
      <c r="J57" s="642"/>
      <c r="K57" s="642"/>
      <c r="L57" s="622">
        <f>J57*K57*M57</f>
        <v>0</v>
      </c>
      <c r="M57" s="623"/>
      <c r="N57" s="620">
        <f>IFERROR(AL57,"")</f>
        <v>1.0765546639999999</v>
      </c>
      <c r="O57" s="621">
        <f>IFERROR(N57*M57,"")</f>
        <v>0</v>
      </c>
      <c r="P57" s="192"/>
      <c r="Q57" s="193">
        <f>Q58+BF57+($R$350*Q58)</f>
        <v>0</v>
      </c>
      <c r="R57" s="193">
        <f>IFERROR(R58+($R$348*R58),"")</f>
        <v>0</v>
      </c>
      <c r="S57" s="194">
        <f>+IF(R59="SI",((W61*'BD GN'!$AB$2)+S58)*1,COTIZACIÓN!S58*1)+(P58*S58)</f>
        <v>0</v>
      </c>
      <c r="T57" s="195">
        <f>IFERROR(R57*IF(K57&lt;=3,$T$13,15%),"")</f>
        <v>0</v>
      </c>
      <c r="U57" s="196">
        <f>BH57+BG57</f>
        <v>0</v>
      </c>
      <c r="V57" s="197" t="str">
        <f>IFERROR(BN57,0)</f>
        <v/>
      </c>
      <c r="W57" s="198" t="str">
        <f>IFERROR(IF(X59="SI",W60*J57*K57,IF(BE57=3,BE59,IF(BE57=4,BE60,IF(BE57=5,BE61,IF(BE57&gt;5,BE61+(BE62*(BE57-5)),"")))))*0,"")</f>
        <v/>
      </c>
      <c r="X57" s="198" t="str">
        <f>IFERROR(IF(X58="NO",(VLOOKUP(D57,'BD M.O'!C:E,3,FALSE))*W61,((VLOOKUP(D57,'BD M.O'!C:E,3,FALSE))+7500)*W61),"")</f>
        <v/>
      </c>
      <c r="Y57" s="198">
        <f>IFERROR($Y$13*AK57,"")</f>
        <v>4.2084457416288003E-2</v>
      </c>
      <c r="Z57" s="332" t="str">
        <f>IFERROR(($Z$13*AK57)+X57,"")</f>
        <v/>
      </c>
      <c r="AA57" s="199" t="str">
        <f>IFERROR(Y57+Z57,"")</f>
        <v/>
      </c>
      <c r="AB57" s="200">
        <f>IFERROR((SUM(Q57:X57)-T57+T59)*$AB$13,"")</f>
        <v>0</v>
      </c>
      <c r="AC57" s="201">
        <f>IFERROR(((SUM(Q57:V57,IF(X62&gt;AA57,AVERAGE(X62,AA57),AA57))-T57+T59))*$AB$13,"")</f>
        <v>0</v>
      </c>
      <c r="AD57" s="202" t="str">
        <f>IFERROR((J57*K57*$BV$14),"")</f>
        <v/>
      </c>
      <c r="AE57" s="202">
        <f>IFERROR($AE$13*AK57,"")</f>
        <v>6.4010592649919984E-2</v>
      </c>
      <c r="AF57" s="203" t="str">
        <f>IFERROR(($CI$11+$CI$13)*W61,"")</f>
        <v/>
      </c>
      <c r="AG57" s="202">
        <f>IFERROR((SUM(Q57:X57,AB57,AD57,AF57)-T57+T59)*$AG$13,"")</f>
        <v>0</v>
      </c>
      <c r="AH57" s="202">
        <f>IFERROR((SUM(Q57:V57,(IF(X62&gt;AA57,AVERAGE(X62,AA57),AA57)),AC57,AE57,AF57)-T57+T59)*$AG$13,"")</f>
        <v>3.2005296324959992E-2</v>
      </c>
      <c r="AI57" s="204">
        <f>IFERROR(AL57*$AI$13,"")</f>
        <v>2.1531093279999997E-2</v>
      </c>
      <c r="AJ57" s="204">
        <f>IFERROR($AJ$13*AL57,"")</f>
        <v>6.007175025119999E-3</v>
      </c>
      <c r="AK57" s="205">
        <f>IFERROR(SUM(Q57:X57,AB57,AD57,AG57,AF57)/(1-$AI$13)+(1-$AJ$13)-T57+T59,"")</f>
        <v>0.99441999999999997</v>
      </c>
      <c r="AL57" s="205">
        <f>IFERROR(SUM(Q57:V57,AC57,(IF(AD57&gt;AE57,AVERAGE(AD57,AE57),AE57)),AF57,,AH57,(IF(SUM(X62)&gt;AA57,AVERAGE(AA57,X62),AA57)))/(1-$AJ$13)+(1-$AI$13)-T57+T59,"")</f>
        <v>1.0765546639999999</v>
      </c>
      <c r="AM57" s="206">
        <f>$M$15*Q57</f>
        <v>0</v>
      </c>
      <c r="AN57" s="207">
        <f>$M$15*R57</f>
        <v>0</v>
      </c>
      <c r="AO57" s="208">
        <f>$M$15*S57</f>
        <v>0</v>
      </c>
      <c r="AP57" s="207">
        <f>$M$15*T57</f>
        <v>0</v>
      </c>
      <c r="AQ57" s="207" t="e">
        <f>$M$15*#REF!</f>
        <v>#REF!</v>
      </c>
      <c r="AR57" s="207">
        <f>$M$15*U57</f>
        <v>0</v>
      </c>
      <c r="AS57" s="208" t="e">
        <f>$M$15*V57</f>
        <v>#VALUE!</v>
      </c>
      <c r="AT57" s="207" t="e">
        <f>$M$15*W57</f>
        <v>#VALUE!</v>
      </c>
      <c r="AU57" s="208" t="e">
        <f>$M$15*X57</f>
        <v>#VALUE!</v>
      </c>
      <c r="AV57" s="207">
        <f>$M$15*AB57</f>
        <v>0</v>
      </c>
      <c r="AW57" s="208">
        <f>$M$15*AE57</f>
        <v>0</v>
      </c>
      <c r="AX57" s="207">
        <f>$M$15*AG57</f>
        <v>0</v>
      </c>
      <c r="AY57" s="209">
        <f>$M$15*AI57</f>
        <v>0</v>
      </c>
      <c r="AZ57" s="207">
        <f>$M$15*AK57</f>
        <v>0</v>
      </c>
      <c r="BA57" s="210"/>
      <c r="BB57" s="175" t="s">
        <v>23</v>
      </c>
      <c r="BC57" s="211" t="s">
        <v>113</v>
      </c>
      <c r="BD57" s="210"/>
      <c r="BE57" s="212"/>
      <c r="BF57" s="213">
        <f>IF(BH58="NO",((2*J57)+(2*K57))*'BD GN'!$AU$3,((3*J57)+(2*K57))*'BD GN'!$AU$3)</f>
        <v>0</v>
      </c>
      <c r="BG57" s="213">
        <f>'BD GN'!$BB$3*J57*K57</f>
        <v>0</v>
      </c>
      <c r="BH57" s="214">
        <f>((J57*2*BE57)+(K57*2*BE57))*'BD GN'!$AN$4</f>
        <v>0</v>
      </c>
      <c r="BI57" s="210"/>
      <c r="BJ57" s="212"/>
      <c r="BK57" s="212"/>
      <c r="BL57" s="215">
        <f>J57*K57*2.5*BJ57</f>
        <v>0</v>
      </c>
      <c r="BM57" s="215">
        <f>BK57+BL57</f>
        <v>0</v>
      </c>
      <c r="BN57" s="216" t="str">
        <f>IFERROR((VLOOKUP($C$12,'BD GN'!BD:BM,10,FALSE)*BM57)+$BR$338,"")</f>
        <v/>
      </c>
      <c r="BO57" s="210"/>
      <c r="BW57" s="210"/>
      <c r="CD57" s="184"/>
      <c r="CF57" s="185"/>
      <c r="CI57" s="184"/>
      <c r="CJ57" s="210"/>
      <c r="CK57" s="565"/>
      <c r="CL57" s="256"/>
      <c r="CM57" s="596"/>
      <c r="CN57" s="626"/>
      <c r="CO57" s="629"/>
      <c r="CP57" s="629"/>
      <c r="CQ57" s="629"/>
      <c r="CR57" s="629"/>
      <c r="CS57" s="629"/>
      <c r="CT57" s="632"/>
      <c r="CU57" s="565"/>
      <c r="CV57" s="560">
        <f>IFERROR(N57*CU57,"")</f>
        <v>0</v>
      </c>
      <c r="CW57" s="565"/>
      <c r="CX57" s="560">
        <f>IFERROR(P57*CW57,"")</f>
        <v>0</v>
      </c>
      <c r="CY57" s="565"/>
      <c r="CZ57" s="560">
        <f>IFERROR(R57*CY57,"")</f>
        <v>0</v>
      </c>
      <c r="DA57" s="565">
        <f t="shared" ref="DA57" si="126">CU57+CW57+CY57</f>
        <v>0</v>
      </c>
      <c r="DB57" s="560">
        <f t="shared" ref="DB57" si="127">IFERROR(CV57+CX57+CZ57,"")</f>
        <v>0</v>
      </c>
      <c r="DC57" s="565">
        <f>M57-(CU57+CW57+CY57)</f>
        <v>0</v>
      </c>
      <c r="DD57" s="560">
        <f>IFERROR(O57-(CV57+CX57+CZ57),"")</f>
        <v>0</v>
      </c>
      <c r="DG57" s="575"/>
      <c r="DH57" s="575"/>
      <c r="DI57" s="569">
        <f t="shared" ref="DI57" si="128">IFERROR(IF(DG57&gt;0,(((N57)/(1+10%+19%*5%)+((N57)/(1+10%+19%*5%))*10%)*DH57),0),0)</f>
        <v>0</v>
      </c>
      <c r="DJ57" s="569">
        <f t="shared" ref="DJ57" si="129">IFERROR(IF(DG57&gt;0,(N57*DH57),0),0)</f>
        <v>0</v>
      </c>
      <c r="DK57" s="569">
        <f t="shared" ref="DK57" si="130">IF(DG57&gt;0,((R57+T57)*DH57),0)</f>
        <v>0</v>
      </c>
      <c r="DL57" s="569">
        <f t="shared" ref="DL57" si="131">IF(DG57&gt;0,(Q57*DH57),0)</f>
        <v>0</v>
      </c>
      <c r="DM57" s="572">
        <f t="shared" ref="DM57" si="132">IF(DG57&gt;0,(S57*DH57),0)</f>
        <v>0</v>
      </c>
      <c r="DN57" s="569">
        <f t="shared" ref="DN57" si="133">IF(DG57&gt;0,(BN57*DH57),0)</f>
        <v>0</v>
      </c>
      <c r="DO57" s="569">
        <f t="shared" ref="DO57" si="134">IF(DG57&gt;0,(AF57*DH57),0)</f>
        <v>0</v>
      </c>
      <c r="DP57" s="569">
        <f>IF(DG57&gt;0,((DI57)*('BD P&amp;G'!$E$16+'BD P&amp;G'!$E$17+'BD P&amp;G'!$E$18+'BD P&amp;G'!$E$19+'BD P&amp;G'!$E$20+'BD P&amp;G'!$E$21+'BD P&amp;G'!$E$22+'BD P&amp;G'!$E$23)*DH57),0)</f>
        <v>0</v>
      </c>
      <c r="DQ57" s="569">
        <f>IFERROR(IF(DG57&gt;0,((DI57*'BD P&amp;G'!$E$7)+(DI57*'BD P&amp;G'!$E$9)+AI57),0),0)</f>
        <v>0</v>
      </c>
      <c r="DR57" s="569">
        <f t="shared" ref="DR57" si="135">IFERROR(IF(DG57&gt;0,((DI57*1%)),0),0)</f>
        <v>0</v>
      </c>
      <c r="DS57" s="569">
        <f>IFERROR(IF(DG57&gt;0,(((DI57*'BD P&amp;G'!$E$32+DI57*'BD P&amp;G'!$E$33+DI57*'BD P&amp;G'!$E$35+DI57*'BD P&amp;G'!$E$36+DI57*'BD P&amp;G'!$E$37))),0),0)</f>
        <v>0</v>
      </c>
      <c r="DT57" s="569">
        <f t="shared" ref="DT57" si="136">IF(DG57&gt;0,(Y57*DH57),0)</f>
        <v>0</v>
      </c>
      <c r="DU57" s="569">
        <f t="shared" ref="DU57" si="137">IF(DG57&gt;0,(Z57*DH57),0)</f>
        <v>0</v>
      </c>
      <c r="DV57" s="575">
        <f t="shared" ref="DV57" si="138">IF(DG57&gt;0,(Y61*DH57),0)</f>
        <v>0</v>
      </c>
      <c r="DW57" s="575">
        <f t="shared" ref="DW57" si="139">IF(DG57&gt;0,(Z61*DH57),0)</f>
        <v>0</v>
      </c>
      <c r="DX57" s="569">
        <f t="shared" ref="DX57" si="140">IF(DV57&gt;0,DJ57,0)</f>
        <v>0</v>
      </c>
      <c r="DY57" s="569">
        <f t="shared" ref="DY57" si="141">IF(DW57&gt;0,DJ57,0)</f>
        <v>0</v>
      </c>
    </row>
    <row r="58" spans="1:194" s="175" customFormat="1" ht="60" customHeight="1" x14ac:dyDescent="0.25">
      <c r="A58" s="366"/>
      <c r="B58" s="367"/>
      <c r="C58" s="393" t="s">
        <v>28</v>
      </c>
      <c r="D58" s="598"/>
      <c r="E58" s="598"/>
      <c r="F58" s="598"/>
      <c r="G58" s="598"/>
      <c r="H58" s="598"/>
      <c r="I58" s="598"/>
      <c r="J58" s="604"/>
      <c r="K58" s="604"/>
      <c r="L58" s="607"/>
      <c r="M58" s="559"/>
      <c r="N58" s="610"/>
      <c r="O58" s="613"/>
      <c r="P58" s="192"/>
      <c r="Q58" s="217"/>
      <c r="R58" s="217"/>
      <c r="S58" s="218"/>
      <c r="T58" s="219">
        <f>IFERROR(T57/$R$353,"")</f>
        <v>0</v>
      </c>
      <c r="U58" s="206"/>
      <c r="V58" s="220"/>
      <c r="W58" s="221" t="s">
        <v>239</v>
      </c>
      <c r="X58" s="222" t="s">
        <v>204</v>
      </c>
      <c r="Y58" s="223"/>
      <c r="Z58" s="224"/>
      <c r="AA58" s="225"/>
      <c r="AB58" s="226"/>
      <c r="AC58" s="206"/>
      <c r="AD58" s="206"/>
      <c r="AE58" s="206"/>
      <c r="AF58" s="227"/>
      <c r="AG58" s="206"/>
      <c r="AH58" s="206"/>
      <c r="AI58" s="206"/>
      <c r="AJ58" s="206"/>
      <c r="AK58" s="227"/>
      <c r="AL58" s="210"/>
      <c r="AM58" s="206"/>
      <c r="AN58" s="206"/>
      <c r="AO58" s="228"/>
      <c r="AP58" s="229"/>
      <c r="AQ58" s="206"/>
      <c r="AR58" s="206"/>
      <c r="AS58" s="228"/>
      <c r="AT58" s="229"/>
      <c r="AU58" s="228"/>
      <c r="AV58" s="229"/>
      <c r="AW58" s="228"/>
      <c r="AX58" s="229"/>
      <c r="AY58" s="206"/>
      <c r="AZ58" s="229"/>
      <c r="BA58" s="210"/>
      <c r="BB58" s="175" t="s">
        <v>24</v>
      </c>
      <c r="BC58" s="175" t="s">
        <v>114</v>
      </c>
      <c r="BD58" s="210"/>
      <c r="BE58" s="176" t="s">
        <v>206</v>
      </c>
      <c r="BF58" s="230" t="s">
        <v>204</v>
      </c>
      <c r="BG58" s="176" t="s">
        <v>290</v>
      </c>
      <c r="BH58" s="231" t="s">
        <v>204</v>
      </c>
      <c r="BI58" s="210"/>
      <c r="BN58" s="232"/>
      <c r="BO58" s="210"/>
      <c r="BV58" s="184"/>
      <c r="BW58" s="210"/>
      <c r="CD58" s="184"/>
      <c r="CF58" s="185"/>
      <c r="CI58" s="184"/>
      <c r="CJ58" s="210"/>
      <c r="CK58" s="563"/>
      <c r="CM58" s="559"/>
      <c r="CN58" s="627"/>
      <c r="CO58" s="630"/>
      <c r="CP58" s="630"/>
      <c r="CQ58" s="630"/>
      <c r="CR58" s="630"/>
      <c r="CS58" s="630"/>
      <c r="CT58" s="633"/>
      <c r="CU58" s="563"/>
      <c r="CV58" s="561"/>
      <c r="CW58" s="563"/>
      <c r="CX58" s="561"/>
      <c r="CY58" s="563"/>
      <c r="CZ58" s="561"/>
      <c r="DA58" s="563"/>
      <c r="DB58" s="561"/>
      <c r="DC58" s="563"/>
      <c r="DD58" s="561"/>
      <c r="DG58" s="576"/>
      <c r="DH58" s="576"/>
      <c r="DI58" s="570"/>
      <c r="DJ58" s="570"/>
      <c r="DK58" s="570"/>
      <c r="DL58" s="570"/>
      <c r="DM58" s="573"/>
      <c r="DN58" s="570"/>
      <c r="DO58" s="570"/>
      <c r="DP58" s="570"/>
      <c r="DQ58" s="570"/>
      <c r="DR58" s="570"/>
      <c r="DS58" s="570"/>
      <c r="DT58" s="570"/>
      <c r="DU58" s="570"/>
      <c r="DV58" s="576"/>
      <c r="DW58" s="576"/>
      <c r="DX58" s="570"/>
      <c r="DY58" s="570"/>
    </row>
    <row r="59" spans="1:194" s="175" customFormat="1" ht="60" customHeight="1" x14ac:dyDescent="0.3">
      <c r="A59" s="366"/>
      <c r="B59" s="367"/>
      <c r="C59" s="393" t="s">
        <v>30</v>
      </c>
      <c r="D59" s="599"/>
      <c r="E59" s="599"/>
      <c r="F59" s="599"/>
      <c r="G59" s="599"/>
      <c r="H59" s="599"/>
      <c r="I59" s="599"/>
      <c r="J59" s="604"/>
      <c r="K59" s="604"/>
      <c r="L59" s="607"/>
      <c r="M59" s="559"/>
      <c r="N59" s="610"/>
      <c r="O59" s="613"/>
      <c r="P59" s="192"/>
      <c r="Q59" s="176" t="s">
        <v>205</v>
      </c>
      <c r="R59" s="233" t="s">
        <v>204</v>
      </c>
      <c r="S59" s="234"/>
      <c r="T59" s="235">
        <f>IFERROR(($R$353-8000)*T58,"")</f>
        <v>0</v>
      </c>
      <c r="U59" s="206"/>
      <c r="V59" s="220"/>
      <c r="W59" s="221" t="s">
        <v>258</v>
      </c>
      <c r="X59" s="222" t="s">
        <v>204</v>
      </c>
      <c r="Y59" s="236"/>
      <c r="Z59" s="237"/>
      <c r="AA59" s="225"/>
      <c r="AB59" s="226"/>
      <c r="AC59" s="206"/>
      <c r="AD59" s="206"/>
      <c r="AE59" s="206"/>
      <c r="AF59" s="227"/>
      <c r="AG59" s="206"/>
      <c r="AH59" s="206"/>
      <c r="AI59" s="206"/>
      <c r="AJ59" s="206"/>
      <c r="AK59" s="227"/>
      <c r="AL59" s="238"/>
      <c r="AM59" s="206"/>
      <c r="AN59" s="206"/>
      <c r="AO59" s="228"/>
      <c r="AP59" s="229"/>
      <c r="AQ59" s="206"/>
      <c r="AR59" s="206"/>
      <c r="AS59" s="228"/>
      <c r="AT59" s="229"/>
      <c r="AU59" s="228"/>
      <c r="AV59" s="229"/>
      <c r="AW59" s="228"/>
      <c r="AX59" s="229"/>
      <c r="AY59" s="206"/>
      <c r="AZ59" s="229"/>
      <c r="BA59" s="210"/>
      <c r="BB59" s="175" t="s">
        <v>26</v>
      </c>
      <c r="BC59" s="211" t="s">
        <v>115</v>
      </c>
      <c r="BD59" s="210"/>
      <c r="BE59" s="177" t="str">
        <f>IFERROR(VLOOKUP(D57,'BD M.O'!C:H,4,FALSE),"")</f>
        <v/>
      </c>
      <c r="BF59" s="177" t="s">
        <v>259</v>
      </c>
      <c r="BI59" s="210"/>
      <c r="BO59" s="210"/>
      <c r="BV59" s="184"/>
      <c r="BW59" s="210"/>
      <c r="CD59" s="184"/>
      <c r="CF59" s="185"/>
      <c r="CI59" s="184"/>
      <c r="CJ59" s="210"/>
      <c r="CK59" s="563"/>
      <c r="CM59" s="559"/>
      <c r="CN59" s="627"/>
      <c r="CO59" s="630"/>
      <c r="CP59" s="630"/>
      <c r="CQ59" s="630"/>
      <c r="CR59" s="630"/>
      <c r="CS59" s="630"/>
      <c r="CT59" s="633"/>
      <c r="CU59" s="563"/>
      <c r="CV59" s="561"/>
      <c r="CW59" s="563"/>
      <c r="CX59" s="561"/>
      <c r="CY59" s="563"/>
      <c r="CZ59" s="561"/>
      <c r="DA59" s="563"/>
      <c r="DB59" s="561"/>
      <c r="DC59" s="563"/>
      <c r="DD59" s="561"/>
      <c r="DG59" s="577"/>
      <c r="DH59" s="577"/>
      <c r="DI59" s="571"/>
      <c r="DJ59" s="571"/>
      <c r="DK59" s="571"/>
      <c r="DL59" s="571"/>
      <c r="DM59" s="574"/>
      <c r="DN59" s="571"/>
      <c r="DO59" s="571"/>
      <c r="DP59" s="571"/>
      <c r="DQ59" s="571"/>
      <c r="DR59" s="571"/>
      <c r="DS59" s="571"/>
      <c r="DT59" s="571"/>
      <c r="DU59" s="571"/>
      <c r="DV59" s="577"/>
      <c r="DW59" s="577"/>
      <c r="DX59" s="571"/>
      <c r="DY59" s="571"/>
    </row>
    <row r="60" spans="1:194" s="175" customFormat="1" ht="60" customHeight="1" x14ac:dyDescent="0.25">
      <c r="A60" s="366"/>
      <c r="B60" s="367"/>
      <c r="C60" s="395" t="s">
        <v>180</v>
      </c>
      <c r="D60" s="599" t="s">
        <v>31</v>
      </c>
      <c r="E60" s="599"/>
      <c r="F60" s="394" t="s">
        <v>9</v>
      </c>
      <c r="G60" s="599" t="s">
        <v>33</v>
      </c>
      <c r="H60" s="599"/>
      <c r="I60" s="394" t="str">
        <f>+IF($BG$9="SI","","X")</f>
        <v>X</v>
      </c>
      <c r="J60" s="604"/>
      <c r="K60" s="604"/>
      <c r="L60" s="607"/>
      <c r="M60" s="559"/>
      <c r="N60" s="610"/>
      <c r="O60" s="613"/>
      <c r="P60" s="192"/>
      <c r="Q60" s="239"/>
      <c r="R60" s="221" t="s">
        <v>209</v>
      </c>
      <c r="S60" s="234" t="str">
        <f>IF(S58="","",S58/(J57*K57))</f>
        <v/>
      </c>
      <c r="T60" s="226"/>
      <c r="U60" s="206"/>
      <c r="V60" s="220"/>
      <c r="W60" s="239" t="str">
        <f>IFERROR(IF(X59="SI",VLOOKUP(D57,'BD M.O'!C:F,4,FALSE),""),"")</f>
        <v/>
      </c>
      <c r="X60" s="221" t="s">
        <v>258</v>
      </c>
      <c r="Y60" s="221" t="s">
        <v>507</v>
      </c>
      <c r="Z60" s="221" t="s">
        <v>508</v>
      </c>
      <c r="AA60" s="225"/>
      <c r="AB60" s="226"/>
      <c r="AC60" s="206"/>
      <c r="AD60" s="206"/>
      <c r="AE60" s="206"/>
      <c r="AF60" s="227"/>
      <c r="AG60" s="206"/>
      <c r="AH60" s="206"/>
      <c r="AI60" s="206"/>
      <c r="AJ60" s="206"/>
      <c r="AK60" s="227"/>
      <c r="AL60" s="240"/>
      <c r="AM60" s="206"/>
      <c r="AN60" s="206"/>
      <c r="AO60" s="228"/>
      <c r="AP60" s="229"/>
      <c r="AQ60" s="206"/>
      <c r="AR60" s="206"/>
      <c r="AS60" s="228"/>
      <c r="AT60" s="229"/>
      <c r="AU60" s="228"/>
      <c r="AV60" s="229"/>
      <c r="AW60" s="228"/>
      <c r="AX60" s="229"/>
      <c r="AY60" s="206"/>
      <c r="AZ60" s="229"/>
      <c r="BA60" s="210"/>
      <c r="BC60" s="175" t="s">
        <v>116</v>
      </c>
      <c r="BD60" s="210"/>
      <c r="BE60" s="177" t="str">
        <f>IFERROR(VLOOKUP(COTIZACIÓN!D57,'BD M.O'!C:I,5,FALSE),"")</f>
        <v/>
      </c>
      <c r="BF60" s="177" t="s">
        <v>260</v>
      </c>
      <c r="BI60" s="210"/>
      <c r="BO60" s="210"/>
      <c r="BP60" s="183"/>
      <c r="BQ60" s="183"/>
      <c r="BR60" s="183"/>
      <c r="BS60" s="183"/>
      <c r="BT60" s="183"/>
      <c r="BU60" s="183"/>
      <c r="BV60" s="182"/>
      <c r="BW60" s="210"/>
      <c r="BX60" s="183"/>
      <c r="BY60" s="183"/>
      <c r="BZ60" s="183"/>
      <c r="CA60" s="183"/>
      <c r="CB60" s="183"/>
      <c r="CC60" s="183"/>
      <c r="CD60" s="182"/>
      <c r="CE60" s="183"/>
      <c r="CF60" s="241"/>
      <c r="CG60" s="183"/>
      <c r="CH60" s="183"/>
      <c r="CI60" s="182"/>
      <c r="CJ60" s="210"/>
      <c r="CK60" s="563"/>
      <c r="CM60" s="559"/>
      <c r="CN60" s="627"/>
      <c r="CO60" s="630"/>
      <c r="CP60" s="630"/>
      <c r="CQ60" s="630"/>
      <c r="CR60" s="630"/>
      <c r="CS60" s="630"/>
      <c r="CT60" s="633"/>
      <c r="CU60" s="563"/>
      <c r="CV60" s="561"/>
      <c r="CW60" s="563"/>
      <c r="CX60" s="561"/>
      <c r="CY60" s="563"/>
      <c r="CZ60" s="561"/>
      <c r="DA60" s="563"/>
      <c r="DB60" s="561"/>
      <c r="DC60" s="563"/>
      <c r="DD60" s="561"/>
      <c r="DG60" s="575"/>
      <c r="DH60" s="575"/>
      <c r="DI60" s="569">
        <f t="shared" ref="DI60" si="142">IFERROR(IF(DG60&gt;0,(((N57)/(1+10%+19%*5%)+((N57)/(1+10%+19%*5%))*10%)*DH60),0),0)</f>
        <v>0</v>
      </c>
      <c r="DJ60" s="569">
        <f t="shared" ref="DJ60" si="143">IFERROR(IF(DG60&gt;0,(N57*DH60),0),0)</f>
        <v>0</v>
      </c>
      <c r="DK60" s="569">
        <f t="shared" ref="DK60" si="144">IF(DG60&gt;0,((R57+T57)*DH60),0)</f>
        <v>0</v>
      </c>
      <c r="DL60" s="569">
        <f t="shared" ref="DL60" si="145">IF(DG60&gt;0,(Q57*DH60),0)</f>
        <v>0</v>
      </c>
      <c r="DM60" s="572">
        <f t="shared" ref="DM60" si="146">IF(DG60&gt;0,(S57*DH60),0)</f>
        <v>0</v>
      </c>
      <c r="DN60" s="569">
        <f t="shared" ref="DN60" si="147">IF(DG60&gt;0,(BN57*DH60),0)</f>
        <v>0</v>
      </c>
      <c r="DO60" s="569">
        <f t="shared" ref="DO60" si="148">IF(DG60&gt;0,(AF57*DH60),0)</f>
        <v>0</v>
      </c>
      <c r="DP60" s="569">
        <f>IF(DG60&gt;0,((DI60)*('BD P&amp;G'!$E$16+'BD P&amp;G'!$E$17+'BD P&amp;G'!$E$18+'BD P&amp;G'!$E$19+'BD P&amp;G'!$E$20+'BD P&amp;G'!$E$21+'BD P&amp;G'!$E$22+'BD P&amp;G'!$E$23)*DH60),0)</f>
        <v>0</v>
      </c>
      <c r="DQ60" s="569">
        <f>IFERROR(IF(DG60&gt;0,((DI60*'BD P&amp;G'!$E$7)+(DI60*'BD P&amp;G'!$E$9)+AI57),0),0)</f>
        <v>0</v>
      </c>
      <c r="DR60" s="569">
        <f t="shared" ref="DR60" si="149">IFERROR(IF(DG60&gt;0,((DI60*1%)),0),0)</f>
        <v>0</v>
      </c>
      <c r="DS60" s="569">
        <f>IFERROR(IF(DG60&gt;0,(((DI60*'BD P&amp;G'!$E$32+DI60*'BD P&amp;G'!$E$33+DI60*'BD P&amp;G'!$E$35+DI60*'BD P&amp;G'!$E$36+DI60*'BD P&amp;G'!$E$37))),0),0)</f>
        <v>0</v>
      </c>
      <c r="DT60" s="569">
        <f t="shared" ref="DT60" si="150">IF(DG60&gt;0,(Y57*DH60),0)</f>
        <v>0</v>
      </c>
      <c r="DU60" s="569">
        <f t="shared" ref="DU60" si="151">IF(DG60&gt;0,(Z57*DH60),0)</f>
        <v>0</v>
      </c>
      <c r="DV60" s="575">
        <f t="shared" ref="DV60" si="152">IF(DG60&gt;0,(Y61*DH60),0)</f>
        <v>0</v>
      </c>
      <c r="DW60" s="575">
        <f t="shared" ref="DW60" si="153">IF(DG60&gt;0,(Z61*DH60),0)</f>
        <v>0</v>
      </c>
      <c r="DX60" s="569">
        <f t="shared" ref="DX60" si="154">IF(DV60&gt;0,DJ60,0)</f>
        <v>0</v>
      </c>
      <c r="DY60" s="569">
        <f t="shared" ref="DY60" si="155">IF(DW60&gt;0,DJ60,0)</f>
        <v>0</v>
      </c>
    </row>
    <row r="61" spans="1:194" s="175" customFormat="1" ht="60" customHeight="1" x14ac:dyDescent="0.3">
      <c r="A61" s="366"/>
      <c r="B61" s="367"/>
      <c r="C61" s="393" t="s">
        <v>35</v>
      </c>
      <c r="D61" s="599" t="str">
        <f>IFERROR(VLOOKUP(D57,'BD GN'!C:E,3,),"")</f>
        <v/>
      </c>
      <c r="E61" s="599"/>
      <c r="F61" s="599"/>
      <c r="G61" s="599"/>
      <c r="H61" s="599"/>
      <c r="I61" s="599"/>
      <c r="J61" s="604"/>
      <c r="K61" s="604"/>
      <c r="L61" s="607"/>
      <c r="M61" s="559"/>
      <c r="N61" s="610"/>
      <c r="O61" s="613"/>
      <c r="P61" s="192"/>
      <c r="Q61" s="239"/>
      <c r="R61" s="221" t="s">
        <v>210</v>
      </c>
      <c r="S61" s="234" t="str">
        <f>IFERROR(IF(N57="","",N57/W61),"")</f>
        <v/>
      </c>
      <c r="T61" s="226"/>
      <c r="U61" s="206"/>
      <c r="V61" s="220"/>
      <c r="W61" s="242" t="str">
        <f>+IF(J57*K57&gt;=1,J57*K57,IF(AND(J57*K57&gt;0,J57*K57&lt;1),1,""))</f>
        <v/>
      </c>
      <c r="X61" s="221" t="s">
        <v>298</v>
      </c>
      <c r="Y61" s="461">
        <f>IFERROR(IF(D57='BD GN'!$C$25,COTIZACIÓN!W61,IF(D57='BD GN'!$C$26,COTIZACIÓN!W61,IF(D57='BD GN'!$C$27,COTIZACIÓN!W61,IF(COTIZACIÓN!D57='BD GN'!$C$28,COTIZACIÓN!W61,IF(COTIZACIÓN!D57='BD GN'!$C$29,COTIZACIÓN!W61,IF(COTIZACIÓN!D57='BD GN'!$C$35,COTIZACIÓN!W61,IF(COTIZACIÓN!D57='BD GN'!$C$36,COTIZACIÓN!W61,IF(COTIZACIÓN!D57='BD GN'!$C$37,COTIZACIÓN!W61,IF(COTIZACIÓN!D57='BD GN'!$C$38,COTIZACIÓN!W61,IF(COTIZACIÓN!D57='BD GN'!$C$39,COTIZACIÓN!W61,IF(COTIZACIÓN!D57='BD GN'!$C$40,COTIZACIÓN!W61,IF(COTIZACIÓN!D57='BD GN'!$C$41,COTIZACIÓN!W61,IF(COTIZACIÓN!D57='BD GN'!$C$42,COTIZACIÓN!W61,IF(COTIZACIÓN!D57='BD GN'!$C$49,COTIZACIÓN!W61,IF(COTIZACIÓN!D57='BD GN'!$C$50,COTIZACIÓN!W61,IF(COTIZACIÓN!D57='BD GN'!$C$51,COTIZACIÓN!W61,IF(COTIZACIÓN!D57='BD GN'!$C$67,COTIZACIÓN!W61,0))))))))))))))))),0)</f>
        <v>0</v>
      </c>
      <c r="Z61" s="461">
        <f>IFERROR(W61-Y61,0)</f>
        <v>0</v>
      </c>
      <c r="AA61" s="225"/>
      <c r="AB61" s="226"/>
      <c r="AC61" s="206"/>
      <c r="AD61" s="206"/>
      <c r="AE61" s="206"/>
      <c r="AF61" s="227"/>
      <c r="AG61" s="206"/>
      <c r="AH61" s="206"/>
      <c r="AI61" s="206"/>
      <c r="AJ61" s="206"/>
      <c r="AK61" s="227"/>
      <c r="AL61" s="210"/>
      <c r="AM61" s="206"/>
      <c r="AN61" s="206"/>
      <c r="AO61" s="228"/>
      <c r="AP61" s="229"/>
      <c r="AQ61" s="206"/>
      <c r="AR61" s="206"/>
      <c r="AS61" s="228"/>
      <c r="AT61" s="229"/>
      <c r="AU61" s="228"/>
      <c r="AV61" s="229"/>
      <c r="AW61" s="228"/>
      <c r="AX61" s="229"/>
      <c r="AY61" s="206"/>
      <c r="AZ61" s="229"/>
      <c r="BA61" s="210"/>
      <c r="BC61" s="211" t="s">
        <v>117</v>
      </c>
      <c r="BD61" s="210"/>
      <c r="BE61" s="177" t="str">
        <f>IFERROR(VLOOKUP(D57,'BD M.O'!C:I,6,FALSE),"")</f>
        <v/>
      </c>
      <c r="BF61" s="177" t="s">
        <v>261</v>
      </c>
      <c r="BI61" s="210"/>
      <c r="BO61" s="210"/>
      <c r="BP61" s="183"/>
      <c r="BQ61" s="183"/>
      <c r="BR61" s="183"/>
      <c r="BW61" s="210"/>
      <c r="CD61" s="184"/>
      <c r="CF61" s="185"/>
      <c r="CI61" s="184"/>
      <c r="CJ61" s="210"/>
      <c r="CK61" s="563"/>
      <c r="CM61" s="559"/>
      <c r="CN61" s="627"/>
      <c r="CO61" s="630"/>
      <c r="CP61" s="630"/>
      <c r="CQ61" s="630"/>
      <c r="CR61" s="630"/>
      <c r="CS61" s="630"/>
      <c r="CT61" s="633"/>
      <c r="CU61" s="563"/>
      <c r="CV61" s="561"/>
      <c r="CW61" s="563"/>
      <c r="CX61" s="561"/>
      <c r="CY61" s="563"/>
      <c r="CZ61" s="561"/>
      <c r="DA61" s="563"/>
      <c r="DB61" s="561"/>
      <c r="DC61" s="563"/>
      <c r="DD61" s="561"/>
      <c r="DG61" s="576"/>
      <c r="DH61" s="576"/>
      <c r="DI61" s="570"/>
      <c r="DJ61" s="570"/>
      <c r="DK61" s="570"/>
      <c r="DL61" s="570"/>
      <c r="DM61" s="573"/>
      <c r="DN61" s="570"/>
      <c r="DO61" s="570"/>
      <c r="DP61" s="570"/>
      <c r="DQ61" s="570"/>
      <c r="DR61" s="570"/>
      <c r="DS61" s="570"/>
      <c r="DT61" s="570"/>
      <c r="DU61" s="570"/>
      <c r="DV61" s="576"/>
      <c r="DW61" s="576"/>
      <c r="DX61" s="570"/>
      <c r="DY61" s="570"/>
    </row>
    <row r="62" spans="1:194" s="252" customFormat="1" ht="60" customHeight="1" x14ac:dyDescent="0.25">
      <c r="A62" s="368"/>
      <c r="B62" s="369"/>
      <c r="C62" s="396" t="s">
        <v>10</v>
      </c>
      <c r="D62" s="645" t="s">
        <v>32</v>
      </c>
      <c r="E62" s="645"/>
      <c r="F62" s="645"/>
      <c r="G62" s="645"/>
      <c r="H62" s="645"/>
      <c r="I62" s="645"/>
      <c r="J62" s="643"/>
      <c r="K62" s="643"/>
      <c r="L62" s="646"/>
      <c r="M62" s="648"/>
      <c r="N62" s="649"/>
      <c r="O62" s="644"/>
      <c r="P62" s="192"/>
      <c r="Q62" s="239"/>
      <c r="R62" s="334" t="s">
        <v>475</v>
      </c>
      <c r="S62" s="234" t="str">
        <f>IFERROR(IF($C$12='BD GN'!$CC$1,VLOOKUP(COTIZACIÓN!D57,'BD GN'!CB:CG,2,FALSE),IF(COTIZACIÓN!$C$12='BD GN'!$CD$1,VLOOKUP(COTIZACIÓN!D57,'BD GN'!CB:CG,3,FALSE),IF($C$12='BD GN'!$CE$1,VLOOKUP(COTIZACIÓN!D57,'BD GN'!CB:CG,4,FALSE),IF(COTIZACIÓN!$C$12='BD GN'!$CF$1,VLOOKUP(COTIZACIÓN!D57,'BD GN'!CB:CG,5,FALSE),IF(COTIZACIÓN!$C$12='BD GN'!$CG$1,VLOOKUP(COTIZACIÓN!D57,'BD GN'!CB:CG,6,FALSE),""))))),"-")</f>
        <v/>
      </c>
      <c r="T62" s="243"/>
      <c r="U62" s="244"/>
      <c r="V62" s="245"/>
      <c r="W62" s="177" t="s">
        <v>394</v>
      </c>
      <c r="X62" s="246">
        <f>IFERROR(SUM(W57:X57),"")</f>
        <v>0</v>
      </c>
      <c r="Y62" s="166" t="s">
        <v>404</v>
      </c>
      <c r="Z62" s="199" t="str">
        <f>IFERROR(Y57+Z57,"")</f>
        <v/>
      </c>
      <c r="AA62" s="247"/>
      <c r="AB62" s="243"/>
      <c r="AC62" s="244"/>
      <c r="AD62" s="244"/>
      <c r="AE62" s="244"/>
      <c r="AF62" s="227"/>
      <c r="AG62" s="206"/>
      <c r="AH62" s="206"/>
      <c r="AI62" s="206"/>
      <c r="AJ62" s="206"/>
      <c r="AK62" s="227"/>
      <c r="AL62" s="227"/>
      <c r="AM62" s="248"/>
      <c r="AN62" s="248"/>
      <c r="AO62" s="249"/>
      <c r="AP62" s="250"/>
      <c r="AQ62" s="248"/>
      <c r="AR62" s="248"/>
      <c r="AS62" s="249"/>
      <c r="AT62" s="250"/>
      <c r="AU62" s="249"/>
      <c r="AV62" s="250"/>
      <c r="AW62" s="249"/>
      <c r="AX62" s="250"/>
      <c r="AY62" s="248"/>
      <c r="AZ62" s="250"/>
      <c r="BA62" s="210"/>
      <c r="BB62" s="175"/>
      <c r="BC62" s="175" t="s">
        <v>118</v>
      </c>
      <c r="BD62" s="210"/>
      <c r="BE62" s="251" t="str">
        <f>IFERROR(VLOOKUP(D57,'BD M.O'!C:I,7,FALSE),"")</f>
        <v/>
      </c>
      <c r="BF62" s="251" t="s">
        <v>262</v>
      </c>
      <c r="BG62" s="175"/>
      <c r="BH62" s="175"/>
      <c r="BI62" s="210"/>
      <c r="BJ62" s="175"/>
      <c r="BK62" s="175"/>
      <c r="BL62" s="175"/>
      <c r="BM62" s="175"/>
      <c r="BN62" s="175"/>
      <c r="BO62" s="210"/>
      <c r="BP62" s="175"/>
      <c r="BQ62" s="175"/>
      <c r="BR62" s="175"/>
      <c r="BS62" s="183"/>
      <c r="BT62" s="183"/>
      <c r="BU62" s="183"/>
      <c r="BV62" s="183"/>
      <c r="BW62" s="210"/>
      <c r="BX62" s="175"/>
      <c r="BY62" s="175"/>
      <c r="BZ62" s="175"/>
      <c r="CA62" s="175"/>
      <c r="CB62" s="175"/>
      <c r="CC62" s="175"/>
      <c r="CD62" s="184"/>
      <c r="CE62" s="175"/>
      <c r="CF62" s="185"/>
      <c r="CG62" s="175"/>
      <c r="CH62" s="175"/>
      <c r="CI62" s="184"/>
      <c r="CJ62" s="210"/>
      <c r="CK62" s="564"/>
      <c r="CL62" s="257"/>
      <c r="CM62" s="597"/>
      <c r="CN62" s="628"/>
      <c r="CO62" s="631"/>
      <c r="CP62" s="631"/>
      <c r="CQ62" s="631"/>
      <c r="CR62" s="631"/>
      <c r="CS62" s="631"/>
      <c r="CT62" s="634"/>
      <c r="CU62" s="564"/>
      <c r="CV62" s="562"/>
      <c r="CW62" s="564"/>
      <c r="CX62" s="562"/>
      <c r="CY62" s="564"/>
      <c r="CZ62" s="562"/>
      <c r="DA62" s="564"/>
      <c r="DB62" s="562"/>
      <c r="DC62" s="564"/>
      <c r="DD62" s="562"/>
      <c r="DE62" s="175"/>
      <c r="DF62" s="175"/>
      <c r="DG62" s="577"/>
      <c r="DH62" s="577"/>
      <c r="DI62" s="571"/>
      <c r="DJ62" s="571"/>
      <c r="DK62" s="571"/>
      <c r="DL62" s="571"/>
      <c r="DM62" s="574"/>
      <c r="DN62" s="571"/>
      <c r="DO62" s="571"/>
      <c r="DP62" s="571"/>
      <c r="DQ62" s="571"/>
      <c r="DR62" s="571"/>
      <c r="DS62" s="571"/>
      <c r="DT62" s="571"/>
      <c r="DU62" s="571"/>
      <c r="DV62" s="577"/>
      <c r="DW62" s="577"/>
      <c r="DX62" s="571"/>
      <c r="DY62" s="571"/>
      <c r="DZ62" s="175"/>
      <c r="EA62" s="175"/>
      <c r="EB62" s="175"/>
      <c r="EC62" s="175"/>
      <c r="ED62" s="175"/>
      <c r="EE62" s="175"/>
      <c r="EF62" s="175"/>
      <c r="EG62" s="175"/>
      <c r="EH62" s="175"/>
      <c r="EI62" s="175"/>
      <c r="EJ62" s="175"/>
      <c r="EK62" s="175"/>
      <c r="EL62" s="175"/>
      <c r="EM62" s="175"/>
      <c r="EN62" s="175"/>
      <c r="EO62" s="175"/>
      <c r="EP62" s="175"/>
      <c r="EQ62" s="175"/>
      <c r="ER62" s="175"/>
      <c r="ES62" s="175"/>
      <c r="ET62" s="175"/>
      <c r="EU62" s="175"/>
      <c r="EV62" s="175"/>
      <c r="EW62" s="175"/>
      <c r="EX62" s="175"/>
      <c r="EY62" s="175"/>
      <c r="EZ62" s="175"/>
      <c r="FA62" s="175"/>
      <c r="FB62" s="175"/>
      <c r="FC62" s="175"/>
      <c r="FD62" s="175"/>
      <c r="FE62" s="175"/>
      <c r="FF62" s="175"/>
      <c r="FG62" s="175"/>
      <c r="FH62" s="175"/>
      <c r="FI62" s="175"/>
      <c r="FJ62" s="175"/>
      <c r="FK62" s="175"/>
      <c r="FL62" s="175"/>
      <c r="FM62" s="175"/>
      <c r="FN62" s="175"/>
      <c r="FO62" s="175"/>
      <c r="FP62" s="175"/>
      <c r="FQ62" s="175"/>
      <c r="FR62" s="175"/>
      <c r="FS62" s="175"/>
      <c r="FT62" s="175"/>
      <c r="FU62" s="175"/>
      <c r="FV62" s="175"/>
      <c r="FW62" s="175"/>
      <c r="FX62" s="175"/>
      <c r="FY62" s="175"/>
      <c r="FZ62" s="175"/>
      <c r="GA62" s="175"/>
      <c r="GB62" s="175"/>
      <c r="GC62" s="175"/>
      <c r="GD62" s="175"/>
      <c r="GE62" s="175"/>
      <c r="GF62" s="175"/>
      <c r="GG62" s="175"/>
      <c r="GH62" s="175"/>
      <c r="GI62" s="175"/>
      <c r="GJ62" s="175"/>
      <c r="GK62" s="175"/>
      <c r="GL62" s="175"/>
    </row>
    <row r="63" spans="1:194" s="255" customFormat="1" ht="60" customHeight="1" x14ac:dyDescent="0.3">
      <c r="A63" s="362" t="s">
        <v>193</v>
      </c>
      <c r="B63" s="363" t="s">
        <v>25</v>
      </c>
      <c r="C63" s="391" t="s">
        <v>174</v>
      </c>
      <c r="D63" s="640" t="s">
        <v>173</v>
      </c>
      <c r="E63" s="640"/>
      <c r="F63" s="640"/>
      <c r="G63" s="640"/>
      <c r="H63" s="640"/>
      <c r="I63" s="640"/>
      <c r="J63" s="418" t="s">
        <v>443</v>
      </c>
      <c r="K63" s="418" t="s">
        <v>444</v>
      </c>
      <c r="L63" s="418" t="s">
        <v>171</v>
      </c>
      <c r="M63" s="363" t="s">
        <v>2</v>
      </c>
      <c r="N63" s="419" t="s">
        <v>7</v>
      </c>
      <c r="O63" s="420" t="s">
        <v>8</v>
      </c>
      <c r="P63" s="159"/>
      <c r="Q63" s="164" t="s">
        <v>93</v>
      </c>
      <c r="R63" s="164" t="s">
        <v>34</v>
      </c>
      <c r="S63" s="164" t="s">
        <v>28</v>
      </c>
      <c r="T63" s="164" t="s">
        <v>95</v>
      </c>
      <c r="U63" s="164" t="s">
        <v>96</v>
      </c>
      <c r="V63" s="164" t="s">
        <v>97</v>
      </c>
      <c r="W63" s="164" t="s">
        <v>4</v>
      </c>
      <c r="X63" s="164" t="s">
        <v>103</v>
      </c>
      <c r="Y63" s="160" t="s">
        <v>402</v>
      </c>
      <c r="Z63" s="165" t="s">
        <v>403</v>
      </c>
      <c r="AA63" s="166" t="s">
        <v>404</v>
      </c>
      <c r="AB63" s="164" t="s">
        <v>99</v>
      </c>
      <c r="AC63" s="164" t="s">
        <v>395</v>
      </c>
      <c r="AD63" s="253" t="s">
        <v>36</v>
      </c>
      <c r="AE63" s="164" t="s">
        <v>389</v>
      </c>
      <c r="AF63" s="164" t="s">
        <v>390</v>
      </c>
      <c r="AG63" s="164" t="s">
        <v>164</v>
      </c>
      <c r="AH63" s="253" t="s">
        <v>396</v>
      </c>
      <c r="AI63" s="164" t="s">
        <v>190</v>
      </c>
      <c r="AJ63" s="164" t="s">
        <v>339</v>
      </c>
      <c r="AK63" s="253" t="s">
        <v>391</v>
      </c>
      <c r="AL63" s="253" t="s">
        <v>393</v>
      </c>
      <c r="AM63" s="167" t="s">
        <v>93</v>
      </c>
      <c r="AN63" s="168" t="s">
        <v>34</v>
      </c>
      <c r="AO63" s="169" t="s">
        <v>28</v>
      </c>
      <c r="AP63" s="170" t="s">
        <v>95</v>
      </c>
      <c r="AQ63" s="167" t="s">
        <v>3</v>
      </c>
      <c r="AR63" s="167" t="s">
        <v>96</v>
      </c>
      <c r="AS63" s="169" t="s">
        <v>97</v>
      </c>
      <c r="AT63" s="170" t="s">
        <v>4</v>
      </c>
      <c r="AU63" s="169" t="s">
        <v>103</v>
      </c>
      <c r="AV63" s="170" t="s">
        <v>99</v>
      </c>
      <c r="AW63" s="169" t="s">
        <v>36</v>
      </c>
      <c r="AX63" s="171" t="s">
        <v>29</v>
      </c>
      <c r="AY63" s="172" t="s">
        <v>190</v>
      </c>
      <c r="AZ63" s="173" t="s">
        <v>102</v>
      </c>
      <c r="BA63" s="174"/>
      <c r="BB63" s="183"/>
      <c r="BC63" s="211" t="s">
        <v>119</v>
      </c>
      <c r="BD63" s="174"/>
      <c r="BE63" s="176" t="s">
        <v>189</v>
      </c>
      <c r="BF63" s="177" t="str">
        <f>$BF$13</f>
        <v xml:space="preserve">VR SILICONA </v>
      </c>
      <c r="BG63" s="177" t="str">
        <f>$BG$13</f>
        <v xml:space="preserve">VR PELÍCULA </v>
      </c>
      <c r="BH63" s="254" t="str">
        <f>$BH$13</f>
        <v>VR EMBALAJE</v>
      </c>
      <c r="BI63" s="174"/>
      <c r="BJ63" s="176" t="str">
        <f>$BJ$13</f>
        <v>ESP. CRISTAL</v>
      </c>
      <c r="BK63" s="176" t="s">
        <v>130</v>
      </c>
      <c r="BL63" s="177" t="s">
        <v>28</v>
      </c>
      <c r="BM63" s="177" t="str">
        <f>BM56</f>
        <v>TOTAL</v>
      </c>
      <c r="BN63" s="177" t="s">
        <v>133</v>
      </c>
      <c r="BO63" s="174"/>
      <c r="BP63" s="175"/>
      <c r="BQ63" s="175"/>
      <c r="BR63" s="175"/>
      <c r="BS63" s="175"/>
      <c r="BT63" s="175"/>
      <c r="BU63" s="175"/>
      <c r="BV63" s="175"/>
      <c r="BW63" s="174"/>
      <c r="BX63" s="175"/>
      <c r="BY63" s="175"/>
      <c r="BZ63" s="175"/>
      <c r="CA63" s="175"/>
      <c r="CB63" s="175"/>
      <c r="CC63" s="175"/>
      <c r="CD63" s="184"/>
      <c r="CE63" s="175"/>
      <c r="CF63" s="185"/>
      <c r="CG63" s="175"/>
      <c r="CH63" s="175"/>
      <c r="CI63" s="184"/>
      <c r="CJ63" s="174"/>
      <c r="CK63" s="186" t="s">
        <v>415</v>
      </c>
      <c r="CL63" s="187" t="s">
        <v>417</v>
      </c>
      <c r="CM63" s="187" t="s">
        <v>416</v>
      </c>
      <c r="CN63" s="188" t="s">
        <v>418</v>
      </c>
      <c r="CO63" s="187" t="s">
        <v>417</v>
      </c>
      <c r="CP63" s="187" t="s">
        <v>409</v>
      </c>
      <c r="CQ63" s="187" t="s">
        <v>410</v>
      </c>
      <c r="CR63" s="187" t="s">
        <v>411</v>
      </c>
      <c r="CS63" s="187" t="s">
        <v>412</v>
      </c>
      <c r="CT63" s="187" t="s">
        <v>413</v>
      </c>
      <c r="CU63" s="189" t="s">
        <v>2</v>
      </c>
      <c r="CV63" s="190" t="s">
        <v>159</v>
      </c>
      <c r="CW63" s="189" t="s">
        <v>2</v>
      </c>
      <c r="CX63" s="190" t="s">
        <v>159</v>
      </c>
      <c r="CY63" s="189" t="s">
        <v>2</v>
      </c>
      <c r="CZ63" s="190" t="s">
        <v>159</v>
      </c>
      <c r="DA63" s="189" t="s">
        <v>2</v>
      </c>
      <c r="DB63" s="190" t="s">
        <v>159</v>
      </c>
      <c r="DC63" s="189" t="s">
        <v>2</v>
      </c>
      <c r="DD63" s="190" t="s">
        <v>159</v>
      </c>
      <c r="DE63" s="183"/>
      <c r="DF63" s="183"/>
      <c r="DG63" s="177" t="s">
        <v>505</v>
      </c>
      <c r="DH63" s="472" t="s">
        <v>509</v>
      </c>
      <c r="DI63" s="457" t="s">
        <v>506</v>
      </c>
      <c r="DJ63" s="457" t="s">
        <v>134</v>
      </c>
      <c r="DK63" s="457" t="s">
        <v>498</v>
      </c>
      <c r="DL63" s="457" t="s">
        <v>499</v>
      </c>
      <c r="DM63" s="457" t="s">
        <v>500</v>
      </c>
      <c r="DN63" s="457" t="s">
        <v>131</v>
      </c>
      <c r="DO63" s="457" t="s">
        <v>390</v>
      </c>
      <c r="DP63" s="457" t="s">
        <v>36</v>
      </c>
      <c r="DQ63" s="457" t="s">
        <v>501</v>
      </c>
      <c r="DR63" s="457" t="s">
        <v>502</v>
      </c>
      <c r="DS63" s="457" t="s">
        <v>503</v>
      </c>
      <c r="DT63" s="457" t="s">
        <v>4</v>
      </c>
      <c r="DU63" s="457" t="s">
        <v>504</v>
      </c>
      <c r="DV63" s="466" t="s">
        <v>507</v>
      </c>
      <c r="DW63" s="466" t="s">
        <v>508</v>
      </c>
      <c r="DX63" s="457" t="s">
        <v>510</v>
      </c>
      <c r="DY63" s="457" t="s">
        <v>511</v>
      </c>
      <c r="DZ63" s="183"/>
      <c r="EA63" s="183"/>
      <c r="EB63" s="183"/>
      <c r="EC63" s="183"/>
      <c r="ED63" s="183"/>
      <c r="EE63" s="183"/>
      <c r="EF63" s="183"/>
      <c r="EG63" s="183"/>
      <c r="EH63" s="183"/>
      <c r="EI63" s="183"/>
      <c r="EJ63" s="183"/>
      <c r="EK63" s="183"/>
      <c r="EL63" s="183"/>
      <c r="EM63" s="183"/>
      <c r="EN63" s="183"/>
      <c r="EO63" s="183"/>
      <c r="EP63" s="183"/>
      <c r="EQ63" s="183"/>
      <c r="ER63" s="183"/>
      <c r="ES63" s="183"/>
      <c r="ET63" s="183"/>
      <c r="EU63" s="183"/>
      <c r="EV63" s="183"/>
      <c r="EW63" s="183"/>
      <c r="EX63" s="183"/>
      <c r="EY63" s="183"/>
      <c r="EZ63" s="183"/>
      <c r="FA63" s="183"/>
      <c r="FB63" s="183"/>
      <c r="FC63" s="183"/>
      <c r="FD63" s="183"/>
      <c r="FE63" s="183"/>
      <c r="FF63" s="183"/>
      <c r="FG63" s="183"/>
      <c r="FH63" s="183"/>
      <c r="FI63" s="183"/>
      <c r="FJ63" s="183"/>
      <c r="FK63" s="183"/>
      <c r="FL63" s="183"/>
      <c r="FM63" s="183"/>
      <c r="FN63" s="183"/>
      <c r="FO63" s="183"/>
      <c r="FP63" s="183"/>
      <c r="FQ63" s="183"/>
      <c r="FR63" s="183"/>
      <c r="FS63" s="183"/>
      <c r="FT63" s="183"/>
      <c r="FU63" s="183"/>
      <c r="FV63" s="183"/>
      <c r="FW63" s="183"/>
      <c r="FX63" s="183"/>
      <c r="FY63" s="183"/>
      <c r="FZ63" s="183"/>
      <c r="GA63" s="183"/>
      <c r="GB63" s="183"/>
      <c r="GC63" s="183"/>
      <c r="GD63" s="183"/>
      <c r="GE63" s="183"/>
      <c r="GF63" s="183"/>
      <c r="GG63" s="183"/>
      <c r="GH63" s="183"/>
      <c r="GI63" s="183"/>
      <c r="GJ63" s="183"/>
      <c r="GK63" s="183"/>
      <c r="GL63" s="183"/>
    </row>
    <row r="64" spans="1:194" s="175" customFormat="1" ht="60" customHeight="1" x14ac:dyDescent="0.3">
      <c r="A64" s="364"/>
      <c r="B64" s="365"/>
      <c r="C64" s="392" t="s">
        <v>27</v>
      </c>
      <c r="D64" s="641"/>
      <c r="E64" s="641"/>
      <c r="F64" s="641"/>
      <c r="G64" s="641"/>
      <c r="H64" s="641"/>
      <c r="I64" s="641"/>
      <c r="J64" s="642"/>
      <c r="K64" s="642"/>
      <c r="L64" s="622">
        <f>J64*K64*M64</f>
        <v>0</v>
      </c>
      <c r="M64" s="623"/>
      <c r="N64" s="620">
        <f>IFERROR(AL64,"")</f>
        <v>1.0765546639999999</v>
      </c>
      <c r="O64" s="621">
        <f>IFERROR(N64*M64,"")</f>
        <v>0</v>
      </c>
      <c r="P64" s="192"/>
      <c r="Q64" s="193">
        <f>Q65+BF64+($R$350*Q65)</f>
        <v>0</v>
      </c>
      <c r="R64" s="193">
        <f>IFERROR(R65+($R$348*R65),"")</f>
        <v>0</v>
      </c>
      <c r="S64" s="194">
        <f>+IF(R66="SI",((W68*'BD GN'!$AB$2)+S65)*1,COTIZACIÓN!S65*1)+(P65*S65)</f>
        <v>0</v>
      </c>
      <c r="T64" s="195">
        <f>IFERROR(R64*IF(K64&lt;=3,$T$13,15%),"")</f>
        <v>0</v>
      </c>
      <c r="U64" s="196">
        <f>BH64+BG64</f>
        <v>0</v>
      </c>
      <c r="V64" s="197" t="str">
        <f>IFERROR(BN64,0)</f>
        <v/>
      </c>
      <c r="W64" s="198" t="str">
        <f>IFERROR(IF(X66="SI",W67*J64*K64,IF(BE64=3,BE66,IF(BE64=4,BE67,IF(BE64=5,BE68,IF(BE64&gt;5,BE68+(BE69*(BE64-5)),"")))))*0,"")</f>
        <v/>
      </c>
      <c r="X64" s="198" t="str">
        <f>IFERROR(IF(X65="NO",(VLOOKUP(D64,'BD M.O'!C:E,3,FALSE))*W68,((VLOOKUP(D64,'BD M.O'!C:E,3,FALSE))+7500)*W68),"")</f>
        <v/>
      </c>
      <c r="Y64" s="198">
        <f>IFERROR($Y$13*AK64,"")</f>
        <v>4.2084457416288003E-2</v>
      </c>
      <c r="Z64" s="332" t="str">
        <f>IFERROR(($Z$13*AK64)+X64,"")</f>
        <v/>
      </c>
      <c r="AA64" s="199" t="str">
        <f>IFERROR(Y64+Z64,"")</f>
        <v/>
      </c>
      <c r="AB64" s="200">
        <f>IFERROR((SUM(Q64:X64)-T64+T66)*$AB$13,"")</f>
        <v>0</v>
      </c>
      <c r="AC64" s="201">
        <f>IFERROR(((SUM(Q64:V64,IF(X69&gt;AA64,AVERAGE(X69,AA64),AA64))-T64+T66))*$AB$13,"")</f>
        <v>0</v>
      </c>
      <c r="AD64" s="202" t="str">
        <f>IFERROR((J64*K64*$BV$14),"")</f>
        <v/>
      </c>
      <c r="AE64" s="202">
        <f>IFERROR($AE$13*AK64,"")</f>
        <v>6.4010592649919984E-2</v>
      </c>
      <c r="AF64" s="203" t="str">
        <f>IFERROR(($CI$11+$CI$13)*W68,"")</f>
        <v/>
      </c>
      <c r="AG64" s="202">
        <f>IFERROR((SUM(Q64:X64,AB64,AD64,AF64)-T64+T66)*$AG$13,"")</f>
        <v>0</v>
      </c>
      <c r="AH64" s="202">
        <f>IFERROR((SUM(Q64:V64,(IF(X69&gt;AA64,AVERAGE(X69,AA64),AA64)),AC64,AE64,AF64)-T64+T66)*$AG$13,"")</f>
        <v>3.2005296324959992E-2</v>
      </c>
      <c r="AI64" s="204">
        <f>IFERROR(AL64*$AI$13,"")</f>
        <v>2.1531093279999997E-2</v>
      </c>
      <c r="AJ64" s="204">
        <f>IFERROR($AJ$13*AL64,"")</f>
        <v>6.007175025119999E-3</v>
      </c>
      <c r="AK64" s="205">
        <f>IFERROR(SUM(Q64:X64,AB64,AD64,AG64,AF64)/(1-$AI$13)+(1-$AJ$13)-T64+T66,"")</f>
        <v>0.99441999999999997</v>
      </c>
      <c r="AL64" s="205">
        <f>IFERROR(SUM(Q64:V64,AC64,(IF(AD64&gt;AE64,AVERAGE(AD64,AE64),AE64)),AF64,,AH64,(IF(SUM(X69)&gt;AA64,AVERAGE(AA64,X69),AA64)))/(1-$AJ$13)+(1-$AI$13)-T64+T66,"")</f>
        <v>1.0765546639999999</v>
      </c>
      <c r="AM64" s="206">
        <f>$M$15*Q64</f>
        <v>0</v>
      </c>
      <c r="AN64" s="207">
        <f>$M$15*R64</f>
        <v>0</v>
      </c>
      <c r="AO64" s="208">
        <f>$M$15*S64</f>
        <v>0</v>
      </c>
      <c r="AP64" s="207">
        <f>$M$15*T64</f>
        <v>0</v>
      </c>
      <c r="AQ64" s="207" t="e">
        <f>$M$15*#REF!</f>
        <v>#REF!</v>
      </c>
      <c r="AR64" s="207">
        <f>$M$15*U64</f>
        <v>0</v>
      </c>
      <c r="AS64" s="208" t="e">
        <f>$M$15*V64</f>
        <v>#VALUE!</v>
      </c>
      <c r="AT64" s="207" t="e">
        <f>$M$15*W64</f>
        <v>#VALUE!</v>
      </c>
      <c r="AU64" s="208" t="e">
        <f>$M$15*X64</f>
        <v>#VALUE!</v>
      </c>
      <c r="AV64" s="207">
        <f>$M$15*AB64</f>
        <v>0</v>
      </c>
      <c r="AW64" s="208">
        <f>$M$15*AE64</f>
        <v>0</v>
      </c>
      <c r="AX64" s="207">
        <f>$M$15*AG64</f>
        <v>0</v>
      </c>
      <c r="AY64" s="209">
        <f>$M$15*AI64</f>
        <v>0</v>
      </c>
      <c r="AZ64" s="207">
        <f>$M$15*AK64</f>
        <v>0</v>
      </c>
      <c r="BA64" s="210"/>
      <c r="BB64" s="175" t="s">
        <v>23</v>
      </c>
      <c r="BC64" s="211" t="s">
        <v>113</v>
      </c>
      <c r="BD64" s="210"/>
      <c r="BE64" s="212"/>
      <c r="BF64" s="213">
        <f>IF(BH65="NO",((2*J64)+(2*K64))*'BD GN'!$AU$3,((3*J64)+(2*K64))*'BD GN'!$AU$3)</f>
        <v>0</v>
      </c>
      <c r="BG64" s="213">
        <f>'BD GN'!$BB$3*J64*K64</f>
        <v>0</v>
      </c>
      <c r="BH64" s="214">
        <f>((J64*2*BE64)+(K64*2*BE64))*'BD GN'!$AN$4</f>
        <v>0</v>
      </c>
      <c r="BI64" s="210"/>
      <c r="BJ64" s="212"/>
      <c r="BK64" s="212"/>
      <c r="BL64" s="215">
        <f>J64*K64*2.5*BJ64</f>
        <v>0</v>
      </c>
      <c r="BM64" s="215">
        <f>BK64+BL64</f>
        <v>0</v>
      </c>
      <c r="BN64" s="216" t="str">
        <f>IFERROR((VLOOKUP($C$12,'BD GN'!BD:BM,10,FALSE)*BM64)+$BR$338,"")</f>
        <v/>
      </c>
      <c r="BO64" s="210"/>
      <c r="BW64" s="210"/>
      <c r="CD64" s="184"/>
      <c r="CF64" s="185"/>
      <c r="CI64" s="184"/>
      <c r="CJ64" s="210"/>
      <c r="CK64" s="565"/>
      <c r="CL64" s="256"/>
      <c r="CM64" s="596"/>
      <c r="CN64" s="626"/>
      <c r="CO64" s="629"/>
      <c r="CP64" s="629"/>
      <c r="CQ64" s="629"/>
      <c r="CR64" s="629"/>
      <c r="CS64" s="629"/>
      <c r="CT64" s="632"/>
      <c r="CU64" s="565"/>
      <c r="CV64" s="560">
        <f>IFERROR(N64*CU64,"")</f>
        <v>0</v>
      </c>
      <c r="CW64" s="565"/>
      <c r="CX64" s="560">
        <f>IFERROR(P64*CW64,"")</f>
        <v>0</v>
      </c>
      <c r="CY64" s="565"/>
      <c r="CZ64" s="560">
        <f>IFERROR(R64*CY64,"")</f>
        <v>0</v>
      </c>
      <c r="DA64" s="565">
        <f t="shared" ref="DA64" si="156">CU64+CW64+CY64</f>
        <v>0</v>
      </c>
      <c r="DB64" s="560">
        <f t="shared" ref="DB64" si="157">IFERROR(CV64+CX64+CZ64,"")</f>
        <v>0</v>
      </c>
      <c r="DC64" s="565">
        <f>M64-(CU64+CW64+CY64)</f>
        <v>0</v>
      </c>
      <c r="DD64" s="560">
        <f>IFERROR(O64-(CV64+CX64+CZ64),"")</f>
        <v>0</v>
      </c>
      <c r="DG64" s="575"/>
      <c r="DH64" s="575"/>
      <c r="DI64" s="569">
        <f t="shared" ref="DI64" si="158">IFERROR(IF(DG64&gt;0,(((N64)/(1+10%+19%*5%)+((N64)/(1+10%+19%*5%))*10%)*DH64),0),0)</f>
        <v>0</v>
      </c>
      <c r="DJ64" s="569">
        <f t="shared" ref="DJ64" si="159">IFERROR(IF(DG64&gt;0,(N64*DH64),0),0)</f>
        <v>0</v>
      </c>
      <c r="DK64" s="569">
        <f t="shared" ref="DK64" si="160">IF(DG64&gt;0,((R64+T64)*DH64),0)</f>
        <v>0</v>
      </c>
      <c r="DL64" s="569">
        <f t="shared" ref="DL64" si="161">IF(DG64&gt;0,(Q64*DH64),0)</f>
        <v>0</v>
      </c>
      <c r="DM64" s="572">
        <f t="shared" ref="DM64" si="162">IF(DG64&gt;0,(S64*DH64),0)</f>
        <v>0</v>
      </c>
      <c r="DN64" s="569">
        <f t="shared" ref="DN64" si="163">IF(DG64&gt;0,(BN64*DH64),0)</f>
        <v>0</v>
      </c>
      <c r="DO64" s="569">
        <f t="shared" ref="DO64" si="164">IF(DG64&gt;0,(AF64*DH64),0)</f>
        <v>0</v>
      </c>
      <c r="DP64" s="569">
        <f>IF(DG64&gt;0,((DI64)*('BD P&amp;G'!$E$16+'BD P&amp;G'!$E$17+'BD P&amp;G'!$E$18+'BD P&amp;G'!$E$19+'BD P&amp;G'!$E$20+'BD P&amp;G'!$E$21+'BD P&amp;G'!$E$22+'BD P&amp;G'!$E$23)*DH64),0)</f>
        <v>0</v>
      </c>
      <c r="DQ64" s="569">
        <f>IFERROR(IF(DG64&gt;0,((DI64*'BD P&amp;G'!$E$7)+(DI64*'BD P&amp;G'!$E$9)+AI64),0),0)</f>
        <v>0</v>
      </c>
      <c r="DR64" s="569">
        <f t="shared" ref="DR64" si="165">IFERROR(IF(DG64&gt;0,((DI64*1%)),0),0)</f>
        <v>0</v>
      </c>
      <c r="DS64" s="569">
        <f>IFERROR(IF(DG64&gt;0,(((DI64*'BD P&amp;G'!$E$32+DI64*'BD P&amp;G'!$E$33+DI64*'BD P&amp;G'!$E$35+DI64*'BD P&amp;G'!$E$36+DI64*'BD P&amp;G'!$E$37))),0),0)</f>
        <v>0</v>
      </c>
      <c r="DT64" s="569">
        <f t="shared" ref="DT64" si="166">IF(DG64&gt;0,(Y64*DH64),0)</f>
        <v>0</v>
      </c>
      <c r="DU64" s="569">
        <f t="shared" ref="DU64" si="167">IF(DG64&gt;0,(Z64*DH64),0)</f>
        <v>0</v>
      </c>
      <c r="DV64" s="575">
        <f t="shared" ref="DV64" si="168">IF(DG64&gt;0,(Y68*DH64),0)</f>
        <v>0</v>
      </c>
      <c r="DW64" s="575">
        <f t="shared" ref="DW64" si="169">IF(DG64&gt;0,(Z68*DH64),0)</f>
        <v>0</v>
      </c>
      <c r="DX64" s="569">
        <f t="shared" ref="DX64" si="170">IF(DV64&gt;0,DJ64,0)</f>
        <v>0</v>
      </c>
      <c r="DY64" s="569">
        <f t="shared" ref="DY64" si="171">IF(DW64&gt;0,DJ64,0)</f>
        <v>0</v>
      </c>
    </row>
    <row r="65" spans="1:194" s="175" customFormat="1" ht="60" customHeight="1" x14ac:dyDescent="0.25">
      <c r="A65" s="366"/>
      <c r="B65" s="367"/>
      <c r="C65" s="393" t="s">
        <v>28</v>
      </c>
      <c r="D65" s="598"/>
      <c r="E65" s="598"/>
      <c r="F65" s="598"/>
      <c r="G65" s="598"/>
      <c r="H65" s="598"/>
      <c r="I65" s="598"/>
      <c r="J65" s="604"/>
      <c r="K65" s="604"/>
      <c r="L65" s="607"/>
      <c r="M65" s="559"/>
      <c r="N65" s="610"/>
      <c r="O65" s="613"/>
      <c r="P65" s="192"/>
      <c r="Q65" s="217"/>
      <c r="R65" s="217"/>
      <c r="S65" s="218"/>
      <c r="T65" s="219">
        <f>IFERROR(T64/$R$353,"")</f>
        <v>0</v>
      </c>
      <c r="U65" s="206"/>
      <c r="V65" s="220"/>
      <c r="W65" s="221" t="s">
        <v>239</v>
      </c>
      <c r="X65" s="222" t="s">
        <v>204</v>
      </c>
      <c r="Y65" s="223"/>
      <c r="Z65" s="224"/>
      <c r="AA65" s="225"/>
      <c r="AB65" s="226"/>
      <c r="AC65" s="206"/>
      <c r="AD65" s="206"/>
      <c r="AE65" s="206"/>
      <c r="AF65" s="227"/>
      <c r="AG65" s="206"/>
      <c r="AH65" s="206"/>
      <c r="AI65" s="206"/>
      <c r="AJ65" s="206"/>
      <c r="AK65" s="227"/>
      <c r="AL65" s="210"/>
      <c r="AM65" s="206"/>
      <c r="AN65" s="206"/>
      <c r="AO65" s="228"/>
      <c r="AP65" s="229"/>
      <c r="AQ65" s="206"/>
      <c r="AR65" s="206"/>
      <c r="AS65" s="228"/>
      <c r="AT65" s="229"/>
      <c r="AU65" s="228"/>
      <c r="AV65" s="229"/>
      <c r="AW65" s="228"/>
      <c r="AX65" s="229"/>
      <c r="AY65" s="206"/>
      <c r="AZ65" s="229"/>
      <c r="BA65" s="210"/>
      <c r="BB65" s="175" t="s">
        <v>24</v>
      </c>
      <c r="BC65" s="175" t="s">
        <v>114</v>
      </c>
      <c r="BD65" s="210"/>
      <c r="BE65" s="176" t="s">
        <v>206</v>
      </c>
      <c r="BF65" s="230" t="s">
        <v>204</v>
      </c>
      <c r="BG65" s="176" t="s">
        <v>290</v>
      </c>
      <c r="BH65" s="231" t="s">
        <v>204</v>
      </c>
      <c r="BI65" s="210"/>
      <c r="BN65" s="232"/>
      <c r="BO65" s="210"/>
      <c r="BV65" s="184"/>
      <c r="BW65" s="210"/>
      <c r="CD65" s="184"/>
      <c r="CF65" s="185"/>
      <c r="CI65" s="184"/>
      <c r="CJ65" s="210"/>
      <c r="CK65" s="563"/>
      <c r="CM65" s="559"/>
      <c r="CN65" s="627"/>
      <c r="CO65" s="630"/>
      <c r="CP65" s="630"/>
      <c r="CQ65" s="630"/>
      <c r="CR65" s="630"/>
      <c r="CS65" s="630"/>
      <c r="CT65" s="633"/>
      <c r="CU65" s="563"/>
      <c r="CV65" s="561"/>
      <c r="CW65" s="563"/>
      <c r="CX65" s="561"/>
      <c r="CY65" s="563"/>
      <c r="CZ65" s="561"/>
      <c r="DA65" s="563"/>
      <c r="DB65" s="561"/>
      <c r="DC65" s="563"/>
      <c r="DD65" s="561"/>
      <c r="DG65" s="576"/>
      <c r="DH65" s="576"/>
      <c r="DI65" s="570"/>
      <c r="DJ65" s="570"/>
      <c r="DK65" s="570"/>
      <c r="DL65" s="570"/>
      <c r="DM65" s="573"/>
      <c r="DN65" s="570"/>
      <c r="DO65" s="570"/>
      <c r="DP65" s="570"/>
      <c r="DQ65" s="570"/>
      <c r="DR65" s="570"/>
      <c r="DS65" s="570"/>
      <c r="DT65" s="570"/>
      <c r="DU65" s="570"/>
      <c r="DV65" s="576"/>
      <c r="DW65" s="576"/>
      <c r="DX65" s="570"/>
      <c r="DY65" s="570"/>
    </row>
    <row r="66" spans="1:194" s="175" customFormat="1" ht="60" customHeight="1" x14ac:dyDescent="0.3">
      <c r="A66" s="366"/>
      <c r="B66" s="367"/>
      <c r="C66" s="393" t="s">
        <v>30</v>
      </c>
      <c r="D66" s="599"/>
      <c r="E66" s="599"/>
      <c r="F66" s="599"/>
      <c r="G66" s="599"/>
      <c r="H66" s="599"/>
      <c r="I66" s="599"/>
      <c r="J66" s="604"/>
      <c r="K66" s="604"/>
      <c r="L66" s="607"/>
      <c r="M66" s="559"/>
      <c r="N66" s="610"/>
      <c r="O66" s="613"/>
      <c r="P66" s="192"/>
      <c r="Q66" s="176" t="s">
        <v>205</v>
      </c>
      <c r="R66" s="233" t="s">
        <v>204</v>
      </c>
      <c r="S66" s="234"/>
      <c r="T66" s="235">
        <f>IFERROR(($R$353-8000)*T65,"")</f>
        <v>0</v>
      </c>
      <c r="U66" s="206"/>
      <c r="V66" s="220"/>
      <c r="W66" s="221" t="s">
        <v>258</v>
      </c>
      <c r="X66" s="222" t="s">
        <v>204</v>
      </c>
      <c r="Y66" s="236"/>
      <c r="Z66" s="237"/>
      <c r="AA66" s="225"/>
      <c r="AB66" s="226"/>
      <c r="AC66" s="206"/>
      <c r="AD66" s="206"/>
      <c r="AE66" s="206"/>
      <c r="AF66" s="227"/>
      <c r="AG66" s="206"/>
      <c r="AH66" s="206"/>
      <c r="AI66" s="206"/>
      <c r="AJ66" s="206"/>
      <c r="AK66" s="227"/>
      <c r="AL66" s="238"/>
      <c r="AM66" s="206"/>
      <c r="AN66" s="206"/>
      <c r="AO66" s="228"/>
      <c r="AP66" s="229"/>
      <c r="AQ66" s="206"/>
      <c r="AR66" s="206"/>
      <c r="AS66" s="228"/>
      <c r="AT66" s="229"/>
      <c r="AU66" s="228"/>
      <c r="AV66" s="229"/>
      <c r="AW66" s="228"/>
      <c r="AX66" s="229"/>
      <c r="AY66" s="206"/>
      <c r="AZ66" s="229"/>
      <c r="BA66" s="210"/>
      <c r="BB66" s="175" t="s">
        <v>26</v>
      </c>
      <c r="BC66" s="211" t="s">
        <v>115</v>
      </c>
      <c r="BD66" s="210"/>
      <c r="BE66" s="177" t="str">
        <f>IFERROR(VLOOKUP(D64,'BD M.O'!C:H,4,FALSE),"")</f>
        <v/>
      </c>
      <c r="BF66" s="177" t="s">
        <v>259</v>
      </c>
      <c r="BI66" s="210"/>
      <c r="BO66" s="210"/>
      <c r="BV66" s="184"/>
      <c r="BW66" s="210"/>
      <c r="CD66" s="184"/>
      <c r="CF66" s="185"/>
      <c r="CI66" s="184"/>
      <c r="CJ66" s="210"/>
      <c r="CK66" s="563"/>
      <c r="CM66" s="559"/>
      <c r="CN66" s="627"/>
      <c r="CO66" s="630"/>
      <c r="CP66" s="630"/>
      <c r="CQ66" s="630"/>
      <c r="CR66" s="630"/>
      <c r="CS66" s="630"/>
      <c r="CT66" s="633"/>
      <c r="CU66" s="563"/>
      <c r="CV66" s="561"/>
      <c r="CW66" s="563"/>
      <c r="CX66" s="561"/>
      <c r="CY66" s="563"/>
      <c r="CZ66" s="561"/>
      <c r="DA66" s="563"/>
      <c r="DB66" s="561"/>
      <c r="DC66" s="563"/>
      <c r="DD66" s="561"/>
      <c r="DG66" s="577"/>
      <c r="DH66" s="577"/>
      <c r="DI66" s="571"/>
      <c r="DJ66" s="571"/>
      <c r="DK66" s="571"/>
      <c r="DL66" s="571"/>
      <c r="DM66" s="574"/>
      <c r="DN66" s="571"/>
      <c r="DO66" s="571"/>
      <c r="DP66" s="571"/>
      <c r="DQ66" s="571"/>
      <c r="DR66" s="571"/>
      <c r="DS66" s="571"/>
      <c r="DT66" s="571"/>
      <c r="DU66" s="571"/>
      <c r="DV66" s="577"/>
      <c r="DW66" s="577"/>
      <c r="DX66" s="571"/>
      <c r="DY66" s="571"/>
    </row>
    <row r="67" spans="1:194" s="175" customFormat="1" ht="60" customHeight="1" x14ac:dyDescent="0.25">
      <c r="A67" s="366"/>
      <c r="B67" s="367"/>
      <c r="C67" s="395" t="s">
        <v>180</v>
      </c>
      <c r="D67" s="599" t="s">
        <v>31</v>
      </c>
      <c r="E67" s="599"/>
      <c r="F67" s="394" t="s">
        <v>9</v>
      </c>
      <c r="G67" s="599" t="s">
        <v>33</v>
      </c>
      <c r="H67" s="599"/>
      <c r="I67" s="394" t="str">
        <f>+IF($BG$9="SI","","X")</f>
        <v>X</v>
      </c>
      <c r="J67" s="604"/>
      <c r="K67" s="604"/>
      <c r="L67" s="607"/>
      <c r="M67" s="559"/>
      <c r="N67" s="610"/>
      <c r="O67" s="613"/>
      <c r="P67" s="192"/>
      <c r="Q67" s="239"/>
      <c r="R67" s="221" t="s">
        <v>209</v>
      </c>
      <c r="S67" s="234" t="str">
        <f>IF(S65="","",S65/(J64*K64))</f>
        <v/>
      </c>
      <c r="T67" s="226"/>
      <c r="U67" s="206"/>
      <c r="V67" s="220"/>
      <c r="W67" s="239" t="str">
        <f>IFERROR(IF(X66="SI",VLOOKUP(D64,'BD M.O'!C:F,4,FALSE),""),"")</f>
        <v/>
      </c>
      <c r="X67" s="221" t="s">
        <v>258</v>
      </c>
      <c r="Y67" s="221" t="s">
        <v>507</v>
      </c>
      <c r="Z67" s="221" t="s">
        <v>508</v>
      </c>
      <c r="AA67" s="225"/>
      <c r="AB67" s="226"/>
      <c r="AC67" s="206"/>
      <c r="AD67" s="206"/>
      <c r="AE67" s="206"/>
      <c r="AF67" s="227"/>
      <c r="AG67" s="206"/>
      <c r="AH67" s="206"/>
      <c r="AI67" s="206"/>
      <c r="AJ67" s="206"/>
      <c r="AK67" s="227"/>
      <c r="AL67" s="240"/>
      <c r="AM67" s="206"/>
      <c r="AN67" s="206"/>
      <c r="AO67" s="228"/>
      <c r="AP67" s="229"/>
      <c r="AQ67" s="206"/>
      <c r="AR67" s="206"/>
      <c r="AS67" s="228"/>
      <c r="AT67" s="229"/>
      <c r="AU67" s="228"/>
      <c r="AV67" s="229"/>
      <c r="AW67" s="228"/>
      <c r="AX67" s="229"/>
      <c r="AY67" s="206"/>
      <c r="AZ67" s="229"/>
      <c r="BA67" s="210"/>
      <c r="BC67" s="175" t="s">
        <v>116</v>
      </c>
      <c r="BD67" s="210"/>
      <c r="BE67" s="177" t="str">
        <f>IFERROR(VLOOKUP(COTIZACIÓN!D64,'BD M.O'!C:I,5,FALSE),"")</f>
        <v/>
      </c>
      <c r="BF67" s="177" t="s">
        <v>260</v>
      </c>
      <c r="BI67" s="210"/>
      <c r="BO67" s="210"/>
      <c r="BP67" s="183"/>
      <c r="BQ67" s="183"/>
      <c r="BR67" s="183"/>
      <c r="BS67" s="183"/>
      <c r="BT67" s="183"/>
      <c r="BU67" s="183"/>
      <c r="BV67" s="182"/>
      <c r="BW67" s="210"/>
      <c r="BX67" s="183"/>
      <c r="BY67" s="183"/>
      <c r="BZ67" s="183"/>
      <c r="CA67" s="183"/>
      <c r="CB67" s="183"/>
      <c r="CC67" s="183"/>
      <c r="CD67" s="182"/>
      <c r="CE67" s="183"/>
      <c r="CF67" s="241"/>
      <c r="CG67" s="183"/>
      <c r="CH67" s="183"/>
      <c r="CI67" s="182"/>
      <c r="CJ67" s="210"/>
      <c r="CK67" s="563"/>
      <c r="CM67" s="559"/>
      <c r="CN67" s="627"/>
      <c r="CO67" s="630"/>
      <c r="CP67" s="630"/>
      <c r="CQ67" s="630"/>
      <c r="CR67" s="630"/>
      <c r="CS67" s="630"/>
      <c r="CT67" s="633"/>
      <c r="CU67" s="563"/>
      <c r="CV67" s="561"/>
      <c r="CW67" s="563"/>
      <c r="CX67" s="561"/>
      <c r="CY67" s="563"/>
      <c r="CZ67" s="561"/>
      <c r="DA67" s="563"/>
      <c r="DB67" s="561"/>
      <c r="DC67" s="563"/>
      <c r="DD67" s="561"/>
      <c r="DG67" s="575"/>
      <c r="DH67" s="575"/>
      <c r="DI67" s="569">
        <f t="shared" ref="DI67" si="172">IFERROR(IF(DG67&gt;0,(((N64)/(1+10%+19%*5%)+((N64)/(1+10%+19%*5%))*10%)*DH67),0),0)</f>
        <v>0</v>
      </c>
      <c r="DJ67" s="569">
        <f t="shared" ref="DJ67" si="173">IFERROR(IF(DG67&gt;0,(N64*DH67),0),0)</f>
        <v>0</v>
      </c>
      <c r="DK67" s="569">
        <f t="shared" ref="DK67" si="174">IF(DG67&gt;0,((R64+T64)*DH67),0)</f>
        <v>0</v>
      </c>
      <c r="DL67" s="569">
        <f t="shared" ref="DL67" si="175">IF(DG67&gt;0,(Q64*DH67),0)</f>
        <v>0</v>
      </c>
      <c r="DM67" s="572">
        <f t="shared" ref="DM67" si="176">IF(DG67&gt;0,(S64*DH67),0)</f>
        <v>0</v>
      </c>
      <c r="DN67" s="569">
        <f t="shared" ref="DN67" si="177">IF(DG67&gt;0,(BN64*DH67),0)</f>
        <v>0</v>
      </c>
      <c r="DO67" s="569">
        <f t="shared" ref="DO67" si="178">IF(DG67&gt;0,(AF64*DH67),0)</f>
        <v>0</v>
      </c>
      <c r="DP67" s="569">
        <f>IF(DG67&gt;0,((DI67)*('BD P&amp;G'!$E$16+'BD P&amp;G'!$E$17+'BD P&amp;G'!$E$18+'BD P&amp;G'!$E$19+'BD P&amp;G'!$E$20+'BD P&amp;G'!$E$21+'BD P&amp;G'!$E$22+'BD P&amp;G'!$E$23)*DH67),0)</f>
        <v>0</v>
      </c>
      <c r="DQ67" s="569">
        <f>IFERROR(IF(DG67&gt;0,((DI67*'BD P&amp;G'!$E$7)+(DI67*'BD P&amp;G'!$E$9)+AI64),0),0)</f>
        <v>0</v>
      </c>
      <c r="DR67" s="569">
        <f t="shared" ref="DR67" si="179">IFERROR(IF(DG67&gt;0,((DI67*1%)),0),0)</f>
        <v>0</v>
      </c>
      <c r="DS67" s="569">
        <f>IFERROR(IF(DG67&gt;0,(((DI67*'BD P&amp;G'!$E$32+DI67*'BD P&amp;G'!$E$33+DI67*'BD P&amp;G'!$E$35+DI67*'BD P&amp;G'!$E$36+DI67*'BD P&amp;G'!$E$37))),0),0)</f>
        <v>0</v>
      </c>
      <c r="DT67" s="569">
        <f t="shared" ref="DT67" si="180">IF(DG67&gt;0,(Y64*DH67),0)</f>
        <v>0</v>
      </c>
      <c r="DU67" s="569">
        <f t="shared" ref="DU67" si="181">IF(DG67&gt;0,(Z64*DH67),0)</f>
        <v>0</v>
      </c>
      <c r="DV67" s="575">
        <f t="shared" ref="DV67" si="182">IF(DG67&gt;0,(Y68*DH67),0)</f>
        <v>0</v>
      </c>
      <c r="DW67" s="575">
        <f t="shared" ref="DW67" si="183">IF(DG67&gt;0,(Z68*DH67),0)</f>
        <v>0</v>
      </c>
      <c r="DX67" s="569">
        <f t="shared" ref="DX67" si="184">IF(DV67&gt;0,DJ67,0)</f>
        <v>0</v>
      </c>
      <c r="DY67" s="569">
        <f t="shared" ref="DY67" si="185">IF(DW67&gt;0,DJ67,0)</f>
        <v>0</v>
      </c>
    </row>
    <row r="68" spans="1:194" s="175" customFormat="1" ht="60" customHeight="1" x14ac:dyDescent="0.3">
      <c r="A68" s="366"/>
      <c r="B68" s="367"/>
      <c r="C68" s="393" t="s">
        <v>35</v>
      </c>
      <c r="D68" s="599" t="str">
        <f>IFERROR(VLOOKUP(D64,'BD GN'!C:E,3,),"")</f>
        <v/>
      </c>
      <c r="E68" s="599"/>
      <c r="F68" s="599"/>
      <c r="G68" s="599"/>
      <c r="H68" s="599"/>
      <c r="I68" s="599"/>
      <c r="J68" s="604"/>
      <c r="K68" s="604"/>
      <c r="L68" s="607"/>
      <c r="M68" s="559"/>
      <c r="N68" s="610"/>
      <c r="O68" s="613"/>
      <c r="P68" s="192"/>
      <c r="Q68" s="239"/>
      <c r="R68" s="221" t="s">
        <v>210</v>
      </c>
      <c r="S68" s="234" t="str">
        <f>IFERROR(IF(N64="","",N64/W68),"")</f>
        <v/>
      </c>
      <c r="T68" s="226"/>
      <c r="U68" s="206"/>
      <c r="V68" s="220"/>
      <c r="W68" s="242" t="str">
        <f>+IF(J64*K64&gt;=1,J64*K64,IF(AND(J64*K64&gt;0,J64*K64&lt;1),1,""))</f>
        <v/>
      </c>
      <c r="X68" s="221" t="s">
        <v>298</v>
      </c>
      <c r="Y68" s="461">
        <f>IFERROR(IF(D64='BD GN'!$C$25,COTIZACIÓN!W68,IF(D64='BD GN'!$C$26,COTIZACIÓN!W68,IF(D64='BD GN'!$C$27,COTIZACIÓN!W68,IF(COTIZACIÓN!D64='BD GN'!$C$28,COTIZACIÓN!W68,IF(COTIZACIÓN!D64='BD GN'!$C$29,COTIZACIÓN!W68,IF(COTIZACIÓN!D64='BD GN'!$C$35,COTIZACIÓN!W68,IF(COTIZACIÓN!D64='BD GN'!$C$36,COTIZACIÓN!W68,IF(COTIZACIÓN!D64='BD GN'!$C$37,COTIZACIÓN!W68,IF(COTIZACIÓN!D64='BD GN'!$C$38,COTIZACIÓN!W68,IF(COTIZACIÓN!D64='BD GN'!$C$39,COTIZACIÓN!W68,IF(COTIZACIÓN!D64='BD GN'!$C$40,COTIZACIÓN!W68,IF(COTIZACIÓN!D64='BD GN'!$C$41,COTIZACIÓN!W68,IF(COTIZACIÓN!D64='BD GN'!$C$42,COTIZACIÓN!W68,IF(COTIZACIÓN!D64='BD GN'!$C$49,COTIZACIÓN!W68,IF(COTIZACIÓN!D64='BD GN'!$C$50,COTIZACIÓN!W68,IF(COTIZACIÓN!D64='BD GN'!$C$51,COTIZACIÓN!W68,IF(COTIZACIÓN!D64='BD GN'!$C$67,COTIZACIÓN!W68,0))))))))))))))))),0)</f>
        <v>0</v>
      </c>
      <c r="Z68" s="461">
        <f>IFERROR(W68-Y68,0)</f>
        <v>0</v>
      </c>
      <c r="AA68" s="225"/>
      <c r="AB68" s="226"/>
      <c r="AC68" s="206"/>
      <c r="AD68" s="206"/>
      <c r="AE68" s="206"/>
      <c r="AF68" s="227"/>
      <c r="AG68" s="206"/>
      <c r="AH68" s="206"/>
      <c r="AI68" s="206"/>
      <c r="AJ68" s="206"/>
      <c r="AK68" s="227"/>
      <c r="AL68" s="210"/>
      <c r="AM68" s="206"/>
      <c r="AN68" s="206"/>
      <c r="AO68" s="228"/>
      <c r="AP68" s="229"/>
      <c r="AQ68" s="206"/>
      <c r="AR68" s="206"/>
      <c r="AS68" s="228"/>
      <c r="AT68" s="229"/>
      <c r="AU68" s="228"/>
      <c r="AV68" s="229"/>
      <c r="AW68" s="228"/>
      <c r="AX68" s="229"/>
      <c r="AY68" s="206"/>
      <c r="AZ68" s="229"/>
      <c r="BA68" s="210"/>
      <c r="BC68" s="211" t="s">
        <v>117</v>
      </c>
      <c r="BD68" s="210"/>
      <c r="BE68" s="177" t="str">
        <f>IFERROR(VLOOKUP(D64,'BD M.O'!C:I,6,FALSE),"")</f>
        <v/>
      </c>
      <c r="BF68" s="177" t="s">
        <v>261</v>
      </c>
      <c r="BI68" s="210"/>
      <c r="BO68" s="210"/>
      <c r="BP68" s="183"/>
      <c r="BQ68" s="183"/>
      <c r="BR68" s="183"/>
      <c r="BW68" s="210"/>
      <c r="CD68" s="184"/>
      <c r="CF68" s="185"/>
      <c r="CI68" s="184"/>
      <c r="CJ68" s="210"/>
      <c r="CK68" s="563"/>
      <c r="CM68" s="559"/>
      <c r="CN68" s="627"/>
      <c r="CO68" s="630"/>
      <c r="CP68" s="630"/>
      <c r="CQ68" s="630"/>
      <c r="CR68" s="630"/>
      <c r="CS68" s="630"/>
      <c r="CT68" s="633"/>
      <c r="CU68" s="563"/>
      <c r="CV68" s="561"/>
      <c r="CW68" s="563"/>
      <c r="CX68" s="561"/>
      <c r="CY68" s="563"/>
      <c r="CZ68" s="561"/>
      <c r="DA68" s="563"/>
      <c r="DB68" s="561"/>
      <c r="DC68" s="563"/>
      <c r="DD68" s="561"/>
      <c r="DG68" s="576"/>
      <c r="DH68" s="576"/>
      <c r="DI68" s="570"/>
      <c r="DJ68" s="570"/>
      <c r="DK68" s="570"/>
      <c r="DL68" s="570"/>
      <c r="DM68" s="573"/>
      <c r="DN68" s="570"/>
      <c r="DO68" s="570"/>
      <c r="DP68" s="570"/>
      <c r="DQ68" s="570"/>
      <c r="DR68" s="570"/>
      <c r="DS68" s="570"/>
      <c r="DT68" s="570"/>
      <c r="DU68" s="570"/>
      <c r="DV68" s="576"/>
      <c r="DW68" s="576"/>
      <c r="DX68" s="570"/>
      <c r="DY68" s="570"/>
    </row>
    <row r="69" spans="1:194" s="252" customFormat="1" ht="60" customHeight="1" x14ac:dyDescent="0.25">
      <c r="A69" s="368"/>
      <c r="B69" s="369"/>
      <c r="C69" s="396" t="s">
        <v>10</v>
      </c>
      <c r="D69" s="645" t="s">
        <v>32</v>
      </c>
      <c r="E69" s="645"/>
      <c r="F69" s="645"/>
      <c r="G69" s="645"/>
      <c r="H69" s="645"/>
      <c r="I69" s="645"/>
      <c r="J69" s="643"/>
      <c r="K69" s="643"/>
      <c r="L69" s="646"/>
      <c r="M69" s="648"/>
      <c r="N69" s="649"/>
      <c r="O69" s="644"/>
      <c r="P69" s="192"/>
      <c r="Q69" s="239"/>
      <c r="R69" s="334" t="s">
        <v>475</v>
      </c>
      <c r="S69" s="234" t="str">
        <f>IFERROR(IF($C$12='BD GN'!$CC$1,VLOOKUP(COTIZACIÓN!D64,'BD GN'!CB:CG,2,FALSE),IF(COTIZACIÓN!$C$12='BD GN'!$CD$1,VLOOKUP(COTIZACIÓN!D64,'BD GN'!CB:CG,3,FALSE),IF($C$12='BD GN'!$CE$1,VLOOKUP(COTIZACIÓN!D64,'BD GN'!CB:CG,4,FALSE),IF(COTIZACIÓN!$C$12='BD GN'!$CF$1,VLOOKUP(COTIZACIÓN!D64,'BD GN'!CB:CG,5,FALSE),IF(COTIZACIÓN!$C$12='BD GN'!$CG$1,VLOOKUP(COTIZACIÓN!D64,'BD GN'!CB:CG,6,FALSE),""))))),"-")</f>
        <v/>
      </c>
      <c r="T69" s="243"/>
      <c r="U69" s="244"/>
      <c r="V69" s="245"/>
      <c r="W69" s="177" t="s">
        <v>394</v>
      </c>
      <c r="X69" s="246">
        <f>IFERROR(SUM(W64:X64),"")</f>
        <v>0</v>
      </c>
      <c r="Y69" s="166" t="s">
        <v>404</v>
      </c>
      <c r="Z69" s="199" t="str">
        <f>IFERROR(Y64+Z64,"")</f>
        <v/>
      </c>
      <c r="AA69" s="247"/>
      <c r="AB69" s="243"/>
      <c r="AC69" s="244"/>
      <c r="AD69" s="244"/>
      <c r="AE69" s="244"/>
      <c r="AF69" s="227"/>
      <c r="AG69" s="206"/>
      <c r="AH69" s="206"/>
      <c r="AI69" s="206"/>
      <c r="AJ69" s="206"/>
      <c r="AK69" s="227"/>
      <c r="AL69" s="227"/>
      <c r="AM69" s="248"/>
      <c r="AN69" s="248"/>
      <c r="AO69" s="249"/>
      <c r="AP69" s="250"/>
      <c r="AQ69" s="248"/>
      <c r="AR69" s="248"/>
      <c r="AS69" s="249"/>
      <c r="AT69" s="250"/>
      <c r="AU69" s="249"/>
      <c r="AV69" s="250"/>
      <c r="AW69" s="249"/>
      <c r="AX69" s="250"/>
      <c r="AY69" s="248"/>
      <c r="AZ69" s="250"/>
      <c r="BA69" s="210"/>
      <c r="BB69" s="175"/>
      <c r="BC69" s="175" t="s">
        <v>118</v>
      </c>
      <c r="BD69" s="210"/>
      <c r="BE69" s="251" t="str">
        <f>IFERROR(VLOOKUP(D64,'BD M.O'!C:I,7,FALSE),"")</f>
        <v/>
      </c>
      <c r="BF69" s="251" t="s">
        <v>262</v>
      </c>
      <c r="BG69" s="175"/>
      <c r="BH69" s="175"/>
      <c r="BI69" s="210"/>
      <c r="BJ69" s="175"/>
      <c r="BK69" s="175"/>
      <c r="BL69" s="175"/>
      <c r="BM69" s="175"/>
      <c r="BN69" s="175"/>
      <c r="BO69" s="210"/>
      <c r="BP69" s="175"/>
      <c r="BQ69" s="175"/>
      <c r="BR69" s="175"/>
      <c r="BS69" s="183"/>
      <c r="BT69" s="183"/>
      <c r="BU69" s="183"/>
      <c r="BV69" s="183"/>
      <c r="BW69" s="210"/>
      <c r="BX69" s="175"/>
      <c r="BY69" s="175"/>
      <c r="BZ69" s="175"/>
      <c r="CA69" s="175"/>
      <c r="CB69" s="175"/>
      <c r="CC69" s="175"/>
      <c r="CD69" s="184"/>
      <c r="CE69" s="175"/>
      <c r="CF69" s="185"/>
      <c r="CG69" s="175"/>
      <c r="CH69" s="175"/>
      <c r="CI69" s="184"/>
      <c r="CJ69" s="210"/>
      <c r="CK69" s="564"/>
      <c r="CL69" s="257"/>
      <c r="CM69" s="597"/>
      <c r="CN69" s="628"/>
      <c r="CO69" s="631"/>
      <c r="CP69" s="631"/>
      <c r="CQ69" s="631"/>
      <c r="CR69" s="631"/>
      <c r="CS69" s="631"/>
      <c r="CT69" s="634"/>
      <c r="CU69" s="564"/>
      <c r="CV69" s="562"/>
      <c r="CW69" s="564"/>
      <c r="CX69" s="562"/>
      <c r="CY69" s="564"/>
      <c r="CZ69" s="562"/>
      <c r="DA69" s="564"/>
      <c r="DB69" s="562"/>
      <c r="DC69" s="564"/>
      <c r="DD69" s="562"/>
      <c r="DE69" s="175"/>
      <c r="DF69" s="175"/>
      <c r="DG69" s="577"/>
      <c r="DH69" s="577"/>
      <c r="DI69" s="571"/>
      <c r="DJ69" s="571"/>
      <c r="DK69" s="571"/>
      <c r="DL69" s="571"/>
      <c r="DM69" s="574"/>
      <c r="DN69" s="571"/>
      <c r="DO69" s="571"/>
      <c r="DP69" s="571"/>
      <c r="DQ69" s="571"/>
      <c r="DR69" s="571"/>
      <c r="DS69" s="571"/>
      <c r="DT69" s="571"/>
      <c r="DU69" s="571"/>
      <c r="DV69" s="577"/>
      <c r="DW69" s="577"/>
      <c r="DX69" s="571"/>
      <c r="DY69" s="571"/>
      <c r="DZ69" s="175"/>
      <c r="EA69" s="175"/>
      <c r="EB69" s="175"/>
      <c r="EC69" s="175"/>
      <c r="ED69" s="175"/>
      <c r="EE69" s="175"/>
      <c r="EF69" s="175"/>
      <c r="EG69" s="175"/>
      <c r="EH69" s="175"/>
      <c r="EI69" s="175"/>
      <c r="EJ69" s="175"/>
      <c r="EK69" s="175"/>
      <c r="EL69" s="175"/>
      <c r="EM69" s="175"/>
      <c r="EN69" s="175"/>
      <c r="EO69" s="175"/>
      <c r="EP69" s="175"/>
      <c r="EQ69" s="175"/>
      <c r="ER69" s="175"/>
      <c r="ES69" s="175"/>
      <c r="ET69" s="175"/>
      <c r="EU69" s="175"/>
      <c r="EV69" s="175"/>
      <c r="EW69" s="175"/>
      <c r="EX69" s="175"/>
      <c r="EY69" s="175"/>
      <c r="EZ69" s="175"/>
      <c r="FA69" s="175"/>
      <c r="FB69" s="175"/>
      <c r="FC69" s="175"/>
      <c r="FD69" s="175"/>
      <c r="FE69" s="175"/>
      <c r="FF69" s="175"/>
      <c r="FG69" s="175"/>
      <c r="FH69" s="175"/>
      <c r="FI69" s="175"/>
      <c r="FJ69" s="175"/>
      <c r="FK69" s="175"/>
      <c r="FL69" s="175"/>
      <c r="FM69" s="175"/>
      <c r="FN69" s="175"/>
      <c r="FO69" s="175"/>
      <c r="FP69" s="175"/>
      <c r="FQ69" s="175"/>
      <c r="FR69" s="175"/>
      <c r="FS69" s="175"/>
      <c r="FT69" s="175"/>
      <c r="FU69" s="175"/>
      <c r="FV69" s="175"/>
      <c r="FW69" s="175"/>
      <c r="FX69" s="175"/>
      <c r="FY69" s="175"/>
      <c r="FZ69" s="175"/>
      <c r="GA69" s="175"/>
      <c r="GB69" s="175"/>
      <c r="GC69" s="175"/>
      <c r="GD69" s="175"/>
      <c r="GE69" s="175"/>
      <c r="GF69" s="175"/>
      <c r="GG69" s="175"/>
      <c r="GH69" s="175"/>
      <c r="GI69" s="175"/>
      <c r="GJ69" s="175"/>
      <c r="GK69" s="175"/>
      <c r="GL69" s="175"/>
    </row>
    <row r="70" spans="1:194" s="255" customFormat="1" ht="60" customHeight="1" x14ac:dyDescent="0.3">
      <c r="A70" s="362" t="s">
        <v>193</v>
      </c>
      <c r="B70" s="363" t="s">
        <v>25</v>
      </c>
      <c r="C70" s="391" t="s">
        <v>174</v>
      </c>
      <c r="D70" s="640" t="s">
        <v>173</v>
      </c>
      <c r="E70" s="640"/>
      <c r="F70" s="640"/>
      <c r="G70" s="640"/>
      <c r="H70" s="640"/>
      <c r="I70" s="640"/>
      <c r="J70" s="418" t="s">
        <v>443</v>
      </c>
      <c r="K70" s="418" t="s">
        <v>444</v>
      </c>
      <c r="L70" s="418" t="s">
        <v>171</v>
      </c>
      <c r="M70" s="363" t="s">
        <v>2</v>
      </c>
      <c r="N70" s="419" t="s">
        <v>7</v>
      </c>
      <c r="O70" s="420" t="s">
        <v>8</v>
      </c>
      <c r="P70" s="159"/>
      <c r="Q70" s="164" t="s">
        <v>93</v>
      </c>
      <c r="R70" s="164" t="s">
        <v>34</v>
      </c>
      <c r="S70" s="164" t="s">
        <v>28</v>
      </c>
      <c r="T70" s="164" t="s">
        <v>95</v>
      </c>
      <c r="U70" s="164" t="s">
        <v>96</v>
      </c>
      <c r="V70" s="164" t="s">
        <v>97</v>
      </c>
      <c r="W70" s="164" t="s">
        <v>4</v>
      </c>
      <c r="X70" s="164" t="s">
        <v>103</v>
      </c>
      <c r="Y70" s="160" t="s">
        <v>402</v>
      </c>
      <c r="Z70" s="165" t="s">
        <v>403</v>
      </c>
      <c r="AA70" s="166" t="s">
        <v>404</v>
      </c>
      <c r="AB70" s="164" t="s">
        <v>99</v>
      </c>
      <c r="AC70" s="164" t="s">
        <v>395</v>
      </c>
      <c r="AD70" s="253" t="s">
        <v>36</v>
      </c>
      <c r="AE70" s="164" t="s">
        <v>389</v>
      </c>
      <c r="AF70" s="164" t="s">
        <v>390</v>
      </c>
      <c r="AG70" s="164" t="s">
        <v>164</v>
      </c>
      <c r="AH70" s="253" t="s">
        <v>396</v>
      </c>
      <c r="AI70" s="164" t="s">
        <v>190</v>
      </c>
      <c r="AJ70" s="164" t="s">
        <v>339</v>
      </c>
      <c r="AK70" s="253" t="s">
        <v>391</v>
      </c>
      <c r="AL70" s="253" t="s">
        <v>393</v>
      </c>
      <c r="AM70" s="167" t="s">
        <v>93</v>
      </c>
      <c r="AN70" s="168" t="s">
        <v>34</v>
      </c>
      <c r="AO70" s="169" t="s">
        <v>28</v>
      </c>
      <c r="AP70" s="170" t="s">
        <v>95</v>
      </c>
      <c r="AQ70" s="167" t="s">
        <v>3</v>
      </c>
      <c r="AR70" s="167" t="s">
        <v>96</v>
      </c>
      <c r="AS70" s="169" t="s">
        <v>97</v>
      </c>
      <c r="AT70" s="170" t="s">
        <v>4</v>
      </c>
      <c r="AU70" s="169" t="s">
        <v>103</v>
      </c>
      <c r="AV70" s="170" t="s">
        <v>99</v>
      </c>
      <c r="AW70" s="169" t="s">
        <v>36</v>
      </c>
      <c r="AX70" s="171" t="s">
        <v>29</v>
      </c>
      <c r="AY70" s="172" t="s">
        <v>190</v>
      </c>
      <c r="AZ70" s="173" t="s">
        <v>102</v>
      </c>
      <c r="BA70" s="174"/>
      <c r="BB70" s="183"/>
      <c r="BC70" s="211" t="s">
        <v>119</v>
      </c>
      <c r="BD70" s="174"/>
      <c r="BE70" s="176" t="s">
        <v>189</v>
      </c>
      <c r="BF70" s="177" t="str">
        <f>$BF$13</f>
        <v xml:space="preserve">VR SILICONA </v>
      </c>
      <c r="BG70" s="177" t="str">
        <f>$BG$13</f>
        <v xml:space="preserve">VR PELÍCULA </v>
      </c>
      <c r="BH70" s="254" t="str">
        <f>$BH$13</f>
        <v>VR EMBALAJE</v>
      </c>
      <c r="BI70" s="174"/>
      <c r="BJ70" s="176" t="str">
        <f>$BJ$13</f>
        <v>ESP. CRISTAL</v>
      </c>
      <c r="BK70" s="176" t="s">
        <v>130</v>
      </c>
      <c r="BL70" s="177" t="s">
        <v>28</v>
      </c>
      <c r="BM70" s="177" t="str">
        <f>BM63</f>
        <v>TOTAL</v>
      </c>
      <c r="BN70" s="177" t="s">
        <v>133</v>
      </c>
      <c r="BO70" s="174"/>
      <c r="BP70" s="175"/>
      <c r="BQ70" s="175"/>
      <c r="BR70" s="175"/>
      <c r="BS70" s="175"/>
      <c r="BT70" s="175"/>
      <c r="BU70" s="175"/>
      <c r="BV70" s="175"/>
      <c r="BW70" s="174"/>
      <c r="BX70" s="175"/>
      <c r="BY70" s="175"/>
      <c r="BZ70" s="175"/>
      <c r="CA70" s="175"/>
      <c r="CB70" s="175"/>
      <c r="CC70" s="175"/>
      <c r="CD70" s="184"/>
      <c r="CE70" s="175"/>
      <c r="CF70" s="185"/>
      <c r="CG70" s="175"/>
      <c r="CH70" s="175"/>
      <c r="CI70" s="184"/>
      <c r="CJ70" s="174"/>
      <c r="CK70" s="186" t="s">
        <v>415</v>
      </c>
      <c r="CL70" s="187" t="s">
        <v>417</v>
      </c>
      <c r="CM70" s="187" t="s">
        <v>416</v>
      </c>
      <c r="CN70" s="188" t="s">
        <v>418</v>
      </c>
      <c r="CO70" s="187" t="s">
        <v>417</v>
      </c>
      <c r="CP70" s="187" t="s">
        <v>409</v>
      </c>
      <c r="CQ70" s="187" t="s">
        <v>410</v>
      </c>
      <c r="CR70" s="187" t="s">
        <v>411</v>
      </c>
      <c r="CS70" s="187" t="s">
        <v>412</v>
      </c>
      <c r="CT70" s="187" t="s">
        <v>413</v>
      </c>
      <c r="CU70" s="189" t="s">
        <v>2</v>
      </c>
      <c r="CV70" s="190" t="s">
        <v>159</v>
      </c>
      <c r="CW70" s="189" t="s">
        <v>2</v>
      </c>
      <c r="CX70" s="190" t="s">
        <v>159</v>
      </c>
      <c r="CY70" s="189" t="s">
        <v>2</v>
      </c>
      <c r="CZ70" s="190" t="s">
        <v>159</v>
      </c>
      <c r="DA70" s="189" t="s">
        <v>2</v>
      </c>
      <c r="DB70" s="190" t="s">
        <v>159</v>
      </c>
      <c r="DC70" s="189" t="s">
        <v>2</v>
      </c>
      <c r="DD70" s="190" t="s">
        <v>159</v>
      </c>
      <c r="DE70" s="183"/>
      <c r="DF70" s="183"/>
      <c r="DG70" s="177" t="s">
        <v>505</v>
      </c>
      <c r="DH70" s="472" t="s">
        <v>509</v>
      </c>
      <c r="DI70" s="457" t="s">
        <v>506</v>
      </c>
      <c r="DJ70" s="457" t="s">
        <v>134</v>
      </c>
      <c r="DK70" s="457" t="s">
        <v>498</v>
      </c>
      <c r="DL70" s="457" t="s">
        <v>499</v>
      </c>
      <c r="DM70" s="457" t="s">
        <v>500</v>
      </c>
      <c r="DN70" s="457" t="s">
        <v>131</v>
      </c>
      <c r="DO70" s="457" t="s">
        <v>390</v>
      </c>
      <c r="DP70" s="457" t="s">
        <v>36</v>
      </c>
      <c r="DQ70" s="457" t="s">
        <v>501</v>
      </c>
      <c r="DR70" s="457" t="s">
        <v>502</v>
      </c>
      <c r="DS70" s="457" t="s">
        <v>503</v>
      </c>
      <c r="DT70" s="457" t="s">
        <v>4</v>
      </c>
      <c r="DU70" s="457" t="s">
        <v>504</v>
      </c>
      <c r="DV70" s="466" t="s">
        <v>507</v>
      </c>
      <c r="DW70" s="466" t="s">
        <v>508</v>
      </c>
      <c r="DX70" s="457" t="s">
        <v>510</v>
      </c>
      <c r="DY70" s="457" t="s">
        <v>511</v>
      </c>
      <c r="DZ70" s="183"/>
      <c r="EA70" s="183"/>
      <c r="EB70" s="183"/>
      <c r="EC70" s="183"/>
      <c r="ED70" s="183"/>
      <c r="EE70" s="183"/>
      <c r="EF70" s="183"/>
      <c r="EG70" s="183"/>
      <c r="EH70" s="183"/>
      <c r="EI70" s="183"/>
      <c r="EJ70" s="183"/>
      <c r="EK70" s="183"/>
      <c r="EL70" s="183"/>
      <c r="EM70" s="183"/>
      <c r="EN70" s="183"/>
      <c r="EO70" s="183"/>
      <c r="EP70" s="183"/>
      <c r="EQ70" s="183"/>
      <c r="ER70" s="183"/>
      <c r="ES70" s="183"/>
      <c r="ET70" s="183"/>
      <c r="EU70" s="183"/>
      <c r="EV70" s="183"/>
      <c r="EW70" s="183"/>
      <c r="EX70" s="183"/>
      <c r="EY70" s="183"/>
      <c r="EZ70" s="183"/>
      <c r="FA70" s="183"/>
      <c r="FB70" s="183"/>
      <c r="FC70" s="183"/>
      <c r="FD70" s="183"/>
      <c r="FE70" s="183"/>
      <c r="FF70" s="183"/>
      <c r="FG70" s="183"/>
      <c r="FH70" s="183"/>
      <c r="FI70" s="183"/>
      <c r="FJ70" s="183"/>
      <c r="FK70" s="183"/>
      <c r="FL70" s="183"/>
      <c r="FM70" s="183"/>
      <c r="FN70" s="183"/>
      <c r="FO70" s="183"/>
      <c r="FP70" s="183"/>
      <c r="FQ70" s="183"/>
      <c r="FR70" s="183"/>
      <c r="FS70" s="183"/>
      <c r="FT70" s="183"/>
      <c r="FU70" s="183"/>
      <c r="FV70" s="183"/>
      <c r="FW70" s="183"/>
      <c r="FX70" s="183"/>
      <c r="FY70" s="183"/>
      <c r="FZ70" s="183"/>
      <c r="GA70" s="183"/>
      <c r="GB70" s="183"/>
      <c r="GC70" s="183"/>
      <c r="GD70" s="183"/>
      <c r="GE70" s="183"/>
      <c r="GF70" s="183"/>
      <c r="GG70" s="183"/>
      <c r="GH70" s="183"/>
      <c r="GI70" s="183"/>
      <c r="GJ70" s="183"/>
      <c r="GK70" s="183"/>
      <c r="GL70" s="183"/>
    </row>
    <row r="71" spans="1:194" s="175" customFormat="1" ht="60" customHeight="1" x14ac:dyDescent="0.3">
      <c r="A71" s="364"/>
      <c r="B71" s="365"/>
      <c r="C71" s="392" t="s">
        <v>27</v>
      </c>
      <c r="D71" s="641"/>
      <c r="E71" s="641"/>
      <c r="F71" s="641"/>
      <c r="G71" s="641"/>
      <c r="H71" s="641"/>
      <c r="I71" s="641"/>
      <c r="J71" s="642"/>
      <c r="K71" s="642"/>
      <c r="L71" s="622">
        <f>J71*K71*M71</f>
        <v>0</v>
      </c>
      <c r="M71" s="623"/>
      <c r="N71" s="620">
        <f>IFERROR(AL71,"")</f>
        <v>1.0765546639999999</v>
      </c>
      <c r="O71" s="621">
        <f>IFERROR(N71*M71,"")</f>
        <v>0</v>
      </c>
      <c r="P71" s="192"/>
      <c r="Q71" s="193">
        <f>Q72+BF71+($R$350*Q72)</f>
        <v>0</v>
      </c>
      <c r="R71" s="193">
        <f>IFERROR(R72+($R$348*R72),"")</f>
        <v>0</v>
      </c>
      <c r="S71" s="194">
        <f>+IF(R73="SI",((W75*'BD GN'!$AB$2)+S72)*1,COTIZACIÓN!S72*1)+(P72*S72)</f>
        <v>0</v>
      </c>
      <c r="T71" s="195">
        <f>IFERROR(R71*IF(K71&lt;=3,$T$13,15%),"")</f>
        <v>0</v>
      </c>
      <c r="U71" s="196">
        <f>BH71+BG71</f>
        <v>0</v>
      </c>
      <c r="V71" s="197" t="str">
        <f>IFERROR(BN71,0)</f>
        <v/>
      </c>
      <c r="W71" s="198" t="str">
        <f>IFERROR(IF(X73="SI",W74*J71*K71,IF(BE71=3,BE73,IF(BE71=4,BE74,IF(BE71=5,BE75,IF(BE71&gt;5,BE75+(BE76*(BE71-5)),"")))))*0,"")</f>
        <v/>
      </c>
      <c r="X71" s="198" t="str">
        <f>IFERROR(IF(X72="NO",(VLOOKUP(D71,'BD M.O'!C:E,3,FALSE))*W75,((VLOOKUP(D71,'BD M.O'!C:E,3,FALSE))+7500)*W75),"")</f>
        <v/>
      </c>
      <c r="Y71" s="198">
        <f>IFERROR($Y$13*AK71,"")</f>
        <v>4.2084457416288003E-2</v>
      </c>
      <c r="Z71" s="332" t="str">
        <f>IFERROR(($Z$13*AK71)+X71,"")</f>
        <v/>
      </c>
      <c r="AA71" s="199" t="str">
        <f>IFERROR(Y71+Z71,"")</f>
        <v/>
      </c>
      <c r="AB71" s="200">
        <f>IFERROR((SUM(Q71:X71)-T71+T73)*$AB$13,"")</f>
        <v>0</v>
      </c>
      <c r="AC71" s="201">
        <f>IFERROR(((SUM(Q71:V71,IF(X76&gt;AA71,AVERAGE(X76,AA71),AA71))-T71+T73))*$AB$13,"")</f>
        <v>0</v>
      </c>
      <c r="AD71" s="202" t="str">
        <f>IFERROR((J71*K71*$BV$14),"")</f>
        <v/>
      </c>
      <c r="AE71" s="202">
        <f>IFERROR($AE$13*AK71,"")</f>
        <v>6.4010592649919984E-2</v>
      </c>
      <c r="AF71" s="203" t="str">
        <f>IFERROR(($CI$11+$CI$13)*W75,"")</f>
        <v/>
      </c>
      <c r="AG71" s="202">
        <f>IFERROR((SUM(Q71:X71,AB71,AD71,AF71)-T71+T73)*$AG$13,"")</f>
        <v>0</v>
      </c>
      <c r="AH71" s="202">
        <f>IFERROR((SUM(Q71:V71,(IF(X76&gt;AA71,AVERAGE(X76,AA71),AA71)),AC71,AE71,AF71)-T71+T73)*$AG$13,"")</f>
        <v>3.2005296324959992E-2</v>
      </c>
      <c r="AI71" s="204">
        <f>IFERROR(AL71*$AI$13,"")</f>
        <v>2.1531093279999997E-2</v>
      </c>
      <c r="AJ71" s="204">
        <f>IFERROR($AJ$13*AL71,"")</f>
        <v>6.007175025119999E-3</v>
      </c>
      <c r="AK71" s="205">
        <f>IFERROR(SUM(Q71:X71,AB71,AD71,AG71,AF71)/(1-$AI$13)+(1-$AJ$13)-T71+T73,"")</f>
        <v>0.99441999999999997</v>
      </c>
      <c r="AL71" s="205">
        <f>IFERROR(SUM(Q71:V71,AC71,(IF(AD71&gt;AE71,AVERAGE(AD71,AE71),AE71)),AF71,,AH71,(IF(SUM(X76)&gt;AA71,AVERAGE(AA71,X76),AA71)))/(1-$AJ$13)+(1-$AI$13)-T71+T73,"")</f>
        <v>1.0765546639999999</v>
      </c>
      <c r="AM71" s="206">
        <f>$M$15*Q71</f>
        <v>0</v>
      </c>
      <c r="AN71" s="207">
        <f>$M$15*R71</f>
        <v>0</v>
      </c>
      <c r="AO71" s="208">
        <f>$M$15*S71</f>
        <v>0</v>
      </c>
      <c r="AP71" s="207">
        <f>$M$15*T71</f>
        <v>0</v>
      </c>
      <c r="AQ71" s="207" t="e">
        <f>$M$15*#REF!</f>
        <v>#REF!</v>
      </c>
      <c r="AR71" s="207">
        <f>$M$15*U71</f>
        <v>0</v>
      </c>
      <c r="AS71" s="208" t="e">
        <f>$M$15*V71</f>
        <v>#VALUE!</v>
      </c>
      <c r="AT71" s="207" t="e">
        <f>$M$15*W71</f>
        <v>#VALUE!</v>
      </c>
      <c r="AU71" s="208" t="e">
        <f>$M$15*X71</f>
        <v>#VALUE!</v>
      </c>
      <c r="AV71" s="207">
        <f>$M$15*AB71</f>
        <v>0</v>
      </c>
      <c r="AW71" s="208">
        <f>$M$15*AE71</f>
        <v>0</v>
      </c>
      <c r="AX71" s="207">
        <f>$M$15*AG71</f>
        <v>0</v>
      </c>
      <c r="AY71" s="209">
        <f>$M$15*AI71</f>
        <v>0</v>
      </c>
      <c r="AZ71" s="207">
        <f>$M$15*AK71</f>
        <v>0</v>
      </c>
      <c r="BA71" s="210"/>
      <c r="BB71" s="175" t="s">
        <v>23</v>
      </c>
      <c r="BC71" s="211" t="s">
        <v>113</v>
      </c>
      <c r="BD71" s="210"/>
      <c r="BE71" s="212"/>
      <c r="BF71" s="213">
        <f>IF(BH72="NO",((2*J71)+(2*K71))*'BD GN'!$AU$3,((3*J71)+(2*K71))*'BD GN'!$AU$3)</f>
        <v>0</v>
      </c>
      <c r="BG71" s="213">
        <f>'BD GN'!$BB$3*J71*K71</f>
        <v>0</v>
      </c>
      <c r="BH71" s="214">
        <f>((J71*2*BE71)+(K71*2*BE71))*'BD GN'!$AN$4</f>
        <v>0</v>
      </c>
      <c r="BI71" s="210"/>
      <c r="BJ71" s="212"/>
      <c r="BK71" s="212"/>
      <c r="BL71" s="215">
        <f>J71*K71*2.5*BJ71</f>
        <v>0</v>
      </c>
      <c r="BM71" s="215">
        <f>BK71+BL71</f>
        <v>0</v>
      </c>
      <c r="BN71" s="216" t="str">
        <f>IFERROR((VLOOKUP($C$12,'BD GN'!BD:BM,10,FALSE)*BM71)+$BR$338,"")</f>
        <v/>
      </c>
      <c r="BO71" s="210"/>
      <c r="BW71" s="210"/>
      <c r="CD71" s="184"/>
      <c r="CF71" s="185"/>
      <c r="CI71" s="184"/>
      <c r="CJ71" s="210"/>
      <c r="CK71" s="565"/>
      <c r="CL71" s="256"/>
      <c r="CM71" s="596"/>
      <c r="CN71" s="626"/>
      <c r="CO71" s="629"/>
      <c r="CP71" s="629"/>
      <c r="CQ71" s="629"/>
      <c r="CR71" s="629"/>
      <c r="CS71" s="629"/>
      <c r="CT71" s="632"/>
      <c r="CU71" s="565"/>
      <c r="CV71" s="560">
        <f>IFERROR(N71*CU71,"")</f>
        <v>0</v>
      </c>
      <c r="CW71" s="565"/>
      <c r="CX71" s="560">
        <f>IFERROR(P71*CW71,"")</f>
        <v>0</v>
      </c>
      <c r="CY71" s="565"/>
      <c r="CZ71" s="560">
        <f>IFERROR(R71*CY71,"")</f>
        <v>0</v>
      </c>
      <c r="DA71" s="565">
        <f t="shared" ref="DA71" si="186">CU71+CW71+CY71</f>
        <v>0</v>
      </c>
      <c r="DB71" s="560">
        <f t="shared" ref="DB71" si="187">IFERROR(CV71+CX71+CZ71,"")</f>
        <v>0</v>
      </c>
      <c r="DC71" s="565">
        <f>M71-(CU71+CW71+CY71)</f>
        <v>0</v>
      </c>
      <c r="DD71" s="560">
        <f>IFERROR(O71-(CV71+CX71+CZ71),"")</f>
        <v>0</v>
      </c>
      <c r="DG71" s="575"/>
      <c r="DH71" s="575"/>
      <c r="DI71" s="569">
        <f t="shared" ref="DI71" si="188">IFERROR(IF(DG71&gt;0,(((N71)/(1+10%+19%*5%)+((N71)/(1+10%+19%*5%))*10%)*DH71),0),0)</f>
        <v>0</v>
      </c>
      <c r="DJ71" s="569">
        <f t="shared" ref="DJ71" si="189">IFERROR(IF(DG71&gt;0,(N71*DH71),0),0)</f>
        <v>0</v>
      </c>
      <c r="DK71" s="569">
        <f t="shared" ref="DK71" si="190">IF(DG71&gt;0,((R71+T71)*DH71),0)</f>
        <v>0</v>
      </c>
      <c r="DL71" s="569">
        <f t="shared" ref="DL71" si="191">IF(DG71&gt;0,(Q71*DH71),0)</f>
        <v>0</v>
      </c>
      <c r="DM71" s="572">
        <f t="shared" ref="DM71" si="192">IF(DG71&gt;0,(S71*DH71),0)</f>
        <v>0</v>
      </c>
      <c r="DN71" s="569">
        <f t="shared" ref="DN71" si="193">IF(DG71&gt;0,(BN71*DH71),0)</f>
        <v>0</v>
      </c>
      <c r="DO71" s="569">
        <f t="shared" ref="DO71" si="194">IF(DG71&gt;0,(AF71*DH71),0)</f>
        <v>0</v>
      </c>
      <c r="DP71" s="569">
        <f>IF(DG71&gt;0,((DI71)*('BD P&amp;G'!$E$16+'BD P&amp;G'!$E$17+'BD P&amp;G'!$E$18+'BD P&amp;G'!$E$19+'BD P&amp;G'!$E$20+'BD P&amp;G'!$E$21+'BD P&amp;G'!$E$22+'BD P&amp;G'!$E$23)*DH71),0)</f>
        <v>0</v>
      </c>
      <c r="DQ71" s="569">
        <f>IFERROR(IF(DG71&gt;0,((DI71*'BD P&amp;G'!$E$7)+(DI71*'BD P&amp;G'!$E$9)+AI71),0),0)</f>
        <v>0</v>
      </c>
      <c r="DR71" s="569">
        <f t="shared" ref="DR71" si="195">IFERROR(IF(DG71&gt;0,((DI71*1%)),0),0)</f>
        <v>0</v>
      </c>
      <c r="DS71" s="569">
        <f>IFERROR(IF(DG71&gt;0,(((DI71*'BD P&amp;G'!$E$32+DI71*'BD P&amp;G'!$E$33+DI71*'BD P&amp;G'!$E$35+DI71*'BD P&amp;G'!$E$36+DI71*'BD P&amp;G'!$E$37))),0),0)</f>
        <v>0</v>
      </c>
      <c r="DT71" s="569">
        <f t="shared" ref="DT71" si="196">IF(DG71&gt;0,(Y71*DH71),0)</f>
        <v>0</v>
      </c>
      <c r="DU71" s="569">
        <f t="shared" ref="DU71" si="197">IF(DG71&gt;0,(Z71*DH71),0)</f>
        <v>0</v>
      </c>
      <c r="DV71" s="575">
        <f t="shared" ref="DV71" si="198">IF(DG71&gt;0,(Y75*DH71),0)</f>
        <v>0</v>
      </c>
      <c r="DW71" s="575">
        <f t="shared" ref="DW71" si="199">IF(DG71&gt;0,(Z75*DH71),0)</f>
        <v>0</v>
      </c>
      <c r="DX71" s="569">
        <f t="shared" ref="DX71" si="200">IF(DV71&gt;0,DJ71,0)</f>
        <v>0</v>
      </c>
      <c r="DY71" s="569">
        <f t="shared" ref="DY71" si="201">IF(DW71&gt;0,DJ71,0)</f>
        <v>0</v>
      </c>
    </row>
    <row r="72" spans="1:194" s="175" customFormat="1" ht="60" customHeight="1" x14ac:dyDescent="0.25">
      <c r="A72" s="366"/>
      <c r="B72" s="367"/>
      <c r="C72" s="393" t="s">
        <v>28</v>
      </c>
      <c r="D72" s="598"/>
      <c r="E72" s="598"/>
      <c r="F72" s="598"/>
      <c r="G72" s="598"/>
      <c r="H72" s="598"/>
      <c r="I72" s="598"/>
      <c r="J72" s="604"/>
      <c r="K72" s="604"/>
      <c r="L72" s="607"/>
      <c r="M72" s="559"/>
      <c r="N72" s="610"/>
      <c r="O72" s="613"/>
      <c r="P72" s="192"/>
      <c r="Q72" s="217"/>
      <c r="R72" s="217"/>
      <c r="S72" s="218"/>
      <c r="T72" s="219">
        <f>IFERROR(T71/$R$353,"")</f>
        <v>0</v>
      </c>
      <c r="U72" s="206"/>
      <c r="V72" s="220"/>
      <c r="W72" s="221" t="s">
        <v>239</v>
      </c>
      <c r="X72" s="222" t="s">
        <v>204</v>
      </c>
      <c r="Y72" s="223"/>
      <c r="Z72" s="224"/>
      <c r="AA72" s="225"/>
      <c r="AB72" s="226"/>
      <c r="AC72" s="206"/>
      <c r="AD72" s="206"/>
      <c r="AE72" s="206"/>
      <c r="AF72" s="227"/>
      <c r="AG72" s="206"/>
      <c r="AH72" s="206"/>
      <c r="AI72" s="206"/>
      <c r="AJ72" s="206"/>
      <c r="AK72" s="227"/>
      <c r="AL72" s="210"/>
      <c r="AM72" s="206"/>
      <c r="AN72" s="206"/>
      <c r="AO72" s="228"/>
      <c r="AP72" s="229"/>
      <c r="AQ72" s="206"/>
      <c r="AR72" s="206"/>
      <c r="AS72" s="228"/>
      <c r="AT72" s="229"/>
      <c r="AU72" s="228"/>
      <c r="AV72" s="229"/>
      <c r="AW72" s="228"/>
      <c r="AX72" s="229"/>
      <c r="AY72" s="206"/>
      <c r="AZ72" s="229"/>
      <c r="BA72" s="210"/>
      <c r="BB72" s="175" t="s">
        <v>24</v>
      </c>
      <c r="BC72" s="175" t="s">
        <v>114</v>
      </c>
      <c r="BD72" s="210"/>
      <c r="BE72" s="176" t="s">
        <v>206</v>
      </c>
      <c r="BF72" s="230" t="s">
        <v>204</v>
      </c>
      <c r="BG72" s="176" t="s">
        <v>290</v>
      </c>
      <c r="BH72" s="231" t="s">
        <v>204</v>
      </c>
      <c r="BI72" s="210"/>
      <c r="BN72" s="232"/>
      <c r="BO72" s="210"/>
      <c r="BV72" s="184"/>
      <c r="BW72" s="210"/>
      <c r="CD72" s="184"/>
      <c r="CF72" s="185"/>
      <c r="CI72" s="184"/>
      <c r="CJ72" s="210"/>
      <c r="CK72" s="563"/>
      <c r="CM72" s="559"/>
      <c r="CN72" s="627"/>
      <c r="CO72" s="630"/>
      <c r="CP72" s="630"/>
      <c r="CQ72" s="630"/>
      <c r="CR72" s="630"/>
      <c r="CS72" s="630"/>
      <c r="CT72" s="633"/>
      <c r="CU72" s="563"/>
      <c r="CV72" s="561"/>
      <c r="CW72" s="563"/>
      <c r="CX72" s="561"/>
      <c r="CY72" s="563"/>
      <c r="CZ72" s="561"/>
      <c r="DA72" s="563"/>
      <c r="DB72" s="561"/>
      <c r="DC72" s="563"/>
      <c r="DD72" s="561"/>
      <c r="DG72" s="576"/>
      <c r="DH72" s="576"/>
      <c r="DI72" s="570"/>
      <c r="DJ72" s="570"/>
      <c r="DK72" s="570"/>
      <c r="DL72" s="570"/>
      <c r="DM72" s="573"/>
      <c r="DN72" s="570"/>
      <c r="DO72" s="570"/>
      <c r="DP72" s="570"/>
      <c r="DQ72" s="570"/>
      <c r="DR72" s="570"/>
      <c r="DS72" s="570"/>
      <c r="DT72" s="570"/>
      <c r="DU72" s="570"/>
      <c r="DV72" s="576"/>
      <c r="DW72" s="576"/>
      <c r="DX72" s="570"/>
      <c r="DY72" s="570"/>
    </row>
    <row r="73" spans="1:194" s="175" customFormat="1" ht="60" customHeight="1" x14ac:dyDescent="0.3">
      <c r="A73" s="366"/>
      <c r="B73" s="367"/>
      <c r="C73" s="393" t="s">
        <v>30</v>
      </c>
      <c r="D73" s="599"/>
      <c r="E73" s="599"/>
      <c r="F73" s="599"/>
      <c r="G73" s="599"/>
      <c r="H73" s="599"/>
      <c r="I73" s="599"/>
      <c r="J73" s="604"/>
      <c r="K73" s="604"/>
      <c r="L73" s="607"/>
      <c r="M73" s="559"/>
      <c r="N73" s="610"/>
      <c r="O73" s="613"/>
      <c r="P73" s="192"/>
      <c r="Q73" s="176" t="s">
        <v>205</v>
      </c>
      <c r="R73" s="233" t="s">
        <v>204</v>
      </c>
      <c r="S73" s="234"/>
      <c r="T73" s="235">
        <f>IFERROR(($R$353-8000)*T72,"")</f>
        <v>0</v>
      </c>
      <c r="U73" s="206"/>
      <c r="V73" s="220"/>
      <c r="W73" s="221" t="s">
        <v>258</v>
      </c>
      <c r="X73" s="222" t="s">
        <v>204</v>
      </c>
      <c r="Y73" s="236"/>
      <c r="Z73" s="237"/>
      <c r="AA73" s="225"/>
      <c r="AB73" s="226"/>
      <c r="AC73" s="206"/>
      <c r="AD73" s="206"/>
      <c r="AE73" s="206"/>
      <c r="AF73" s="227"/>
      <c r="AG73" s="206"/>
      <c r="AH73" s="206"/>
      <c r="AI73" s="206"/>
      <c r="AJ73" s="206"/>
      <c r="AK73" s="227"/>
      <c r="AL73" s="238"/>
      <c r="AM73" s="206"/>
      <c r="AN73" s="206"/>
      <c r="AO73" s="228"/>
      <c r="AP73" s="229"/>
      <c r="AQ73" s="206"/>
      <c r="AR73" s="206"/>
      <c r="AS73" s="228"/>
      <c r="AT73" s="229"/>
      <c r="AU73" s="228"/>
      <c r="AV73" s="229"/>
      <c r="AW73" s="228"/>
      <c r="AX73" s="229"/>
      <c r="AY73" s="206"/>
      <c r="AZ73" s="229"/>
      <c r="BA73" s="210"/>
      <c r="BB73" s="175" t="s">
        <v>26</v>
      </c>
      <c r="BC73" s="211" t="s">
        <v>115</v>
      </c>
      <c r="BD73" s="210"/>
      <c r="BE73" s="177" t="str">
        <f>IFERROR(VLOOKUP(D71,'BD M.O'!C:H,4,FALSE),"")</f>
        <v/>
      </c>
      <c r="BF73" s="177" t="s">
        <v>259</v>
      </c>
      <c r="BI73" s="210"/>
      <c r="BO73" s="210"/>
      <c r="BV73" s="184"/>
      <c r="BW73" s="210"/>
      <c r="CD73" s="184"/>
      <c r="CF73" s="185"/>
      <c r="CI73" s="184"/>
      <c r="CJ73" s="210"/>
      <c r="CK73" s="563"/>
      <c r="CM73" s="559"/>
      <c r="CN73" s="627"/>
      <c r="CO73" s="630"/>
      <c r="CP73" s="630"/>
      <c r="CQ73" s="630"/>
      <c r="CR73" s="630"/>
      <c r="CS73" s="630"/>
      <c r="CT73" s="633"/>
      <c r="CU73" s="563"/>
      <c r="CV73" s="561"/>
      <c r="CW73" s="563"/>
      <c r="CX73" s="561"/>
      <c r="CY73" s="563"/>
      <c r="CZ73" s="561"/>
      <c r="DA73" s="563"/>
      <c r="DB73" s="561"/>
      <c r="DC73" s="563"/>
      <c r="DD73" s="561"/>
      <c r="DG73" s="577"/>
      <c r="DH73" s="577"/>
      <c r="DI73" s="571"/>
      <c r="DJ73" s="571"/>
      <c r="DK73" s="571"/>
      <c r="DL73" s="571"/>
      <c r="DM73" s="574"/>
      <c r="DN73" s="571"/>
      <c r="DO73" s="571"/>
      <c r="DP73" s="571"/>
      <c r="DQ73" s="571"/>
      <c r="DR73" s="571"/>
      <c r="DS73" s="571"/>
      <c r="DT73" s="571"/>
      <c r="DU73" s="571"/>
      <c r="DV73" s="577"/>
      <c r="DW73" s="577"/>
      <c r="DX73" s="571"/>
      <c r="DY73" s="571"/>
    </row>
    <row r="74" spans="1:194" s="175" customFormat="1" ht="60" customHeight="1" x14ac:dyDescent="0.25">
      <c r="A74" s="366"/>
      <c r="B74" s="367"/>
      <c r="C74" s="395" t="s">
        <v>180</v>
      </c>
      <c r="D74" s="599" t="s">
        <v>31</v>
      </c>
      <c r="E74" s="599"/>
      <c r="F74" s="394" t="s">
        <v>9</v>
      </c>
      <c r="G74" s="599" t="s">
        <v>33</v>
      </c>
      <c r="H74" s="599"/>
      <c r="I74" s="394" t="str">
        <f>+IF($BG$9="SI","","X")</f>
        <v>X</v>
      </c>
      <c r="J74" s="604"/>
      <c r="K74" s="604"/>
      <c r="L74" s="607"/>
      <c r="M74" s="559"/>
      <c r="N74" s="610"/>
      <c r="O74" s="613"/>
      <c r="P74" s="192"/>
      <c r="Q74" s="239"/>
      <c r="R74" s="221" t="s">
        <v>209</v>
      </c>
      <c r="S74" s="234" t="str">
        <f>IF(S72="","",S72/(J71*K71))</f>
        <v/>
      </c>
      <c r="T74" s="226"/>
      <c r="U74" s="206"/>
      <c r="V74" s="220"/>
      <c r="W74" s="239" t="str">
        <f>IFERROR(IF(X73="SI",VLOOKUP(D71,'BD M.O'!C:F,4,FALSE),""),"")</f>
        <v/>
      </c>
      <c r="X74" s="221" t="s">
        <v>258</v>
      </c>
      <c r="Y74" s="221" t="s">
        <v>507</v>
      </c>
      <c r="Z74" s="221" t="s">
        <v>508</v>
      </c>
      <c r="AA74" s="225"/>
      <c r="AB74" s="226"/>
      <c r="AC74" s="206"/>
      <c r="AD74" s="206"/>
      <c r="AE74" s="206"/>
      <c r="AF74" s="227"/>
      <c r="AG74" s="206"/>
      <c r="AH74" s="206"/>
      <c r="AI74" s="206"/>
      <c r="AJ74" s="206"/>
      <c r="AK74" s="227"/>
      <c r="AL74" s="240"/>
      <c r="AM74" s="206"/>
      <c r="AN74" s="206"/>
      <c r="AO74" s="228"/>
      <c r="AP74" s="229"/>
      <c r="AQ74" s="206"/>
      <c r="AR74" s="206"/>
      <c r="AS74" s="228"/>
      <c r="AT74" s="229"/>
      <c r="AU74" s="228"/>
      <c r="AV74" s="229"/>
      <c r="AW74" s="228"/>
      <c r="AX74" s="229"/>
      <c r="AY74" s="206"/>
      <c r="AZ74" s="229"/>
      <c r="BA74" s="210"/>
      <c r="BC74" s="175" t="s">
        <v>116</v>
      </c>
      <c r="BD74" s="210"/>
      <c r="BE74" s="177" t="str">
        <f>IFERROR(VLOOKUP(COTIZACIÓN!D71,'BD M.O'!C:I,5,FALSE),"")</f>
        <v/>
      </c>
      <c r="BF74" s="177" t="s">
        <v>260</v>
      </c>
      <c r="BI74" s="210"/>
      <c r="BO74" s="210"/>
      <c r="BP74" s="183"/>
      <c r="BQ74" s="183"/>
      <c r="BR74" s="183"/>
      <c r="BS74" s="183"/>
      <c r="BT74" s="183"/>
      <c r="BU74" s="183"/>
      <c r="BV74" s="182"/>
      <c r="BW74" s="210"/>
      <c r="BX74" s="183"/>
      <c r="BY74" s="183"/>
      <c r="BZ74" s="183"/>
      <c r="CA74" s="183"/>
      <c r="CB74" s="183"/>
      <c r="CC74" s="183"/>
      <c r="CD74" s="182"/>
      <c r="CE74" s="183"/>
      <c r="CF74" s="241"/>
      <c r="CG74" s="183"/>
      <c r="CH74" s="183"/>
      <c r="CI74" s="182"/>
      <c r="CJ74" s="210"/>
      <c r="CK74" s="563"/>
      <c r="CM74" s="559"/>
      <c r="CN74" s="627"/>
      <c r="CO74" s="630"/>
      <c r="CP74" s="630"/>
      <c r="CQ74" s="630"/>
      <c r="CR74" s="630"/>
      <c r="CS74" s="630"/>
      <c r="CT74" s="633"/>
      <c r="CU74" s="563"/>
      <c r="CV74" s="561"/>
      <c r="CW74" s="563"/>
      <c r="CX74" s="561"/>
      <c r="CY74" s="563"/>
      <c r="CZ74" s="561"/>
      <c r="DA74" s="563"/>
      <c r="DB74" s="561"/>
      <c r="DC74" s="563"/>
      <c r="DD74" s="561"/>
      <c r="DG74" s="575"/>
      <c r="DH74" s="575"/>
      <c r="DI74" s="569">
        <f t="shared" ref="DI74" si="202">IFERROR(IF(DG74&gt;0,(((N71)/(1+10%+19%*5%)+((N71)/(1+10%+19%*5%))*10%)*DH74),0),0)</f>
        <v>0</v>
      </c>
      <c r="DJ74" s="569">
        <f t="shared" ref="DJ74" si="203">IFERROR(IF(DG74&gt;0,(N71*DH74),0),0)</f>
        <v>0</v>
      </c>
      <c r="DK74" s="569">
        <f t="shared" ref="DK74" si="204">IF(DG74&gt;0,((R71+T71)*DH74),0)</f>
        <v>0</v>
      </c>
      <c r="DL74" s="569">
        <f t="shared" ref="DL74" si="205">IF(DG74&gt;0,(Q71*DH74),0)</f>
        <v>0</v>
      </c>
      <c r="DM74" s="572">
        <f t="shared" ref="DM74" si="206">IF(DG74&gt;0,(S71*DH74),0)</f>
        <v>0</v>
      </c>
      <c r="DN74" s="569">
        <f t="shared" ref="DN74" si="207">IF(DG74&gt;0,(BN71*DH74),0)</f>
        <v>0</v>
      </c>
      <c r="DO74" s="569">
        <f t="shared" ref="DO74" si="208">IF(DG74&gt;0,(AF71*DH74),0)</f>
        <v>0</v>
      </c>
      <c r="DP74" s="569">
        <f>IF(DG74&gt;0,((DI74)*('BD P&amp;G'!$E$16+'BD P&amp;G'!$E$17+'BD P&amp;G'!$E$18+'BD P&amp;G'!$E$19+'BD P&amp;G'!$E$20+'BD P&amp;G'!$E$21+'BD P&amp;G'!$E$22+'BD P&amp;G'!$E$23)*DH74),0)</f>
        <v>0</v>
      </c>
      <c r="DQ74" s="569">
        <f>IFERROR(IF(DG74&gt;0,((DI74*'BD P&amp;G'!$E$7)+(DI74*'BD P&amp;G'!$E$9)+AI71),0),0)</f>
        <v>0</v>
      </c>
      <c r="DR74" s="569">
        <f t="shared" ref="DR74" si="209">IFERROR(IF(DG74&gt;0,((DI74*1%)),0),0)</f>
        <v>0</v>
      </c>
      <c r="DS74" s="569">
        <f>IFERROR(IF(DG74&gt;0,(((DI74*'BD P&amp;G'!$E$32+DI74*'BD P&amp;G'!$E$33+DI74*'BD P&amp;G'!$E$35+DI74*'BD P&amp;G'!$E$36+DI74*'BD P&amp;G'!$E$37))),0),0)</f>
        <v>0</v>
      </c>
      <c r="DT74" s="569">
        <f t="shared" ref="DT74" si="210">IF(DG74&gt;0,(Y71*DH74),0)</f>
        <v>0</v>
      </c>
      <c r="DU74" s="569">
        <f t="shared" ref="DU74" si="211">IF(DG74&gt;0,(Z71*DH74),0)</f>
        <v>0</v>
      </c>
      <c r="DV74" s="575">
        <f t="shared" ref="DV74" si="212">IF(DG74&gt;0,(Y75*DH74),0)</f>
        <v>0</v>
      </c>
      <c r="DW74" s="575">
        <f t="shared" ref="DW74" si="213">IF(DG74&gt;0,(Z75*DH74),0)</f>
        <v>0</v>
      </c>
      <c r="DX74" s="569">
        <f t="shared" ref="DX74" si="214">IF(DV74&gt;0,DJ74,0)</f>
        <v>0</v>
      </c>
      <c r="DY74" s="569">
        <f t="shared" ref="DY74" si="215">IF(DW74&gt;0,DJ74,0)</f>
        <v>0</v>
      </c>
    </row>
    <row r="75" spans="1:194" s="175" customFormat="1" ht="60" customHeight="1" x14ac:dyDescent="0.3">
      <c r="A75" s="366"/>
      <c r="B75" s="367"/>
      <c r="C75" s="393" t="s">
        <v>35</v>
      </c>
      <c r="D75" s="599" t="str">
        <f>IFERROR(VLOOKUP(D71,'BD GN'!C:E,3,),"")</f>
        <v/>
      </c>
      <c r="E75" s="599"/>
      <c r="F75" s="599"/>
      <c r="G75" s="599"/>
      <c r="H75" s="599"/>
      <c r="I75" s="599"/>
      <c r="J75" s="604"/>
      <c r="K75" s="604"/>
      <c r="L75" s="607"/>
      <c r="M75" s="559"/>
      <c r="N75" s="610"/>
      <c r="O75" s="613"/>
      <c r="P75" s="192"/>
      <c r="Q75" s="239"/>
      <c r="R75" s="221" t="s">
        <v>210</v>
      </c>
      <c r="S75" s="234" t="str">
        <f>IFERROR(IF(N71="","",N71/W75),"")</f>
        <v/>
      </c>
      <c r="T75" s="226"/>
      <c r="U75" s="206"/>
      <c r="V75" s="220"/>
      <c r="W75" s="242" t="str">
        <f>+IF(J71*K71&gt;=1,J71*K71,IF(AND(J71*K71&gt;0,J71*K71&lt;1),1,""))</f>
        <v/>
      </c>
      <c r="X75" s="221" t="s">
        <v>298</v>
      </c>
      <c r="Y75" s="461">
        <f>IFERROR(IF(D71='BD GN'!$C$25,COTIZACIÓN!W75,IF(D71='BD GN'!$C$26,COTIZACIÓN!W75,IF(D71='BD GN'!$C$27,COTIZACIÓN!W75,IF(COTIZACIÓN!D71='BD GN'!$C$28,COTIZACIÓN!W75,IF(COTIZACIÓN!D71='BD GN'!$C$29,COTIZACIÓN!W75,IF(COTIZACIÓN!D71='BD GN'!$C$35,COTIZACIÓN!W75,IF(COTIZACIÓN!D71='BD GN'!$C$36,COTIZACIÓN!W75,IF(COTIZACIÓN!D71='BD GN'!$C$37,COTIZACIÓN!W75,IF(COTIZACIÓN!D71='BD GN'!$C$38,COTIZACIÓN!W75,IF(COTIZACIÓN!D71='BD GN'!$C$39,COTIZACIÓN!W75,IF(COTIZACIÓN!D71='BD GN'!$C$40,COTIZACIÓN!W75,IF(COTIZACIÓN!D71='BD GN'!$C$41,COTIZACIÓN!W75,IF(COTIZACIÓN!D71='BD GN'!$C$42,COTIZACIÓN!W75,IF(COTIZACIÓN!D71='BD GN'!$C$49,COTIZACIÓN!W75,IF(COTIZACIÓN!D71='BD GN'!$C$50,COTIZACIÓN!W75,IF(COTIZACIÓN!D71='BD GN'!$C$51,COTIZACIÓN!W75,IF(COTIZACIÓN!D71='BD GN'!$C$67,COTIZACIÓN!W75,0))))))))))))))))),0)</f>
        <v>0</v>
      </c>
      <c r="Z75" s="461">
        <f>IFERROR(W75-Y75,0)</f>
        <v>0</v>
      </c>
      <c r="AA75" s="225"/>
      <c r="AB75" s="226"/>
      <c r="AC75" s="206"/>
      <c r="AD75" s="206"/>
      <c r="AE75" s="206"/>
      <c r="AF75" s="227"/>
      <c r="AG75" s="206"/>
      <c r="AH75" s="206"/>
      <c r="AI75" s="206"/>
      <c r="AJ75" s="206"/>
      <c r="AK75" s="227"/>
      <c r="AL75" s="210"/>
      <c r="AM75" s="206"/>
      <c r="AN75" s="206"/>
      <c r="AO75" s="228"/>
      <c r="AP75" s="229"/>
      <c r="AQ75" s="206"/>
      <c r="AR75" s="206"/>
      <c r="AS75" s="228"/>
      <c r="AT75" s="229"/>
      <c r="AU75" s="228"/>
      <c r="AV75" s="229"/>
      <c r="AW75" s="228"/>
      <c r="AX75" s="229"/>
      <c r="AY75" s="206"/>
      <c r="AZ75" s="229"/>
      <c r="BA75" s="210"/>
      <c r="BC75" s="211" t="s">
        <v>117</v>
      </c>
      <c r="BD75" s="210"/>
      <c r="BE75" s="177" t="str">
        <f>IFERROR(VLOOKUP(D71,'BD M.O'!C:I,6,FALSE),"")</f>
        <v/>
      </c>
      <c r="BF75" s="177" t="s">
        <v>261</v>
      </c>
      <c r="BI75" s="210"/>
      <c r="BO75" s="210"/>
      <c r="BP75" s="183"/>
      <c r="BQ75" s="183"/>
      <c r="BR75" s="183"/>
      <c r="BW75" s="210"/>
      <c r="CD75" s="184"/>
      <c r="CF75" s="185"/>
      <c r="CI75" s="184"/>
      <c r="CJ75" s="210"/>
      <c r="CK75" s="563"/>
      <c r="CM75" s="559"/>
      <c r="CN75" s="627"/>
      <c r="CO75" s="630"/>
      <c r="CP75" s="630"/>
      <c r="CQ75" s="630"/>
      <c r="CR75" s="630"/>
      <c r="CS75" s="630"/>
      <c r="CT75" s="633"/>
      <c r="CU75" s="563"/>
      <c r="CV75" s="561"/>
      <c r="CW75" s="563"/>
      <c r="CX75" s="561"/>
      <c r="CY75" s="563"/>
      <c r="CZ75" s="561"/>
      <c r="DA75" s="563"/>
      <c r="DB75" s="561"/>
      <c r="DC75" s="563"/>
      <c r="DD75" s="561"/>
      <c r="DG75" s="576"/>
      <c r="DH75" s="576"/>
      <c r="DI75" s="570"/>
      <c r="DJ75" s="570"/>
      <c r="DK75" s="570"/>
      <c r="DL75" s="570"/>
      <c r="DM75" s="573"/>
      <c r="DN75" s="570"/>
      <c r="DO75" s="570"/>
      <c r="DP75" s="570"/>
      <c r="DQ75" s="570"/>
      <c r="DR75" s="570"/>
      <c r="DS75" s="570"/>
      <c r="DT75" s="570"/>
      <c r="DU75" s="570"/>
      <c r="DV75" s="576"/>
      <c r="DW75" s="576"/>
      <c r="DX75" s="570"/>
      <c r="DY75" s="570"/>
    </row>
    <row r="76" spans="1:194" s="252" customFormat="1" ht="60" customHeight="1" x14ac:dyDescent="0.25">
      <c r="A76" s="368"/>
      <c r="B76" s="369"/>
      <c r="C76" s="396" t="s">
        <v>10</v>
      </c>
      <c r="D76" s="645" t="s">
        <v>32</v>
      </c>
      <c r="E76" s="645"/>
      <c r="F76" s="645"/>
      <c r="G76" s="645"/>
      <c r="H76" s="645"/>
      <c r="I76" s="645"/>
      <c r="J76" s="643"/>
      <c r="K76" s="643"/>
      <c r="L76" s="646"/>
      <c r="M76" s="648"/>
      <c r="N76" s="649"/>
      <c r="O76" s="644"/>
      <c r="P76" s="192"/>
      <c r="Q76" s="239"/>
      <c r="R76" s="334" t="s">
        <v>475</v>
      </c>
      <c r="S76" s="234" t="str">
        <f>IFERROR(IF($C$12='BD GN'!$CC$1,VLOOKUP(COTIZACIÓN!D71,'BD GN'!CB:CG,2,FALSE),IF(COTIZACIÓN!$C$12='BD GN'!$CD$1,VLOOKUP(COTIZACIÓN!D71,'BD GN'!CB:CG,3,FALSE),IF($C$12='BD GN'!$CE$1,VLOOKUP(COTIZACIÓN!D71,'BD GN'!CB:CG,4,FALSE),IF(COTIZACIÓN!$C$12='BD GN'!$CF$1,VLOOKUP(COTIZACIÓN!D71,'BD GN'!CB:CG,5,FALSE),IF(COTIZACIÓN!$C$12='BD GN'!$CG$1,VLOOKUP(COTIZACIÓN!D71,'BD GN'!CB:CG,6,FALSE),""))))),"-")</f>
        <v/>
      </c>
      <c r="T76" s="243"/>
      <c r="U76" s="244"/>
      <c r="V76" s="245"/>
      <c r="W76" s="177" t="s">
        <v>394</v>
      </c>
      <c r="X76" s="246">
        <f>IFERROR(SUM(W71:X71),"")</f>
        <v>0</v>
      </c>
      <c r="Y76" s="166" t="s">
        <v>404</v>
      </c>
      <c r="Z76" s="199" t="str">
        <f>IFERROR(Y71+Z71,"")</f>
        <v/>
      </c>
      <c r="AA76" s="247"/>
      <c r="AB76" s="243"/>
      <c r="AC76" s="244"/>
      <c r="AD76" s="244"/>
      <c r="AE76" s="244"/>
      <c r="AF76" s="227"/>
      <c r="AG76" s="206"/>
      <c r="AH76" s="206"/>
      <c r="AI76" s="206"/>
      <c r="AJ76" s="206"/>
      <c r="AK76" s="227"/>
      <c r="AL76" s="227"/>
      <c r="AM76" s="248"/>
      <c r="AN76" s="248"/>
      <c r="AO76" s="249"/>
      <c r="AP76" s="250"/>
      <c r="AQ76" s="248"/>
      <c r="AR76" s="248"/>
      <c r="AS76" s="249"/>
      <c r="AT76" s="250"/>
      <c r="AU76" s="249"/>
      <c r="AV76" s="250"/>
      <c r="AW76" s="249"/>
      <c r="AX76" s="250"/>
      <c r="AY76" s="248"/>
      <c r="AZ76" s="250"/>
      <c r="BA76" s="210"/>
      <c r="BB76" s="175"/>
      <c r="BC76" s="175" t="s">
        <v>118</v>
      </c>
      <c r="BD76" s="210"/>
      <c r="BE76" s="251" t="str">
        <f>IFERROR(VLOOKUP(D71,'BD M.O'!C:I,7,FALSE),"")</f>
        <v/>
      </c>
      <c r="BF76" s="251" t="s">
        <v>262</v>
      </c>
      <c r="BG76" s="175"/>
      <c r="BH76" s="175"/>
      <c r="BI76" s="210"/>
      <c r="BJ76" s="175"/>
      <c r="BK76" s="175"/>
      <c r="BL76" s="175"/>
      <c r="BM76" s="175"/>
      <c r="BN76" s="175"/>
      <c r="BO76" s="210"/>
      <c r="BP76" s="175"/>
      <c r="BQ76" s="175"/>
      <c r="BR76" s="175"/>
      <c r="BS76" s="183"/>
      <c r="BT76" s="183"/>
      <c r="BU76" s="183"/>
      <c r="BV76" s="183"/>
      <c r="BW76" s="210"/>
      <c r="BX76" s="175"/>
      <c r="BY76" s="175"/>
      <c r="BZ76" s="175"/>
      <c r="CA76" s="175"/>
      <c r="CB76" s="175"/>
      <c r="CC76" s="175"/>
      <c r="CD76" s="184"/>
      <c r="CE76" s="175"/>
      <c r="CF76" s="185"/>
      <c r="CG76" s="175"/>
      <c r="CH76" s="175"/>
      <c r="CI76" s="184"/>
      <c r="CJ76" s="210"/>
      <c r="CK76" s="564"/>
      <c r="CL76" s="257"/>
      <c r="CM76" s="597"/>
      <c r="CN76" s="628"/>
      <c r="CO76" s="631"/>
      <c r="CP76" s="631"/>
      <c r="CQ76" s="631"/>
      <c r="CR76" s="631"/>
      <c r="CS76" s="631"/>
      <c r="CT76" s="634"/>
      <c r="CU76" s="564"/>
      <c r="CV76" s="562"/>
      <c r="CW76" s="564"/>
      <c r="CX76" s="562"/>
      <c r="CY76" s="564"/>
      <c r="CZ76" s="562"/>
      <c r="DA76" s="564"/>
      <c r="DB76" s="562"/>
      <c r="DC76" s="564"/>
      <c r="DD76" s="562"/>
      <c r="DE76" s="175"/>
      <c r="DF76" s="175"/>
      <c r="DG76" s="577"/>
      <c r="DH76" s="577"/>
      <c r="DI76" s="571"/>
      <c r="DJ76" s="571"/>
      <c r="DK76" s="571"/>
      <c r="DL76" s="571"/>
      <c r="DM76" s="574"/>
      <c r="DN76" s="571"/>
      <c r="DO76" s="571"/>
      <c r="DP76" s="571"/>
      <c r="DQ76" s="571"/>
      <c r="DR76" s="571"/>
      <c r="DS76" s="571"/>
      <c r="DT76" s="571"/>
      <c r="DU76" s="571"/>
      <c r="DV76" s="577"/>
      <c r="DW76" s="577"/>
      <c r="DX76" s="571"/>
      <c r="DY76" s="571"/>
      <c r="DZ76" s="175"/>
      <c r="EA76" s="175"/>
      <c r="EB76" s="175"/>
      <c r="EC76" s="175"/>
      <c r="ED76" s="175"/>
      <c r="EE76" s="175"/>
      <c r="EF76" s="175"/>
      <c r="EG76" s="175"/>
      <c r="EH76" s="175"/>
      <c r="EI76" s="175"/>
      <c r="EJ76" s="175"/>
      <c r="EK76" s="175"/>
      <c r="EL76" s="175"/>
      <c r="EM76" s="175"/>
      <c r="EN76" s="175"/>
      <c r="EO76" s="175"/>
      <c r="EP76" s="175"/>
      <c r="EQ76" s="175"/>
      <c r="ER76" s="175"/>
      <c r="ES76" s="175"/>
      <c r="ET76" s="175"/>
      <c r="EU76" s="175"/>
      <c r="EV76" s="175"/>
      <c r="EW76" s="175"/>
      <c r="EX76" s="175"/>
      <c r="EY76" s="175"/>
      <c r="EZ76" s="175"/>
      <c r="FA76" s="175"/>
      <c r="FB76" s="175"/>
      <c r="FC76" s="175"/>
      <c r="FD76" s="175"/>
      <c r="FE76" s="175"/>
      <c r="FF76" s="175"/>
      <c r="FG76" s="175"/>
      <c r="FH76" s="175"/>
      <c r="FI76" s="175"/>
      <c r="FJ76" s="175"/>
      <c r="FK76" s="175"/>
      <c r="FL76" s="175"/>
      <c r="FM76" s="175"/>
      <c r="FN76" s="175"/>
      <c r="FO76" s="175"/>
      <c r="FP76" s="175"/>
      <c r="FQ76" s="175"/>
      <c r="FR76" s="175"/>
      <c r="FS76" s="175"/>
      <c r="FT76" s="175"/>
      <c r="FU76" s="175"/>
      <c r="FV76" s="175"/>
      <c r="FW76" s="175"/>
      <c r="FX76" s="175"/>
      <c r="FY76" s="175"/>
      <c r="FZ76" s="175"/>
      <c r="GA76" s="175"/>
      <c r="GB76" s="175"/>
      <c r="GC76" s="175"/>
      <c r="GD76" s="175"/>
      <c r="GE76" s="175"/>
      <c r="GF76" s="175"/>
      <c r="GG76" s="175"/>
      <c r="GH76" s="175"/>
      <c r="GI76" s="175"/>
      <c r="GJ76" s="175"/>
      <c r="GK76" s="175"/>
      <c r="GL76" s="175"/>
    </row>
    <row r="77" spans="1:194" s="255" customFormat="1" ht="60" customHeight="1" x14ac:dyDescent="0.3">
      <c r="A77" s="362" t="s">
        <v>193</v>
      </c>
      <c r="B77" s="363" t="s">
        <v>25</v>
      </c>
      <c r="C77" s="391" t="s">
        <v>174</v>
      </c>
      <c r="D77" s="640" t="s">
        <v>173</v>
      </c>
      <c r="E77" s="640"/>
      <c r="F77" s="640"/>
      <c r="G77" s="640"/>
      <c r="H77" s="640"/>
      <c r="I77" s="640"/>
      <c r="J77" s="418" t="s">
        <v>443</v>
      </c>
      <c r="K77" s="418" t="s">
        <v>444</v>
      </c>
      <c r="L77" s="418" t="s">
        <v>171</v>
      </c>
      <c r="M77" s="363" t="s">
        <v>2</v>
      </c>
      <c r="N77" s="419" t="s">
        <v>7</v>
      </c>
      <c r="O77" s="420" t="s">
        <v>8</v>
      </c>
      <c r="P77" s="159"/>
      <c r="Q77" s="164" t="s">
        <v>93</v>
      </c>
      <c r="R77" s="164" t="s">
        <v>34</v>
      </c>
      <c r="S77" s="164" t="s">
        <v>28</v>
      </c>
      <c r="T77" s="164" t="s">
        <v>95</v>
      </c>
      <c r="U77" s="164" t="s">
        <v>96</v>
      </c>
      <c r="V77" s="164" t="s">
        <v>97</v>
      </c>
      <c r="W77" s="164" t="s">
        <v>4</v>
      </c>
      <c r="X77" s="164" t="s">
        <v>103</v>
      </c>
      <c r="Y77" s="160" t="s">
        <v>402</v>
      </c>
      <c r="Z77" s="165" t="s">
        <v>403</v>
      </c>
      <c r="AA77" s="166" t="s">
        <v>404</v>
      </c>
      <c r="AB77" s="164" t="s">
        <v>99</v>
      </c>
      <c r="AC77" s="164" t="s">
        <v>395</v>
      </c>
      <c r="AD77" s="253" t="s">
        <v>36</v>
      </c>
      <c r="AE77" s="164" t="s">
        <v>389</v>
      </c>
      <c r="AF77" s="164" t="s">
        <v>390</v>
      </c>
      <c r="AG77" s="164" t="s">
        <v>164</v>
      </c>
      <c r="AH77" s="253" t="s">
        <v>396</v>
      </c>
      <c r="AI77" s="164" t="s">
        <v>190</v>
      </c>
      <c r="AJ77" s="164" t="s">
        <v>339</v>
      </c>
      <c r="AK77" s="253" t="s">
        <v>391</v>
      </c>
      <c r="AL77" s="253" t="s">
        <v>393</v>
      </c>
      <c r="AM77" s="167" t="s">
        <v>93</v>
      </c>
      <c r="AN77" s="168" t="s">
        <v>34</v>
      </c>
      <c r="AO77" s="169" t="s">
        <v>28</v>
      </c>
      <c r="AP77" s="170" t="s">
        <v>95</v>
      </c>
      <c r="AQ77" s="167" t="s">
        <v>3</v>
      </c>
      <c r="AR77" s="167" t="s">
        <v>96</v>
      </c>
      <c r="AS77" s="169" t="s">
        <v>97</v>
      </c>
      <c r="AT77" s="170" t="s">
        <v>4</v>
      </c>
      <c r="AU77" s="169" t="s">
        <v>103</v>
      </c>
      <c r="AV77" s="170" t="s">
        <v>99</v>
      </c>
      <c r="AW77" s="169" t="s">
        <v>36</v>
      </c>
      <c r="AX77" s="171" t="s">
        <v>29</v>
      </c>
      <c r="AY77" s="172" t="s">
        <v>190</v>
      </c>
      <c r="AZ77" s="173" t="s">
        <v>102</v>
      </c>
      <c r="BA77" s="174"/>
      <c r="BB77" s="183"/>
      <c r="BC77" s="211" t="s">
        <v>119</v>
      </c>
      <c r="BD77" s="174"/>
      <c r="BE77" s="176" t="s">
        <v>189</v>
      </c>
      <c r="BF77" s="177" t="str">
        <f>$BF$13</f>
        <v xml:space="preserve">VR SILICONA </v>
      </c>
      <c r="BG77" s="177" t="str">
        <f>$BG$13</f>
        <v xml:space="preserve">VR PELÍCULA </v>
      </c>
      <c r="BH77" s="254" t="str">
        <f>$BH$13</f>
        <v>VR EMBALAJE</v>
      </c>
      <c r="BI77" s="174"/>
      <c r="BJ77" s="176" t="str">
        <f>$BJ$13</f>
        <v>ESP. CRISTAL</v>
      </c>
      <c r="BK77" s="176" t="s">
        <v>130</v>
      </c>
      <c r="BL77" s="177" t="s">
        <v>28</v>
      </c>
      <c r="BM77" s="177" t="str">
        <f>BM70</f>
        <v>TOTAL</v>
      </c>
      <c r="BN77" s="177" t="s">
        <v>133</v>
      </c>
      <c r="BO77" s="174"/>
      <c r="BP77" s="175"/>
      <c r="BQ77" s="175"/>
      <c r="BR77" s="175"/>
      <c r="BS77" s="175"/>
      <c r="BT77" s="175"/>
      <c r="BU77" s="175"/>
      <c r="BV77" s="175"/>
      <c r="BW77" s="174"/>
      <c r="BX77" s="175"/>
      <c r="BY77" s="175"/>
      <c r="BZ77" s="175"/>
      <c r="CA77" s="175"/>
      <c r="CB77" s="175"/>
      <c r="CC77" s="175"/>
      <c r="CD77" s="184"/>
      <c r="CE77" s="175"/>
      <c r="CF77" s="185"/>
      <c r="CG77" s="175"/>
      <c r="CH77" s="175"/>
      <c r="CI77" s="184"/>
      <c r="CJ77" s="174"/>
      <c r="CK77" s="186" t="s">
        <v>415</v>
      </c>
      <c r="CL77" s="187" t="s">
        <v>417</v>
      </c>
      <c r="CM77" s="187" t="s">
        <v>416</v>
      </c>
      <c r="CN77" s="188" t="s">
        <v>418</v>
      </c>
      <c r="CO77" s="187" t="s">
        <v>417</v>
      </c>
      <c r="CP77" s="187" t="s">
        <v>409</v>
      </c>
      <c r="CQ77" s="187" t="s">
        <v>410</v>
      </c>
      <c r="CR77" s="187" t="s">
        <v>411</v>
      </c>
      <c r="CS77" s="187" t="s">
        <v>412</v>
      </c>
      <c r="CT77" s="187" t="s">
        <v>413</v>
      </c>
      <c r="CU77" s="189" t="s">
        <v>2</v>
      </c>
      <c r="CV77" s="190" t="s">
        <v>159</v>
      </c>
      <c r="CW77" s="189" t="s">
        <v>2</v>
      </c>
      <c r="CX77" s="190" t="s">
        <v>159</v>
      </c>
      <c r="CY77" s="189" t="s">
        <v>2</v>
      </c>
      <c r="CZ77" s="190" t="s">
        <v>159</v>
      </c>
      <c r="DA77" s="189" t="s">
        <v>2</v>
      </c>
      <c r="DB77" s="190" t="s">
        <v>159</v>
      </c>
      <c r="DC77" s="189" t="s">
        <v>2</v>
      </c>
      <c r="DD77" s="190" t="s">
        <v>159</v>
      </c>
      <c r="DE77" s="183"/>
      <c r="DF77" s="183"/>
      <c r="DG77" s="177" t="s">
        <v>505</v>
      </c>
      <c r="DH77" s="472" t="s">
        <v>509</v>
      </c>
      <c r="DI77" s="457" t="s">
        <v>506</v>
      </c>
      <c r="DJ77" s="457" t="s">
        <v>134</v>
      </c>
      <c r="DK77" s="457" t="s">
        <v>498</v>
      </c>
      <c r="DL77" s="457" t="s">
        <v>499</v>
      </c>
      <c r="DM77" s="457" t="s">
        <v>500</v>
      </c>
      <c r="DN77" s="457" t="s">
        <v>131</v>
      </c>
      <c r="DO77" s="457" t="s">
        <v>390</v>
      </c>
      <c r="DP77" s="457" t="s">
        <v>36</v>
      </c>
      <c r="DQ77" s="457" t="s">
        <v>501</v>
      </c>
      <c r="DR77" s="457" t="s">
        <v>502</v>
      </c>
      <c r="DS77" s="457" t="s">
        <v>503</v>
      </c>
      <c r="DT77" s="457" t="s">
        <v>4</v>
      </c>
      <c r="DU77" s="457" t="s">
        <v>504</v>
      </c>
      <c r="DV77" s="466" t="s">
        <v>507</v>
      </c>
      <c r="DW77" s="466" t="s">
        <v>508</v>
      </c>
      <c r="DX77" s="457" t="s">
        <v>510</v>
      </c>
      <c r="DY77" s="457" t="s">
        <v>511</v>
      </c>
      <c r="DZ77" s="183"/>
      <c r="EA77" s="183"/>
      <c r="EB77" s="183"/>
      <c r="EC77" s="183"/>
      <c r="ED77" s="183"/>
      <c r="EE77" s="183"/>
      <c r="EF77" s="183"/>
      <c r="EG77" s="183"/>
      <c r="EH77" s="183"/>
      <c r="EI77" s="183"/>
      <c r="EJ77" s="183"/>
      <c r="EK77" s="183"/>
      <c r="EL77" s="183"/>
      <c r="EM77" s="183"/>
      <c r="EN77" s="183"/>
      <c r="EO77" s="183"/>
      <c r="EP77" s="183"/>
      <c r="EQ77" s="183"/>
      <c r="ER77" s="183"/>
      <c r="ES77" s="183"/>
      <c r="ET77" s="183"/>
      <c r="EU77" s="183"/>
      <c r="EV77" s="183"/>
      <c r="EW77" s="183"/>
      <c r="EX77" s="183"/>
      <c r="EY77" s="183"/>
      <c r="EZ77" s="183"/>
      <c r="FA77" s="183"/>
      <c r="FB77" s="183"/>
      <c r="FC77" s="183"/>
      <c r="FD77" s="183"/>
      <c r="FE77" s="183"/>
      <c r="FF77" s="183"/>
      <c r="FG77" s="183"/>
      <c r="FH77" s="183"/>
      <c r="FI77" s="183"/>
      <c r="FJ77" s="183"/>
      <c r="FK77" s="183"/>
      <c r="FL77" s="183"/>
      <c r="FM77" s="183"/>
      <c r="FN77" s="183"/>
      <c r="FO77" s="183"/>
      <c r="FP77" s="183"/>
      <c r="FQ77" s="183"/>
      <c r="FR77" s="183"/>
      <c r="FS77" s="183"/>
      <c r="FT77" s="183"/>
      <c r="FU77" s="183"/>
      <c r="FV77" s="183"/>
      <c r="FW77" s="183"/>
      <c r="FX77" s="183"/>
      <c r="FY77" s="183"/>
      <c r="FZ77" s="183"/>
      <c r="GA77" s="183"/>
      <c r="GB77" s="183"/>
      <c r="GC77" s="183"/>
      <c r="GD77" s="183"/>
      <c r="GE77" s="183"/>
      <c r="GF77" s="183"/>
      <c r="GG77" s="183"/>
      <c r="GH77" s="183"/>
      <c r="GI77" s="183"/>
      <c r="GJ77" s="183"/>
      <c r="GK77" s="183"/>
      <c r="GL77" s="183"/>
    </row>
    <row r="78" spans="1:194" s="175" customFormat="1" ht="60" customHeight="1" x14ac:dyDescent="0.3">
      <c r="A78" s="364"/>
      <c r="B78" s="365"/>
      <c r="C78" s="392" t="s">
        <v>27</v>
      </c>
      <c r="D78" s="641"/>
      <c r="E78" s="641"/>
      <c r="F78" s="641"/>
      <c r="G78" s="641"/>
      <c r="H78" s="641"/>
      <c r="I78" s="641"/>
      <c r="J78" s="642"/>
      <c r="K78" s="642"/>
      <c r="L78" s="622">
        <f>J78*K78*M78</f>
        <v>0</v>
      </c>
      <c r="M78" s="623"/>
      <c r="N78" s="620">
        <f>IFERROR(AL78,"")</f>
        <v>1.0765546639999999</v>
      </c>
      <c r="O78" s="621">
        <f>IFERROR(N78*M78,"")</f>
        <v>0</v>
      </c>
      <c r="P78" s="192"/>
      <c r="Q78" s="193">
        <f>Q79+BF78+($R$350*Q79)</f>
        <v>0</v>
      </c>
      <c r="R78" s="193">
        <f>IFERROR(R79+($R$348*R79),"")</f>
        <v>0</v>
      </c>
      <c r="S78" s="194">
        <f>+IF(R80="SI",((W82*'BD GN'!$AB$2)+S79)*1,COTIZACIÓN!S79*1)+(P79*S79)</f>
        <v>0</v>
      </c>
      <c r="T78" s="195">
        <f>IFERROR(R78*IF(K78&lt;=3,$T$13,15%),"")</f>
        <v>0</v>
      </c>
      <c r="U78" s="196">
        <f>BH78+BG78</f>
        <v>0</v>
      </c>
      <c r="V78" s="197" t="str">
        <f>IFERROR(BN78,0)</f>
        <v/>
      </c>
      <c r="W78" s="198" t="str">
        <f>IFERROR(IF(X80="SI",W81*J78*K78,IF(BE78=3,BE80,IF(BE78=4,BE81,IF(BE78=5,BE82,IF(BE78&gt;5,BE82+(BE83*(BE78-5)),"")))))*0,"")</f>
        <v/>
      </c>
      <c r="X78" s="198" t="str">
        <f>IFERROR(IF(X79="NO",(VLOOKUP(D78,'BD M.O'!C:E,3,FALSE))*W82,((VLOOKUP(D78,'BD M.O'!C:E,3,FALSE))+7500)*W82),"")</f>
        <v/>
      </c>
      <c r="Y78" s="198">
        <f>IFERROR($Y$13*AK78,"")</f>
        <v>4.2084457416288003E-2</v>
      </c>
      <c r="Z78" s="332" t="str">
        <f>IFERROR(($Z$13*AK78)+X78,"")</f>
        <v/>
      </c>
      <c r="AA78" s="199" t="str">
        <f>IFERROR(Y78+Z78,"")</f>
        <v/>
      </c>
      <c r="AB78" s="200">
        <f>IFERROR((SUM(Q78:X78)-T78+T80)*$AB$13,"")</f>
        <v>0</v>
      </c>
      <c r="AC78" s="201">
        <f>IFERROR(((SUM(Q78:V78,IF(X83&gt;AA78,AVERAGE(X83,AA78),AA78))-T78+T80))*$AB$13,"")</f>
        <v>0</v>
      </c>
      <c r="AD78" s="202" t="str">
        <f>IFERROR((J78*K78*$BV$14),"")</f>
        <v/>
      </c>
      <c r="AE78" s="202">
        <f>IFERROR($AE$13*AK78,"")</f>
        <v>6.4010592649919984E-2</v>
      </c>
      <c r="AF78" s="203" t="str">
        <f>IFERROR(($CI$11+$CI$13)*W82,"")</f>
        <v/>
      </c>
      <c r="AG78" s="202">
        <f>IFERROR((SUM(Q78:X78,AB78,AD78,AF78)-T78+T80)*$AG$13,"")</f>
        <v>0</v>
      </c>
      <c r="AH78" s="202">
        <f>IFERROR((SUM(Q78:V78,(IF(X83&gt;AA78,AVERAGE(X83,AA78),AA78)),AC78,AE78,AF78)-T78+T80)*$AG$13,"")</f>
        <v>3.2005296324959992E-2</v>
      </c>
      <c r="AI78" s="204">
        <f>IFERROR(AL78*$AI$13,"")</f>
        <v>2.1531093279999997E-2</v>
      </c>
      <c r="AJ78" s="204">
        <f>IFERROR($AJ$13*AL78,"")</f>
        <v>6.007175025119999E-3</v>
      </c>
      <c r="AK78" s="205">
        <f>IFERROR(SUM(Q78:X78,AB78,AD78,AG78,AF78)/(1-$AI$13)+(1-$AJ$13)-T78+T80,"")</f>
        <v>0.99441999999999997</v>
      </c>
      <c r="AL78" s="205">
        <f>IFERROR(SUM(Q78:V78,AC78,(IF(AD78&gt;AE78,AVERAGE(AD78,AE78),AE78)),AF78,,AH78,(IF(SUM(X83)&gt;AA78,AVERAGE(AA78,X83),AA78)))/(1-$AJ$13)+(1-$AI$13)-T78+T80,"")</f>
        <v>1.0765546639999999</v>
      </c>
      <c r="AM78" s="206">
        <f>$M$15*Q78</f>
        <v>0</v>
      </c>
      <c r="AN78" s="207">
        <f>$M$15*R78</f>
        <v>0</v>
      </c>
      <c r="AO78" s="208">
        <f>$M$15*S78</f>
        <v>0</v>
      </c>
      <c r="AP78" s="207">
        <f>$M$15*T78</f>
        <v>0</v>
      </c>
      <c r="AQ78" s="207" t="e">
        <f>$M$15*#REF!</f>
        <v>#REF!</v>
      </c>
      <c r="AR78" s="207">
        <f>$M$15*U78</f>
        <v>0</v>
      </c>
      <c r="AS78" s="208" t="e">
        <f>$M$15*V78</f>
        <v>#VALUE!</v>
      </c>
      <c r="AT78" s="207" t="e">
        <f>$M$15*W78</f>
        <v>#VALUE!</v>
      </c>
      <c r="AU78" s="208" t="e">
        <f>$M$15*X78</f>
        <v>#VALUE!</v>
      </c>
      <c r="AV78" s="207">
        <f>$M$15*AB78</f>
        <v>0</v>
      </c>
      <c r="AW78" s="208">
        <f>$M$15*AE78</f>
        <v>0</v>
      </c>
      <c r="AX78" s="207">
        <f>$M$15*AG78</f>
        <v>0</v>
      </c>
      <c r="AY78" s="209">
        <f>$M$15*AI78</f>
        <v>0</v>
      </c>
      <c r="AZ78" s="207">
        <f>$M$15*AK78</f>
        <v>0</v>
      </c>
      <c r="BA78" s="210"/>
      <c r="BB78" s="175" t="s">
        <v>23</v>
      </c>
      <c r="BC78" s="211" t="s">
        <v>113</v>
      </c>
      <c r="BD78" s="210"/>
      <c r="BE78" s="212"/>
      <c r="BF78" s="213">
        <f>IF(BH79="NO",((2*J78)+(2*K78))*'BD GN'!$AU$3,((3*J78)+(2*K78))*'BD GN'!$AU$3)</f>
        <v>0</v>
      </c>
      <c r="BG78" s="213">
        <f>'BD GN'!$BB$3*J78*K78</f>
        <v>0</v>
      </c>
      <c r="BH78" s="214">
        <f>((J78*2*BE78)+(K78*2*BE78))*'BD GN'!$AN$4</f>
        <v>0</v>
      </c>
      <c r="BI78" s="210"/>
      <c r="BJ78" s="212"/>
      <c r="BK78" s="212"/>
      <c r="BL78" s="215">
        <f>J78*K78*2.5*BJ78</f>
        <v>0</v>
      </c>
      <c r="BM78" s="215">
        <f>BK78+BL78</f>
        <v>0</v>
      </c>
      <c r="BN78" s="216" t="str">
        <f>IFERROR((VLOOKUP($C$12,'BD GN'!BD:BM,10,FALSE)*BM78)+$BR$338,"")</f>
        <v/>
      </c>
      <c r="BO78" s="210"/>
      <c r="BW78" s="210"/>
      <c r="CD78" s="184"/>
      <c r="CF78" s="185"/>
      <c r="CI78" s="184"/>
      <c r="CJ78" s="210"/>
      <c r="CK78" s="565"/>
      <c r="CL78" s="256"/>
      <c r="CM78" s="596"/>
      <c r="CN78" s="626"/>
      <c r="CO78" s="629"/>
      <c r="CP78" s="629"/>
      <c r="CQ78" s="629"/>
      <c r="CR78" s="629"/>
      <c r="CS78" s="629"/>
      <c r="CT78" s="632"/>
      <c r="CU78" s="565"/>
      <c r="CV78" s="560">
        <f>IFERROR(N78*CU78,"")</f>
        <v>0</v>
      </c>
      <c r="CW78" s="565"/>
      <c r="CX78" s="560">
        <f>IFERROR(P78*CW78,"")</f>
        <v>0</v>
      </c>
      <c r="CY78" s="565"/>
      <c r="CZ78" s="560">
        <f>IFERROR(R78*CY78,"")</f>
        <v>0</v>
      </c>
      <c r="DA78" s="565">
        <f t="shared" ref="DA78" si="216">CU78+CW78+CY78</f>
        <v>0</v>
      </c>
      <c r="DB78" s="560">
        <f t="shared" ref="DB78" si="217">IFERROR(CV78+CX78+CZ78,"")</f>
        <v>0</v>
      </c>
      <c r="DC78" s="565">
        <f>M78-(CU78+CW78+CY78)</f>
        <v>0</v>
      </c>
      <c r="DD78" s="560">
        <f>IFERROR(O78-(CV78+CX78+CZ78),"")</f>
        <v>0</v>
      </c>
      <c r="DG78" s="575"/>
      <c r="DH78" s="575"/>
      <c r="DI78" s="569">
        <f t="shared" ref="DI78" si="218">IFERROR(IF(DG78&gt;0,(((N78)/(1+10%+19%*5%)+((N78)/(1+10%+19%*5%))*10%)*DH78),0),0)</f>
        <v>0</v>
      </c>
      <c r="DJ78" s="569">
        <f t="shared" ref="DJ78" si="219">IFERROR(IF(DG78&gt;0,(N78*DH78),0),0)</f>
        <v>0</v>
      </c>
      <c r="DK78" s="569">
        <f t="shared" ref="DK78" si="220">IF(DG78&gt;0,((R78+T78)*DH78),0)</f>
        <v>0</v>
      </c>
      <c r="DL78" s="569">
        <f t="shared" ref="DL78" si="221">IF(DG78&gt;0,(Q78*DH78),0)</f>
        <v>0</v>
      </c>
      <c r="DM78" s="572">
        <f t="shared" ref="DM78" si="222">IF(DG78&gt;0,(S78*DH78),0)</f>
        <v>0</v>
      </c>
      <c r="DN78" s="569">
        <f t="shared" ref="DN78" si="223">IF(DG78&gt;0,(BN78*DH78),0)</f>
        <v>0</v>
      </c>
      <c r="DO78" s="569">
        <f t="shared" ref="DO78" si="224">IF(DG78&gt;0,(AF78*DH78),0)</f>
        <v>0</v>
      </c>
      <c r="DP78" s="569">
        <f>IF(DG78&gt;0,((DI78)*('BD P&amp;G'!$E$16+'BD P&amp;G'!$E$17+'BD P&amp;G'!$E$18+'BD P&amp;G'!$E$19+'BD P&amp;G'!$E$20+'BD P&amp;G'!$E$21+'BD P&amp;G'!$E$22+'BD P&amp;G'!$E$23)*DH78),0)</f>
        <v>0</v>
      </c>
      <c r="DQ78" s="569">
        <f>IFERROR(IF(DG78&gt;0,((DI78*'BD P&amp;G'!$E$7)+(DI78*'BD P&amp;G'!$E$9)+AI78),0),0)</f>
        <v>0</v>
      </c>
      <c r="DR78" s="569">
        <f t="shared" ref="DR78" si="225">IFERROR(IF(DG78&gt;0,((DI78*1%)),0),0)</f>
        <v>0</v>
      </c>
      <c r="DS78" s="569">
        <f>IFERROR(IF(DG78&gt;0,(((DI78*'BD P&amp;G'!$E$32+DI78*'BD P&amp;G'!$E$33+DI78*'BD P&amp;G'!$E$35+DI78*'BD P&amp;G'!$E$36+DI78*'BD P&amp;G'!$E$37))),0),0)</f>
        <v>0</v>
      </c>
      <c r="DT78" s="569">
        <f t="shared" ref="DT78" si="226">IF(DG78&gt;0,(Y78*DH78),0)</f>
        <v>0</v>
      </c>
      <c r="DU78" s="569">
        <f t="shared" ref="DU78" si="227">IF(DG78&gt;0,(Z78*DH78),0)</f>
        <v>0</v>
      </c>
      <c r="DV78" s="575">
        <f t="shared" ref="DV78" si="228">IF(DG78&gt;0,(Y82*DH78),0)</f>
        <v>0</v>
      </c>
      <c r="DW78" s="575">
        <f t="shared" ref="DW78" si="229">IF(DG78&gt;0,(Z82*DH78),0)</f>
        <v>0</v>
      </c>
      <c r="DX78" s="569">
        <f t="shared" ref="DX78" si="230">IF(DV78&gt;0,DJ78,0)</f>
        <v>0</v>
      </c>
      <c r="DY78" s="569">
        <f t="shared" ref="DY78" si="231">IF(DW78&gt;0,DJ78,0)</f>
        <v>0</v>
      </c>
    </row>
    <row r="79" spans="1:194" s="175" customFormat="1" ht="60" customHeight="1" x14ac:dyDescent="0.25">
      <c r="A79" s="366"/>
      <c r="B79" s="367"/>
      <c r="C79" s="393" t="s">
        <v>28</v>
      </c>
      <c r="D79" s="598"/>
      <c r="E79" s="598"/>
      <c r="F79" s="598"/>
      <c r="G79" s="598"/>
      <c r="H79" s="598"/>
      <c r="I79" s="598"/>
      <c r="J79" s="604"/>
      <c r="K79" s="604"/>
      <c r="L79" s="607"/>
      <c r="M79" s="559"/>
      <c r="N79" s="610"/>
      <c r="O79" s="613"/>
      <c r="P79" s="192"/>
      <c r="Q79" s="217"/>
      <c r="R79" s="217"/>
      <c r="S79" s="218"/>
      <c r="T79" s="219">
        <f>IFERROR(T78/$R$353,"")</f>
        <v>0</v>
      </c>
      <c r="U79" s="206"/>
      <c r="V79" s="220"/>
      <c r="W79" s="221" t="s">
        <v>239</v>
      </c>
      <c r="X79" s="222" t="s">
        <v>204</v>
      </c>
      <c r="Y79" s="223"/>
      <c r="Z79" s="224"/>
      <c r="AA79" s="225"/>
      <c r="AB79" s="226"/>
      <c r="AC79" s="206"/>
      <c r="AD79" s="206"/>
      <c r="AE79" s="206"/>
      <c r="AF79" s="227"/>
      <c r="AG79" s="206"/>
      <c r="AH79" s="206"/>
      <c r="AI79" s="206"/>
      <c r="AJ79" s="206"/>
      <c r="AK79" s="227"/>
      <c r="AL79" s="210"/>
      <c r="AM79" s="206"/>
      <c r="AN79" s="206"/>
      <c r="AO79" s="228"/>
      <c r="AP79" s="229"/>
      <c r="AQ79" s="206"/>
      <c r="AR79" s="206"/>
      <c r="AS79" s="228"/>
      <c r="AT79" s="229"/>
      <c r="AU79" s="228"/>
      <c r="AV79" s="229"/>
      <c r="AW79" s="228"/>
      <c r="AX79" s="229"/>
      <c r="AY79" s="206"/>
      <c r="AZ79" s="229"/>
      <c r="BA79" s="210"/>
      <c r="BB79" s="175" t="s">
        <v>24</v>
      </c>
      <c r="BC79" s="175" t="s">
        <v>114</v>
      </c>
      <c r="BD79" s="210"/>
      <c r="BE79" s="176" t="s">
        <v>206</v>
      </c>
      <c r="BF79" s="230" t="s">
        <v>204</v>
      </c>
      <c r="BG79" s="176" t="s">
        <v>290</v>
      </c>
      <c r="BH79" s="231" t="s">
        <v>204</v>
      </c>
      <c r="BI79" s="210"/>
      <c r="BN79" s="232"/>
      <c r="BO79" s="210"/>
      <c r="BV79" s="184"/>
      <c r="BW79" s="210"/>
      <c r="CD79" s="184"/>
      <c r="CF79" s="185"/>
      <c r="CI79" s="184"/>
      <c r="CJ79" s="210"/>
      <c r="CK79" s="563"/>
      <c r="CM79" s="559"/>
      <c r="CN79" s="627"/>
      <c r="CO79" s="630"/>
      <c r="CP79" s="630"/>
      <c r="CQ79" s="630"/>
      <c r="CR79" s="630"/>
      <c r="CS79" s="630"/>
      <c r="CT79" s="633"/>
      <c r="CU79" s="563"/>
      <c r="CV79" s="561"/>
      <c r="CW79" s="563"/>
      <c r="CX79" s="561"/>
      <c r="CY79" s="563"/>
      <c r="CZ79" s="561"/>
      <c r="DA79" s="563"/>
      <c r="DB79" s="561"/>
      <c r="DC79" s="563"/>
      <c r="DD79" s="561"/>
      <c r="DG79" s="576"/>
      <c r="DH79" s="576"/>
      <c r="DI79" s="570"/>
      <c r="DJ79" s="570"/>
      <c r="DK79" s="570"/>
      <c r="DL79" s="570"/>
      <c r="DM79" s="573"/>
      <c r="DN79" s="570"/>
      <c r="DO79" s="570"/>
      <c r="DP79" s="570"/>
      <c r="DQ79" s="570"/>
      <c r="DR79" s="570"/>
      <c r="DS79" s="570"/>
      <c r="DT79" s="570"/>
      <c r="DU79" s="570"/>
      <c r="DV79" s="576"/>
      <c r="DW79" s="576"/>
      <c r="DX79" s="570"/>
      <c r="DY79" s="570"/>
    </row>
    <row r="80" spans="1:194" s="175" customFormat="1" ht="60" customHeight="1" x14ac:dyDescent="0.3">
      <c r="A80" s="366"/>
      <c r="B80" s="367"/>
      <c r="C80" s="393" t="s">
        <v>30</v>
      </c>
      <c r="D80" s="599"/>
      <c r="E80" s="599"/>
      <c r="F80" s="599"/>
      <c r="G80" s="599"/>
      <c r="H80" s="599"/>
      <c r="I80" s="599"/>
      <c r="J80" s="604"/>
      <c r="K80" s="604"/>
      <c r="L80" s="607"/>
      <c r="M80" s="559"/>
      <c r="N80" s="610"/>
      <c r="O80" s="613"/>
      <c r="P80" s="192"/>
      <c r="Q80" s="176" t="s">
        <v>205</v>
      </c>
      <c r="R80" s="233" t="s">
        <v>204</v>
      </c>
      <c r="S80" s="234"/>
      <c r="T80" s="235">
        <f>IFERROR(($R$353-8000)*T79,"")</f>
        <v>0</v>
      </c>
      <c r="U80" s="206"/>
      <c r="V80" s="220"/>
      <c r="W80" s="221" t="s">
        <v>258</v>
      </c>
      <c r="X80" s="222" t="s">
        <v>204</v>
      </c>
      <c r="Y80" s="236"/>
      <c r="Z80" s="237"/>
      <c r="AA80" s="225"/>
      <c r="AB80" s="226"/>
      <c r="AC80" s="206"/>
      <c r="AD80" s="206"/>
      <c r="AE80" s="206"/>
      <c r="AF80" s="227"/>
      <c r="AG80" s="206"/>
      <c r="AH80" s="206"/>
      <c r="AI80" s="206"/>
      <c r="AJ80" s="206"/>
      <c r="AK80" s="227"/>
      <c r="AL80" s="238"/>
      <c r="AM80" s="206"/>
      <c r="AN80" s="206"/>
      <c r="AO80" s="228"/>
      <c r="AP80" s="229"/>
      <c r="AQ80" s="206"/>
      <c r="AR80" s="206"/>
      <c r="AS80" s="228"/>
      <c r="AT80" s="229"/>
      <c r="AU80" s="228"/>
      <c r="AV80" s="229"/>
      <c r="AW80" s="228"/>
      <c r="AX80" s="229"/>
      <c r="AY80" s="206"/>
      <c r="AZ80" s="229"/>
      <c r="BA80" s="210"/>
      <c r="BB80" s="175" t="s">
        <v>26</v>
      </c>
      <c r="BC80" s="211" t="s">
        <v>115</v>
      </c>
      <c r="BD80" s="210"/>
      <c r="BE80" s="177" t="str">
        <f>IFERROR(VLOOKUP(D78,'BD M.O'!C:H,4,FALSE),"")</f>
        <v/>
      </c>
      <c r="BF80" s="177" t="s">
        <v>259</v>
      </c>
      <c r="BI80" s="210"/>
      <c r="BO80" s="210"/>
      <c r="BV80" s="184"/>
      <c r="BW80" s="210"/>
      <c r="CD80" s="184"/>
      <c r="CF80" s="185"/>
      <c r="CI80" s="184"/>
      <c r="CJ80" s="210"/>
      <c r="CK80" s="563"/>
      <c r="CM80" s="559"/>
      <c r="CN80" s="627"/>
      <c r="CO80" s="630"/>
      <c r="CP80" s="630"/>
      <c r="CQ80" s="630"/>
      <c r="CR80" s="630"/>
      <c r="CS80" s="630"/>
      <c r="CT80" s="633"/>
      <c r="CU80" s="563"/>
      <c r="CV80" s="561"/>
      <c r="CW80" s="563"/>
      <c r="CX80" s="561"/>
      <c r="CY80" s="563"/>
      <c r="CZ80" s="561"/>
      <c r="DA80" s="563"/>
      <c r="DB80" s="561"/>
      <c r="DC80" s="563"/>
      <c r="DD80" s="561"/>
      <c r="DG80" s="577"/>
      <c r="DH80" s="577"/>
      <c r="DI80" s="571"/>
      <c r="DJ80" s="571"/>
      <c r="DK80" s="571"/>
      <c r="DL80" s="571"/>
      <c r="DM80" s="574"/>
      <c r="DN80" s="571"/>
      <c r="DO80" s="571"/>
      <c r="DP80" s="571"/>
      <c r="DQ80" s="571"/>
      <c r="DR80" s="571"/>
      <c r="DS80" s="571"/>
      <c r="DT80" s="571"/>
      <c r="DU80" s="571"/>
      <c r="DV80" s="577"/>
      <c r="DW80" s="577"/>
      <c r="DX80" s="571"/>
      <c r="DY80" s="571"/>
    </row>
    <row r="81" spans="1:194" s="175" customFormat="1" ht="60" customHeight="1" x14ac:dyDescent="0.25">
      <c r="A81" s="366"/>
      <c r="B81" s="367"/>
      <c r="C81" s="395" t="s">
        <v>180</v>
      </c>
      <c r="D81" s="599" t="s">
        <v>31</v>
      </c>
      <c r="E81" s="599"/>
      <c r="F81" s="394" t="s">
        <v>9</v>
      </c>
      <c r="G81" s="599" t="s">
        <v>33</v>
      </c>
      <c r="H81" s="599"/>
      <c r="I81" s="394" t="str">
        <f>+IF($BG$9="SI","","X")</f>
        <v>X</v>
      </c>
      <c r="J81" s="604"/>
      <c r="K81" s="604"/>
      <c r="L81" s="607"/>
      <c r="M81" s="559"/>
      <c r="N81" s="610"/>
      <c r="O81" s="613"/>
      <c r="P81" s="192"/>
      <c r="Q81" s="239"/>
      <c r="R81" s="221" t="s">
        <v>209</v>
      </c>
      <c r="S81" s="234" t="str">
        <f>IF(S79="","",S79/(J78*K78))</f>
        <v/>
      </c>
      <c r="T81" s="226"/>
      <c r="U81" s="206"/>
      <c r="V81" s="220"/>
      <c r="W81" s="239" t="str">
        <f>IFERROR(IF(X80="SI",VLOOKUP(D78,'BD M.O'!C:F,4,FALSE),""),"")</f>
        <v/>
      </c>
      <c r="X81" s="221" t="s">
        <v>258</v>
      </c>
      <c r="Y81" s="221" t="s">
        <v>507</v>
      </c>
      <c r="Z81" s="221" t="s">
        <v>508</v>
      </c>
      <c r="AA81" s="225"/>
      <c r="AB81" s="226"/>
      <c r="AC81" s="206"/>
      <c r="AD81" s="206"/>
      <c r="AE81" s="206"/>
      <c r="AF81" s="227"/>
      <c r="AG81" s="206"/>
      <c r="AH81" s="206"/>
      <c r="AI81" s="206"/>
      <c r="AJ81" s="206"/>
      <c r="AK81" s="227"/>
      <c r="AL81" s="240"/>
      <c r="AM81" s="206"/>
      <c r="AN81" s="206"/>
      <c r="AO81" s="228"/>
      <c r="AP81" s="229"/>
      <c r="AQ81" s="206"/>
      <c r="AR81" s="206"/>
      <c r="AS81" s="228"/>
      <c r="AT81" s="229"/>
      <c r="AU81" s="228"/>
      <c r="AV81" s="229"/>
      <c r="AW81" s="228"/>
      <c r="AX81" s="229"/>
      <c r="AY81" s="206"/>
      <c r="AZ81" s="229"/>
      <c r="BA81" s="210"/>
      <c r="BC81" s="175" t="s">
        <v>116</v>
      </c>
      <c r="BD81" s="210"/>
      <c r="BE81" s="177" t="str">
        <f>IFERROR(VLOOKUP(COTIZACIÓN!D78,'BD M.O'!C:I,5,FALSE),"")</f>
        <v/>
      </c>
      <c r="BF81" s="177" t="s">
        <v>260</v>
      </c>
      <c r="BI81" s="210"/>
      <c r="BO81" s="210"/>
      <c r="BP81" s="183"/>
      <c r="BQ81" s="183"/>
      <c r="BR81" s="183"/>
      <c r="BS81" s="183"/>
      <c r="BT81" s="183"/>
      <c r="BU81" s="183"/>
      <c r="BV81" s="182"/>
      <c r="BW81" s="210"/>
      <c r="BX81" s="183"/>
      <c r="BY81" s="183"/>
      <c r="BZ81" s="183"/>
      <c r="CA81" s="183"/>
      <c r="CB81" s="183"/>
      <c r="CC81" s="183"/>
      <c r="CD81" s="182"/>
      <c r="CE81" s="183"/>
      <c r="CF81" s="241"/>
      <c r="CG81" s="183"/>
      <c r="CH81" s="183"/>
      <c r="CI81" s="182"/>
      <c r="CJ81" s="210"/>
      <c r="CK81" s="563"/>
      <c r="CM81" s="559"/>
      <c r="CN81" s="627"/>
      <c r="CO81" s="630"/>
      <c r="CP81" s="630"/>
      <c r="CQ81" s="630"/>
      <c r="CR81" s="630"/>
      <c r="CS81" s="630"/>
      <c r="CT81" s="633"/>
      <c r="CU81" s="563"/>
      <c r="CV81" s="561"/>
      <c r="CW81" s="563"/>
      <c r="CX81" s="561"/>
      <c r="CY81" s="563"/>
      <c r="CZ81" s="561"/>
      <c r="DA81" s="563"/>
      <c r="DB81" s="561"/>
      <c r="DC81" s="563"/>
      <c r="DD81" s="561"/>
      <c r="DG81" s="575"/>
      <c r="DH81" s="575"/>
      <c r="DI81" s="569">
        <f t="shared" ref="DI81" si="232">IFERROR(IF(DG81&gt;0,(((N78)/(1+10%+19%*5%)+((N78)/(1+10%+19%*5%))*10%)*DH81),0),0)</f>
        <v>0</v>
      </c>
      <c r="DJ81" s="569">
        <f t="shared" ref="DJ81" si="233">IFERROR(IF(DG81&gt;0,(N78*DH81),0),0)</f>
        <v>0</v>
      </c>
      <c r="DK81" s="569">
        <f t="shared" ref="DK81" si="234">IF(DG81&gt;0,((R78+T78)*DH81),0)</f>
        <v>0</v>
      </c>
      <c r="DL81" s="569">
        <f t="shared" ref="DL81" si="235">IF(DG81&gt;0,(Q78*DH81),0)</f>
        <v>0</v>
      </c>
      <c r="DM81" s="572">
        <f t="shared" ref="DM81" si="236">IF(DG81&gt;0,(S78*DH81),0)</f>
        <v>0</v>
      </c>
      <c r="DN81" s="569">
        <f t="shared" ref="DN81" si="237">IF(DG81&gt;0,(BN78*DH81),0)</f>
        <v>0</v>
      </c>
      <c r="DO81" s="569">
        <f t="shared" ref="DO81" si="238">IF(DG81&gt;0,(AF78*DH81),0)</f>
        <v>0</v>
      </c>
      <c r="DP81" s="569">
        <f>IF(DG81&gt;0,((DI81)*('BD P&amp;G'!$E$16+'BD P&amp;G'!$E$17+'BD P&amp;G'!$E$18+'BD P&amp;G'!$E$19+'BD P&amp;G'!$E$20+'BD P&amp;G'!$E$21+'BD P&amp;G'!$E$22+'BD P&amp;G'!$E$23)*DH81),0)</f>
        <v>0</v>
      </c>
      <c r="DQ81" s="569">
        <f>IFERROR(IF(DG81&gt;0,((DI81*'BD P&amp;G'!$E$7)+(DI81*'BD P&amp;G'!$E$9)+AI78),0),0)</f>
        <v>0</v>
      </c>
      <c r="DR81" s="569">
        <f t="shared" ref="DR81" si="239">IFERROR(IF(DG81&gt;0,((DI81*1%)),0),0)</f>
        <v>0</v>
      </c>
      <c r="DS81" s="569">
        <f>IFERROR(IF(DG81&gt;0,(((DI81*'BD P&amp;G'!$E$32+DI81*'BD P&amp;G'!$E$33+DI81*'BD P&amp;G'!$E$35+DI81*'BD P&amp;G'!$E$36+DI81*'BD P&amp;G'!$E$37))),0),0)</f>
        <v>0</v>
      </c>
      <c r="DT81" s="569">
        <f t="shared" ref="DT81" si="240">IF(DG81&gt;0,(Y78*DH81),0)</f>
        <v>0</v>
      </c>
      <c r="DU81" s="569">
        <f t="shared" ref="DU81" si="241">IF(DG81&gt;0,(Z78*DH81),0)</f>
        <v>0</v>
      </c>
      <c r="DV81" s="575">
        <f t="shared" ref="DV81" si="242">IF(DG81&gt;0,(Y82*DH81),0)</f>
        <v>0</v>
      </c>
      <c r="DW81" s="575">
        <f t="shared" ref="DW81" si="243">IF(DG81&gt;0,(Z82*DH81),0)</f>
        <v>0</v>
      </c>
      <c r="DX81" s="569">
        <f t="shared" ref="DX81" si="244">IF(DV81&gt;0,DJ81,0)</f>
        <v>0</v>
      </c>
      <c r="DY81" s="569">
        <f t="shared" ref="DY81" si="245">IF(DW81&gt;0,DJ81,0)</f>
        <v>0</v>
      </c>
    </row>
    <row r="82" spans="1:194" s="175" customFormat="1" ht="60" customHeight="1" x14ac:dyDescent="0.3">
      <c r="A82" s="366"/>
      <c r="B82" s="367"/>
      <c r="C82" s="393" t="s">
        <v>35</v>
      </c>
      <c r="D82" s="599" t="str">
        <f>IFERROR(VLOOKUP(D78,'BD GN'!C:E,3,),"")</f>
        <v/>
      </c>
      <c r="E82" s="599"/>
      <c r="F82" s="599"/>
      <c r="G82" s="599"/>
      <c r="H82" s="599"/>
      <c r="I82" s="599"/>
      <c r="J82" s="604"/>
      <c r="K82" s="604"/>
      <c r="L82" s="607"/>
      <c r="M82" s="559"/>
      <c r="N82" s="610"/>
      <c r="O82" s="613"/>
      <c r="P82" s="192"/>
      <c r="Q82" s="239"/>
      <c r="R82" s="221" t="s">
        <v>210</v>
      </c>
      <c r="S82" s="234" t="str">
        <f>IFERROR(IF(N78="","",N78/W82),"")</f>
        <v/>
      </c>
      <c r="T82" s="226"/>
      <c r="U82" s="206"/>
      <c r="V82" s="220"/>
      <c r="W82" s="242" t="str">
        <f>+IF(J78*K78&gt;=1,J78*K78,IF(AND(J78*K78&gt;0,J78*K78&lt;1),1,""))</f>
        <v/>
      </c>
      <c r="X82" s="221" t="s">
        <v>298</v>
      </c>
      <c r="Y82" s="461">
        <f>IFERROR(IF(D78='BD GN'!$C$25,COTIZACIÓN!W82,IF(D78='BD GN'!$C$26,COTIZACIÓN!W82,IF(D78='BD GN'!$C$27,COTIZACIÓN!W82,IF(COTIZACIÓN!D78='BD GN'!$C$28,COTIZACIÓN!W82,IF(COTIZACIÓN!D78='BD GN'!$C$29,COTIZACIÓN!W82,IF(COTIZACIÓN!D78='BD GN'!$C$35,COTIZACIÓN!W82,IF(COTIZACIÓN!D78='BD GN'!$C$36,COTIZACIÓN!W82,IF(COTIZACIÓN!D78='BD GN'!$C$37,COTIZACIÓN!W82,IF(COTIZACIÓN!D78='BD GN'!$C$38,COTIZACIÓN!W82,IF(COTIZACIÓN!D78='BD GN'!$C$39,COTIZACIÓN!W82,IF(COTIZACIÓN!D78='BD GN'!$C$40,COTIZACIÓN!W82,IF(COTIZACIÓN!D78='BD GN'!$C$41,COTIZACIÓN!W82,IF(COTIZACIÓN!D78='BD GN'!$C$42,COTIZACIÓN!W82,IF(COTIZACIÓN!D78='BD GN'!$C$49,COTIZACIÓN!W82,IF(COTIZACIÓN!D78='BD GN'!$C$50,COTIZACIÓN!W82,IF(COTIZACIÓN!D78='BD GN'!$C$51,COTIZACIÓN!W82,IF(COTIZACIÓN!D78='BD GN'!$C$67,COTIZACIÓN!W82,0))))))))))))))))),0)</f>
        <v>0</v>
      </c>
      <c r="Z82" s="461">
        <f>IFERROR(W82-Y82,0)</f>
        <v>0</v>
      </c>
      <c r="AA82" s="225"/>
      <c r="AB82" s="226"/>
      <c r="AC82" s="206"/>
      <c r="AD82" s="206"/>
      <c r="AE82" s="206"/>
      <c r="AF82" s="227"/>
      <c r="AG82" s="206"/>
      <c r="AH82" s="206"/>
      <c r="AI82" s="206"/>
      <c r="AJ82" s="206"/>
      <c r="AK82" s="227"/>
      <c r="AL82" s="210"/>
      <c r="AM82" s="206"/>
      <c r="AN82" s="206"/>
      <c r="AO82" s="228"/>
      <c r="AP82" s="229"/>
      <c r="AQ82" s="206"/>
      <c r="AR82" s="206"/>
      <c r="AS82" s="228"/>
      <c r="AT82" s="229"/>
      <c r="AU82" s="228"/>
      <c r="AV82" s="229"/>
      <c r="AW82" s="228"/>
      <c r="AX82" s="229"/>
      <c r="AY82" s="206"/>
      <c r="AZ82" s="229"/>
      <c r="BA82" s="210"/>
      <c r="BC82" s="211" t="s">
        <v>117</v>
      </c>
      <c r="BD82" s="210"/>
      <c r="BE82" s="177" t="str">
        <f>IFERROR(VLOOKUP(D78,'BD M.O'!C:I,6,FALSE),"")</f>
        <v/>
      </c>
      <c r="BF82" s="177" t="s">
        <v>261</v>
      </c>
      <c r="BI82" s="210"/>
      <c r="BO82" s="210"/>
      <c r="BP82" s="183"/>
      <c r="BQ82" s="183"/>
      <c r="BR82" s="183"/>
      <c r="BW82" s="210"/>
      <c r="CD82" s="184"/>
      <c r="CF82" s="185"/>
      <c r="CI82" s="184"/>
      <c r="CJ82" s="210"/>
      <c r="CK82" s="563"/>
      <c r="CM82" s="559"/>
      <c r="CN82" s="627"/>
      <c r="CO82" s="630"/>
      <c r="CP82" s="630"/>
      <c r="CQ82" s="630"/>
      <c r="CR82" s="630"/>
      <c r="CS82" s="630"/>
      <c r="CT82" s="633"/>
      <c r="CU82" s="563"/>
      <c r="CV82" s="561"/>
      <c r="CW82" s="563"/>
      <c r="CX82" s="561"/>
      <c r="CY82" s="563"/>
      <c r="CZ82" s="561"/>
      <c r="DA82" s="563"/>
      <c r="DB82" s="561"/>
      <c r="DC82" s="563"/>
      <c r="DD82" s="561"/>
      <c r="DG82" s="576"/>
      <c r="DH82" s="576"/>
      <c r="DI82" s="570"/>
      <c r="DJ82" s="570"/>
      <c r="DK82" s="570"/>
      <c r="DL82" s="570"/>
      <c r="DM82" s="573"/>
      <c r="DN82" s="570"/>
      <c r="DO82" s="570"/>
      <c r="DP82" s="570"/>
      <c r="DQ82" s="570"/>
      <c r="DR82" s="570"/>
      <c r="DS82" s="570"/>
      <c r="DT82" s="570"/>
      <c r="DU82" s="570"/>
      <c r="DV82" s="576"/>
      <c r="DW82" s="576"/>
      <c r="DX82" s="570"/>
      <c r="DY82" s="570"/>
    </row>
    <row r="83" spans="1:194" s="252" customFormat="1" ht="60" customHeight="1" x14ac:dyDescent="0.25">
      <c r="A83" s="368"/>
      <c r="B83" s="369"/>
      <c r="C83" s="396" t="s">
        <v>10</v>
      </c>
      <c r="D83" s="645" t="s">
        <v>32</v>
      </c>
      <c r="E83" s="645"/>
      <c r="F83" s="645"/>
      <c r="G83" s="645"/>
      <c r="H83" s="645"/>
      <c r="I83" s="645"/>
      <c r="J83" s="643"/>
      <c r="K83" s="643"/>
      <c r="L83" s="646"/>
      <c r="M83" s="648"/>
      <c r="N83" s="649"/>
      <c r="O83" s="644"/>
      <c r="P83" s="192"/>
      <c r="Q83" s="239"/>
      <c r="R83" s="334" t="s">
        <v>475</v>
      </c>
      <c r="S83" s="234" t="str">
        <f>IFERROR(IF($C$12='BD GN'!$CC$1,VLOOKUP(COTIZACIÓN!D78,'BD GN'!CB:CG,2,FALSE),IF(COTIZACIÓN!$C$12='BD GN'!$CD$1,VLOOKUP(COTIZACIÓN!D78,'BD GN'!CB:CG,3,FALSE),IF($C$12='BD GN'!$CE$1,VLOOKUP(COTIZACIÓN!D78,'BD GN'!CB:CG,4,FALSE),IF(COTIZACIÓN!$C$12='BD GN'!$CF$1,VLOOKUP(COTIZACIÓN!D78,'BD GN'!CB:CG,5,FALSE),IF(COTIZACIÓN!$C$12='BD GN'!$CG$1,VLOOKUP(COTIZACIÓN!D78,'BD GN'!CB:CG,6,FALSE),""))))),"-")</f>
        <v/>
      </c>
      <c r="T83" s="243"/>
      <c r="U83" s="244"/>
      <c r="V83" s="245"/>
      <c r="W83" s="177" t="s">
        <v>394</v>
      </c>
      <c r="X83" s="246">
        <f>IFERROR(SUM(W78:X78),"")</f>
        <v>0</v>
      </c>
      <c r="Y83" s="166" t="s">
        <v>404</v>
      </c>
      <c r="Z83" s="199" t="str">
        <f>IFERROR(Y78+Z78,"")</f>
        <v/>
      </c>
      <c r="AA83" s="247"/>
      <c r="AB83" s="243"/>
      <c r="AC83" s="244"/>
      <c r="AD83" s="244"/>
      <c r="AE83" s="244"/>
      <c r="AF83" s="227"/>
      <c r="AG83" s="206"/>
      <c r="AH83" s="206"/>
      <c r="AI83" s="206"/>
      <c r="AJ83" s="206"/>
      <c r="AK83" s="227"/>
      <c r="AL83" s="227"/>
      <c r="AM83" s="248"/>
      <c r="AN83" s="248"/>
      <c r="AO83" s="249"/>
      <c r="AP83" s="250"/>
      <c r="AQ83" s="248"/>
      <c r="AR83" s="248"/>
      <c r="AS83" s="249"/>
      <c r="AT83" s="250"/>
      <c r="AU83" s="249"/>
      <c r="AV83" s="250"/>
      <c r="AW83" s="249"/>
      <c r="AX83" s="250"/>
      <c r="AY83" s="248"/>
      <c r="AZ83" s="250"/>
      <c r="BA83" s="210"/>
      <c r="BB83" s="175"/>
      <c r="BC83" s="175" t="s">
        <v>118</v>
      </c>
      <c r="BD83" s="210"/>
      <c r="BE83" s="251" t="str">
        <f>IFERROR(VLOOKUP(D78,'BD M.O'!C:I,7,FALSE),"")</f>
        <v/>
      </c>
      <c r="BF83" s="251" t="s">
        <v>262</v>
      </c>
      <c r="BG83" s="175"/>
      <c r="BH83" s="175"/>
      <c r="BI83" s="210"/>
      <c r="BJ83" s="175"/>
      <c r="BK83" s="175"/>
      <c r="BL83" s="175"/>
      <c r="BM83" s="175"/>
      <c r="BN83" s="175"/>
      <c r="BO83" s="210"/>
      <c r="BP83" s="175"/>
      <c r="BQ83" s="175"/>
      <c r="BR83" s="175"/>
      <c r="BS83" s="183"/>
      <c r="BT83" s="183"/>
      <c r="BU83" s="183"/>
      <c r="BV83" s="183"/>
      <c r="BW83" s="210"/>
      <c r="BX83" s="175"/>
      <c r="BY83" s="175"/>
      <c r="BZ83" s="175"/>
      <c r="CA83" s="175"/>
      <c r="CB83" s="175"/>
      <c r="CC83" s="175"/>
      <c r="CD83" s="184"/>
      <c r="CE83" s="175"/>
      <c r="CF83" s="185"/>
      <c r="CG83" s="175"/>
      <c r="CH83" s="175"/>
      <c r="CI83" s="184"/>
      <c r="CJ83" s="210"/>
      <c r="CK83" s="564"/>
      <c r="CL83" s="257"/>
      <c r="CM83" s="597"/>
      <c r="CN83" s="628"/>
      <c r="CO83" s="631"/>
      <c r="CP83" s="631"/>
      <c r="CQ83" s="631"/>
      <c r="CR83" s="631"/>
      <c r="CS83" s="631"/>
      <c r="CT83" s="634"/>
      <c r="CU83" s="564"/>
      <c r="CV83" s="562"/>
      <c r="CW83" s="564"/>
      <c r="CX83" s="562"/>
      <c r="CY83" s="564"/>
      <c r="CZ83" s="562"/>
      <c r="DA83" s="564"/>
      <c r="DB83" s="562"/>
      <c r="DC83" s="564"/>
      <c r="DD83" s="562"/>
      <c r="DE83" s="175"/>
      <c r="DF83" s="175"/>
      <c r="DG83" s="577"/>
      <c r="DH83" s="577"/>
      <c r="DI83" s="571"/>
      <c r="DJ83" s="571"/>
      <c r="DK83" s="571"/>
      <c r="DL83" s="571"/>
      <c r="DM83" s="574"/>
      <c r="DN83" s="571"/>
      <c r="DO83" s="571"/>
      <c r="DP83" s="571"/>
      <c r="DQ83" s="571"/>
      <c r="DR83" s="571"/>
      <c r="DS83" s="571"/>
      <c r="DT83" s="571"/>
      <c r="DU83" s="571"/>
      <c r="DV83" s="577"/>
      <c r="DW83" s="577"/>
      <c r="DX83" s="571"/>
      <c r="DY83" s="571"/>
      <c r="DZ83" s="175"/>
      <c r="EA83" s="175"/>
      <c r="EB83" s="175"/>
      <c r="EC83" s="175"/>
      <c r="ED83" s="175"/>
      <c r="EE83" s="175"/>
      <c r="EF83" s="175"/>
      <c r="EG83" s="175"/>
      <c r="EH83" s="175"/>
      <c r="EI83" s="175"/>
      <c r="EJ83" s="175"/>
      <c r="EK83" s="175"/>
      <c r="EL83" s="175"/>
      <c r="EM83" s="175"/>
      <c r="EN83" s="175"/>
      <c r="EO83" s="175"/>
      <c r="EP83" s="175"/>
      <c r="EQ83" s="175"/>
      <c r="ER83" s="175"/>
      <c r="ES83" s="175"/>
      <c r="ET83" s="175"/>
      <c r="EU83" s="175"/>
      <c r="EV83" s="175"/>
      <c r="EW83" s="175"/>
      <c r="EX83" s="175"/>
      <c r="EY83" s="175"/>
      <c r="EZ83" s="175"/>
      <c r="FA83" s="175"/>
      <c r="FB83" s="175"/>
      <c r="FC83" s="175"/>
      <c r="FD83" s="175"/>
      <c r="FE83" s="175"/>
      <c r="FF83" s="175"/>
      <c r="FG83" s="175"/>
      <c r="FH83" s="175"/>
      <c r="FI83" s="175"/>
      <c r="FJ83" s="175"/>
      <c r="FK83" s="175"/>
      <c r="FL83" s="175"/>
      <c r="FM83" s="175"/>
      <c r="FN83" s="175"/>
      <c r="FO83" s="175"/>
      <c r="FP83" s="175"/>
      <c r="FQ83" s="175"/>
      <c r="FR83" s="175"/>
      <c r="FS83" s="175"/>
      <c r="FT83" s="175"/>
      <c r="FU83" s="175"/>
      <c r="FV83" s="175"/>
      <c r="FW83" s="175"/>
      <c r="FX83" s="175"/>
      <c r="FY83" s="175"/>
      <c r="FZ83" s="175"/>
      <c r="GA83" s="175"/>
      <c r="GB83" s="175"/>
      <c r="GC83" s="175"/>
      <c r="GD83" s="175"/>
      <c r="GE83" s="175"/>
      <c r="GF83" s="175"/>
      <c r="GG83" s="175"/>
      <c r="GH83" s="175"/>
      <c r="GI83" s="175"/>
      <c r="GJ83" s="175"/>
      <c r="GK83" s="175"/>
      <c r="GL83" s="175"/>
    </row>
    <row r="84" spans="1:194" s="255" customFormat="1" ht="60" customHeight="1" x14ac:dyDescent="0.3">
      <c r="A84" s="362" t="s">
        <v>193</v>
      </c>
      <c r="B84" s="363" t="s">
        <v>25</v>
      </c>
      <c r="C84" s="391" t="s">
        <v>174</v>
      </c>
      <c r="D84" s="640" t="s">
        <v>173</v>
      </c>
      <c r="E84" s="640"/>
      <c r="F84" s="640"/>
      <c r="G84" s="640"/>
      <c r="H84" s="640"/>
      <c r="I84" s="640"/>
      <c r="J84" s="418" t="s">
        <v>443</v>
      </c>
      <c r="K84" s="418" t="s">
        <v>444</v>
      </c>
      <c r="L84" s="418" t="s">
        <v>171</v>
      </c>
      <c r="M84" s="363" t="s">
        <v>2</v>
      </c>
      <c r="N84" s="419" t="s">
        <v>7</v>
      </c>
      <c r="O84" s="420" t="s">
        <v>8</v>
      </c>
      <c r="P84" s="159"/>
      <c r="Q84" s="164" t="s">
        <v>93</v>
      </c>
      <c r="R84" s="164" t="s">
        <v>34</v>
      </c>
      <c r="S84" s="164" t="s">
        <v>28</v>
      </c>
      <c r="T84" s="164" t="s">
        <v>95</v>
      </c>
      <c r="U84" s="164" t="s">
        <v>96</v>
      </c>
      <c r="V84" s="164" t="s">
        <v>97</v>
      </c>
      <c r="W84" s="164" t="s">
        <v>4</v>
      </c>
      <c r="X84" s="164" t="s">
        <v>103</v>
      </c>
      <c r="Y84" s="160" t="s">
        <v>402</v>
      </c>
      <c r="Z84" s="165" t="s">
        <v>403</v>
      </c>
      <c r="AA84" s="166" t="s">
        <v>404</v>
      </c>
      <c r="AB84" s="164" t="s">
        <v>99</v>
      </c>
      <c r="AC84" s="164" t="s">
        <v>395</v>
      </c>
      <c r="AD84" s="253" t="s">
        <v>36</v>
      </c>
      <c r="AE84" s="164" t="s">
        <v>389</v>
      </c>
      <c r="AF84" s="164" t="s">
        <v>390</v>
      </c>
      <c r="AG84" s="164" t="s">
        <v>164</v>
      </c>
      <c r="AH84" s="253" t="s">
        <v>396</v>
      </c>
      <c r="AI84" s="164" t="s">
        <v>190</v>
      </c>
      <c r="AJ84" s="164" t="s">
        <v>339</v>
      </c>
      <c r="AK84" s="253" t="s">
        <v>391</v>
      </c>
      <c r="AL84" s="253" t="s">
        <v>393</v>
      </c>
      <c r="AM84" s="167" t="s">
        <v>93</v>
      </c>
      <c r="AN84" s="168" t="s">
        <v>34</v>
      </c>
      <c r="AO84" s="169" t="s">
        <v>28</v>
      </c>
      <c r="AP84" s="170" t="s">
        <v>95</v>
      </c>
      <c r="AQ84" s="167" t="s">
        <v>3</v>
      </c>
      <c r="AR84" s="167" t="s">
        <v>96</v>
      </c>
      <c r="AS84" s="169" t="s">
        <v>97</v>
      </c>
      <c r="AT84" s="170" t="s">
        <v>4</v>
      </c>
      <c r="AU84" s="169" t="s">
        <v>103</v>
      </c>
      <c r="AV84" s="170" t="s">
        <v>99</v>
      </c>
      <c r="AW84" s="169" t="s">
        <v>36</v>
      </c>
      <c r="AX84" s="171" t="s">
        <v>29</v>
      </c>
      <c r="AY84" s="172" t="s">
        <v>190</v>
      </c>
      <c r="AZ84" s="173" t="s">
        <v>102</v>
      </c>
      <c r="BA84" s="174"/>
      <c r="BB84" s="183"/>
      <c r="BC84" s="211" t="s">
        <v>119</v>
      </c>
      <c r="BD84" s="174"/>
      <c r="BE84" s="176" t="s">
        <v>189</v>
      </c>
      <c r="BF84" s="177" t="str">
        <f>$BF$13</f>
        <v xml:space="preserve">VR SILICONA </v>
      </c>
      <c r="BG84" s="177" t="str">
        <f>$BG$13</f>
        <v xml:space="preserve">VR PELÍCULA </v>
      </c>
      <c r="BH84" s="254" t="str">
        <f>$BH$13</f>
        <v>VR EMBALAJE</v>
      </c>
      <c r="BI84" s="174"/>
      <c r="BJ84" s="176" t="str">
        <f>$BJ$13</f>
        <v>ESP. CRISTAL</v>
      </c>
      <c r="BK84" s="176" t="s">
        <v>130</v>
      </c>
      <c r="BL84" s="177" t="s">
        <v>28</v>
      </c>
      <c r="BM84" s="177" t="str">
        <f>BM77</f>
        <v>TOTAL</v>
      </c>
      <c r="BN84" s="177" t="s">
        <v>133</v>
      </c>
      <c r="BO84" s="174"/>
      <c r="BP84" s="175"/>
      <c r="BQ84" s="175"/>
      <c r="BR84" s="175"/>
      <c r="BS84" s="175"/>
      <c r="BT84" s="175"/>
      <c r="BU84" s="175"/>
      <c r="BV84" s="175"/>
      <c r="BW84" s="174"/>
      <c r="BX84" s="175"/>
      <c r="BY84" s="175"/>
      <c r="BZ84" s="175"/>
      <c r="CA84" s="175"/>
      <c r="CB84" s="175"/>
      <c r="CC84" s="175"/>
      <c r="CD84" s="184"/>
      <c r="CE84" s="175"/>
      <c r="CF84" s="185"/>
      <c r="CG84" s="175"/>
      <c r="CH84" s="175"/>
      <c r="CI84" s="184"/>
      <c r="CJ84" s="174"/>
      <c r="CK84" s="186" t="s">
        <v>415</v>
      </c>
      <c r="CL84" s="187" t="s">
        <v>417</v>
      </c>
      <c r="CM84" s="187" t="s">
        <v>416</v>
      </c>
      <c r="CN84" s="188" t="s">
        <v>418</v>
      </c>
      <c r="CO84" s="187" t="s">
        <v>417</v>
      </c>
      <c r="CP84" s="187" t="s">
        <v>409</v>
      </c>
      <c r="CQ84" s="187" t="s">
        <v>410</v>
      </c>
      <c r="CR84" s="187" t="s">
        <v>411</v>
      </c>
      <c r="CS84" s="187" t="s">
        <v>412</v>
      </c>
      <c r="CT84" s="187" t="s">
        <v>413</v>
      </c>
      <c r="CU84" s="189" t="s">
        <v>2</v>
      </c>
      <c r="CV84" s="190" t="s">
        <v>159</v>
      </c>
      <c r="CW84" s="189" t="s">
        <v>2</v>
      </c>
      <c r="CX84" s="190" t="s">
        <v>159</v>
      </c>
      <c r="CY84" s="189" t="s">
        <v>2</v>
      </c>
      <c r="CZ84" s="190" t="s">
        <v>159</v>
      </c>
      <c r="DA84" s="189" t="s">
        <v>2</v>
      </c>
      <c r="DB84" s="190" t="s">
        <v>159</v>
      </c>
      <c r="DC84" s="189" t="s">
        <v>2</v>
      </c>
      <c r="DD84" s="190" t="s">
        <v>159</v>
      </c>
      <c r="DE84" s="183"/>
      <c r="DF84" s="183"/>
      <c r="DG84" s="177" t="s">
        <v>505</v>
      </c>
      <c r="DH84" s="472" t="s">
        <v>509</v>
      </c>
      <c r="DI84" s="457" t="s">
        <v>506</v>
      </c>
      <c r="DJ84" s="457" t="s">
        <v>134</v>
      </c>
      <c r="DK84" s="457" t="s">
        <v>498</v>
      </c>
      <c r="DL84" s="457" t="s">
        <v>499</v>
      </c>
      <c r="DM84" s="457" t="s">
        <v>500</v>
      </c>
      <c r="DN84" s="457" t="s">
        <v>131</v>
      </c>
      <c r="DO84" s="457" t="s">
        <v>390</v>
      </c>
      <c r="DP84" s="457" t="s">
        <v>36</v>
      </c>
      <c r="DQ84" s="457" t="s">
        <v>501</v>
      </c>
      <c r="DR84" s="457" t="s">
        <v>502</v>
      </c>
      <c r="DS84" s="457" t="s">
        <v>503</v>
      </c>
      <c r="DT84" s="457" t="s">
        <v>4</v>
      </c>
      <c r="DU84" s="457" t="s">
        <v>504</v>
      </c>
      <c r="DV84" s="466" t="s">
        <v>507</v>
      </c>
      <c r="DW84" s="466" t="s">
        <v>508</v>
      </c>
      <c r="DX84" s="457" t="s">
        <v>510</v>
      </c>
      <c r="DY84" s="457" t="s">
        <v>511</v>
      </c>
      <c r="DZ84" s="183"/>
      <c r="EA84" s="183"/>
      <c r="EB84" s="183"/>
      <c r="EC84" s="183"/>
      <c r="ED84" s="183"/>
      <c r="EE84" s="183"/>
      <c r="EF84" s="183"/>
      <c r="EG84" s="183"/>
      <c r="EH84" s="183"/>
      <c r="EI84" s="183"/>
      <c r="EJ84" s="183"/>
      <c r="EK84" s="183"/>
      <c r="EL84" s="183"/>
      <c r="EM84" s="183"/>
      <c r="EN84" s="183"/>
      <c r="EO84" s="183"/>
      <c r="EP84" s="183"/>
      <c r="EQ84" s="183"/>
      <c r="ER84" s="183"/>
      <c r="ES84" s="183"/>
      <c r="ET84" s="183"/>
      <c r="EU84" s="183"/>
      <c r="EV84" s="183"/>
      <c r="EW84" s="183"/>
      <c r="EX84" s="183"/>
      <c r="EY84" s="183"/>
      <c r="EZ84" s="183"/>
      <c r="FA84" s="183"/>
      <c r="FB84" s="183"/>
      <c r="FC84" s="183"/>
      <c r="FD84" s="183"/>
      <c r="FE84" s="183"/>
      <c r="FF84" s="183"/>
      <c r="FG84" s="183"/>
      <c r="FH84" s="183"/>
      <c r="FI84" s="183"/>
      <c r="FJ84" s="183"/>
      <c r="FK84" s="183"/>
      <c r="FL84" s="183"/>
      <c r="FM84" s="183"/>
      <c r="FN84" s="183"/>
      <c r="FO84" s="183"/>
      <c r="FP84" s="183"/>
      <c r="FQ84" s="183"/>
      <c r="FR84" s="183"/>
      <c r="FS84" s="183"/>
      <c r="FT84" s="183"/>
      <c r="FU84" s="183"/>
      <c r="FV84" s="183"/>
      <c r="FW84" s="183"/>
      <c r="FX84" s="183"/>
      <c r="FY84" s="183"/>
      <c r="FZ84" s="183"/>
      <c r="GA84" s="183"/>
      <c r="GB84" s="183"/>
      <c r="GC84" s="183"/>
      <c r="GD84" s="183"/>
      <c r="GE84" s="183"/>
      <c r="GF84" s="183"/>
      <c r="GG84" s="183"/>
      <c r="GH84" s="183"/>
      <c r="GI84" s="183"/>
      <c r="GJ84" s="183"/>
      <c r="GK84" s="183"/>
      <c r="GL84" s="183"/>
    </row>
    <row r="85" spans="1:194" s="175" customFormat="1" ht="60" customHeight="1" x14ac:dyDescent="0.3">
      <c r="A85" s="364"/>
      <c r="B85" s="365"/>
      <c r="C85" s="392" t="s">
        <v>27</v>
      </c>
      <c r="D85" s="641"/>
      <c r="E85" s="641"/>
      <c r="F85" s="641"/>
      <c r="G85" s="641"/>
      <c r="H85" s="641"/>
      <c r="I85" s="641"/>
      <c r="J85" s="642"/>
      <c r="K85" s="642"/>
      <c r="L85" s="622">
        <f>J85*K85*M85</f>
        <v>0</v>
      </c>
      <c r="M85" s="623"/>
      <c r="N85" s="620">
        <f>IFERROR(AL85,"")</f>
        <v>1.0765546639999999</v>
      </c>
      <c r="O85" s="621">
        <f>IFERROR(N85*M85,"")</f>
        <v>0</v>
      </c>
      <c r="P85" s="192"/>
      <c r="Q85" s="193">
        <f>Q86+BF85+($R$350*Q86)</f>
        <v>0</v>
      </c>
      <c r="R85" s="193">
        <f>IFERROR(R86+($R$348*R86),"")</f>
        <v>0</v>
      </c>
      <c r="S85" s="194">
        <f>+IF(R87="SI",((W89*'BD GN'!$AB$2)+S86)*1,COTIZACIÓN!S86*1)+(P86*S86)</f>
        <v>0</v>
      </c>
      <c r="T85" s="195">
        <f>IFERROR(R85*IF(K85&lt;=3,$T$13,15%),"")</f>
        <v>0</v>
      </c>
      <c r="U85" s="196">
        <f>BH85+BG85</f>
        <v>0</v>
      </c>
      <c r="V85" s="197" t="str">
        <f>IFERROR(BN85,0)</f>
        <v/>
      </c>
      <c r="W85" s="198" t="str">
        <f>IFERROR(IF(X87="SI",W88*J85*K85,IF(BE85=3,BE87,IF(BE85=4,BE88,IF(BE85=5,BE89,IF(BE85&gt;5,BE89+(BE90*(BE85-5)),"")))))*0,"")</f>
        <v/>
      </c>
      <c r="X85" s="198" t="str">
        <f>IFERROR(IF(X86="NO",(VLOOKUP(D85,'BD M.O'!C:E,3,FALSE))*W89,((VLOOKUP(D85,'BD M.O'!C:E,3,FALSE))+7500)*W89),"")</f>
        <v/>
      </c>
      <c r="Y85" s="198">
        <f>IFERROR($Y$13*AK85,"")</f>
        <v>4.2084457416288003E-2</v>
      </c>
      <c r="Z85" s="332" t="str">
        <f>IFERROR(($Z$13*AK85)+X85,"")</f>
        <v/>
      </c>
      <c r="AA85" s="199" t="str">
        <f>IFERROR(Y85+Z85,"")</f>
        <v/>
      </c>
      <c r="AB85" s="200">
        <f>IFERROR((SUM(Q85:X85)-T85+T87)*$AB$13,"")</f>
        <v>0</v>
      </c>
      <c r="AC85" s="201">
        <f>IFERROR(((SUM(Q85:V85,IF(X90&gt;AA85,AVERAGE(X90,AA85),AA85))-T85+T87))*$AB$13,"")</f>
        <v>0</v>
      </c>
      <c r="AD85" s="202" t="str">
        <f>IFERROR((J85*K85*$BV$14),"")</f>
        <v/>
      </c>
      <c r="AE85" s="202">
        <f>IFERROR($AE$13*AK85,"")</f>
        <v>6.4010592649919984E-2</v>
      </c>
      <c r="AF85" s="203" t="str">
        <f>IFERROR(($CI$11+$CI$13)*W89,"")</f>
        <v/>
      </c>
      <c r="AG85" s="202">
        <f>IFERROR((SUM(Q85:X85,AB85,AD85,AF85)-T85+T87)*$AG$13,"")</f>
        <v>0</v>
      </c>
      <c r="AH85" s="202">
        <f>IFERROR((SUM(Q85:V85,(IF(X90&gt;AA85,AVERAGE(X90,AA85),AA85)),AC85,AE85,AF85)-T85+T87)*$AG$13,"")</f>
        <v>3.2005296324959992E-2</v>
      </c>
      <c r="AI85" s="204">
        <f>IFERROR(AL85*$AI$13,"")</f>
        <v>2.1531093279999997E-2</v>
      </c>
      <c r="AJ85" s="204">
        <f>IFERROR($AJ$13*AL85,"")</f>
        <v>6.007175025119999E-3</v>
      </c>
      <c r="AK85" s="205">
        <f>IFERROR(SUM(Q85:X85,AB85,AD85,AG85,AF85)/(1-$AI$13)+(1-$AJ$13)-T85+T87,"")</f>
        <v>0.99441999999999997</v>
      </c>
      <c r="AL85" s="205">
        <f>IFERROR(SUM(Q85:V85,AC85,(IF(AD85&gt;AE85,AVERAGE(AD85,AE85),AE85)),AF85,,AH85,(IF(SUM(X90)&gt;AA85,AVERAGE(AA85,X90),AA85)))/(1-$AJ$13)+(1-$AI$13)-T85+T87,"")</f>
        <v>1.0765546639999999</v>
      </c>
      <c r="AM85" s="206">
        <f>$M$15*Q85</f>
        <v>0</v>
      </c>
      <c r="AN85" s="207">
        <f>$M$15*R85</f>
        <v>0</v>
      </c>
      <c r="AO85" s="208">
        <f>$M$15*S85</f>
        <v>0</v>
      </c>
      <c r="AP85" s="207">
        <f>$M$15*T85</f>
        <v>0</v>
      </c>
      <c r="AQ85" s="207" t="e">
        <f>$M$15*#REF!</f>
        <v>#REF!</v>
      </c>
      <c r="AR85" s="207">
        <f>$M$15*U85</f>
        <v>0</v>
      </c>
      <c r="AS85" s="208" t="e">
        <f>$M$15*V85</f>
        <v>#VALUE!</v>
      </c>
      <c r="AT85" s="207" t="e">
        <f>$M$15*W85</f>
        <v>#VALUE!</v>
      </c>
      <c r="AU85" s="208" t="e">
        <f>$M$15*X85</f>
        <v>#VALUE!</v>
      </c>
      <c r="AV85" s="207">
        <f>$M$15*AB85</f>
        <v>0</v>
      </c>
      <c r="AW85" s="208">
        <f>$M$15*AE85</f>
        <v>0</v>
      </c>
      <c r="AX85" s="207">
        <f>$M$15*AG85</f>
        <v>0</v>
      </c>
      <c r="AY85" s="209">
        <f>$M$15*AI85</f>
        <v>0</v>
      </c>
      <c r="AZ85" s="207">
        <f>$M$15*AK85</f>
        <v>0</v>
      </c>
      <c r="BA85" s="210"/>
      <c r="BB85" s="175" t="s">
        <v>23</v>
      </c>
      <c r="BC85" s="211" t="s">
        <v>113</v>
      </c>
      <c r="BD85" s="210"/>
      <c r="BE85" s="212"/>
      <c r="BF85" s="213">
        <f>IF(BH86="NO",((2*J85)+(2*K85))*'BD GN'!$AU$3,((3*J85)+(2*K85))*'BD GN'!$AU$3)</f>
        <v>0</v>
      </c>
      <c r="BG85" s="213">
        <f>'BD GN'!$BB$3*J85*K85</f>
        <v>0</v>
      </c>
      <c r="BH85" s="214">
        <f>((J85*2*BE85)+(K85*2*BE85))*'BD GN'!$AN$4</f>
        <v>0</v>
      </c>
      <c r="BI85" s="210"/>
      <c r="BJ85" s="212"/>
      <c r="BK85" s="212"/>
      <c r="BL85" s="215">
        <f>J85*K85*2.5*BJ85</f>
        <v>0</v>
      </c>
      <c r="BM85" s="215">
        <f>BK85+BL85</f>
        <v>0</v>
      </c>
      <c r="BN85" s="216" t="str">
        <f>IFERROR((VLOOKUP($C$12,'BD GN'!BD:BM,10,FALSE)*BM85)+$BR$338,"")</f>
        <v/>
      </c>
      <c r="BO85" s="210"/>
      <c r="BW85" s="210"/>
      <c r="CD85" s="184"/>
      <c r="CF85" s="185"/>
      <c r="CI85" s="184"/>
      <c r="CJ85" s="210"/>
      <c r="CK85" s="565"/>
      <c r="CL85" s="256"/>
      <c r="CM85" s="596"/>
      <c r="CN85" s="626"/>
      <c r="CO85" s="629"/>
      <c r="CP85" s="629"/>
      <c r="CQ85" s="629"/>
      <c r="CR85" s="629"/>
      <c r="CS85" s="629"/>
      <c r="CT85" s="632"/>
      <c r="CU85" s="565"/>
      <c r="CV85" s="560">
        <f>IFERROR(N85*CU85,"")</f>
        <v>0</v>
      </c>
      <c r="CW85" s="565"/>
      <c r="CX85" s="560">
        <f>IFERROR(P85*CW85,"")</f>
        <v>0</v>
      </c>
      <c r="CY85" s="565"/>
      <c r="CZ85" s="560">
        <f>IFERROR(R85*CY85,"")</f>
        <v>0</v>
      </c>
      <c r="DA85" s="565">
        <f t="shared" ref="DA85" si="246">CU85+CW85+CY85</f>
        <v>0</v>
      </c>
      <c r="DB85" s="560">
        <f t="shared" ref="DB85" si="247">IFERROR(CV85+CX85+CZ85,"")</f>
        <v>0</v>
      </c>
      <c r="DC85" s="565">
        <f>M85-(CU85+CW85+CY85)</f>
        <v>0</v>
      </c>
      <c r="DD85" s="560">
        <f>IFERROR(O85-(CV85+CX85+CZ85),"")</f>
        <v>0</v>
      </c>
      <c r="DG85" s="575"/>
      <c r="DH85" s="575"/>
      <c r="DI85" s="569">
        <f t="shared" ref="DI85" si="248">IFERROR(IF(DG85&gt;0,(((N85)/(1+10%+19%*5%)+((N85)/(1+10%+19%*5%))*10%)*DH85),0),0)</f>
        <v>0</v>
      </c>
      <c r="DJ85" s="569">
        <f t="shared" ref="DJ85" si="249">IFERROR(IF(DG85&gt;0,(N85*DH85),0),0)</f>
        <v>0</v>
      </c>
      <c r="DK85" s="569">
        <f t="shared" ref="DK85" si="250">IF(DG85&gt;0,((R85+T85)*DH85),0)</f>
        <v>0</v>
      </c>
      <c r="DL85" s="569">
        <f t="shared" ref="DL85" si="251">IF(DG85&gt;0,(Q85*DH85),0)</f>
        <v>0</v>
      </c>
      <c r="DM85" s="572">
        <f t="shared" ref="DM85" si="252">IF(DG85&gt;0,(S85*DH85),0)</f>
        <v>0</v>
      </c>
      <c r="DN85" s="569">
        <f t="shared" ref="DN85" si="253">IF(DG85&gt;0,(BN85*DH85),0)</f>
        <v>0</v>
      </c>
      <c r="DO85" s="569">
        <f t="shared" ref="DO85" si="254">IF(DG85&gt;0,(AF85*DH85),0)</f>
        <v>0</v>
      </c>
      <c r="DP85" s="569">
        <f>IF(DG85&gt;0,((DI85)*('BD P&amp;G'!$E$16+'BD P&amp;G'!$E$17+'BD P&amp;G'!$E$18+'BD P&amp;G'!$E$19+'BD P&amp;G'!$E$20+'BD P&amp;G'!$E$21+'BD P&amp;G'!$E$22+'BD P&amp;G'!$E$23)*DH85),0)</f>
        <v>0</v>
      </c>
      <c r="DQ85" s="569">
        <f>IFERROR(IF(DG85&gt;0,((DI85*'BD P&amp;G'!$E$7)+(DI85*'BD P&amp;G'!$E$9)+AI85),0),0)</f>
        <v>0</v>
      </c>
      <c r="DR85" s="569">
        <f t="shared" ref="DR85" si="255">IFERROR(IF(DG85&gt;0,((DI85*1%)),0),0)</f>
        <v>0</v>
      </c>
      <c r="DS85" s="569">
        <f>IFERROR(IF(DG85&gt;0,(((DI85*'BD P&amp;G'!$E$32+DI85*'BD P&amp;G'!$E$33+DI85*'BD P&amp;G'!$E$35+DI85*'BD P&amp;G'!$E$36+DI85*'BD P&amp;G'!$E$37))),0),0)</f>
        <v>0</v>
      </c>
      <c r="DT85" s="569">
        <f t="shared" ref="DT85" si="256">IF(DG85&gt;0,(Y85*DH85),0)</f>
        <v>0</v>
      </c>
      <c r="DU85" s="569">
        <f t="shared" ref="DU85" si="257">IF(DG85&gt;0,(Z85*DH85),0)</f>
        <v>0</v>
      </c>
      <c r="DV85" s="575">
        <f t="shared" ref="DV85" si="258">IF(DG85&gt;0,(Y89*DH85),0)</f>
        <v>0</v>
      </c>
      <c r="DW85" s="575">
        <f t="shared" ref="DW85" si="259">IF(DG85&gt;0,(Z89*DH85),0)</f>
        <v>0</v>
      </c>
      <c r="DX85" s="569">
        <f t="shared" ref="DX85" si="260">IF(DV85&gt;0,DJ85,0)</f>
        <v>0</v>
      </c>
      <c r="DY85" s="569">
        <f t="shared" ref="DY85" si="261">IF(DW85&gt;0,DJ85,0)</f>
        <v>0</v>
      </c>
    </row>
    <row r="86" spans="1:194" s="175" customFormat="1" ht="60" customHeight="1" x14ac:dyDescent="0.25">
      <c r="A86" s="366"/>
      <c r="B86" s="367"/>
      <c r="C86" s="393" t="s">
        <v>28</v>
      </c>
      <c r="D86" s="598"/>
      <c r="E86" s="598"/>
      <c r="F86" s="598"/>
      <c r="G86" s="598"/>
      <c r="H86" s="598"/>
      <c r="I86" s="598"/>
      <c r="J86" s="604"/>
      <c r="K86" s="604"/>
      <c r="L86" s="607"/>
      <c r="M86" s="559"/>
      <c r="N86" s="610"/>
      <c r="O86" s="613"/>
      <c r="P86" s="192"/>
      <c r="Q86" s="217"/>
      <c r="R86" s="217"/>
      <c r="S86" s="218"/>
      <c r="T86" s="219">
        <f>IFERROR(T85/$R$353,"")</f>
        <v>0</v>
      </c>
      <c r="U86" s="206"/>
      <c r="V86" s="220"/>
      <c r="W86" s="221" t="s">
        <v>239</v>
      </c>
      <c r="X86" s="222" t="s">
        <v>204</v>
      </c>
      <c r="Y86" s="223"/>
      <c r="Z86" s="224"/>
      <c r="AA86" s="225"/>
      <c r="AB86" s="226"/>
      <c r="AC86" s="206"/>
      <c r="AD86" s="206"/>
      <c r="AE86" s="206"/>
      <c r="AF86" s="227"/>
      <c r="AG86" s="206"/>
      <c r="AH86" s="206"/>
      <c r="AI86" s="206"/>
      <c r="AJ86" s="206"/>
      <c r="AK86" s="227"/>
      <c r="AL86" s="210"/>
      <c r="AM86" s="206"/>
      <c r="AN86" s="206"/>
      <c r="AO86" s="228"/>
      <c r="AP86" s="229"/>
      <c r="AQ86" s="206"/>
      <c r="AR86" s="206"/>
      <c r="AS86" s="228"/>
      <c r="AT86" s="229"/>
      <c r="AU86" s="228"/>
      <c r="AV86" s="229"/>
      <c r="AW86" s="228"/>
      <c r="AX86" s="229"/>
      <c r="AY86" s="206"/>
      <c r="AZ86" s="229"/>
      <c r="BA86" s="210"/>
      <c r="BB86" s="175" t="s">
        <v>24</v>
      </c>
      <c r="BC86" s="175" t="s">
        <v>114</v>
      </c>
      <c r="BD86" s="210"/>
      <c r="BE86" s="176" t="s">
        <v>206</v>
      </c>
      <c r="BF86" s="230" t="s">
        <v>204</v>
      </c>
      <c r="BG86" s="176" t="s">
        <v>290</v>
      </c>
      <c r="BH86" s="231" t="s">
        <v>204</v>
      </c>
      <c r="BI86" s="210"/>
      <c r="BN86" s="232"/>
      <c r="BO86" s="210"/>
      <c r="BV86" s="184"/>
      <c r="BW86" s="210"/>
      <c r="CD86" s="184"/>
      <c r="CF86" s="185"/>
      <c r="CI86" s="184"/>
      <c r="CJ86" s="210"/>
      <c r="CK86" s="563"/>
      <c r="CM86" s="559"/>
      <c r="CN86" s="627"/>
      <c r="CO86" s="630"/>
      <c r="CP86" s="630"/>
      <c r="CQ86" s="630"/>
      <c r="CR86" s="630"/>
      <c r="CS86" s="630"/>
      <c r="CT86" s="633"/>
      <c r="CU86" s="563"/>
      <c r="CV86" s="561"/>
      <c r="CW86" s="563"/>
      <c r="CX86" s="561"/>
      <c r="CY86" s="563"/>
      <c r="CZ86" s="561"/>
      <c r="DA86" s="563"/>
      <c r="DB86" s="561"/>
      <c r="DC86" s="563"/>
      <c r="DD86" s="561"/>
      <c r="DG86" s="576"/>
      <c r="DH86" s="576"/>
      <c r="DI86" s="570"/>
      <c r="DJ86" s="570"/>
      <c r="DK86" s="570"/>
      <c r="DL86" s="570"/>
      <c r="DM86" s="573"/>
      <c r="DN86" s="570"/>
      <c r="DO86" s="570"/>
      <c r="DP86" s="570"/>
      <c r="DQ86" s="570"/>
      <c r="DR86" s="570"/>
      <c r="DS86" s="570"/>
      <c r="DT86" s="570"/>
      <c r="DU86" s="570"/>
      <c r="DV86" s="576"/>
      <c r="DW86" s="576"/>
      <c r="DX86" s="570"/>
      <c r="DY86" s="570"/>
    </row>
    <row r="87" spans="1:194" s="175" customFormat="1" ht="60" customHeight="1" x14ac:dyDescent="0.3">
      <c r="A87" s="366"/>
      <c r="B87" s="367"/>
      <c r="C87" s="393" t="s">
        <v>30</v>
      </c>
      <c r="D87" s="599"/>
      <c r="E87" s="599"/>
      <c r="F87" s="599"/>
      <c r="G87" s="599"/>
      <c r="H87" s="599"/>
      <c r="I87" s="599"/>
      <c r="J87" s="604"/>
      <c r="K87" s="604"/>
      <c r="L87" s="607"/>
      <c r="M87" s="559"/>
      <c r="N87" s="610"/>
      <c r="O87" s="613"/>
      <c r="P87" s="192"/>
      <c r="Q87" s="176" t="s">
        <v>205</v>
      </c>
      <c r="R87" s="233" t="s">
        <v>204</v>
      </c>
      <c r="S87" s="234"/>
      <c r="T87" s="235">
        <f>IFERROR(($R$353-8000)*T86,"")</f>
        <v>0</v>
      </c>
      <c r="U87" s="206"/>
      <c r="V87" s="220"/>
      <c r="W87" s="221" t="s">
        <v>258</v>
      </c>
      <c r="X87" s="222" t="s">
        <v>204</v>
      </c>
      <c r="Y87" s="236"/>
      <c r="Z87" s="237"/>
      <c r="AA87" s="225"/>
      <c r="AB87" s="226"/>
      <c r="AC87" s="206"/>
      <c r="AD87" s="206"/>
      <c r="AE87" s="206"/>
      <c r="AF87" s="227"/>
      <c r="AG87" s="206"/>
      <c r="AH87" s="206"/>
      <c r="AI87" s="206"/>
      <c r="AJ87" s="206"/>
      <c r="AK87" s="227"/>
      <c r="AL87" s="238"/>
      <c r="AM87" s="206"/>
      <c r="AN87" s="206"/>
      <c r="AO87" s="228"/>
      <c r="AP87" s="229"/>
      <c r="AQ87" s="206"/>
      <c r="AR87" s="206"/>
      <c r="AS87" s="228"/>
      <c r="AT87" s="229"/>
      <c r="AU87" s="228"/>
      <c r="AV87" s="229"/>
      <c r="AW87" s="228"/>
      <c r="AX87" s="229"/>
      <c r="AY87" s="206"/>
      <c r="AZ87" s="229"/>
      <c r="BA87" s="210"/>
      <c r="BB87" s="175" t="s">
        <v>26</v>
      </c>
      <c r="BC87" s="211" t="s">
        <v>115</v>
      </c>
      <c r="BD87" s="210"/>
      <c r="BE87" s="177" t="str">
        <f>IFERROR(VLOOKUP(D85,'BD M.O'!C:H,4,FALSE),"")</f>
        <v/>
      </c>
      <c r="BF87" s="177" t="s">
        <v>259</v>
      </c>
      <c r="BI87" s="210"/>
      <c r="BO87" s="210"/>
      <c r="BV87" s="184"/>
      <c r="BW87" s="210"/>
      <c r="CD87" s="184"/>
      <c r="CF87" s="185"/>
      <c r="CI87" s="184"/>
      <c r="CJ87" s="210"/>
      <c r="CK87" s="563"/>
      <c r="CM87" s="559"/>
      <c r="CN87" s="627"/>
      <c r="CO87" s="630"/>
      <c r="CP87" s="630"/>
      <c r="CQ87" s="630"/>
      <c r="CR87" s="630"/>
      <c r="CS87" s="630"/>
      <c r="CT87" s="633"/>
      <c r="CU87" s="563"/>
      <c r="CV87" s="561"/>
      <c r="CW87" s="563"/>
      <c r="CX87" s="561"/>
      <c r="CY87" s="563"/>
      <c r="CZ87" s="561"/>
      <c r="DA87" s="563"/>
      <c r="DB87" s="561"/>
      <c r="DC87" s="563"/>
      <c r="DD87" s="561"/>
      <c r="DG87" s="577"/>
      <c r="DH87" s="577"/>
      <c r="DI87" s="571"/>
      <c r="DJ87" s="571"/>
      <c r="DK87" s="571"/>
      <c r="DL87" s="571"/>
      <c r="DM87" s="574"/>
      <c r="DN87" s="571"/>
      <c r="DO87" s="571"/>
      <c r="DP87" s="571"/>
      <c r="DQ87" s="571"/>
      <c r="DR87" s="571"/>
      <c r="DS87" s="571"/>
      <c r="DT87" s="571"/>
      <c r="DU87" s="571"/>
      <c r="DV87" s="577"/>
      <c r="DW87" s="577"/>
      <c r="DX87" s="571"/>
      <c r="DY87" s="571"/>
    </row>
    <row r="88" spans="1:194" s="175" customFormat="1" ht="60" customHeight="1" x14ac:dyDescent="0.25">
      <c r="A88" s="366"/>
      <c r="B88" s="367"/>
      <c r="C88" s="395" t="s">
        <v>180</v>
      </c>
      <c r="D88" s="599" t="s">
        <v>31</v>
      </c>
      <c r="E88" s="599"/>
      <c r="F88" s="394" t="s">
        <v>9</v>
      </c>
      <c r="G88" s="599" t="s">
        <v>33</v>
      </c>
      <c r="H88" s="599"/>
      <c r="I88" s="394" t="str">
        <f>+IF($BG$9="SI","","X")</f>
        <v>X</v>
      </c>
      <c r="J88" s="604"/>
      <c r="K88" s="604"/>
      <c r="L88" s="607"/>
      <c r="M88" s="559"/>
      <c r="N88" s="610"/>
      <c r="O88" s="613"/>
      <c r="P88" s="192"/>
      <c r="Q88" s="239"/>
      <c r="R88" s="221" t="s">
        <v>209</v>
      </c>
      <c r="S88" s="234" t="str">
        <f>IF(S86="","",S86/(J85*K85))</f>
        <v/>
      </c>
      <c r="T88" s="226"/>
      <c r="U88" s="206"/>
      <c r="V88" s="220"/>
      <c r="W88" s="239" t="str">
        <f>IFERROR(IF(X87="SI",VLOOKUP(D85,'BD M.O'!C:F,4,FALSE),""),"")</f>
        <v/>
      </c>
      <c r="X88" s="221" t="s">
        <v>258</v>
      </c>
      <c r="Y88" s="221" t="s">
        <v>507</v>
      </c>
      <c r="Z88" s="221" t="s">
        <v>508</v>
      </c>
      <c r="AA88" s="225"/>
      <c r="AB88" s="226"/>
      <c r="AC88" s="206"/>
      <c r="AD88" s="206"/>
      <c r="AE88" s="206"/>
      <c r="AF88" s="227"/>
      <c r="AG88" s="206"/>
      <c r="AH88" s="206"/>
      <c r="AI88" s="206"/>
      <c r="AJ88" s="206"/>
      <c r="AK88" s="227"/>
      <c r="AL88" s="240"/>
      <c r="AM88" s="206"/>
      <c r="AN88" s="206"/>
      <c r="AO88" s="228"/>
      <c r="AP88" s="229"/>
      <c r="AQ88" s="206"/>
      <c r="AR88" s="206"/>
      <c r="AS88" s="228"/>
      <c r="AT88" s="229"/>
      <c r="AU88" s="228"/>
      <c r="AV88" s="229"/>
      <c r="AW88" s="228"/>
      <c r="AX88" s="229"/>
      <c r="AY88" s="206"/>
      <c r="AZ88" s="229"/>
      <c r="BA88" s="210"/>
      <c r="BC88" s="175" t="s">
        <v>116</v>
      </c>
      <c r="BD88" s="210"/>
      <c r="BE88" s="177" t="str">
        <f>IFERROR(VLOOKUP(COTIZACIÓN!D85,'BD M.O'!C:I,5,FALSE),"")</f>
        <v/>
      </c>
      <c r="BF88" s="177" t="s">
        <v>260</v>
      </c>
      <c r="BI88" s="210"/>
      <c r="BO88" s="210"/>
      <c r="BP88" s="183"/>
      <c r="BQ88" s="183"/>
      <c r="BR88" s="183"/>
      <c r="BS88" s="183"/>
      <c r="BT88" s="183"/>
      <c r="BU88" s="183"/>
      <c r="BV88" s="182"/>
      <c r="BW88" s="210"/>
      <c r="BX88" s="183"/>
      <c r="BY88" s="183"/>
      <c r="BZ88" s="183"/>
      <c r="CA88" s="183"/>
      <c r="CB88" s="183"/>
      <c r="CC88" s="183"/>
      <c r="CD88" s="182"/>
      <c r="CE88" s="183"/>
      <c r="CF88" s="241"/>
      <c r="CG88" s="183"/>
      <c r="CH88" s="183"/>
      <c r="CI88" s="182"/>
      <c r="CJ88" s="210"/>
      <c r="CK88" s="563"/>
      <c r="CM88" s="559"/>
      <c r="CN88" s="627"/>
      <c r="CO88" s="630"/>
      <c r="CP88" s="630"/>
      <c r="CQ88" s="630"/>
      <c r="CR88" s="630"/>
      <c r="CS88" s="630"/>
      <c r="CT88" s="633"/>
      <c r="CU88" s="563"/>
      <c r="CV88" s="561"/>
      <c r="CW88" s="563"/>
      <c r="CX88" s="561"/>
      <c r="CY88" s="563"/>
      <c r="CZ88" s="561"/>
      <c r="DA88" s="563"/>
      <c r="DB88" s="561"/>
      <c r="DC88" s="563"/>
      <c r="DD88" s="561"/>
      <c r="DG88" s="575"/>
      <c r="DH88" s="575"/>
      <c r="DI88" s="569">
        <f t="shared" ref="DI88" si="262">IFERROR(IF(DG88&gt;0,(((N85)/(1+10%+19%*5%)+((N85)/(1+10%+19%*5%))*10%)*DH88),0),0)</f>
        <v>0</v>
      </c>
      <c r="DJ88" s="569">
        <f t="shared" ref="DJ88" si="263">IFERROR(IF(DG88&gt;0,(N85*DH88),0),0)</f>
        <v>0</v>
      </c>
      <c r="DK88" s="569">
        <f t="shared" ref="DK88" si="264">IF(DG88&gt;0,((R85+T85)*DH88),0)</f>
        <v>0</v>
      </c>
      <c r="DL88" s="569">
        <f t="shared" ref="DL88" si="265">IF(DG88&gt;0,(Q85*DH88),0)</f>
        <v>0</v>
      </c>
      <c r="DM88" s="572">
        <f t="shared" ref="DM88" si="266">IF(DG88&gt;0,(S85*DH88),0)</f>
        <v>0</v>
      </c>
      <c r="DN88" s="569">
        <f t="shared" ref="DN88" si="267">IF(DG88&gt;0,(BN85*DH88),0)</f>
        <v>0</v>
      </c>
      <c r="DO88" s="569">
        <f t="shared" ref="DO88" si="268">IF(DG88&gt;0,(AF85*DH88),0)</f>
        <v>0</v>
      </c>
      <c r="DP88" s="569">
        <f>IF(DG88&gt;0,((DI88)*('BD P&amp;G'!$E$16+'BD P&amp;G'!$E$17+'BD P&amp;G'!$E$18+'BD P&amp;G'!$E$19+'BD P&amp;G'!$E$20+'BD P&amp;G'!$E$21+'BD P&amp;G'!$E$22+'BD P&amp;G'!$E$23)*DH88),0)</f>
        <v>0</v>
      </c>
      <c r="DQ88" s="569">
        <f>IFERROR(IF(DG88&gt;0,((DI88*'BD P&amp;G'!$E$7)+(DI88*'BD P&amp;G'!$E$9)+AI85),0),0)</f>
        <v>0</v>
      </c>
      <c r="DR88" s="569">
        <f t="shared" ref="DR88" si="269">IFERROR(IF(DG88&gt;0,((DI88*1%)),0),0)</f>
        <v>0</v>
      </c>
      <c r="DS88" s="569">
        <f>IFERROR(IF(DG88&gt;0,(((DI88*'BD P&amp;G'!$E$32+DI88*'BD P&amp;G'!$E$33+DI88*'BD P&amp;G'!$E$35+DI88*'BD P&amp;G'!$E$36+DI88*'BD P&amp;G'!$E$37))),0),0)</f>
        <v>0</v>
      </c>
      <c r="DT88" s="569">
        <f t="shared" ref="DT88" si="270">IF(DG88&gt;0,(Y85*DH88),0)</f>
        <v>0</v>
      </c>
      <c r="DU88" s="569">
        <f t="shared" ref="DU88" si="271">IF(DG88&gt;0,(Z85*DH88),0)</f>
        <v>0</v>
      </c>
      <c r="DV88" s="575">
        <f t="shared" ref="DV88" si="272">IF(DG88&gt;0,(Y89*DH88),0)</f>
        <v>0</v>
      </c>
      <c r="DW88" s="575">
        <f t="shared" ref="DW88" si="273">IF(DG88&gt;0,(Z89*DH88),0)</f>
        <v>0</v>
      </c>
      <c r="DX88" s="569">
        <f t="shared" ref="DX88" si="274">IF(DV88&gt;0,DJ88,0)</f>
        <v>0</v>
      </c>
      <c r="DY88" s="569">
        <f t="shared" ref="DY88" si="275">IF(DW88&gt;0,DJ88,0)</f>
        <v>0</v>
      </c>
    </row>
    <row r="89" spans="1:194" s="175" customFormat="1" ht="60" customHeight="1" x14ac:dyDescent="0.3">
      <c r="A89" s="366"/>
      <c r="B89" s="367"/>
      <c r="C89" s="393" t="s">
        <v>35</v>
      </c>
      <c r="D89" s="599" t="str">
        <f>IFERROR(VLOOKUP(D85,'BD GN'!C:E,3,),"")</f>
        <v/>
      </c>
      <c r="E89" s="599"/>
      <c r="F89" s="599"/>
      <c r="G89" s="599"/>
      <c r="H89" s="599"/>
      <c r="I89" s="599"/>
      <c r="J89" s="604"/>
      <c r="K89" s="604"/>
      <c r="L89" s="607"/>
      <c r="M89" s="559"/>
      <c r="N89" s="610"/>
      <c r="O89" s="613"/>
      <c r="P89" s="192"/>
      <c r="Q89" s="239"/>
      <c r="R89" s="221" t="s">
        <v>210</v>
      </c>
      <c r="S89" s="234" t="str">
        <f>IFERROR(IF(N85="","",N85/W89),"")</f>
        <v/>
      </c>
      <c r="T89" s="226"/>
      <c r="U89" s="206"/>
      <c r="V89" s="220"/>
      <c r="W89" s="242" t="str">
        <f>+IF(J85*K85&gt;=1,J85*K85,IF(AND(J85*K85&gt;0,J85*K85&lt;1),1,""))</f>
        <v/>
      </c>
      <c r="X89" s="221" t="s">
        <v>298</v>
      </c>
      <c r="Y89" s="461">
        <f>IFERROR(IF(D85='BD GN'!$C$25,COTIZACIÓN!W89,IF(D85='BD GN'!$C$26,COTIZACIÓN!W89,IF(D85='BD GN'!$C$27,COTIZACIÓN!W89,IF(COTIZACIÓN!D85='BD GN'!$C$28,COTIZACIÓN!W89,IF(COTIZACIÓN!D85='BD GN'!$C$29,COTIZACIÓN!W89,IF(COTIZACIÓN!D85='BD GN'!$C$35,COTIZACIÓN!W89,IF(COTIZACIÓN!D85='BD GN'!$C$36,COTIZACIÓN!W89,IF(COTIZACIÓN!D85='BD GN'!$C$37,COTIZACIÓN!W89,IF(COTIZACIÓN!D85='BD GN'!$C$38,COTIZACIÓN!W89,IF(COTIZACIÓN!D85='BD GN'!$C$39,COTIZACIÓN!W89,IF(COTIZACIÓN!D85='BD GN'!$C$40,COTIZACIÓN!W89,IF(COTIZACIÓN!D85='BD GN'!$C$41,COTIZACIÓN!W89,IF(COTIZACIÓN!D85='BD GN'!$C$42,COTIZACIÓN!W89,IF(COTIZACIÓN!D85='BD GN'!$C$49,COTIZACIÓN!W89,IF(COTIZACIÓN!D85='BD GN'!$C$50,COTIZACIÓN!W89,IF(COTIZACIÓN!D85='BD GN'!$C$51,COTIZACIÓN!W89,IF(COTIZACIÓN!D85='BD GN'!$C$67,COTIZACIÓN!W89,0))))))))))))))))),0)</f>
        <v>0</v>
      </c>
      <c r="Z89" s="461">
        <f>IFERROR(W89-Y89,0)</f>
        <v>0</v>
      </c>
      <c r="AA89" s="225"/>
      <c r="AB89" s="226"/>
      <c r="AC89" s="206"/>
      <c r="AD89" s="206"/>
      <c r="AE89" s="206"/>
      <c r="AF89" s="227"/>
      <c r="AG89" s="206"/>
      <c r="AH89" s="206"/>
      <c r="AI89" s="206"/>
      <c r="AJ89" s="206"/>
      <c r="AK89" s="227"/>
      <c r="AL89" s="210"/>
      <c r="AM89" s="206"/>
      <c r="AN89" s="206"/>
      <c r="AO89" s="228"/>
      <c r="AP89" s="229"/>
      <c r="AQ89" s="206"/>
      <c r="AR89" s="206"/>
      <c r="AS89" s="228"/>
      <c r="AT89" s="229"/>
      <c r="AU89" s="228"/>
      <c r="AV89" s="229"/>
      <c r="AW89" s="228"/>
      <c r="AX89" s="229"/>
      <c r="AY89" s="206"/>
      <c r="AZ89" s="229"/>
      <c r="BA89" s="210"/>
      <c r="BC89" s="211" t="s">
        <v>117</v>
      </c>
      <c r="BD89" s="210"/>
      <c r="BE89" s="177" t="str">
        <f>IFERROR(VLOOKUP(D85,'BD M.O'!C:I,6,FALSE),"")</f>
        <v/>
      </c>
      <c r="BF89" s="177" t="s">
        <v>261</v>
      </c>
      <c r="BI89" s="210"/>
      <c r="BO89" s="210"/>
      <c r="BP89" s="183"/>
      <c r="BQ89" s="183"/>
      <c r="BR89" s="183"/>
      <c r="BW89" s="210"/>
      <c r="CD89" s="184"/>
      <c r="CF89" s="185"/>
      <c r="CI89" s="184"/>
      <c r="CJ89" s="210"/>
      <c r="CK89" s="563"/>
      <c r="CM89" s="559"/>
      <c r="CN89" s="627"/>
      <c r="CO89" s="630"/>
      <c r="CP89" s="630"/>
      <c r="CQ89" s="630"/>
      <c r="CR89" s="630"/>
      <c r="CS89" s="630"/>
      <c r="CT89" s="633"/>
      <c r="CU89" s="563"/>
      <c r="CV89" s="561"/>
      <c r="CW89" s="563"/>
      <c r="CX89" s="561"/>
      <c r="CY89" s="563"/>
      <c r="CZ89" s="561"/>
      <c r="DA89" s="563"/>
      <c r="DB89" s="561"/>
      <c r="DC89" s="563"/>
      <c r="DD89" s="561"/>
      <c r="DG89" s="576"/>
      <c r="DH89" s="576"/>
      <c r="DI89" s="570"/>
      <c r="DJ89" s="570"/>
      <c r="DK89" s="570"/>
      <c r="DL89" s="570"/>
      <c r="DM89" s="573"/>
      <c r="DN89" s="570"/>
      <c r="DO89" s="570"/>
      <c r="DP89" s="570"/>
      <c r="DQ89" s="570"/>
      <c r="DR89" s="570"/>
      <c r="DS89" s="570"/>
      <c r="DT89" s="570"/>
      <c r="DU89" s="570"/>
      <c r="DV89" s="576"/>
      <c r="DW89" s="576"/>
      <c r="DX89" s="570"/>
      <c r="DY89" s="570"/>
    </row>
    <row r="90" spans="1:194" s="252" customFormat="1" ht="60" customHeight="1" x14ac:dyDescent="0.25">
      <c r="A90" s="368"/>
      <c r="B90" s="369"/>
      <c r="C90" s="396" t="s">
        <v>10</v>
      </c>
      <c r="D90" s="645" t="s">
        <v>32</v>
      </c>
      <c r="E90" s="645"/>
      <c r="F90" s="645"/>
      <c r="G90" s="645"/>
      <c r="H90" s="645"/>
      <c r="I90" s="645"/>
      <c r="J90" s="643"/>
      <c r="K90" s="643"/>
      <c r="L90" s="646"/>
      <c r="M90" s="648"/>
      <c r="N90" s="649"/>
      <c r="O90" s="644"/>
      <c r="P90" s="192"/>
      <c r="Q90" s="239"/>
      <c r="R90" s="334" t="s">
        <v>475</v>
      </c>
      <c r="S90" s="234" t="str">
        <f>IFERROR(IF($C$12='BD GN'!$CC$1,VLOOKUP(COTIZACIÓN!D85,'BD GN'!CB:CG,2,FALSE),IF(COTIZACIÓN!$C$12='BD GN'!$CD$1,VLOOKUP(COTIZACIÓN!D85,'BD GN'!CB:CG,3,FALSE),IF($C$12='BD GN'!$CE$1,VLOOKUP(COTIZACIÓN!D85,'BD GN'!CB:CG,4,FALSE),IF(COTIZACIÓN!$C$12='BD GN'!$CF$1,VLOOKUP(COTIZACIÓN!D85,'BD GN'!CB:CG,5,FALSE),IF(COTIZACIÓN!$C$12='BD GN'!$CG$1,VLOOKUP(COTIZACIÓN!D85,'BD GN'!CB:CG,6,FALSE),""))))),"-")</f>
        <v/>
      </c>
      <c r="T90" s="243"/>
      <c r="U90" s="244"/>
      <c r="V90" s="245"/>
      <c r="W90" s="177" t="s">
        <v>394</v>
      </c>
      <c r="X90" s="246">
        <f>IFERROR(SUM(W85:X85),"")</f>
        <v>0</v>
      </c>
      <c r="Y90" s="166" t="s">
        <v>404</v>
      </c>
      <c r="Z90" s="199" t="str">
        <f>IFERROR(Y85+Z85,"")</f>
        <v/>
      </c>
      <c r="AA90" s="247"/>
      <c r="AB90" s="243"/>
      <c r="AC90" s="244"/>
      <c r="AD90" s="244"/>
      <c r="AE90" s="244"/>
      <c r="AF90" s="227"/>
      <c r="AG90" s="206"/>
      <c r="AH90" s="206"/>
      <c r="AI90" s="206"/>
      <c r="AJ90" s="206"/>
      <c r="AK90" s="227"/>
      <c r="AL90" s="227"/>
      <c r="AM90" s="248"/>
      <c r="AN90" s="248"/>
      <c r="AO90" s="249"/>
      <c r="AP90" s="250"/>
      <c r="AQ90" s="248"/>
      <c r="AR90" s="248"/>
      <c r="AS90" s="249"/>
      <c r="AT90" s="250"/>
      <c r="AU90" s="249"/>
      <c r="AV90" s="250"/>
      <c r="AW90" s="249"/>
      <c r="AX90" s="250"/>
      <c r="AY90" s="248"/>
      <c r="AZ90" s="250"/>
      <c r="BA90" s="210"/>
      <c r="BB90" s="175"/>
      <c r="BC90" s="175" t="s">
        <v>118</v>
      </c>
      <c r="BD90" s="210"/>
      <c r="BE90" s="251" t="str">
        <f>IFERROR(VLOOKUP(D85,'BD M.O'!C:I,7,FALSE),"")</f>
        <v/>
      </c>
      <c r="BF90" s="251" t="s">
        <v>262</v>
      </c>
      <c r="BG90" s="175"/>
      <c r="BH90" s="175"/>
      <c r="BI90" s="210"/>
      <c r="BJ90" s="175"/>
      <c r="BK90" s="175"/>
      <c r="BL90" s="175"/>
      <c r="BM90" s="175"/>
      <c r="BN90" s="175"/>
      <c r="BO90" s="210"/>
      <c r="BP90" s="175"/>
      <c r="BQ90" s="175"/>
      <c r="BR90" s="175"/>
      <c r="BS90" s="183"/>
      <c r="BT90" s="183"/>
      <c r="BU90" s="183"/>
      <c r="BV90" s="183"/>
      <c r="BW90" s="210"/>
      <c r="BX90" s="175"/>
      <c r="BY90" s="175"/>
      <c r="BZ90" s="175"/>
      <c r="CA90" s="175"/>
      <c r="CB90" s="175"/>
      <c r="CC90" s="175"/>
      <c r="CD90" s="184"/>
      <c r="CE90" s="175"/>
      <c r="CF90" s="185"/>
      <c r="CG90" s="175"/>
      <c r="CH90" s="175"/>
      <c r="CI90" s="184"/>
      <c r="CJ90" s="210"/>
      <c r="CK90" s="564"/>
      <c r="CL90" s="257"/>
      <c r="CM90" s="597"/>
      <c r="CN90" s="628"/>
      <c r="CO90" s="631"/>
      <c r="CP90" s="631"/>
      <c r="CQ90" s="631"/>
      <c r="CR90" s="631"/>
      <c r="CS90" s="631"/>
      <c r="CT90" s="634"/>
      <c r="CU90" s="564"/>
      <c r="CV90" s="562"/>
      <c r="CW90" s="564"/>
      <c r="CX90" s="562"/>
      <c r="CY90" s="564"/>
      <c r="CZ90" s="562"/>
      <c r="DA90" s="564"/>
      <c r="DB90" s="562"/>
      <c r="DC90" s="564"/>
      <c r="DD90" s="562"/>
      <c r="DE90" s="175"/>
      <c r="DF90" s="175"/>
      <c r="DG90" s="577"/>
      <c r="DH90" s="577"/>
      <c r="DI90" s="571"/>
      <c r="DJ90" s="571"/>
      <c r="DK90" s="571"/>
      <c r="DL90" s="571"/>
      <c r="DM90" s="574"/>
      <c r="DN90" s="571"/>
      <c r="DO90" s="571"/>
      <c r="DP90" s="571"/>
      <c r="DQ90" s="571"/>
      <c r="DR90" s="571"/>
      <c r="DS90" s="571"/>
      <c r="DT90" s="571"/>
      <c r="DU90" s="571"/>
      <c r="DV90" s="577"/>
      <c r="DW90" s="577"/>
      <c r="DX90" s="571"/>
      <c r="DY90" s="571"/>
      <c r="DZ90" s="175"/>
      <c r="EA90" s="175"/>
      <c r="EB90" s="175"/>
      <c r="EC90" s="175"/>
      <c r="ED90" s="175"/>
      <c r="EE90" s="175"/>
      <c r="EF90" s="175"/>
      <c r="EG90" s="175"/>
      <c r="EH90" s="175"/>
      <c r="EI90" s="175"/>
      <c r="EJ90" s="175"/>
      <c r="EK90" s="175"/>
      <c r="EL90" s="175"/>
      <c r="EM90" s="175"/>
      <c r="EN90" s="175"/>
      <c r="EO90" s="175"/>
      <c r="EP90" s="175"/>
      <c r="EQ90" s="175"/>
      <c r="ER90" s="175"/>
      <c r="ES90" s="175"/>
      <c r="ET90" s="175"/>
      <c r="EU90" s="175"/>
      <c r="EV90" s="175"/>
      <c r="EW90" s="175"/>
      <c r="EX90" s="175"/>
      <c r="EY90" s="175"/>
      <c r="EZ90" s="175"/>
      <c r="FA90" s="175"/>
      <c r="FB90" s="175"/>
      <c r="FC90" s="175"/>
      <c r="FD90" s="175"/>
      <c r="FE90" s="175"/>
      <c r="FF90" s="175"/>
      <c r="FG90" s="175"/>
      <c r="FH90" s="175"/>
      <c r="FI90" s="175"/>
      <c r="FJ90" s="175"/>
      <c r="FK90" s="175"/>
      <c r="FL90" s="175"/>
      <c r="FM90" s="175"/>
      <c r="FN90" s="175"/>
      <c r="FO90" s="175"/>
      <c r="FP90" s="175"/>
      <c r="FQ90" s="175"/>
      <c r="FR90" s="175"/>
      <c r="FS90" s="175"/>
      <c r="FT90" s="175"/>
      <c r="FU90" s="175"/>
      <c r="FV90" s="175"/>
      <c r="FW90" s="175"/>
      <c r="FX90" s="175"/>
      <c r="FY90" s="175"/>
      <c r="FZ90" s="175"/>
      <c r="GA90" s="175"/>
      <c r="GB90" s="175"/>
      <c r="GC90" s="175"/>
      <c r="GD90" s="175"/>
      <c r="GE90" s="175"/>
      <c r="GF90" s="175"/>
      <c r="GG90" s="175"/>
      <c r="GH90" s="175"/>
      <c r="GI90" s="175"/>
      <c r="GJ90" s="175"/>
      <c r="GK90" s="175"/>
      <c r="GL90" s="175"/>
    </row>
    <row r="91" spans="1:194" s="255" customFormat="1" ht="60" customHeight="1" x14ac:dyDescent="0.3">
      <c r="A91" s="362" t="s">
        <v>193</v>
      </c>
      <c r="B91" s="363" t="s">
        <v>25</v>
      </c>
      <c r="C91" s="391" t="s">
        <v>174</v>
      </c>
      <c r="D91" s="640" t="s">
        <v>173</v>
      </c>
      <c r="E91" s="640"/>
      <c r="F91" s="640"/>
      <c r="G91" s="640"/>
      <c r="H91" s="640"/>
      <c r="I91" s="640"/>
      <c r="J91" s="418" t="s">
        <v>443</v>
      </c>
      <c r="K91" s="418" t="s">
        <v>444</v>
      </c>
      <c r="L91" s="418" t="s">
        <v>171</v>
      </c>
      <c r="M91" s="363" t="s">
        <v>2</v>
      </c>
      <c r="N91" s="419" t="s">
        <v>7</v>
      </c>
      <c r="O91" s="420" t="s">
        <v>8</v>
      </c>
      <c r="P91" s="159"/>
      <c r="Q91" s="164" t="s">
        <v>93</v>
      </c>
      <c r="R91" s="164" t="s">
        <v>34</v>
      </c>
      <c r="S91" s="164" t="s">
        <v>28</v>
      </c>
      <c r="T91" s="164" t="s">
        <v>95</v>
      </c>
      <c r="U91" s="164" t="s">
        <v>96</v>
      </c>
      <c r="V91" s="164" t="s">
        <v>97</v>
      </c>
      <c r="W91" s="164" t="s">
        <v>4</v>
      </c>
      <c r="X91" s="164" t="s">
        <v>103</v>
      </c>
      <c r="Y91" s="160" t="s">
        <v>402</v>
      </c>
      <c r="Z91" s="165" t="s">
        <v>403</v>
      </c>
      <c r="AA91" s="166" t="s">
        <v>404</v>
      </c>
      <c r="AB91" s="164" t="s">
        <v>99</v>
      </c>
      <c r="AC91" s="164" t="s">
        <v>395</v>
      </c>
      <c r="AD91" s="253" t="s">
        <v>36</v>
      </c>
      <c r="AE91" s="164" t="s">
        <v>389</v>
      </c>
      <c r="AF91" s="164" t="s">
        <v>390</v>
      </c>
      <c r="AG91" s="164" t="s">
        <v>164</v>
      </c>
      <c r="AH91" s="253" t="s">
        <v>396</v>
      </c>
      <c r="AI91" s="164" t="s">
        <v>190</v>
      </c>
      <c r="AJ91" s="164" t="s">
        <v>339</v>
      </c>
      <c r="AK91" s="253" t="s">
        <v>391</v>
      </c>
      <c r="AL91" s="253" t="s">
        <v>393</v>
      </c>
      <c r="AM91" s="167" t="s">
        <v>93</v>
      </c>
      <c r="AN91" s="168" t="s">
        <v>34</v>
      </c>
      <c r="AO91" s="169" t="s">
        <v>28</v>
      </c>
      <c r="AP91" s="170" t="s">
        <v>95</v>
      </c>
      <c r="AQ91" s="167" t="s">
        <v>3</v>
      </c>
      <c r="AR91" s="167" t="s">
        <v>96</v>
      </c>
      <c r="AS91" s="169" t="s">
        <v>97</v>
      </c>
      <c r="AT91" s="170" t="s">
        <v>4</v>
      </c>
      <c r="AU91" s="169" t="s">
        <v>103</v>
      </c>
      <c r="AV91" s="170" t="s">
        <v>99</v>
      </c>
      <c r="AW91" s="169" t="s">
        <v>36</v>
      </c>
      <c r="AX91" s="171" t="s">
        <v>29</v>
      </c>
      <c r="AY91" s="172" t="s">
        <v>190</v>
      </c>
      <c r="AZ91" s="173" t="s">
        <v>102</v>
      </c>
      <c r="BA91" s="174"/>
      <c r="BB91" s="183"/>
      <c r="BC91" s="211" t="s">
        <v>119</v>
      </c>
      <c r="BD91" s="174"/>
      <c r="BE91" s="176" t="s">
        <v>189</v>
      </c>
      <c r="BF91" s="177" t="str">
        <f>$BF$13</f>
        <v xml:space="preserve">VR SILICONA </v>
      </c>
      <c r="BG91" s="177" t="str">
        <f>$BG$13</f>
        <v xml:space="preserve">VR PELÍCULA </v>
      </c>
      <c r="BH91" s="254" t="str">
        <f>$BH$13</f>
        <v>VR EMBALAJE</v>
      </c>
      <c r="BI91" s="174"/>
      <c r="BJ91" s="176" t="str">
        <f>$BJ$13</f>
        <v>ESP. CRISTAL</v>
      </c>
      <c r="BK91" s="176" t="s">
        <v>130</v>
      </c>
      <c r="BL91" s="177" t="s">
        <v>28</v>
      </c>
      <c r="BM91" s="177" t="str">
        <f>BM84</f>
        <v>TOTAL</v>
      </c>
      <c r="BN91" s="177" t="s">
        <v>133</v>
      </c>
      <c r="BO91" s="174"/>
      <c r="BP91" s="175"/>
      <c r="BQ91" s="175"/>
      <c r="BR91" s="175"/>
      <c r="BS91" s="175"/>
      <c r="BT91" s="175"/>
      <c r="BU91" s="175"/>
      <c r="BV91" s="175"/>
      <c r="BW91" s="174"/>
      <c r="BX91" s="175"/>
      <c r="BY91" s="175"/>
      <c r="BZ91" s="175"/>
      <c r="CA91" s="175"/>
      <c r="CB91" s="175"/>
      <c r="CC91" s="175"/>
      <c r="CD91" s="184"/>
      <c r="CE91" s="175"/>
      <c r="CF91" s="185"/>
      <c r="CG91" s="175"/>
      <c r="CH91" s="175"/>
      <c r="CI91" s="184"/>
      <c r="CJ91" s="174"/>
      <c r="CK91" s="186" t="s">
        <v>415</v>
      </c>
      <c r="CL91" s="187" t="s">
        <v>417</v>
      </c>
      <c r="CM91" s="187" t="s">
        <v>416</v>
      </c>
      <c r="CN91" s="188" t="s">
        <v>418</v>
      </c>
      <c r="CO91" s="187" t="s">
        <v>417</v>
      </c>
      <c r="CP91" s="187" t="s">
        <v>409</v>
      </c>
      <c r="CQ91" s="187" t="s">
        <v>410</v>
      </c>
      <c r="CR91" s="187" t="s">
        <v>411</v>
      </c>
      <c r="CS91" s="187" t="s">
        <v>412</v>
      </c>
      <c r="CT91" s="187" t="s">
        <v>413</v>
      </c>
      <c r="CU91" s="189" t="s">
        <v>2</v>
      </c>
      <c r="CV91" s="190" t="s">
        <v>159</v>
      </c>
      <c r="CW91" s="189" t="s">
        <v>2</v>
      </c>
      <c r="CX91" s="190" t="s">
        <v>159</v>
      </c>
      <c r="CY91" s="189" t="s">
        <v>2</v>
      </c>
      <c r="CZ91" s="190" t="s">
        <v>159</v>
      </c>
      <c r="DA91" s="189" t="s">
        <v>2</v>
      </c>
      <c r="DB91" s="190" t="s">
        <v>159</v>
      </c>
      <c r="DC91" s="189" t="s">
        <v>2</v>
      </c>
      <c r="DD91" s="190" t="s">
        <v>159</v>
      </c>
      <c r="DE91" s="183"/>
      <c r="DF91" s="183"/>
      <c r="DG91" s="177" t="s">
        <v>505</v>
      </c>
      <c r="DH91" s="472" t="s">
        <v>509</v>
      </c>
      <c r="DI91" s="457" t="s">
        <v>506</v>
      </c>
      <c r="DJ91" s="457" t="s">
        <v>134</v>
      </c>
      <c r="DK91" s="457" t="s">
        <v>498</v>
      </c>
      <c r="DL91" s="457" t="s">
        <v>499</v>
      </c>
      <c r="DM91" s="457" t="s">
        <v>500</v>
      </c>
      <c r="DN91" s="457" t="s">
        <v>131</v>
      </c>
      <c r="DO91" s="457" t="s">
        <v>390</v>
      </c>
      <c r="DP91" s="457" t="s">
        <v>36</v>
      </c>
      <c r="DQ91" s="457" t="s">
        <v>501</v>
      </c>
      <c r="DR91" s="457" t="s">
        <v>502</v>
      </c>
      <c r="DS91" s="457" t="s">
        <v>503</v>
      </c>
      <c r="DT91" s="457" t="s">
        <v>4</v>
      </c>
      <c r="DU91" s="457" t="s">
        <v>504</v>
      </c>
      <c r="DV91" s="466" t="s">
        <v>507</v>
      </c>
      <c r="DW91" s="466" t="s">
        <v>508</v>
      </c>
      <c r="DX91" s="457" t="s">
        <v>510</v>
      </c>
      <c r="DY91" s="457" t="s">
        <v>511</v>
      </c>
      <c r="DZ91" s="183"/>
      <c r="EA91" s="183"/>
      <c r="EB91" s="183"/>
      <c r="EC91" s="183"/>
      <c r="ED91" s="183"/>
      <c r="EE91" s="183"/>
      <c r="EF91" s="183"/>
      <c r="EG91" s="183"/>
      <c r="EH91" s="183"/>
      <c r="EI91" s="183"/>
      <c r="EJ91" s="183"/>
      <c r="EK91" s="183"/>
      <c r="EL91" s="183"/>
      <c r="EM91" s="183"/>
      <c r="EN91" s="183"/>
      <c r="EO91" s="183"/>
      <c r="EP91" s="183"/>
      <c r="EQ91" s="183"/>
      <c r="ER91" s="183"/>
      <c r="ES91" s="183"/>
      <c r="ET91" s="183"/>
      <c r="EU91" s="183"/>
      <c r="EV91" s="183"/>
      <c r="EW91" s="183"/>
      <c r="EX91" s="183"/>
      <c r="EY91" s="183"/>
      <c r="EZ91" s="183"/>
      <c r="FA91" s="183"/>
      <c r="FB91" s="183"/>
      <c r="FC91" s="183"/>
      <c r="FD91" s="183"/>
      <c r="FE91" s="183"/>
      <c r="FF91" s="183"/>
      <c r="FG91" s="183"/>
      <c r="FH91" s="183"/>
      <c r="FI91" s="183"/>
      <c r="FJ91" s="183"/>
      <c r="FK91" s="183"/>
      <c r="FL91" s="183"/>
      <c r="FM91" s="183"/>
      <c r="FN91" s="183"/>
      <c r="FO91" s="183"/>
      <c r="FP91" s="183"/>
      <c r="FQ91" s="183"/>
      <c r="FR91" s="183"/>
      <c r="FS91" s="183"/>
      <c r="FT91" s="183"/>
      <c r="FU91" s="183"/>
      <c r="FV91" s="183"/>
      <c r="FW91" s="183"/>
      <c r="FX91" s="183"/>
      <c r="FY91" s="183"/>
      <c r="FZ91" s="183"/>
      <c r="GA91" s="183"/>
      <c r="GB91" s="183"/>
      <c r="GC91" s="183"/>
      <c r="GD91" s="183"/>
      <c r="GE91" s="183"/>
      <c r="GF91" s="183"/>
      <c r="GG91" s="183"/>
      <c r="GH91" s="183"/>
      <c r="GI91" s="183"/>
      <c r="GJ91" s="183"/>
      <c r="GK91" s="183"/>
      <c r="GL91" s="183"/>
    </row>
    <row r="92" spans="1:194" s="175" customFormat="1" ht="60" customHeight="1" x14ac:dyDescent="0.3">
      <c r="A92" s="364"/>
      <c r="B92" s="365"/>
      <c r="C92" s="392" t="s">
        <v>27</v>
      </c>
      <c r="D92" s="641"/>
      <c r="E92" s="641"/>
      <c r="F92" s="641"/>
      <c r="G92" s="641"/>
      <c r="H92" s="641"/>
      <c r="I92" s="641"/>
      <c r="J92" s="642"/>
      <c r="K92" s="642"/>
      <c r="L92" s="622">
        <f>J92*K92*M92</f>
        <v>0</v>
      </c>
      <c r="M92" s="623"/>
      <c r="N92" s="620">
        <f>IFERROR(AL92,"")</f>
        <v>1.0765546639999999</v>
      </c>
      <c r="O92" s="621">
        <f>IFERROR(N92*M92,"")</f>
        <v>0</v>
      </c>
      <c r="P92" s="192"/>
      <c r="Q92" s="193">
        <f>Q93+BF92+($R$350*Q93)</f>
        <v>0</v>
      </c>
      <c r="R92" s="193">
        <f>IFERROR(R93+($R$348*R93),"")</f>
        <v>0</v>
      </c>
      <c r="S92" s="194">
        <f>+IF(R94="SI",((W96*'BD GN'!$AB$2)+S93)*1,COTIZACIÓN!S93*1)+(P93*S93)</f>
        <v>0</v>
      </c>
      <c r="T92" s="195">
        <f>IFERROR(R92*IF(K92&lt;=3,$T$13,15%),"")</f>
        <v>0</v>
      </c>
      <c r="U92" s="196">
        <f>BH92+BG92</f>
        <v>0</v>
      </c>
      <c r="V92" s="197" t="str">
        <f>IFERROR(BN92,0)</f>
        <v/>
      </c>
      <c r="W92" s="198" t="str">
        <f>IFERROR(IF(X94="SI",W95*J92*K92,IF(BE92=3,BE94,IF(BE92=4,BE95,IF(BE92=5,BE96,IF(BE92&gt;5,BE96+(BE97*(BE92-5)),"")))))*0,"")</f>
        <v/>
      </c>
      <c r="X92" s="198" t="str">
        <f>IFERROR(IF(X93="NO",(VLOOKUP(D92,'BD M.O'!C:E,3,FALSE))*W96,((VLOOKUP(D92,'BD M.O'!C:E,3,FALSE))+7500)*W96),"")</f>
        <v/>
      </c>
      <c r="Y92" s="198">
        <f>IFERROR($Y$13*AK92,"")</f>
        <v>4.2084457416288003E-2</v>
      </c>
      <c r="Z92" s="332" t="str">
        <f>IFERROR(($Z$13*AK92)+X92,"")</f>
        <v/>
      </c>
      <c r="AA92" s="199" t="str">
        <f>IFERROR(Y92+Z92,"")</f>
        <v/>
      </c>
      <c r="AB92" s="200">
        <f>IFERROR((SUM(Q92:X92)-T92+T94)*$AB$13,"")</f>
        <v>0</v>
      </c>
      <c r="AC92" s="201">
        <f>IFERROR(((SUM(Q92:V92,IF(X97&gt;AA92,AVERAGE(X97,AA92),AA92))-T92+T94))*$AB$13,"")</f>
        <v>0</v>
      </c>
      <c r="AD92" s="202" t="str">
        <f>IFERROR((J92*K92*$BV$14),"")</f>
        <v/>
      </c>
      <c r="AE92" s="202">
        <f>IFERROR($AE$13*AK92,"")</f>
        <v>6.4010592649919984E-2</v>
      </c>
      <c r="AF92" s="203" t="str">
        <f>IFERROR(($CI$11+$CI$13)*W96,"")</f>
        <v/>
      </c>
      <c r="AG92" s="202">
        <f>IFERROR((SUM(Q92:X92,AB92,AD92,AF92)-T92+T94)*$AG$13,"")</f>
        <v>0</v>
      </c>
      <c r="AH92" s="202">
        <f>IFERROR((SUM(Q92:V92,(IF(X97&gt;AA92,AVERAGE(X97,AA92),AA92)),AC92,AE92,AF92)-T92+T94)*$AG$13,"")</f>
        <v>3.2005296324959992E-2</v>
      </c>
      <c r="AI92" s="204">
        <f>IFERROR(AL92*$AI$13,"")</f>
        <v>2.1531093279999997E-2</v>
      </c>
      <c r="AJ92" s="204">
        <f>IFERROR($AJ$13*AL92,"")</f>
        <v>6.007175025119999E-3</v>
      </c>
      <c r="AK92" s="205">
        <f>IFERROR(SUM(Q92:X92,AB92,AD92,AG92,AF92)/(1-$AI$13)+(1-$AJ$13)-T92+T94,"")</f>
        <v>0.99441999999999997</v>
      </c>
      <c r="AL92" s="205">
        <f>IFERROR(SUM(Q92:V92,AC92,(IF(AD92&gt;AE92,AVERAGE(AD92,AE92),AE92)),AF92,,AH92,(IF(SUM(X97)&gt;AA92,AVERAGE(AA92,X97),AA92)))/(1-$AJ$13)+(1-$AI$13)-T92+T94,"")</f>
        <v>1.0765546639999999</v>
      </c>
      <c r="AM92" s="206">
        <f>$M$15*Q92</f>
        <v>0</v>
      </c>
      <c r="AN92" s="207">
        <f>$M$15*R92</f>
        <v>0</v>
      </c>
      <c r="AO92" s="208">
        <f>$M$15*S92</f>
        <v>0</v>
      </c>
      <c r="AP92" s="207">
        <f>$M$15*T92</f>
        <v>0</v>
      </c>
      <c r="AQ92" s="207" t="e">
        <f>$M$15*#REF!</f>
        <v>#REF!</v>
      </c>
      <c r="AR92" s="207">
        <f>$M$15*U92</f>
        <v>0</v>
      </c>
      <c r="AS92" s="208" t="e">
        <f>$M$15*V92</f>
        <v>#VALUE!</v>
      </c>
      <c r="AT92" s="207" t="e">
        <f>$M$15*W92</f>
        <v>#VALUE!</v>
      </c>
      <c r="AU92" s="208" t="e">
        <f>$M$15*X92</f>
        <v>#VALUE!</v>
      </c>
      <c r="AV92" s="207">
        <f>$M$15*AB92</f>
        <v>0</v>
      </c>
      <c r="AW92" s="208">
        <f>$M$15*AE92</f>
        <v>0</v>
      </c>
      <c r="AX92" s="207">
        <f>$M$15*AG92</f>
        <v>0</v>
      </c>
      <c r="AY92" s="209">
        <f>$M$15*AI92</f>
        <v>0</v>
      </c>
      <c r="AZ92" s="207">
        <f>$M$15*AK92</f>
        <v>0</v>
      </c>
      <c r="BA92" s="210"/>
      <c r="BB92" s="175" t="s">
        <v>23</v>
      </c>
      <c r="BC92" s="211" t="s">
        <v>113</v>
      </c>
      <c r="BD92" s="210"/>
      <c r="BE92" s="212"/>
      <c r="BF92" s="213">
        <f>IF(BH93="NO",((2*J92)+(2*K92))*'BD GN'!$AU$3,((3*J92)+(2*K92))*'BD GN'!$AU$3)</f>
        <v>0</v>
      </c>
      <c r="BG92" s="213">
        <f>'BD GN'!$BB$3*J92*K92</f>
        <v>0</v>
      </c>
      <c r="BH92" s="214">
        <f>((J92*2*BE92)+(K92*2*BE92))*'BD GN'!$AN$4</f>
        <v>0</v>
      </c>
      <c r="BI92" s="210"/>
      <c r="BJ92" s="212"/>
      <c r="BK92" s="212"/>
      <c r="BL92" s="215">
        <f>J92*K92*2.5*BJ92</f>
        <v>0</v>
      </c>
      <c r="BM92" s="215">
        <f>BK92+BL92</f>
        <v>0</v>
      </c>
      <c r="BN92" s="216" t="str">
        <f>IFERROR((VLOOKUP($C$12,'BD GN'!BD:BM,10,FALSE)*BM92)+$BR$338,"")</f>
        <v/>
      </c>
      <c r="BO92" s="210"/>
      <c r="BW92" s="210"/>
      <c r="CD92" s="184"/>
      <c r="CF92" s="185"/>
      <c r="CI92" s="184"/>
      <c r="CJ92" s="210"/>
      <c r="CK92" s="565"/>
      <c r="CL92" s="256"/>
      <c r="CM92" s="596"/>
      <c r="CN92" s="626"/>
      <c r="CO92" s="629"/>
      <c r="CP92" s="629"/>
      <c r="CQ92" s="629"/>
      <c r="CR92" s="629"/>
      <c r="CS92" s="629"/>
      <c r="CT92" s="632"/>
      <c r="CU92" s="565"/>
      <c r="CV92" s="560">
        <f>IFERROR(N92*CU92,"")</f>
        <v>0</v>
      </c>
      <c r="CW92" s="565"/>
      <c r="CX92" s="560">
        <f>IFERROR(P92*CW92,"")</f>
        <v>0</v>
      </c>
      <c r="CY92" s="565"/>
      <c r="CZ92" s="560">
        <f>IFERROR(R92*CY92,"")</f>
        <v>0</v>
      </c>
      <c r="DA92" s="565">
        <f t="shared" ref="DA92" si="276">CU92+CW92+CY92</f>
        <v>0</v>
      </c>
      <c r="DB92" s="560">
        <f t="shared" ref="DB92" si="277">IFERROR(CV92+CX92+CZ92,"")</f>
        <v>0</v>
      </c>
      <c r="DC92" s="565">
        <f>M92-(CU92+CW92+CY92)</f>
        <v>0</v>
      </c>
      <c r="DD92" s="560">
        <f>IFERROR(O92-(CV92+CX92+CZ92),"")</f>
        <v>0</v>
      </c>
      <c r="DG92" s="575"/>
      <c r="DH92" s="575"/>
      <c r="DI92" s="569">
        <f t="shared" ref="DI92" si="278">IFERROR(IF(DG92&gt;0,(((N92)/(1+10%+19%*5%)+((N92)/(1+10%+19%*5%))*10%)*DH92),0),0)</f>
        <v>0</v>
      </c>
      <c r="DJ92" s="569">
        <f t="shared" ref="DJ92" si="279">IFERROR(IF(DG92&gt;0,(N92*DH92),0),0)</f>
        <v>0</v>
      </c>
      <c r="DK92" s="569">
        <f t="shared" ref="DK92" si="280">IF(DG92&gt;0,((R92+T92)*DH92),0)</f>
        <v>0</v>
      </c>
      <c r="DL92" s="569">
        <f t="shared" ref="DL92" si="281">IF(DG92&gt;0,(Q92*DH92),0)</f>
        <v>0</v>
      </c>
      <c r="DM92" s="572">
        <f t="shared" ref="DM92" si="282">IF(DG92&gt;0,(S92*DH92),0)</f>
        <v>0</v>
      </c>
      <c r="DN92" s="569">
        <f t="shared" ref="DN92" si="283">IF(DG92&gt;0,(BN92*DH92),0)</f>
        <v>0</v>
      </c>
      <c r="DO92" s="569">
        <f t="shared" ref="DO92" si="284">IF(DG92&gt;0,(AF92*DH92),0)</f>
        <v>0</v>
      </c>
      <c r="DP92" s="569">
        <f>IF(DG92&gt;0,((DI92)*('BD P&amp;G'!$E$16+'BD P&amp;G'!$E$17+'BD P&amp;G'!$E$18+'BD P&amp;G'!$E$19+'BD P&amp;G'!$E$20+'BD P&amp;G'!$E$21+'BD P&amp;G'!$E$22+'BD P&amp;G'!$E$23)*DH92),0)</f>
        <v>0</v>
      </c>
      <c r="DQ92" s="569">
        <f>IFERROR(IF(DG92&gt;0,((DI92*'BD P&amp;G'!$E$7)+(DI92*'BD P&amp;G'!$E$9)+AI92),0),0)</f>
        <v>0</v>
      </c>
      <c r="DR92" s="569">
        <f t="shared" ref="DR92" si="285">IFERROR(IF(DG92&gt;0,((DI92*1%)),0),0)</f>
        <v>0</v>
      </c>
      <c r="DS92" s="569">
        <f>IFERROR(IF(DG92&gt;0,(((DI92*'BD P&amp;G'!$E$32+DI92*'BD P&amp;G'!$E$33+DI92*'BD P&amp;G'!$E$35+DI92*'BD P&amp;G'!$E$36+DI92*'BD P&amp;G'!$E$37))),0),0)</f>
        <v>0</v>
      </c>
      <c r="DT92" s="569">
        <f t="shared" ref="DT92" si="286">IF(DG92&gt;0,(Y92*DH92),0)</f>
        <v>0</v>
      </c>
      <c r="DU92" s="569">
        <f t="shared" ref="DU92" si="287">IF(DG92&gt;0,(Z92*DH92),0)</f>
        <v>0</v>
      </c>
      <c r="DV92" s="575">
        <f t="shared" ref="DV92" si="288">IF(DG92&gt;0,(Y96*DH92),0)</f>
        <v>0</v>
      </c>
      <c r="DW92" s="575">
        <f t="shared" ref="DW92" si="289">IF(DG92&gt;0,(Z96*DH92),0)</f>
        <v>0</v>
      </c>
      <c r="DX92" s="569">
        <f t="shared" ref="DX92" si="290">IF(DV92&gt;0,DJ92,0)</f>
        <v>0</v>
      </c>
      <c r="DY92" s="569">
        <f t="shared" ref="DY92" si="291">IF(DW92&gt;0,DJ92,0)</f>
        <v>0</v>
      </c>
    </row>
    <row r="93" spans="1:194" s="175" customFormat="1" ht="60" customHeight="1" x14ac:dyDescent="0.25">
      <c r="A93" s="366"/>
      <c r="B93" s="367"/>
      <c r="C93" s="393" t="s">
        <v>28</v>
      </c>
      <c r="D93" s="598"/>
      <c r="E93" s="598"/>
      <c r="F93" s="598"/>
      <c r="G93" s="598"/>
      <c r="H93" s="598"/>
      <c r="I93" s="598"/>
      <c r="J93" s="604"/>
      <c r="K93" s="604"/>
      <c r="L93" s="607"/>
      <c r="M93" s="559"/>
      <c r="N93" s="610"/>
      <c r="O93" s="613"/>
      <c r="P93" s="192"/>
      <c r="Q93" s="217"/>
      <c r="R93" s="217"/>
      <c r="S93" s="218"/>
      <c r="T93" s="219">
        <f>IFERROR(T92/$R$353,"")</f>
        <v>0</v>
      </c>
      <c r="U93" s="206"/>
      <c r="V93" s="220"/>
      <c r="W93" s="221" t="s">
        <v>239</v>
      </c>
      <c r="X93" s="222" t="s">
        <v>204</v>
      </c>
      <c r="Y93" s="223"/>
      <c r="Z93" s="224"/>
      <c r="AA93" s="225"/>
      <c r="AB93" s="226"/>
      <c r="AC93" s="206"/>
      <c r="AD93" s="206"/>
      <c r="AE93" s="206"/>
      <c r="AF93" s="227"/>
      <c r="AG93" s="206"/>
      <c r="AH93" s="206"/>
      <c r="AI93" s="206"/>
      <c r="AJ93" s="206"/>
      <c r="AK93" s="227"/>
      <c r="AL93" s="210"/>
      <c r="AM93" s="206"/>
      <c r="AN93" s="206"/>
      <c r="AO93" s="228"/>
      <c r="AP93" s="229"/>
      <c r="AQ93" s="206"/>
      <c r="AR93" s="206"/>
      <c r="AS93" s="228"/>
      <c r="AT93" s="229"/>
      <c r="AU93" s="228"/>
      <c r="AV93" s="229"/>
      <c r="AW93" s="228"/>
      <c r="AX93" s="229"/>
      <c r="AY93" s="206"/>
      <c r="AZ93" s="229"/>
      <c r="BA93" s="210"/>
      <c r="BB93" s="175" t="s">
        <v>24</v>
      </c>
      <c r="BC93" s="175" t="s">
        <v>114</v>
      </c>
      <c r="BD93" s="210"/>
      <c r="BE93" s="176" t="s">
        <v>206</v>
      </c>
      <c r="BF93" s="230" t="s">
        <v>204</v>
      </c>
      <c r="BG93" s="176" t="s">
        <v>290</v>
      </c>
      <c r="BH93" s="231" t="s">
        <v>204</v>
      </c>
      <c r="BI93" s="210"/>
      <c r="BN93" s="232"/>
      <c r="BO93" s="210"/>
      <c r="BV93" s="184"/>
      <c r="BW93" s="210"/>
      <c r="CD93" s="184"/>
      <c r="CF93" s="185"/>
      <c r="CI93" s="184"/>
      <c r="CJ93" s="210"/>
      <c r="CK93" s="563"/>
      <c r="CM93" s="559"/>
      <c r="CN93" s="627"/>
      <c r="CO93" s="630"/>
      <c r="CP93" s="630"/>
      <c r="CQ93" s="630"/>
      <c r="CR93" s="630"/>
      <c r="CS93" s="630"/>
      <c r="CT93" s="633"/>
      <c r="CU93" s="563"/>
      <c r="CV93" s="561"/>
      <c r="CW93" s="563"/>
      <c r="CX93" s="561"/>
      <c r="CY93" s="563"/>
      <c r="CZ93" s="561"/>
      <c r="DA93" s="563"/>
      <c r="DB93" s="561"/>
      <c r="DC93" s="563"/>
      <c r="DD93" s="561"/>
      <c r="DG93" s="576"/>
      <c r="DH93" s="576"/>
      <c r="DI93" s="570"/>
      <c r="DJ93" s="570"/>
      <c r="DK93" s="570"/>
      <c r="DL93" s="570"/>
      <c r="DM93" s="573"/>
      <c r="DN93" s="570"/>
      <c r="DO93" s="570"/>
      <c r="DP93" s="570"/>
      <c r="DQ93" s="570"/>
      <c r="DR93" s="570"/>
      <c r="DS93" s="570"/>
      <c r="DT93" s="570"/>
      <c r="DU93" s="570"/>
      <c r="DV93" s="576"/>
      <c r="DW93" s="576"/>
      <c r="DX93" s="570"/>
      <c r="DY93" s="570"/>
    </row>
    <row r="94" spans="1:194" s="175" customFormat="1" ht="60" customHeight="1" x14ac:dyDescent="0.3">
      <c r="A94" s="366"/>
      <c r="B94" s="367"/>
      <c r="C94" s="393" t="s">
        <v>30</v>
      </c>
      <c r="D94" s="599"/>
      <c r="E94" s="599"/>
      <c r="F94" s="599"/>
      <c r="G94" s="599"/>
      <c r="H94" s="599"/>
      <c r="I94" s="599"/>
      <c r="J94" s="604"/>
      <c r="K94" s="604"/>
      <c r="L94" s="607"/>
      <c r="M94" s="559"/>
      <c r="N94" s="610"/>
      <c r="O94" s="613"/>
      <c r="P94" s="192"/>
      <c r="Q94" s="176" t="s">
        <v>205</v>
      </c>
      <c r="R94" s="233" t="s">
        <v>204</v>
      </c>
      <c r="S94" s="234"/>
      <c r="T94" s="235">
        <f>IFERROR(($R$353-8000)*T93,"")</f>
        <v>0</v>
      </c>
      <c r="U94" s="206"/>
      <c r="V94" s="220"/>
      <c r="W94" s="221" t="s">
        <v>258</v>
      </c>
      <c r="X94" s="222" t="s">
        <v>204</v>
      </c>
      <c r="Y94" s="236"/>
      <c r="Z94" s="237"/>
      <c r="AA94" s="225"/>
      <c r="AB94" s="226"/>
      <c r="AC94" s="206"/>
      <c r="AD94" s="206"/>
      <c r="AE94" s="206"/>
      <c r="AF94" s="227"/>
      <c r="AG94" s="206"/>
      <c r="AH94" s="206"/>
      <c r="AI94" s="206"/>
      <c r="AJ94" s="206"/>
      <c r="AK94" s="227"/>
      <c r="AL94" s="238"/>
      <c r="AM94" s="206"/>
      <c r="AN94" s="206"/>
      <c r="AO94" s="228"/>
      <c r="AP94" s="229"/>
      <c r="AQ94" s="206"/>
      <c r="AR94" s="206"/>
      <c r="AS94" s="228"/>
      <c r="AT94" s="229"/>
      <c r="AU94" s="228"/>
      <c r="AV94" s="229"/>
      <c r="AW94" s="228"/>
      <c r="AX94" s="229"/>
      <c r="AY94" s="206"/>
      <c r="AZ94" s="229"/>
      <c r="BA94" s="210"/>
      <c r="BB94" s="175" t="s">
        <v>26</v>
      </c>
      <c r="BC94" s="211" t="s">
        <v>115</v>
      </c>
      <c r="BD94" s="210"/>
      <c r="BE94" s="177" t="str">
        <f>IFERROR(VLOOKUP(D92,'BD M.O'!C:H,4,FALSE),"")</f>
        <v/>
      </c>
      <c r="BF94" s="177" t="s">
        <v>259</v>
      </c>
      <c r="BI94" s="210"/>
      <c r="BO94" s="210"/>
      <c r="BV94" s="184"/>
      <c r="BW94" s="210"/>
      <c r="CD94" s="184"/>
      <c r="CF94" s="185"/>
      <c r="CI94" s="184"/>
      <c r="CJ94" s="210"/>
      <c r="CK94" s="563"/>
      <c r="CM94" s="559"/>
      <c r="CN94" s="627"/>
      <c r="CO94" s="630"/>
      <c r="CP94" s="630"/>
      <c r="CQ94" s="630"/>
      <c r="CR94" s="630"/>
      <c r="CS94" s="630"/>
      <c r="CT94" s="633"/>
      <c r="CU94" s="563"/>
      <c r="CV94" s="561"/>
      <c r="CW94" s="563"/>
      <c r="CX94" s="561"/>
      <c r="CY94" s="563"/>
      <c r="CZ94" s="561"/>
      <c r="DA94" s="563"/>
      <c r="DB94" s="561"/>
      <c r="DC94" s="563"/>
      <c r="DD94" s="561"/>
      <c r="DG94" s="577"/>
      <c r="DH94" s="577"/>
      <c r="DI94" s="571"/>
      <c r="DJ94" s="571"/>
      <c r="DK94" s="571"/>
      <c r="DL94" s="571"/>
      <c r="DM94" s="574"/>
      <c r="DN94" s="571"/>
      <c r="DO94" s="571"/>
      <c r="DP94" s="571"/>
      <c r="DQ94" s="571"/>
      <c r="DR94" s="571"/>
      <c r="DS94" s="571"/>
      <c r="DT94" s="571"/>
      <c r="DU94" s="571"/>
      <c r="DV94" s="577"/>
      <c r="DW94" s="577"/>
      <c r="DX94" s="571"/>
      <c r="DY94" s="571"/>
    </row>
    <row r="95" spans="1:194" s="175" customFormat="1" ht="60" customHeight="1" x14ac:dyDescent="0.25">
      <c r="A95" s="366"/>
      <c r="B95" s="367"/>
      <c r="C95" s="395" t="s">
        <v>180</v>
      </c>
      <c r="D95" s="599" t="s">
        <v>31</v>
      </c>
      <c r="E95" s="599"/>
      <c r="F95" s="394" t="s">
        <v>9</v>
      </c>
      <c r="G95" s="599" t="s">
        <v>33</v>
      </c>
      <c r="H95" s="599"/>
      <c r="I95" s="394" t="str">
        <f>+IF($BG$9="SI","","X")</f>
        <v>X</v>
      </c>
      <c r="J95" s="604"/>
      <c r="K95" s="604"/>
      <c r="L95" s="607"/>
      <c r="M95" s="559"/>
      <c r="N95" s="610"/>
      <c r="O95" s="613"/>
      <c r="P95" s="192"/>
      <c r="Q95" s="239"/>
      <c r="R95" s="221" t="s">
        <v>209</v>
      </c>
      <c r="S95" s="234" t="str">
        <f>IF(S93="","",S93/(J92*K92))</f>
        <v/>
      </c>
      <c r="T95" s="226"/>
      <c r="U95" s="206"/>
      <c r="V95" s="220"/>
      <c r="W95" s="239" t="str">
        <f>IFERROR(IF(X94="SI",VLOOKUP(D92,'BD M.O'!C:F,4,FALSE),""),"")</f>
        <v/>
      </c>
      <c r="X95" s="221" t="s">
        <v>258</v>
      </c>
      <c r="Y95" s="221" t="s">
        <v>507</v>
      </c>
      <c r="Z95" s="221" t="s">
        <v>508</v>
      </c>
      <c r="AA95" s="225"/>
      <c r="AB95" s="226"/>
      <c r="AC95" s="206"/>
      <c r="AD95" s="206"/>
      <c r="AE95" s="206"/>
      <c r="AF95" s="227"/>
      <c r="AG95" s="206"/>
      <c r="AH95" s="206"/>
      <c r="AI95" s="206"/>
      <c r="AJ95" s="206"/>
      <c r="AK95" s="227"/>
      <c r="AL95" s="240"/>
      <c r="AM95" s="206"/>
      <c r="AN95" s="206"/>
      <c r="AO95" s="228"/>
      <c r="AP95" s="229"/>
      <c r="AQ95" s="206"/>
      <c r="AR95" s="206"/>
      <c r="AS95" s="228"/>
      <c r="AT95" s="229"/>
      <c r="AU95" s="228"/>
      <c r="AV95" s="229"/>
      <c r="AW95" s="228"/>
      <c r="AX95" s="229"/>
      <c r="AY95" s="206"/>
      <c r="AZ95" s="229"/>
      <c r="BA95" s="210"/>
      <c r="BC95" s="175" t="s">
        <v>116</v>
      </c>
      <c r="BD95" s="210"/>
      <c r="BE95" s="177" t="str">
        <f>IFERROR(VLOOKUP(COTIZACIÓN!D92,'BD M.O'!C:I,5,FALSE),"")</f>
        <v/>
      </c>
      <c r="BF95" s="177" t="s">
        <v>260</v>
      </c>
      <c r="BI95" s="210"/>
      <c r="BO95" s="210"/>
      <c r="BP95" s="183"/>
      <c r="BQ95" s="183"/>
      <c r="BR95" s="183"/>
      <c r="BS95" s="183"/>
      <c r="BT95" s="183"/>
      <c r="BU95" s="183"/>
      <c r="BV95" s="182"/>
      <c r="BW95" s="210"/>
      <c r="BX95" s="183"/>
      <c r="BY95" s="183"/>
      <c r="BZ95" s="183"/>
      <c r="CA95" s="183"/>
      <c r="CB95" s="183"/>
      <c r="CC95" s="183"/>
      <c r="CD95" s="182"/>
      <c r="CE95" s="183"/>
      <c r="CF95" s="241"/>
      <c r="CG95" s="183"/>
      <c r="CH95" s="183"/>
      <c r="CI95" s="182"/>
      <c r="CJ95" s="210"/>
      <c r="CK95" s="563"/>
      <c r="CM95" s="559"/>
      <c r="CN95" s="627"/>
      <c r="CO95" s="630"/>
      <c r="CP95" s="630"/>
      <c r="CQ95" s="630"/>
      <c r="CR95" s="630"/>
      <c r="CS95" s="630"/>
      <c r="CT95" s="633"/>
      <c r="CU95" s="563"/>
      <c r="CV95" s="561"/>
      <c r="CW95" s="563"/>
      <c r="CX95" s="561"/>
      <c r="CY95" s="563"/>
      <c r="CZ95" s="561"/>
      <c r="DA95" s="563"/>
      <c r="DB95" s="561"/>
      <c r="DC95" s="563"/>
      <c r="DD95" s="561"/>
      <c r="DG95" s="575"/>
      <c r="DH95" s="575"/>
      <c r="DI95" s="569">
        <f t="shared" ref="DI95" si="292">IFERROR(IF(DG95&gt;0,(((N92)/(1+10%+19%*5%)+((N92)/(1+10%+19%*5%))*10%)*DH95),0),0)</f>
        <v>0</v>
      </c>
      <c r="DJ95" s="569">
        <f t="shared" ref="DJ95" si="293">IFERROR(IF(DG95&gt;0,(N92*DH95),0),0)</f>
        <v>0</v>
      </c>
      <c r="DK95" s="569">
        <f t="shared" ref="DK95" si="294">IF(DG95&gt;0,((R92+T92)*DH95),0)</f>
        <v>0</v>
      </c>
      <c r="DL95" s="569">
        <f t="shared" ref="DL95" si="295">IF(DG95&gt;0,(Q92*DH95),0)</f>
        <v>0</v>
      </c>
      <c r="DM95" s="572">
        <f t="shared" ref="DM95" si="296">IF(DG95&gt;0,(S92*DH95),0)</f>
        <v>0</v>
      </c>
      <c r="DN95" s="569">
        <f t="shared" ref="DN95" si="297">IF(DG95&gt;0,(BN92*DH95),0)</f>
        <v>0</v>
      </c>
      <c r="DO95" s="569">
        <f t="shared" ref="DO95" si="298">IF(DG95&gt;0,(AF92*DH95),0)</f>
        <v>0</v>
      </c>
      <c r="DP95" s="569">
        <f>IF(DG95&gt;0,((DI95)*('BD P&amp;G'!$E$16+'BD P&amp;G'!$E$17+'BD P&amp;G'!$E$18+'BD P&amp;G'!$E$19+'BD P&amp;G'!$E$20+'BD P&amp;G'!$E$21+'BD P&amp;G'!$E$22+'BD P&amp;G'!$E$23)*DH95),0)</f>
        <v>0</v>
      </c>
      <c r="DQ95" s="569">
        <f>IFERROR(IF(DG95&gt;0,((DI95*'BD P&amp;G'!$E$7)+(DI95*'BD P&amp;G'!$E$9)+AI92),0),0)</f>
        <v>0</v>
      </c>
      <c r="DR95" s="569">
        <f t="shared" ref="DR95" si="299">IFERROR(IF(DG95&gt;0,((DI95*1%)),0),0)</f>
        <v>0</v>
      </c>
      <c r="DS95" s="569">
        <f>IFERROR(IF(DG95&gt;0,(((DI95*'BD P&amp;G'!$E$32+DI95*'BD P&amp;G'!$E$33+DI95*'BD P&amp;G'!$E$35+DI95*'BD P&amp;G'!$E$36+DI95*'BD P&amp;G'!$E$37))),0),0)</f>
        <v>0</v>
      </c>
      <c r="DT95" s="569">
        <f t="shared" ref="DT95" si="300">IF(DG95&gt;0,(Y92*DH95),0)</f>
        <v>0</v>
      </c>
      <c r="DU95" s="569">
        <f t="shared" ref="DU95" si="301">IF(DG95&gt;0,(Z92*DH95),0)</f>
        <v>0</v>
      </c>
      <c r="DV95" s="575">
        <f t="shared" ref="DV95" si="302">IF(DG95&gt;0,(Y96*DH95),0)</f>
        <v>0</v>
      </c>
      <c r="DW95" s="575">
        <f t="shared" ref="DW95" si="303">IF(DG95&gt;0,(Z96*DH95),0)</f>
        <v>0</v>
      </c>
      <c r="DX95" s="569">
        <f t="shared" ref="DX95" si="304">IF(DV95&gt;0,DJ95,0)</f>
        <v>0</v>
      </c>
      <c r="DY95" s="569">
        <f t="shared" ref="DY95" si="305">IF(DW95&gt;0,DJ95,0)</f>
        <v>0</v>
      </c>
    </row>
    <row r="96" spans="1:194" s="175" customFormat="1" ht="60" customHeight="1" x14ac:dyDescent="0.3">
      <c r="A96" s="366"/>
      <c r="B96" s="367"/>
      <c r="C96" s="393" t="s">
        <v>35</v>
      </c>
      <c r="D96" s="599" t="str">
        <f>IFERROR(VLOOKUP(D92,'BD GN'!C:E,3,),"")</f>
        <v/>
      </c>
      <c r="E96" s="599"/>
      <c r="F96" s="599"/>
      <c r="G96" s="599"/>
      <c r="H96" s="599"/>
      <c r="I96" s="599"/>
      <c r="J96" s="604"/>
      <c r="K96" s="604"/>
      <c r="L96" s="607"/>
      <c r="M96" s="559"/>
      <c r="N96" s="610"/>
      <c r="O96" s="613"/>
      <c r="P96" s="192"/>
      <c r="Q96" s="239"/>
      <c r="R96" s="221" t="s">
        <v>210</v>
      </c>
      <c r="S96" s="234" t="str">
        <f>IFERROR(IF(N92="","",N92/W96),"")</f>
        <v/>
      </c>
      <c r="T96" s="226"/>
      <c r="U96" s="206"/>
      <c r="V96" s="220"/>
      <c r="W96" s="242" t="str">
        <f>+IF(J92*K92&gt;=1,J92*K92,IF(AND(J92*K92&gt;0,J92*K92&lt;1),1,""))</f>
        <v/>
      </c>
      <c r="X96" s="221" t="s">
        <v>298</v>
      </c>
      <c r="Y96" s="461">
        <f>IFERROR(IF(D92='BD GN'!$C$25,COTIZACIÓN!W96,IF(D92='BD GN'!$C$26,COTIZACIÓN!W96,IF(D92='BD GN'!$C$27,COTIZACIÓN!W96,IF(COTIZACIÓN!D92='BD GN'!$C$28,COTIZACIÓN!W96,IF(COTIZACIÓN!D92='BD GN'!$C$29,COTIZACIÓN!W96,IF(COTIZACIÓN!D92='BD GN'!$C$35,COTIZACIÓN!W96,IF(COTIZACIÓN!D92='BD GN'!$C$36,COTIZACIÓN!W96,IF(COTIZACIÓN!D92='BD GN'!$C$37,COTIZACIÓN!W96,IF(COTIZACIÓN!D92='BD GN'!$C$38,COTIZACIÓN!W96,IF(COTIZACIÓN!D92='BD GN'!$C$39,COTIZACIÓN!W96,IF(COTIZACIÓN!D92='BD GN'!$C$40,COTIZACIÓN!W96,IF(COTIZACIÓN!D92='BD GN'!$C$41,COTIZACIÓN!W96,IF(COTIZACIÓN!D92='BD GN'!$C$42,COTIZACIÓN!W96,IF(COTIZACIÓN!D92='BD GN'!$C$49,COTIZACIÓN!W96,IF(COTIZACIÓN!D92='BD GN'!$C$50,COTIZACIÓN!W96,IF(COTIZACIÓN!D92='BD GN'!$C$51,COTIZACIÓN!W96,IF(COTIZACIÓN!D92='BD GN'!$C$67,COTIZACIÓN!W96,0))))))))))))))))),0)</f>
        <v>0</v>
      </c>
      <c r="Z96" s="461">
        <f>IFERROR(W96-Y96,0)</f>
        <v>0</v>
      </c>
      <c r="AA96" s="225"/>
      <c r="AB96" s="226"/>
      <c r="AC96" s="206"/>
      <c r="AD96" s="206"/>
      <c r="AE96" s="206"/>
      <c r="AF96" s="227"/>
      <c r="AG96" s="206"/>
      <c r="AH96" s="206"/>
      <c r="AI96" s="206"/>
      <c r="AJ96" s="206"/>
      <c r="AK96" s="227"/>
      <c r="AL96" s="210"/>
      <c r="AM96" s="206"/>
      <c r="AN96" s="206"/>
      <c r="AO96" s="228"/>
      <c r="AP96" s="229"/>
      <c r="AQ96" s="206"/>
      <c r="AR96" s="206"/>
      <c r="AS96" s="228"/>
      <c r="AT96" s="229"/>
      <c r="AU96" s="228"/>
      <c r="AV96" s="229"/>
      <c r="AW96" s="228"/>
      <c r="AX96" s="229"/>
      <c r="AY96" s="206"/>
      <c r="AZ96" s="229"/>
      <c r="BA96" s="210"/>
      <c r="BC96" s="211" t="s">
        <v>117</v>
      </c>
      <c r="BD96" s="210"/>
      <c r="BE96" s="177" t="str">
        <f>IFERROR(VLOOKUP(D92,'BD M.O'!C:I,6,FALSE),"")</f>
        <v/>
      </c>
      <c r="BF96" s="177" t="s">
        <v>261</v>
      </c>
      <c r="BI96" s="210"/>
      <c r="BO96" s="210"/>
      <c r="BP96" s="183"/>
      <c r="BQ96" s="183"/>
      <c r="BR96" s="183"/>
      <c r="BW96" s="210"/>
      <c r="CD96" s="184"/>
      <c r="CF96" s="185"/>
      <c r="CI96" s="184"/>
      <c r="CJ96" s="210"/>
      <c r="CK96" s="563"/>
      <c r="CM96" s="559"/>
      <c r="CN96" s="627"/>
      <c r="CO96" s="630"/>
      <c r="CP96" s="630"/>
      <c r="CQ96" s="630"/>
      <c r="CR96" s="630"/>
      <c r="CS96" s="630"/>
      <c r="CT96" s="633"/>
      <c r="CU96" s="563"/>
      <c r="CV96" s="561"/>
      <c r="CW96" s="563"/>
      <c r="CX96" s="561"/>
      <c r="CY96" s="563"/>
      <c r="CZ96" s="561"/>
      <c r="DA96" s="563"/>
      <c r="DB96" s="561"/>
      <c r="DC96" s="563"/>
      <c r="DD96" s="561"/>
      <c r="DG96" s="576"/>
      <c r="DH96" s="576"/>
      <c r="DI96" s="570"/>
      <c r="DJ96" s="570"/>
      <c r="DK96" s="570"/>
      <c r="DL96" s="570"/>
      <c r="DM96" s="573"/>
      <c r="DN96" s="570"/>
      <c r="DO96" s="570"/>
      <c r="DP96" s="570"/>
      <c r="DQ96" s="570"/>
      <c r="DR96" s="570"/>
      <c r="DS96" s="570"/>
      <c r="DT96" s="570"/>
      <c r="DU96" s="570"/>
      <c r="DV96" s="576"/>
      <c r="DW96" s="576"/>
      <c r="DX96" s="570"/>
      <c r="DY96" s="570"/>
    </row>
    <row r="97" spans="1:194" s="252" customFormat="1" ht="60" customHeight="1" x14ac:dyDescent="0.25">
      <c r="A97" s="368"/>
      <c r="B97" s="369"/>
      <c r="C97" s="396" t="s">
        <v>10</v>
      </c>
      <c r="D97" s="645" t="s">
        <v>32</v>
      </c>
      <c r="E97" s="645"/>
      <c r="F97" s="645"/>
      <c r="G97" s="645"/>
      <c r="H97" s="645"/>
      <c r="I97" s="645"/>
      <c r="J97" s="643"/>
      <c r="K97" s="643"/>
      <c r="L97" s="646"/>
      <c r="M97" s="648"/>
      <c r="N97" s="649"/>
      <c r="O97" s="644"/>
      <c r="P97" s="192"/>
      <c r="Q97" s="239"/>
      <c r="R97" s="334" t="s">
        <v>475</v>
      </c>
      <c r="S97" s="234" t="str">
        <f>IFERROR(IF($C$12='BD GN'!$CC$1,VLOOKUP(COTIZACIÓN!D92,'BD GN'!CB:CG,2,FALSE),IF(COTIZACIÓN!$C$12='BD GN'!$CD$1,VLOOKUP(COTIZACIÓN!D92,'BD GN'!CB:CG,3,FALSE),IF($C$12='BD GN'!$CE$1,VLOOKUP(COTIZACIÓN!D92,'BD GN'!CB:CG,4,FALSE),IF(COTIZACIÓN!$C$12='BD GN'!$CF$1,VLOOKUP(COTIZACIÓN!D92,'BD GN'!CB:CG,5,FALSE),IF(COTIZACIÓN!$C$12='BD GN'!$CG$1,VLOOKUP(COTIZACIÓN!D92,'BD GN'!CB:CG,6,FALSE),""))))),"-")</f>
        <v/>
      </c>
      <c r="T97" s="243"/>
      <c r="U97" s="244"/>
      <c r="V97" s="245"/>
      <c r="W97" s="177" t="s">
        <v>394</v>
      </c>
      <c r="X97" s="246">
        <f>IFERROR(SUM(W92:X92),"")</f>
        <v>0</v>
      </c>
      <c r="Y97" s="166" t="s">
        <v>404</v>
      </c>
      <c r="Z97" s="199" t="str">
        <f>IFERROR(Y92+Z92,"")</f>
        <v/>
      </c>
      <c r="AA97" s="247"/>
      <c r="AB97" s="243"/>
      <c r="AC97" s="244"/>
      <c r="AD97" s="244"/>
      <c r="AE97" s="244"/>
      <c r="AF97" s="227"/>
      <c r="AG97" s="206"/>
      <c r="AH97" s="206"/>
      <c r="AI97" s="206"/>
      <c r="AJ97" s="206"/>
      <c r="AK97" s="227"/>
      <c r="AL97" s="227"/>
      <c r="AM97" s="248"/>
      <c r="AN97" s="248"/>
      <c r="AO97" s="249"/>
      <c r="AP97" s="250"/>
      <c r="AQ97" s="248"/>
      <c r="AR97" s="248"/>
      <c r="AS97" s="249"/>
      <c r="AT97" s="250"/>
      <c r="AU97" s="249"/>
      <c r="AV97" s="250"/>
      <c r="AW97" s="249"/>
      <c r="AX97" s="250"/>
      <c r="AY97" s="248"/>
      <c r="AZ97" s="250"/>
      <c r="BA97" s="210"/>
      <c r="BB97" s="175"/>
      <c r="BC97" s="175" t="s">
        <v>118</v>
      </c>
      <c r="BD97" s="210"/>
      <c r="BE97" s="251" t="str">
        <f>IFERROR(VLOOKUP(D92,'BD M.O'!C:I,7,FALSE),"")</f>
        <v/>
      </c>
      <c r="BF97" s="251" t="s">
        <v>262</v>
      </c>
      <c r="BG97" s="175"/>
      <c r="BH97" s="175"/>
      <c r="BI97" s="210"/>
      <c r="BJ97" s="175"/>
      <c r="BK97" s="175"/>
      <c r="BL97" s="175"/>
      <c r="BM97" s="175"/>
      <c r="BN97" s="175"/>
      <c r="BO97" s="210"/>
      <c r="BP97" s="175"/>
      <c r="BQ97" s="175"/>
      <c r="BR97" s="175"/>
      <c r="BS97" s="183"/>
      <c r="BT97" s="183"/>
      <c r="BU97" s="183"/>
      <c r="BV97" s="183"/>
      <c r="BW97" s="210"/>
      <c r="BX97" s="175"/>
      <c r="BY97" s="175"/>
      <c r="BZ97" s="175"/>
      <c r="CA97" s="175"/>
      <c r="CB97" s="175"/>
      <c r="CC97" s="175"/>
      <c r="CD97" s="184"/>
      <c r="CE97" s="175"/>
      <c r="CF97" s="185"/>
      <c r="CG97" s="175"/>
      <c r="CH97" s="175"/>
      <c r="CI97" s="184"/>
      <c r="CJ97" s="210"/>
      <c r="CK97" s="564"/>
      <c r="CL97" s="257"/>
      <c r="CM97" s="597"/>
      <c r="CN97" s="628"/>
      <c r="CO97" s="631"/>
      <c r="CP97" s="631"/>
      <c r="CQ97" s="631"/>
      <c r="CR97" s="631"/>
      <c r="CS97" s="631"/>
      <c r="CT97" s="634"/>
      <c r="CU97" s="564"/>
      <c r="CV97" s="562"/>
      <c r="CW97" s="564"/>
      <c r="CX97" s="562"/>
      <c r="CY97" s="564"/>
      <c r="CZ97" s="562"/>
      <c r="DA97" s="564"/>
      <c r="DB97" s="562"/>
      <c r="DC97" s="564"/>
      <c r="DD97" s="562"/>
      <c r="DE97" s="175"/>
      <c r="DF97" s="175"/>
      <c r="DG97" s="577"/>
      <c r="DH97" s="577"/>
      <c r="DI97" s="571"/>
      <c r="DJ97" s="571"/>
      <c r="DK97" s="571"/>
      <c r="DL97" s="571"/>
      <c r="DM97" s="574"/>
      <c r="DN97" s="571"/>
      <c r="DO97" s="571"/>
      <c r="DP97" s="571"/>
      <c r="DQ97" s="571"/>
      <c r="DR97" s="571"/>
      <c r="DS97" s="571"/>
      <c r="DT97" s="571"/>
      <c r="DU97" s="571"/>
      <c r="DV97" s="577"/>
      <c r="DW97" s="577"/>
      <c r="DX97" s="571"/>
      <c r="DY97" s="571"/>
      <c r="DZ97" s="175"/>
      <c r="EA97" s="175"/>
      <c r="EB97" s="175"/>
      <c r="EC97" s="175"/>
      <c r="ED97" s="175"/>
      <c r="EE97" s="175"/>
      <c r="EF97" s="175"/>
      <c r="EG97" s="175"/>
      <c r="EH97" s="175"/>
      <c r="EI97" s="175"/>
      <c r="EJ97" s="175"/>
      <c r="EK97" s="175"/>
      <c r="EL97" s="175"/>
      <c r="EM97" s="175"/>
      <c r="EN97" s="175"/>
      <c r="EO97" s="175"/>
      <c r="EP97" s="175"/>
      <c r="EQ97" s="175"/>
      <c r="ER97" s="175"/>
      <c r="ES97" s="175"/>
      <c r="ET97" s="175"/>
      <c r="EU97" s="175"/>
      <c r="EV97" s="175"/>
      <c r="EW97" s="175"/>
      <c r="EX97" s="175"/>
      <c r="EY97" s="175"/>
      <c r="EZ97" s="175"/>
      <c r="FA97" s="175"/>
      <c r="FB97" s="175"/>
      <c r="FC97" s="175"/>
      <c r="FD97" s="175"/>
      <c r="FE97" s="175"/>
      <c r="FF97" s="175"/>
      <c r="FG97" s="175"/>
      <c r="FH97" s="175"/>
      <c r="FI97" s="175"/>
      <c r="FJ97" s="175"/>
      <c r="FK97" s="175"/>
      <c r="FL97" s="175"/>
      <c r="FM97" s="175"/>
      <c r="FN97" s="175"/>
      <c r="FO97" s="175"/>
      <c r="FP97" s="175"/>
      <c r="FQ97" s="175"/>
      <c r="FR97" s="175"/>
      <c r="FS97" s="175"/>
      <c r="FT97" s="175"/>
      <c r="FU97" s="175"/>
      <c r="FV97" s="175"/>
      <c r="FW97" s="175"/>
      <c r="FX97" s="175"/>
      <c r="FY97" s="175"/>
      <c r="FZ97" s="175"/>
      <c r="GA97" s="175"/>
      <c r="GB97" s="175"/>
      <c r="GC97" s="175"/>
      <c r="GD97" s="175"/>
      <c r="GE97" s="175"/>
      <c r="GF97" s="175"/>
      <c r="GG97" s="175"/>
      <c r="GH97" s="175"/>
      <c r="GI97" s="175"/>
      <c r="GJ97" s="175"/>
      <c r="GK97" s="175"/>
      <c r="GL97" s="175"/>
    </row>
    <row r="98" spans="1:194" s="255" customFormat="1" ht="60" customHeight="1" x14ac:dyDescent="0.3">
      <c r="A98" s="362" t="s">
        <v>193</v>
      </c>
      <c r="B98" s="363" t="s">
        <v>25</v>
      </c>
      <c r="C98" s="391" t="s">
        <v>174</v>
      </c>
      <c r="D98" s="640" t="s">
        <v>173</v>
      </c>
      <c r="E98" s="640"/>
      <c r="F98" s="640"/>
      <c r="G98" s="640"/>
      <c r="H98" s="640"/>
      <c r="I98" s="640"/>
      <c r="J98" s="418" t="s">
        <v>443</v>
      </c>
      <c r="K98" s="418" t="s">
        <v>444</v>
      </c>
      <c r="L98" s="418" t="s">
        <v>171</v>
      </c>
      <c r="M98" s="363" t="s">
        <v>2</v>
      </c>
      <c r="N98" s="419" t="s">
        <v>7</v>
      </c>
      <c r="O98" s="420" t="s">
        <v>8</v>
      </c>
      <c r="P98" s="159"/>
      <c r="Q98" s="164" t="s">
        <v>93</v>
      </c>
      <c r="R98" s="164" t="s">
        <v>34</v>
      </c>
      <c r="S98" s="164" t="s">
        <v>28</v>
      </c>
      <c r="T98" s="164" t="s">
        <v>95</v>
      </c>
      <c r="U98" s="164" t="s">
        <v>96</v>
      </c>
      <c r="V98" s="164" t="s">
        <v>97</v>
      </c>
      <c r="W98" s="164" t="s">
        <v>4</v>
      </c>
      <c r="X98" s="164" t="s">
        <v>103</v>
      </c>
      <c r="Y98" s="160" t="s">
        <v>402</v>
      </c>
      <c r="Z98" s="165" t="s">
        <v>403</v>
      </c>
      <c r="AA98" s="166" t="s">
        <v>404</v>
      </c>
      <c r="AB98" s="164" t="s">
        <v>99</v>
      </c>
      <c r="AC98" s="164" t="s">
        <v>395</v>
      </c>
      <c r="AD98" s="253" t="s">
        <v>36</v>
      </c>
      <c r="AE98" s="164" t="s">
        <v>389</v>
      </c>
      <c r="AF98" s="164" t="s">
        <v>390</v>
      </c>
      <c r="AG98" s="164" t="s">
        <v>164</v>
      </c>
      <c r="AH98" s="253" t="s">
        <v>396</v>
      </c>
      <c r="AI98" s="164" t="s">
        <v>190</v>
      </c>
      <c r="AJ98" s="164" t="s">
        <v>339</v>
      </c>
      <c r="AK98" s="253" t="s">
        <v>391</v>
      </c>
      <c r="AL98" s="253" t="s">
        <v>393</v>
      </c>
      <c r="AM98" s="167" t="s">
        <v>93</v>
      </c>
      <c r="AN98" s="168" t="s">
        <v>34</v>
      </c>
      <c r="AO98" s="169" t="s">
        <v>28</v>
      </c>
      <c r="AP98" s="170" t="s">
        <v>95</v>
      </c>
      <c r="AQ98" s="167" t="s">
        <v>3</v>
      </c>
      <c r="AR98" s="167" t="s">
        <v>96</v>
      </c>
      <c r="AS98" s="169" t="s">
        <v>97</v>
      </c>
      <c r="AT98" s="170" t="s">
        <v>4</v>
      </c>
      <c r="AU98" s="169" t="s">
        <v>103</v>
      </c>
      <c r="AV98" s="170" t="s">
        <v>99</v>
      </c>
      <c r="AW98" s="169" t="s">
        <v>36</v>
      </c>
      <c r="AX98" s="171" t="s">
        <v>29</v>
      </c>
      <c r="AY98" s="172" t="s">
        <v>190</v>
      </c>
      <c r="AZ98" s="173" t="s">
        <v>102</v>
      </c>
      <c r="BA98" s="174"/>
      <c r="BB98" s="183"/>
      <c r="BC98" s="211" t="s">
        <v>119</v>
      </c>
      <c r="BD98" s="174"/>
      <c r="BE98" s="176" t="s">
        <v>189</v>
      </c>
      <c r="BF98" s="177" t="str">
        <f>$BF$13</f>
        <v xml:space="preserve">VR SILICONA </v>
      </c>
      <c r="BG98" s="177" t="str">
        <f>$BG$13</f>
        <v xml:space="preserve">VR PELÍCULA </v>
      </c>
      <c r="BH98" s="254" t="str">
        <f>$BH$13</f>
        <v>VR EMBALAJE</v>
      </c>
      <c r="BI98" s="174"/>
      <c r="BJ98" s="176" t="str">
        <f>$BJ$13</f>
        <v>ESP. CRISTAL</v>
      </c>
      <c r="BK98" s="176" t="s">
        <v>130</v>
      </c>
      <c r="BL98" s="177" t="s">
        <v>28</v>
      </c>
      <c r="BM98" s="177" t="str">
        <f>BM91</f>
        <v>TOTAL</v>
      </c>
      <c r="BN98" s="177" t="s">
        <v>133</v>
      </c>
      <c r="BO98" s="174"/>
      <c r="BP98" s="175"/>
      <c r="BQ98" s="175"/>
      <c r="BR98" s="175"/>
      <c r="BS98" s="175"/>
      <c r="BT98" s="175"/>
      <c r="BU98" s="175"/>
      <c r="BV98" s="175"/>
      <c r="BW98" s="174"/>
      <c r="BX98" s="175"/>
      <c r="BY98" s="175"/>
      <c r="BZ98" s="175"/>
      <c r="CA98" s="175"/>
      <c r="CB98" s="175"/>
      <c r="CC98" s="175"/>
      <c r="CD98" s="184"/>
      <c r="CE98" s="175"/>
      <c r="CF98" s="185"/>
      <c r="CG98" s="175"/>
      <c r="CH98" s="175"/>
      <c r="CI98" s="184"/>
      <c r="CJ98" s="174"/>
      <c r="CK98" s="186" t="s">
        <v>415</v>
      </c>
      <c r="CL98" s="187" t="s">
        <v>417</v>
      </c>
      <c r="CM98" s="187" t="s">
        <v>416</v>
      </c>
      <c r="CN98" s="188" t="s">
        <v>418</v>
      </c>
      <c r="CO98" s="187" t="s">
        <v>417</v>
      </c>
      <c r="CP98" s="187" t="s">
        <v>409</v>
      </c>
      <c r="CQ98" s="187" t="s">
        <v>410</v>
      </c>
      <c r="CR98" s="187" t="s">
        <v>411</v>
      </c>
      <c r="CS98" s="187" t="s">
        <v>412</v>
      </c>
      <c r="CT98" s="187" t="s">
        <v>413</v>
      </c>
      <c r="CU98" s="189" t="s">
        <v>2</v>
      </c>
      <c r="CV98" s="190" t="s">
        <v>159</v>
      </c>
      <c r="CW98" s="189" t="s">
        <v>2</v>
      </c>
      <c r="CX98" s="190" t="s">
        <v>159</v>
      </c>
      <c r="CY98" s="189" t="s">
        <v>2</v>
      </c>
      <c r="CZ98" s="190" t="s">
        <v>159</v>
      </c>
      <c r="DA98" s="189" t="s">
        <v>2</v>
      </c>
      <c r="DB98" s="190" t="s">
        <v>159</v>
      </c>
      <c r="DC98" s="189" t="s">
        <v>2</v>
      </c>
      <c r="DD98" s="190" t="s">
        <v>159</v>
      </c>
      <c r="DE98" s="183"/>
      <c r="DF98" s="183"/>
      <c r="DG98" s="177" t="s">
        <v>505</v>
      </c>
      <c r="DH98" s="472" t="s">
        <v>509</v>
      </c>
      <c r="DI98" s="457" t="s">
        <v>506</v>
      </c>
      <c r="DJ98" s="457" t="s">
        <v>134</v>
      </c>
      <c r="DK98" s="457" t="s">
        <v>498</v>
      </c>
      <c r="DL98" s="457" t="s">
        <v>499</v>
      </c>
      <c r="DM98" s="457" t="s">
        <v>500</v>
      </c>
      <c r="DN98" s="457" t="s">
        <v>131</v>
      </c>
      <c r="DO98" s="457" t="s">
        <v>390</v>
      </c>
      <c r="DP98" s="457" t="s">
        <v>36</v>
      </c>
      <c r="DQ98" s="457" t="s">
        <v>501</v>
      </c>
      <c r="DR98" s="457" t="s">
        <v>502</v>
      </c>
      <c r="DS98" s="457" t="s">
        <v>503</v>
      </c>
      <c r="DT98" s="457" t="s">
        <v>4</v>
      </c>
      <c r="DU98" s="457" t="s">
        <v>504</v>
      </c>
      <c r="DV98" s="466" t="s">
        <v>507</v>
      </c>
      <c r="DW98" s="466" t="s">
        <v>508</v>
      </c>
      <c r="DX98" s="457" t="s">
        <v>510</v>
      </c>
      <c r="DY98" s="457" t="s">
        <v>511</v>
      </c>
      <c r="DZ98" s="183"/>
      <c r="EA98" s="183"/>
      <c r="EB98" s="183"/>
      <c r="EC98" s="183"/>
      <c r="ED98" s="183"/>
      <c r="EE98" s="183"/>
      <c r="EF98" s="183"/>
      <c r="EG98" s="183"/>
      <c r="EH98" s="183"/>
      <c r="EI98" s="183"/>
      <c r="EJ98" s="183"/>
      <c r="EK98" s="183"/>
      <c r="EL98" s="183"/>
      <c r="EM98" s="183"/>
      <c r="EN98" s="183"/>
      <c r="EO98" s="183"/>
      <c r="EP98" s="183"/>
      <c r="EQ98" s="183"/>
      <c r="ER98" s="183"/>
      <c r="ES98" s="183"/>
      <c r="ET98" s="183"/>
      <c r="EU98" s="183"/>
      <c r="EV98" s="183"/>
      <c r="EW98" s="183"/>
      <c r="EX98" s="183"/>
      <c r="EY98" s="183"/>
      <c r="EZ98" s="183"/>
      <c r="FA98" s="183"/>
      <c r="FB98" s="183"/>
      <c r="FC98" s="183"/>
      <c r="FD98" s="183"/>
      <c r="FE98" s="183"/>
      <c r="FF98" s="183"/>
      <c r="FG98" s="183"/>
      <c r="FH98" s="183"/>
      <c r="FI98" s="183"/>
      <c r="FJ98" s="183"/>
      <c r="FK98" s="183"/>
      <c r="FL98" s="183"/>
      <c r="FM98" s="183"/>
      <c r="FN98" s="183"/>
      <c r="FO98" s="183"/>
      <c r="FP98" s="183"/>
      <c r="FQ98" s="183"/>
      <c r="FR98" s="183"/>
      <c r="FS98" s="183"/>
      <c r="FT98" s="183"/>
      <c r="FU98" s="183"/>
      <c r="FV98" s="183"/>
      <c r="FW98" s="183"/>
      <c r="FX98" s="183"/>
      <c r="FY98" s="183"/>
      <c r="FZ98" s="183"/>
      <c r="GA98" s="183"/>
      <c r="GB98" s="183"/>
      <c r="GC98" s="183"/>
      <c r="GD98" s="183"/>
      <c r="GE98" s="183"/>
      <c r="GF98" s="183"/>
      <c r="GG98" s="183"/>
      <c r="GH98" s="183"/>
      <c r="GI98" s="183"/>
      <c r="GJ98" s="183"/>
      <c r="GK98" s="183"/>
      <c r="GL98" s="183"/>
    </row>
    <row r="99" spans="1:194" s="175" customFormat="1" ht="60" customHeight="1" x14ac:dyDescent="0.3">
      <c r="A99" s="364"/>
      <c r="B99" s="365"/>
      <c r="C99" s="392" t="s">
        <v>27</v>
      </c>
      <c r="D99" s="641"/>
      <c r="E99" s="641"/>
      <c r="F99" s="641"/>
      <c r="G99" s="641"/>
      <c r="H99" s="641"/>
      <c r="I99" s="641"/>
      <c r="J99" s="642"/>
      <c r="K99" s="642"/>
      <c r="L99" s="622">
        <f>J99*K99*M99</f>
        <v>0</v>
      </c>
      <c r="M99" s="623"/>
      <c r="N99" s="620">
        <f>IFERROR(AL99,"")</f>
        <v>1.0765546639999999</v>
      </c>
      <c r="O99" s="621">
        <f>IFERROR(N99*M99,"")</f>
        <v>0</v>
      </c>
      <c r="P99" s="192"/>
      <c r="Q99" s="193">
        <f>Q100+BF99+($R$350*Q100)</f>
        <v>0</v>
      </c>
      <c r="R99" s="193">
        <f>IFERROR(R100+($R$348*R100),"")</f>
        <v>0</v>
      </c>
      <c r="S99" s="194">
        <f>+IF(R101="SI",((W103*'BD GN'!$AB$2)+S100)*1,COTIZACIÓN!S100*1)+(P100*S100)</f>
        <v>0</v>
      </c>
      <c r="T99" s="195">
        <f>IFERROR(R99*IF(K99&lt;=3,$T$13,15%),"")</f>
        <v>0</v>
      </c>
      <c r="U99" s="196">
        <f>BH99+BG99</f>
        <v>0</v>
      </c>
      <c r="V99" s="197" t="str">
        <f>IFERROR(BN99,0)</f>
        <v/>
      </c>
      <c r="W99" s="198" t="str">
        <f>IFERROR(IF(X101="SI",W102*J99*K99,IF(BE99=3,BE101,IF(BE99=4,BE102,IF(BE99=5,BE103,IF(BE99&gt;5,BE103+(BE104*(BE99-5)),"")))))*0,"")</f>
        <v/>
      </c>
      <c r="X99" s="198" t="str">
        <f>IFERROR(IF(X100="NO",(VLOOKUP(D99,'BD M.O'!C:E,3,FALSE))*W103,((VLOOKUP(D99,'BD M.O'!C:E,3,FALSE))+7500)*W103),"")</f>
        <v/>
      </c>
      <c r="Y99" s="198">
        <f>IFERROR($Y$13*AK99,"")</f>
        <v>4.2084457416288003E-2</v>
      </c>
      <c r="Z99" s="332" t="str">
        <f>IFERROR(($Z$13*AK99)+X99,"")</f>
        <v/>
      </c>
      <c r="AA99" s="199" t="str">
        <f>IFERROR(Y99+Z99,"")</f>
        <v/>
      </c>
      <c r="AB99" s="200">
        <f>IFERROR((SUM(Q99:X99)-T99+T101)*$AB$13,"")</f>
        <v>0</v>
      </c>
      <c r="AC99" s="201">
        <f>IFERROR(((SUM(Q99:V99,IF(X104&gt;AA99,AVERAGE(X104,AA99),AA99))-T99+T101))*$AB$13,"")</f>
        <v>0</v>
      </c>
      <c r="AD99" s="202" t="str">
        <f>IFERROR((J99*K99*$BV$14),"")</f>
        <v/>
      </c>
      <c r="AE99" s="202">
        <f>IFERROR($AE$13*AK99,"")</f>
        <v>6.4010592649919984E-2</v>
      </c>
      <c r="AF99" s="203" t="str">
        <f>IFERROR(($CI$11+$CI$13)*W103,"")</f>
        <v/>
      </c>
      <c r="AG99" s="202">
        <f>IFERROR((SUM(Q99:X99,AB99,AD99,AF99)-T99+T101)*$AG$13,"")</f>
        <v>0</v>
      </c>
      <c r="AH99" s="202">
        <f>IFERROR((SUM(Q99:V99,(IF(X104&gt;AA99,AVERAGE(X104,AA99),AA99)),AC99,AE99,AF99)-T99+T101)*$AG$13,"")</f>
        <v>3.2005296324959992E-2</v>
      </c>
      <c r="AI99" s="204">
        <f>IFERROR(AL99*$AI$13,"")</f>
        <v>2.1531093279999997E-2</v>
      </c>
      <c r="AJ99" s="204">
        <f>IFERROR($AJ$13*AL99,"")</f>
        <v>6.007175025119999E-3</v>
      </c>
      <c r="AK99" s="205">
        <f>IFERROR(SUM(Q99:X99,AB99,AD99,AG99,AF99)/(1-$AI$13)+(1-$AJ$13)-T99+T101,"")</f>
        <v>0.99441999999999997</v>
      </c>
      <c r="AL99" s="205">
        <f>IFERROR(SUM(Q99:V99,AC99,(IF(AD99&gt;AE99,AVERAGE(AD99,AE99),AE99)),AF99,,AH99,(IF(SUM(X104)&gt;AA99,AVERAGE(AA99,X104),AA99)))/(1-$AJ$13)+(1-$AI$13)-T99+T101,"")</f>
        <v>1.0765546639999999</v>
      </c>
      <c r="AM99" s="206">
        <f>$M$15*Q99</f>
        <v>0</v>
      </c>
      <c r="AN99" s="207">
        <f>$M$15*R99</f>
        <v>0</v>
      </c>
      <c r="AO99" s="208">
        <f>$M$15*S99</f>
        <v>0</v>
      </c>
      <c r="AP99" s="207">
        <f>$M$15*T99</f>
        <v>0</v>
      </c>
      <c r="AQ99" s="207" t="e">
        <f>$M$15*#REF!</f>
        <v>#REF!</v>
      </c>
      <c r="AR99" s="207">
        <f>$M$15*U99</f>
        <v>0</v>
      </c>
      <c r="AS99" s="208" t="e">
        <f>$M$15*V99</f>
        <v>#VALUE!</v>
      </c>
      <c r="AT99" s="207" t="e">
        <f>$M$15*W99</f>
        <v>#VALUE!</v>
      </c>
      <c r="AU99" s="208" t="e">
        <f>$M$15*X99</f>
        <v>#VALUE!</v>
      </c>
      <c r="AV99" s="207">
        <f>$M$15*AB99</f>
        <v>0</v>
      </c>
      <c r="AW99" s="208">
        <f>$M$15*AE99</f>
        <v>0</v>
      </c>
      <c r="AX99" s="207">
        <f>$M$15*AG99</f>
        <v>0</v>
      </c>
      <c r="AY99" s="209">
        <f>$M$15*AI99</f>
        <v>0</v>
      </c>
      <c r="AZ99" s="207">
        <f>$M$15*AK99</f>
        <v>0</v>
      </c>
      <c r="BA99" s="210"/>
      <c r="BB99" s="175" t="s">
        <v>23</v>
      </c>
      <c r="BC99" s="211" t="s">
        <v>113</v>
      </c>
      <c r="BD99" s="210"/>
      <c r="BE99" s="212"/>
      <c r="BF99" s="213">
        <f>IF(BH100="NO",((2*J99)+(2*K99))*'BD GN'!$AU$3,((3*J99)+(2*K99))*'BD GN'!$AU$3)</f>
        <v>0</v>
      </c>
      <c r="BG99" s="213">
        <f>'BD GN'!$BB$3*J99*K99</f>
        <v>0</v>
      </c>
      <c r="BH99" s="214">
        <f>((J99*2*BE99)+(K99*2*BE99))*'BD GN'!$AN$4</f>
        <v>0</v>
      </c>
      <c r="BI99" s="210"/>
      <c r="BJ99" s="212"/>
      <c r="BK99" s="212"/>
      <c r="BL99" s="215">
        <f>J99*K99*2.5*BJ99</f>
        <v>0</v>
      </c>
      <c r="BM99" s="215">
        <f>BK99+BL99</f>
        <v>0</v>
      </c>
      <c r="BN99" s="216" t="str">
        <f>IFERROR((VLOOKUP($C$12,'BD GN'!BD:BM,10,FALSE)*BM99)+$BR$338,"")</f>
        <v/>
      </c>
      <c r="BO99" s="210"/>
      <c r="BW99" s="210"/>
      <c r="CD99" s="184"/>
      <c r="CF99" s="185"/>
      <c r="CI99" s="184"/>
      <c r="CJ99" s="210"/>
      <c r="CK99" s="565"/>
      <c r="CL99" s="256"/>
      <c r="CM99" s="596"/>
      <c r="CN99" s="626"/>
      <c r="CO99" s="629"/>
      <c r="CP99" s="629"/>
      <c r="CQ99" s="629"/>
      <c r="CR99" s="629"/>
      <c r="CS99" s="629"/>
      <c r="CT99" s="632"/>
      <c r="CU99" s="565"/>
      <c r="CV99" s="560">
        <f>IFERROR(N99*CU99,"")</f>
        <v>0</v>
      </c>
      <c r="CW99" s="565"/>
      <c r="CX99" s="560">
        <f>IFERROR(P99*CW99,"")</f>
        <v>0</v>
      </c>
      <c r="CY99" s="565"/>
      <c r="CZ99" s="560">
        <f>IFERROR(R99*CY99,"")</f>
        <v>0</v>
      </c>
      <c r="DA99" s="565">
        <f t="shared" ref="DA99" si="306">CU99+CW99+CY99</f>
        <v>0</v>
      </c>
      <c r="DB99" s="560">
        <f t="shared" ref="DB99" si="307">IFERROR(CV99+CX99+CZ99,"")</f>
        <v>0</v>
      </c>
      <c r="DC99" s="565">
        <f>M99-(CU99+CW99+CY99)</f>
        <v>0</v>
      </c>
      <c r="DD99" s="560">
        <f>IFERROR(O99-(CV99+CX99+CZ99),"")</f>
        <v>0</v>
      </c>
      <c r="DG99" s="575"/>
      <c r="DH99" s="575"/>
      <c r="DI99" s="569">
        <f t="shared" ref="DI99" si="308">IFERROR(IF(DG99&gt;0,(((N99)/(1+10%+19%*5%)+((N99)/(1+10%+19%*5%))*10%)*DH99),0),0)</f>
        <v>0</v>
      </c>
      <c r="DJ99" s="569">
        <f t="shared" ref="DJ99" si="309">IFERROR(IF(DG99&gt;0,(N99*DH99),0),0)</f>
        <v>0</v>
      </c>
      <c r="DK99" s="569">
        <f t="shared" ref="DK99" si="310">IF(DG99&gt;0,((R99+T99)*DH99),0)</f>
        <v>0</v>
      </c>
      <c r="DL99" s="569">
        <f t="shared" ref="DL99" si="311">IF(DG99&gt;0,(Q99*DH99),0)</f>
        <v>0</v>
      </c>
      <c r="DM99" s="572">
        <f t="shared" ref="DM99" si="312">IF(DG99&gt;0,(S99*DH99),0)</f>
        <v>0</v>
      </c>
      <c r="DN99" s="569">
        <f t="shared" ref="DN99" si="313">IF(DG99&gt;0,(BN99*DH99),0)</f>
        <v>0</v>
      </c>
      <c r="DO99" s="569">
        <f t="shared" ref="DO99" si="314">IF(DG99&gt;0,(AF99*DH99),0)</f>
        <v>0</v>
      </c>
      <c r="DP99" s="569">
        <f>IF(DG99&gt;0,((DI99)*('BD P&amp;G'!$E$16+'BD P&amp;G'!$E$17+'BD P&amp;G'!$E$18+'BD P&amp;G'!$E$19+'BD P&amp;G'!$E$20+'BD P&amp;G'!$E$21+'BD P&amp;G'!$E$22+'BD P&amp;G'!$E$23)*DH99),0)</f>
        <v>0</v>
      </c>
      <c r="DQ99" s="569">
        <f>IFERROR(IF(DG99&gt;0,((DI99*'BD P&amp;G'!$E$7)+(DI99*'BD P&amp;G'!$E$9)+AI99),0),0)</f>
        <v>0</v>
      </c>
      <c r="DR99" s="569">
        <f t="shared" ref="DR99" si="315">IFERROR(IF(DG99&gt;0,((DI99*1%)),0),0)</f>
        <v>0</v>
      </c>
      <c r="DS99" s="569">
        <f>IFERROR(IF(DG99&gt;0,(((DI99*'BD P&amp;G'!$E$32+DI99*'BD P&amp;G'!$E$33+DI99*'BD P&amp;G'!$E$35+DI99*'BD P&amp;G'!$E$36+DI99*'BD P&amp;G'!$E$37))),0),0)</f>
        <v>0</v>
      </c>
      <c r="DT99" s="569">
        <f t="shared" ref="DT99" si="316">IF(DG99&gt;0,(Y99*DH99),0)</f>
        <v>0</v>
      </c>
      <c r="DU99" s="569">
        <f t="shared" ref="DU99" si="317">IF(DG99&gt;0,(Z99*DH99),0)</f>
        <v>0</v>
      </c>
      <c r="DV99" s="575">
        <f t="shared" ref="DV99" si="318">IF(DG99&gt;0,(Y103*DH99),0)</f>
        <v>0</v>
      </c>
      <c r="DW99" s="575">
        <f t="shared" ref="DW99" si="319">IF(DG99&gt;0,(Z103*DH99),0)</f>
        <v>0</v>
      </c>
      <c r="DX99" s="569">
        <f t="shared" ref="DX99" si="320">IF(DV99&gt;0,DJ99,0)</f>
        <v>0</v>
      </c>
      <c r="DY99" s="569">
        <f t="shared" ref="DY99" si="321">IF(DW99&gt;0,DJ99,0)</f>
        <v>0</v>
      </c>
    </row>
    <row r="100" spans="1:194" s="175" customFormat="1" ht="60" customHeight="1" x14ac:dyDescent="0.25">
      <c r="A100" s="366"/>
      <c r="B100" s="367"/>
      <c r="C100" s="393" t="s">
        <v>28</v>
      </c>
      <c r="D100" s="598"/>
      <c r="E100" s="598"/>
      <c r="F100" s="598"/>
      <c r="G100" s="598"/>
      <c r="H100" s="598"/>
      <c r="I100" s="598"/>
      <c r="J100" s="604"/>
      <c r="K100" s="604"/>
      <c r="L100" s="607"/>
      <c r="M100" s="559"/>
      <c r="N100" s="610"/>
      <c r="O100" s="613"/>
      <c r="P100" s="192"/>
      <c r="Q100" s="217"/>
      <c r="R100" s="217"/>
      <c r="S100" s="218"/>
      <c r="T100" s="219">
        <f>IFERROR(T99/$R$353,"")</f>
        <v>0</v>
      </c>
      <c r="U100" s="206"/>
      <c r="V100" s="220"/>
      <c r="W100" s="221" t="s">
        <v>239</v>
      </c>
      <c r="X100" s="222" t="s">
        <v>204</v>
      </c>
      <c r="Y100" s="223"/>
      <c r="Z100" s="224"/>
      <c r="AA100" s="225"/>
      <c r="AB100" s="226"/>
      <c r="AC100" s="206"/>
      <c r="AD100" s="206"/>
      <c r="AE100" s="206"/>
      <c r="AF100" s="227"/>
      <c r="AG100" s="206"/>
      <c r="AH100" s="206"/>
      <c r="AI100" s="206"/>
      <c r="AJ100" s="206"/>
      <c r="AK100" s="227"/>
      <c r="AL100" s="210"/>
      <c r="AM100" s="206"/>
      <c r="AN100" s="206"/>
      <c r="AO100" s="228"/>
      <c r="AP100" s="229"/>
      <c r="AQ100" s="206"/>
      <c r="AR100" s="206"/>
      <c r="AS100" s="228"/>
      <c r="AT100" s="229"/>
      <c r="AU100" s="228"/>
      <c r="AV100" s="229"/>
      <c r="AW100" s="228"/>
      <c r="AX100" s="229"/>
      <c r="AY100" s="206"/>
      <c r="AZ100" s="229"/>
      <c r="BA100" s="210"/>
      <c r="BB100" s="175" t="s">
        <v>24</v>
      </c>
      <c r="BC100" s="175" t="s">
        <v>114</v>
      </c>
      <c r="BD100" s="210"/>
      <c r="BE100" s="176" t="s">
        <v>206</v>
      </c>
      <c r="BF100" s="230" t="s">
        <v>204</v>
      </c>
      <c r="BG100" s="176" t="s">
        <v>290</v>
      </c>
      <c r="BH100" s="231" t="s">
        <v>204</v>
      </c>
      <c r="BI100" s="210"/>
      <c r="BN100" s="232"/>
      <c r="BO100" s="210"/>
      <c r="BV100" s="184"/>
      <c r="BW100" s="210"/>
      <c r="CD100" s="184"/>
      <c r="CF100" s="185"/>
      <c r="CI100" s="184"/>
      <c r="CJ100" s="210"/>
      <c r="CK100" s="563"/>
      <c r="CM100" s="559"/>
      <c r="CN100" s="627"/>
      <c r="CO100" s="630"/>
      <c r="CP100" s="630"/>
      <c r="CQ100" s="630"/>
      <c r="CR100" s="630"/>
      <c r="CS100" s="630"/>
      <c r="CT100" s="633"/>
      <c r="CU100" s="563"/>
      <c r="CV100" s="561"/>
      <c r="CW100" s="563"/>
      <c r="CX100" s="561"/>
      <c r="CY100" s="563"/>
      <c r="CZ100" s="561"/>
      <c r="DA100" s="563"/>
      <c r="DB100" s="561"/>
      <c r="DC100" s="563"/>
      <c r="DD100" s="561"/>
      <c r="DG100" s="576"/>
      <c r="DH100" s="576"/>
      <c r="DI100" s="570"/>
      <c r="DJ100" s="570"/>
      <c r="DK100" s="570"/>
      <c r="DL100" s="570"/>
      <c r="DM100" s="573"/>
      <c r="DN100" s="570"/>
      <c r="DO100" s="570"/>
      <c r="DP100" s="570"/>
      <c r="DQ100" s="570"/>
      <c r="DR100" s="570"/>
      <c r="DS100" s="570"/>
      <c r="DT100" s="570"/>
      <c r="DU100" s="570"/>
      <c r="DV100" s="576"/>
      <c r="DW100" s="576"/>
      <c r="DX100" s="570"/>
      <c r="DY100" s="570"/>
    </row>
    <row r="101" spans="1:194" s="175" customFormat="1" ht="60" customHeight="1" x14ac:dyDescent="0.3">
      <c r="A101" s="366"/>
      <c r="B101" s="367"/>
      <c r="C101" s="393" t="s">
        <v>30</v>
      </c>
      <c r="D101" s="599"/>
      <c r="E101" s="599"/>
      <c r="F101" s="599"/>
      <c r="G101" s="599"/>
      <c r="H101" s="599"/>
      <c r="I101" s="599"/>
      <c r="J101" s="604"/>
      <c r="K101" s="604"/>
      <c r="L101" s="607"/>
      <c r="M101" s="559"/>
      <c r="N101" s="610"/>
      <c r="O101" s="613"/>
      <c r="P101" s="192"/>
      <c r="Q101" s="176" t="s">
        <v>205</v>
      </c>
      <c r="R101" s="233" t="s">
        <v>204</v>
      </c>
      <c r="S101" s="234"/>
      <c r="T101" s="235">
        <f>IFERROR(($R$353-8000)*T100,"")</f>
        <v>0</v>
      </c>
      <c r="U101" s="206"/>
      <c r="V101" s="220"/>
      <c r="W101" s="221" t="s">
        <v>258</v>
      </c>
      <c r="X101" s="222" t="s">
        <v>204</v>
      </c>
      <c r="Y101" s="236"/>
      <c r="Z101" s="237"/>
      <c r="AA101" s="225"/>
      <c r="AB101" s="226"/>
      <c r="AC101" s="206"/>
      <c r="AD101" s="206"/>
      <c r="AE101" s="206"/>
      <c r="AF101" s="227"/>
      <c r="AG101" s="206"/>
      <c r="AH101" s="206"/>
      <c r="AI101" s="206"/>
      <c r="AJ101" s="206"/>
      <c r="AK101" s="227"/>
      <c r="AL101" s="238"/>
      <c r="AM101" s="206"/>
      <c r="AN101" s="206"/>
      <c r="AO101" s="228"/>
      <c r="AP101" s="229"/>
      <c r="AQ101" s="206"/>
      <c r="AR101" s="206"/>
      <c r="AS101" s="228"/>
      <c r="AT101" s="229"/>
      <c r="AU101" s="228"/>
      <c r="AV101" s="229"/>
      <c r="AW101" s="228"/>
      <c r="AX101" s="229"/>
      <c r="AY101" s="206"/>
      <c r="AZ101" s="229"/>
      <c r="BA101" s="210"/>
      <c r="BB101" s="175" t="s">
        <v>26</v>
      </c>
      <c r="BC101" s="211" t="s">
        <v>115</v>
      </c>
      <c r="BD101" s="210"/>
      <c r="BE101" s="177" t="str">
        <f>IFERROR(VLOOKUP(D99,'BD M.O'!C:H,4,FALSE),"")</f>
        <v/>
      </c>
      <c r="BF101" s="177" t="s">
        <v>259</v>
      </c>
      <c r="BI101" s="210"/>
      <c r="BO101" s="210"/>
      <c r="BV101" s="184"/>
      <c r="BW101" s="210"/>
      <c r="CD101" s="184"/>
      <c r="CF101" s="185"/>
      <c r="CI101" s="184"/>
      <c r="CJ101" s="210"/>
      <c r="CK101" s="563"/>
      <c r="CM101" s="559"/>
      <c r="CN101" s="627"/>
      <c r="CO101" s="630"/>
      <c r="CP101" s="630"/>
      <c r="CQ101" s="630"/>
      <c r="CR101" s="630"/>
      <c r="CS101" s="630"/>
      <c r="CT101" s="633"/>
      <c r="CU101" s="563"/>
      <c r="CV101" s="561"/>
      <c r="CW101" s="563"/>
      <c r="CX101" s="561"/>
      <c r="CY101" s="563"/>
      <c r="CZ101" s="561"/>
      <c r="DA101" s="563"/>
      <c r="DB101" s="561"/>
      <c r="DC101" s="563"/>
      <c r="DD101" s="561"/>
      <c r="DG101" s="577"/>
      <c r="DH101" s="577"/>
      <c r="DI101" s="571"/>
      <c r="DJ101" s="571"/>
      <c r="DK101" s="571"/>
      <c r="DL101" s="571"/>
      <c r="DM101" s="574"/>
      <c r="DN101" s="571"/>
      <c r="DO101" s="571"/>
      <c r="DP101" s="571"/>
      <c r="DQ101" s="571"/>
      <c r="DR101" s="571"/>
      <c r="DS101" s="571"/>
      <c r="DT101" s="571"/>
      <c r="DU101" s="571"/>
      <c r="DV101" s="577"/>
      <c r="DW101" s="577"/>
      <c r="DX101" s="571"/>
      <c r="DY101" s="571"/>
    </row>
    <row r="102" spans="1:194" s="175" customFormat="1" ht="60" customHeight="1" x14ac:dyDescent="0.25">
      <c r="A102" s="366"/>
      <c r="B102" s="367"/>
      <c r="C102" s="395" t="s">
        <v>180</v>
      </c>
      <c r="D102" s="599" t="s">
        <v>31</v>
      </c>
      <c r="E102" s="599"/>
      <c r="F102" s="394" t="s">
        <v>9</v>
      </c>
      <c r="G102" s="599" t="s">
        <v>33</v>
      </c>
      <c r="H102" s="599"/>
      <c r="I102" s="394" t="str">
        <f>+IF($BG$9="SI","","X")</f>
        <v>X</v>
      </c>
      <c r="J102" s="604"/>
      <c r="K102" s="604"/>
      <c r="L102" s="607"/>
      <c r="M102" s="559"/>
      <c r="N102" s="610"/>
      <c r="O102" s="613"/>
      <c r="P102" s="192"/>
      <c r="Q102" s="239"/>
      <c r="R102" s="221" t="s">
        <v>209</v>
      </c>
      <c r="S102" s="234" t="str">
        <f>IF(S100="","",S100/(J99*K99))</f>
        <v/>
      </c>
      <c r="T102" s="226"/>
      <c r="U102" s="206"/>
      <c r="V102" s="220"/>
      <c r="W102" s="239" t="str">
        <f>IFERROR(IF(X101="SI",VLOOKUP(D99,'BD M.O'!C:F,4,FALSE),""),"")</f>
        <v/>
      </c>
      <c r="X102" s="221" t="s">
        <v>258</v>
      </c>
      <c r="Y102" s="221" t="s">
        <v>507</v>
      </c>
      <c r="Z102" s="221" t="s">
        <v>508</v>
      </c>
      <c r="AA102" s="225"/>
      <c r="AB102" s="226"/>
      <c r="AC102" s="206"/>
      <c r="AD102" s="206"/>
      <c r="AE102" s="206"/>
      <c r="AF102" s="227"/>
      <c r="AG102" s="206"/>
      <c r="AH102" s="206"/>
      <c r="AI102" s="206"/>
      <c r="AJ102" s="206"/>
      <c r="AK102" s="227"/>
      <c r="AL102" s="240"/>
      <c r="AM102" s="206"/>
      <c r="AN102" s="206"/>
      <c r="AO102" s="228"/>
      <c r="AP102" s="229"/>
      <c r="AQ102" s="206"/>
      <c r="AR102" s="206"/>
      <c r="AS102" s="228"/>
      <c r="AT102" s="229"/>
      <c r="AU102" s="228"/>
      <c r="AV102" s="229"/>
      <c r="AW102" s="228"/>
      <c r="AX102" s="229"/>
      <c r="AY102" s="206"/>
      <c r="AZ102" s="229"/>
      <c r="BA102" s="210"/>
      <c r="BC102" s="175" t="s">
        <v>116</v>
      </c>
      <c r="BD102" s="210"/>
      <c r="BE102" s="177" t="str">
        <f>IFERROR(VLOOKUP(COTIZACIÓN!D99,'BD M.O'!C:I,5,FALSE),"")</f>
        <v/>
      </c>
      <c r="BF102" s="177" t="s">
        <v>260</v>
      </c>
      <c r="BI102" s="210"/>
      <c r="BO102" s="210"/>
      <c r="BP102" s="183"/>
      <c r="BQ102" s="183"/>
      <c r="BR102" s="183"/>
      <c r="BS102" s="183"/>
      <c r="BT102" s="183"/>
      <c r="BU102" s="183"/>
      <c r="BV102" s="182"/>
      <c r="BW102" s="210"/>
      <c r="BX102" s="183"/>
      <c r="BY102" s="183"/>
      <c r="BZ102" s="183"/>
      <c r="CA102" s="183"/>
      <c r="CB102" s="183"/>
      <c r="CC102" s="183"/>
      <c r="CD102" s="182"/>
      <c r="CE102" s="183"/>
      <c r="CF102" s="241"/>
      <c r="CG102" s="183"/>
      <c r="CH102" s="183"/>
      <c r="CI102" s="182"/>
      <c r="CJ102" s="210"/>
      <c r="CK102" s="563"/>
      <c r="CM102" s="559"/>
      <c r="CN102" s="627"/>
      <c r="CO102" s="630"/>
      <c r="CP102" s="630"/>
      <c r="CQ102" s="630"/>
      <c r="CR102" s="630"/>
      <c r="CS102" s="630"/>
      <c r="CT102" s="633"/>
      <c r="CU102" s="563"/>
      <c r="CV102" s="561"/>
      <c r="CW102" s="563"/>
      <c r="CX102" s="561"/>
      <c r="CY102" s="563"/>
      <c r="CZ102" s="561"/>
      <c r="DA102" s="563"/>
      <c r="DB102" s="561"/>
      <c r="DC102" s="563"/>
      <c r="DD102" s="561"/>
      <c r="DG102" s="575"/>
      <c r="DH102" s="575"/>
      <c r="DI102" s="569">
        <f t="shared" ref="DI102" si="322">IFERROR(IF(DG102&gt;0,(((N99)/(1+10%+19%*5%)+((N99)/(1+10%+19%*5%))*10%)*DH102),0),0)</f>
        <v>0</v>
      </c>
      <c r="DJ102" s="569">
        <f t="shared" ref="DJ102" si="323">IFERROR(IF(DG102&gt;0,(N99*DH102),0),0)</f>
        <v>0</v>
      </c>
      <c r="DK102" s="569">
        <f t="shared" ref="DK102" si="324">IF(DG102&gt;0,((R99+T99)*DH102),0)</f>
        <v>0</v>
      </c>
      <c r="DL102" s="569">
        <f t="shared" ref="DL102" si="325">IF(DG102&gt;0,(Q99*DH102),0)</f>
        <v>0</v>
      </c>
      <c r="DM102" s="572">
        <f t="shared" ref="DM102" si="326">IF(DG102&gt;0,(S99*DH102),0)</f>
        <v>0</v>
      </c>
      <c r="DN102" s="569">
        <f t="shared" ref="DN102" si="327">IF(DG102&gt;0,(BN99*DH102),0)</f>
        <v>0</v>
      </c>
      <c r="DO102" s="569">
        <f t="shared" ref="DO102" si="328">IF(DG102&gt;0,(AF99*DH102),0)</f>
        <v>0</v>
      </c>
      <c r="DP102" s="569">
        <f>IF(DG102&gt;0,((DI102)*('BD P&amp;G'!$E$16+'BD P&amp;G'!$E$17+'BD P&amp;G'!$E$18+'BD P&amp;G'!$E$19+'BD P&amp;G'!$E$20+'BD P&amp;G'!$E$21+'BD P&amp;G'!$E$22+'BD P&amp;G'!$E$23)*DH102),0)</f>
        <v>0</v>
      </c>
      <c r="DQ102" s="569">
        <f>IFERROR(IF(DG102&gt;0,((DI102*'BD P&amp;G'!$E$7)+(DI102*'BD P&amp;G'!$E$9)+AI99),0),0)</f>
        <v>0</v>
      </c>
      <c r="DR102" s="569">
        <f t="shared" ref="DR102" si="329">IFERROR(IF(DG102&gt;0,((DI102*1%)),0),0)</f>
        <v>0</v>
      </c>
      <c r="DS102" s="569">
        <f>IFERROR(IF(DG102&gt;0,(((DI102*'BD P&amp;G'!$E$32+DI102*'BD P&amp;G'!$E$33+DI102*'BD P&amp;G'!$E$35+DI102*'BD P&amp;G'!$E$36+DI102*'BD P&amp;G'!$E$37))),0),0)</f>
        <v>0</v>
      </c>
      <c r="DT102" s="569">
        <f t="shared" ref="DT102" si="330">IF(DG102&gt;0,(Y99*DH102),0)</f>
        <v>0</v>
      </c>
      <c r="DU102" s="569">
        <f t="shared" ref="DU102" si="331">IF(DG102&gt;0,(Z99*DH102),0)</f>
        <v>0</v>
      </c>
      <c r="DV102" s="575">
        <f t="shared" ref="DV102" si="332">IF(DG102&gt;0,(Y103*DH102),0)</f>
        <v>0</v>
      </c>
      <c r="DW102" s="575">
        <f t="shared" ref="DW102" si="333">IF(DG102&gt;0,(Z103*DH102),0)</f>
        <v>0</v>
      </c>
      <c r="DX102" s="569">
        <f t="shared" ref="DX102" si="334">IF(DV102&gt;0,DJ102,0)</f>
        <v>0</v>
      </c>
      <c r="DY102" s="569">
        <f t="shared" ref="DY102" si="335">IF(DW102&gt;0,DJ102,0)</f>
        <v>0</v>
      </c>
    </row>
    <row r="103" spans="1:194" s="175" customFormat="1" ht="60" customHeight="1" x14ac:dyDescent="0.3">
      <c r="A103" s="366"/>
      <c r="B103" s="367"/>
      <c r="C103" s="393" t="s">
        <v>35</v>
      </c>
      <c r="D103" s="599" t="str">
        <f>IFERROR(VLOOKUP(D99,'BD GN'!C:E,3,),"")</f>
        <v/>
      </c>
      <c r="E103" s="599"/>
      <c r="F103" s="599"/>
      <c r="G103" s="599"/>
      <c r="H103" s="599"/>
      <c r="I103" s="599"/>
      <c r="J103" s="604"/>
      <c r="K103" s="604"/>
      <c r="L103" s="607"/>
      <c r="M103" s="559"/>
      <c r="N103" s="610"/>
      <c r="O103" s="613"/>
      <c r="P103" s="192"/>
      <c r="Q103" s="239"/>
      <c r="R103" s="221" t="s">
        <v>210</v>
      </c>
      <c r="S103" s="234" t="str">
        <f>IFERROR(IF(N99="","",N99/W103),"")</f>
        <v/>
      </c>
      <c r="T103" s="226"/>
      <c r="U103" s="206"/>
      <c r="V103" s="220"/>
      <c r="W103" s="242" t="str">
        <f>+IF(J99*K99&gt;=1,J99*K99,IF(AND(J99*K99&gt;0,J99*K99&lt;1),1,""))</f>
        <v/>
      </c>
      <c r="X103" s="221" t="s">
        <v>298</v>
      </c>
      <c r="Y103" s="461">
        <f>IFERROR(IF(D99='BD GN'!$C$25,COTIZACIÓN!W103,IF(D99='BD GN'!$C$26,COTIZACIÓN!W103,IF(D99='BD GN'!$C$27,COTIZACIÓN!W103,IF(COTIZACIÓN!D99='BD GN'!$C$28,COTIZACIÓN!W103,IF(COTIZACIÓN!D99='BD GN'!$C$29,COTIZACIÓN!W103,IF(COTIZACIÓN!D99='BD GN'!$C$35,COTIZACIÓN!W103,IF(COTIZACIÓN!D99='BD GN'!$C$36,COTIZACIÓN!W103,IF(COTIZACIÓN!D99='BD GN'!$C$37,COTIZACIÓN!W103,IF(COTIZACIÓN!D99='BD GN'!$C$38,COTIZACIÓN!W103,IF(COTIZACIÓN!D99='BD GN'!$C$39,COTIZACIÓN!W103,IF(COTIZACIÓN!D99='BD GN'!$C$40,COTIZACIÓN!W103,IF(COTIZACIÓN!D99='BD GN'!$C$41,COTIZACIÓN!W103,IF(COTIZACIÓN!D99='BD GN'!$C$42,COTIZACIÓN!W103,IF(COTIZACIÓN!D99='BD GN'!$C$49,COTIZACIÓN!W103,IF(COTIZACIÓN!D99='BD GN'!$C$50,COTIZACIÓN!W103,IF(COTIZACIÓN!D99='BD GN'!$C$51,COTIZACIÓN!W103,IF(COTIZACIÓN!D99='BD GN'!$C$67,COTIZACIÓN!W103,0))))))))))))))))),0)</f>
        <v>0</v>
      </c>
      <c r="Z103" s="461">
        <f>IFERROR(W103-Y103,0)</f>
        <v>0</v>
      </c>
      <c r="AA103" s="225"/>
      <c r="AB103" s="226"/>
      <c r="AC103" s="206"/>
      <c r="AD103" s="206"/>
      <c r="AE103" s="206"/>
      <c r="AF103" s="227"/>
      <c r="AG103" s="206"/>
      <c r="AH103" s="206"/>
      <c r="AI103" s="206"/>
      <c r="AJ103" s="206"/>
      <c r="AK103" s="227"/>
      <c r="AL103" s="210"/>
      <c r="AM103" s="206"/>
      <c r="AN103" s="206"/>
      <c r="AO103" s="228"/>
      <c r="AP103" s="229"/>
      <c r="AQ103" s="206"/>
      <c r="AR103" s="206"/>
      <c r="AS103" s="228"/>
      <c r="AT103" s="229"/>
      <c r="AU103" s="228"/>
      <c r="AV103" s="229"/>
      <c r="AW103" s="228"/>
      <c r="AX103" s="229"/>
      <c r="AY103" s="206"/>
      <c r="AZ103" s="229"/>
      <c r="BA103" s="210"/>
      <c r="BC103" s="211" t="s">
        <v>117</v>
      </c>
      <c r="BD103" s="210"/>
      <c r="BE103" s="177" t="str">
        <f>IFERROR(VLOOKUP(D99,'BD M.O'!C:I,6,FALSE),"")</f>
        <v/>
      </c>
      <c r="BF103" s="177" t="s">
        <v>261</v>
      </c>
      <c r="BI103" s="210"/>
      <c r="BO103" s="210"/>
      <c r="BP103" s="183"/>
      <c r="BQ103" s="183"/>
      <c r="BR103" s="183"/>
      <c r="BW103" s="210"/>
      <c r="CD103" s="184"/>
      <c r="CF103" s="185"/>
      <c r="CI103" s="184"/>
      <c r="CJ103" s="210"/>
      <c r="CK103" s="563"/>
      <c r="CM103" s="559"/>
      <c r="CN103" s="627"/>
      <c r="CO103" s="630"/>
      <c r="CP103" s="630"/>
      <c r="CQ103" s="630"/>
      <c r="CR103" s="630"/>
      <c r="CS103" s="630"/>
      <c r="CT103" s="633"/>
      <c r="CU103" s="563"/>
      <c r="CV103" s="561"/>
      <c r="CW103" s="563"/>
      <c r="CX103" s="561"/>
      <c r="CY103" s="563"/>
      <c r="CZ103" s="561"/>
      <c r="DA103" s="563"/>
      <c r="DB103" s="561"/>
      <c r="DC103" s="563"/>
      <c r="DD103" s="561"/>
      <c r="DG103" s="576"/>
      <c r="DH103" s="576"/>
      <c r="DI103" s="570"/>
      <c r="DJ103" s="570"/>
      <c r="DK103" s="570"/>
      <c r="DL103" s="570"/>
      <c r="DM103" s="573"/>
      <c r="DN103" s="570"/>
      <c r="DO103" s="570"/>
      <c r="DP103" s="570"/>
      <c r="DQ103" s="570"/>
      <c r="DR103" s="570"/>
      <c r="DS103" s="570"/>
      <c r="DT103" s="570"/>
      <c r="DU103" s="570"/>
      <c r="DV103" s="576"/>
      <c r="DW103" s="576"/>
      <c r="DX103" s="570"/>
      <c r="DY103" s="570"/>
    </row>
    <row r="104" spans="1:194" s="252" customFormat="1" ht="60" customHeight="1" x14ac:dyDescent="0.25">
      <c r="A104" s="368"/>
      <c r="B104" s="369"/>
      <c r="C104" s="396" t="s">
        <v>10</v>
      </c>
      <c r="D104" s="645" t="s">
        <v>32</v>
      </c>
      <c r="E104" s="645"/>
      <c r="F104" s="645"/>
      <c r="G104" s="645"/>
      <c r="H104" s="645"/>
      <c r="I104" s="645"/>
      <c r="J104" s="643"/>
      <c r="K104" s="643"/>
      <c r="L104" s="646"/>
      <c r="M104" s="648"/>
      <c r="N104" s="649"/>
      <c r="O104" s="644"/>
      <c r="P104" s="192"/>
      <c r="Q104" s="239"/>
      <c r="R104" s="334" t="s">
        <v>475</v>
      </c>
      <c r="S104" s="234" t="str">
        <f>IFERROR(IF($C$12='BD GN'!$CC$1,VLOOKUP(COTIZACIÓN!D99,'BD GN'!CB:CG,2,FALSE),IF(COTIZACIÓN!$C$12='BD GN'!$CD$1,VLOOKUP(COTIZACIÓN!D99,'BD GN'!CB:CG,3,FALSE),IF($C$12='BD GN'!$CE$1,VLOOKUP(COTIZACIÓN!D99,'BD GN'!CB:CG,4,FALSE),IF(COTIZACIÓN!$C$12='BD GN'!$CF$1,VLOOKUP(COTIZACIÓN!D99,'BD GN'!CB:CG,5,FALSE),IF(COTIZACIÓN!$C$12='BD GN'!$CG$1,VLOOKUP(COTIZACIÓN!D99,'BD GN'!CB:CG,6,FALSE),""))))),"-")</f>
        <v/>
      </c>
      <c r="T104" s="243"/>
      <c r="U104" s="244"/>
      <c r="V104" s="245"/>
      <c r="W104" s="177" t="s">
        <v>394</v>
      </c>
      <c r="X104" s="246">
        <f>IFERROR(SUM(W99:X99),"")</f>
        <v>0</v>
      </c>
      <c r="Y104" s="166" t="s">
        <v>404</v>
      </c>
      <c r="Z104" s="199" t="str">
        <f>IFERROR(Y99+Z99,"")</f>
        <v/>
      </c>
      <c r="AA104" s="247"/>
      <c r="AB104" s="243"/>
      <c r="AC104" s="244"/>
      <c r="AD104" s="244"/>
      <c r="AE104" s="244"/>
      <c r="AF104" s="227"/>
      <c r="AG104" s="206"/>
      <c r="AH104" s="206"/>
      <c r="AI104" s="206"/>
      <c r="AJ104" s="206"/>
      <c r="AK104" s="227"/>
      <c r="AL104" s="227"/>
      <c r="AM104" s="248"/>
      <c r="AN104" s="248"/>
      <c r="AO104" s="249"/>
      <c r="AP104" s="250"/>
      <c r="AQ104" s="248"/>
      <c r="AR104" s="248"/>
      <c r="AS104" s="249"/>
      <c r="AT104" s="250"/>
      <c r="AU104" s="249"/>
      <c r="AV104" s="250"/>
      <c r="AW104" s="249"/>
      <c r="AX104" s="250"/>
      <c r="AY104" s="248"/>
      <c r="AZ104" s="250"/>
      <c r="BA104" s="210"/>
      <c r="BB104" s="175"/>
      <c r="BC104" s="175" t="s">
        <v>118</v>
      </c>
      <c r="BD104" s="210"/>
      <c r="BE104" s="251" t="str">
        <f>IFERROR(VLOOKUP(D99,'BD M.O'!C:I,7,FALSE),"")</f>
        <v/>
      </c>
      <c r="BF104" s="251" t="s">
        <v>262</v>
      </c>
      <c r="BG104" s="175"/>
      <c r="BH104" s="175"/>
      <c r="BI104" s="210"/>
      <c r="BJ104" s="175"/>
      <c r="BK104" s="175"/>
      <c r="BL104" s="175"/>
      <c r="BM104" s="175"/>
      <c r="BN104" s="175"/>
      <c r="BO104" s="210"/>
      <c r="BP104" s="175"/>
      <c r="BQ104" s="175"/>
      <c r="BR104" s="175"/>
      <c r="BS104" s="183"/>
      <c r="BT104" s="183"/>
      <c r="BU104" s="183"/>
      <c r="BV104" s="183"/>
      <c r="BW104" s="210"/>
      <c r="BX104" s="175"/>
      <c r="BY104" s="175"/>
      <c r="BZ104" s="175"/>
      <c r="CA104" s="175"/>
      <c r="CB104" s="175"/>
      <c r="CC104" s="175"/>
      <c r="CD104" s="184"/>
      <c r="CE104" s="175"/>
      <c r="CF104" s="185"/>
      <c r="CG104" s="175"/>
      <c r="CH104" s="175"/>
      <c r="CI104" s="184"/>
      <c r="CJ104" s="210"/>
      <c r="CK104" s="564"/>
      <c r="CL104" s="257"/>
      <c r="CM104" s="597"/>
      <c r="CN104" s="628"/>
      <c r="CO104" s="631"/>
      <c r="CP104" s="631"/>
      <c r="CQ104" s="631"/>
      <c r="CR104" s="631"/>
      <c r="CS104" s="631"/>
      <c r="CT104" s="634"/>
      <c r="CU104" s="564"/>
      <c r="CV104" s="562"/>
      <c r="CW104" s="564"/>
      <c r="CX104" s="562"/>
      <c r="CY104" s="564"/>
      <c r="CZ104" s="562"/>
      <c r="DA104" s="564"/>
      <c r="DB104" s="562"/>
      <c r="DC104" s="564"/>
      <c r="DD104" s="562"/>
      <c r="DE104" s="175"/>
      <c r="DF104" s="175"/>
      <c r="DG104" s="577"/>
      <c r="DH104" s="577"/>
      <c r="DI104" s="571"/>
      <c r="DJ104" s="571"/>
      <c r="DK104" s="571"/>
      <c r="DL104" s="571"/>
      <c r="DM104" s="574"/>
      <c r="DN104" s="571"/>
      <c r="DO104" s="571"/>
      <c r="DP104" s="571"/>
      <c r="DQ104" s="571"/>
      <c r="DR104" s="571"/>
      <c r="DS104" s="571"/>
      <c r="DT104" s="571"/>
      <c r="DU104" s="571"/>
      <c r="DV104" s="577"/>
      <c r="DW104" s="577"/>
      <c r="DX104" s="571"/>
      <c r="DY104" s="571"/>
      <c r="DZ104" s="175"/>
      <c r="EA104" s="175"/>
      <c r="EB104" s="175"/>
      <c r="EC104" s="175"/>
      <c r="ED104" s="175"/>
      <c r="EE104" s="175"/>
      <c r="EF104" s="175"/>
      <c r="EG104" s="175"/>
      <c r="EH104" s="175"/>
      <c r="EI104" s="175"/>
      <c r="EJ104" s="175"/>
      <c r="EK104" s="175"/>
      <c r="EL104" s="175"/>
      <c r="EM104" s="175"/>
      <c r="EN104" s="175"/>
      <c r="EO104" s="175"/>
      <c r="EP104" s="175"/>
      <c r="EQ104" s="175"/>
      <c r="ER104" s="175"/>
      <c r="ES104" s="175"/>
      <c r="ET104" s="175"/>
      <c r="EU104" s="175"/>
      <c r="EV104" s="175"/>
      <c r="EW104" s="175"/>
      <c r="EX104" s="175"/>
      <c r="EY104" s="175"/>
      <c r="EZ104" s="175"/>
      <c r="FA104" s="175"/>
      <c r="FB104" s="175"/>
      <c r="FC104" s="175"/>
      <c r="FD104" s="175"/>
      <c r="FE104" s="175"/>
      <c r="FF104" s="175"/>
      <c r="FG104" s="175"/>
      <c r="FH104" s="175"/>
      <c r="FI104" s="175"/>
      <c r="FJ104" s="175"/>
      <c r="FK104" s="175"/>
      <c r="FL104" s="175"/>
      <c r="FM104" s="175"/>
      <c r="FN104" s="175"/>
      <c r="FO104" s="175"/>
      <c r="FP104" s="175"/>
      <c r="FQ104" s="175"/>
      <c r="FR104" s="175"/>
      <c r="FS104" s="175"/>
      <c r="FT104" s="175"/>
      <c r="FU104" s="175"/>
      <c r="FV104" s="175"/>
      <c r="FW104" s="175"/>
      <c r="FX104" s="175"/>
      <c r="FY104" s="175"/>
      <c r="FZ104" s="175"/>
      <c r="GA104" s="175"/>
      <c r="GB104" s="175"/>
      <c r="GC104" s="175"/>
      <c r="GD104" s="175"/>
      <c r="GE104" s="175"/>
      <c r="GF104" s="175"/>
      <c r="GG104" s="175"/>
      <c r="GH104" s="175"/>
      <c r="GI104" s="175"/>
      <c r="GJ104" s="175"/>
      <c r="GK104" s="175"/>
      <c r="GL104" s="175"/>
    </row>
    <row r="105" spans="1:194" s="255" customFormat="1" ht="60" customHeight="1" x14ac:dyDescent="0.3">
      <c r="A105" s="362" t="s">
        <v>193</v>
      </c>
      <c r="B105" s="363" t="s">
        <v>25</v>
      </c>
      <c r="C105" s="391" t="s">
        <v>174</v>
      </c>
      <c r="D105" s="640" t="s">
        <v>173</v>
      </c>
      <c r="E105" s="640"/>
      <c r="F105" s="640"/>
      <c r="G105" s="640"/>
      <c r="H105" s="640"/>
      <c r="I105" s="640"/>
      <c r="J105" s="418" t="s">
        <v>443</v>
      </c>
      <c r="K105" s="418" t="s">
        <v>444</v>
      </c>
      <c r="L105" s="418" t="s">
        <v>171</v>
      </c>
      <c r="M105" s="363" t="s">
        <v>2</v>
      </c>
      <c r="N105" s="419" t="s">
        <v>7</v>
      </c>
      <c r="O105" s="420" t="s">
        <v>8</v>
      </c>
      <c r="P105" s="159"/>
      <c r="Q105" s="164" t="s">
        <v>93</v>
      </c>
      <c r="R105" s="164" t="s">
        <v>34</v>
      </c>
      <c r="S105" s="164" t="s">
        <v>28</v>
      </c>
      <c r="T105" s="164" t="s">
        <v>95</v>
      </c>
      <c r="U105" s="164" t="s">
        <v>96</v>
      </c>
      <c r="V105" s="164" t="s">
        <v>97</v>
      </c>
      <c r="W105" s="164" t="s">
        <v>4</v>
      </c>
      <c r="X105" s="164" t="s">
        <v>103</v>
      </c>
      <c r="Y105" s="160" t="s">
        <v>402</v>
      </c>
      <c r="Z105" s="165" t="s">
        <v>403</v>
      </c>
      <c r="AA105" s="166" t="s">
        <v>404</v>
      </c>
      <c r="AB105" s="164" t="s">
        <v>99</v>
      </c>
      <c r="AC105" s="164" t="s">
        <v>395</v>
      </c>
      <c r="AD105" s="253" t="s">
        <v>36</v>
      </c>
      <c r="AE105" s="164" t="s">
        <v>389</v>
      </c>
      <c r="AF105" s="164" t="s">
        <v>390</v>
      </c>
      <c r="AG105" s="164" t="s">
        <v>164</v>
      </c>
      <c r="AH105" s="253" t="s">
        <v>396</v>
      </c>
      <c r="AI105" s="164" t="s">
        <v>190</v>
      </c>
      <c r="AJ105" s="164" t="s">
        <v>339</v>
      </c>
      <c r="AK105" s="253" t="s">
        <v>391</v>
      </c>
      <c r="AL105" s="253" t="s">
        <v>393</v>
      </c>
      <c r="AM105" s="167" t="s">
        <v>93</v>
      </c>
      <c r="AN105" s="168" t="s">
        <v>34</v>
      </c>
      <c r="AO105" s="169" t="s">
        <v>28</v>
      </c>
      <c r="AP105" s="170" t="s">
        <v>95</v>
      </c>
      <c r="AQ105" s="167" t="s">
        <v>3</v>
      </c>
      <c r="AR105" s="167" t="s">
        <v>96</v>
      </c>
      <c r="AS105" s="169" t="s">
        <v>97</v>
      </c>
      <c r="AT105" s="170" t="s">
        <v>4</v>
      </c>
      <c r="AU105" s="169" t="s">
        <v>103</v>
      </c>
      <c r="AV105" s="170" t="s">
        <v>99</v>
      </c>
      <c r="AW105" s="169" t="s">
        <v>36</v>
      </c>
      <c r="AX105" s="171" t="s">
        <v>29</v>
      </c>
      <c r="AY105" s="172" t="s">
        <v>190</v>
      </c>
      <c r="AZ105" s="173" t="s">
        <v>102</v>
      </c>
      <c r="BA105" s="174"/>
      <c r="BB105" s="183"/>
      <c r="BC105" s="211" t="s">
        <v>119</v>
      </c>
      <c r="BD105" s="174"/>
      <c r="BE105" s="176" t="s">
        <v>189</v>
      </c>
      <c r="BF105" s="177" t="str">
        <f>$BF$13</f>
        <v xml:space="preserve">VR SILICONA </v>
      </c>
      <c r="BG105" s="177" t="str">
        <f>$BG$13</f>
        <v xml:space="preserve">VR PELÍCULA </v>
      </c>
      <c r="BH105" s="254" t="str">
        <f>$BH$13</f>
        <v>VR EMBALAJE</v>
      </c>
      <c r="BI105" s="174"/>
      <c r="BJ105" s="176" t="str">
        <f>$BJ$13</f>
        <v>ESP. CRISTAL</v>
      </c>
      <c r="BK105" s="176" t="s">
        <v>130</v>
      </c>
      <c r="BL105" s="177" t="s">
        <v>28</v>
      </c>
      <c r="BM105" s="177" t="str">
        <f>BM98</f>
        <v>TOTAL</v>
      </c>
      <c r="BN105" s="177" t="s">
        <v>133</v>
      </c>
      <c r="BO105" s="174"/>
      <c r="BP105" s="175"/>
      <c r="BQ105" s="175"/>
      <c r="BR105" s="175"/>
      <c r="BS105" s="175"/>
      <c r="BT105" s="175"/>
      <c r="BU105" s="175"/>
      <c r="BV105" s="175"/>
      <c r="BW105" s="174"/>
      <c r="BX105" s="175"/>
      <c r="BY105" s="175"/>
      <c r="BZ105" s="175"/>
      <c r="CA105" s="175"/>
      <c r="CB105" s="175"/>
      <c r="CC105" s="175"/>
      <c r="CD105" s="184"/>
      <c r="CE105" s="175"/>
      <c r="CF105" s="185"/>
      <c r="CG105" s="175"/>
      <c r="CH105" s="175"/>
      <c r="CI105" s="184"/>
      <c r="CJ105" s="174"/>
      <c r="CK105" s="186" t="s">
        <v>415</v>
      </c>
      <c r="CL105" s="187" t="s">
        <v>417</v>
      </c>
      <c r="CM105" s="187" t="s">
        <v>416</v>
      </c>
      <c r="CN105" s="188" t="s">
        <v>418</v>
      </c>
      <c r="CO105" s="187" t="s">
        <v>417</v>
      </c>
      <c r="CP105" s="187" t="s">
        <v>409</v>
      </c>
      <c r="CQ105" s="187" t="s">
        <v>410</v>
      </c>
      <c r="CR105" s="187" t="s">
        <v>411</v>
      </c>
      <c r="CS105" s="187" t="s">
        <v>412</v>
      </c>
      <c r="CT105" s="187" t="s">
        <v>413</v>
      </c>
      <c r="CU105" s="189" t="s">
        <v>2</v>
      </c>
      <c r="CV105" s="190" t="s">
        <v>159</v>
      </c>
      <c r="CW105" s="189" t="s">
        <v>2</v>
      </c>
      <c r="CX105" s="190" t="s">
        <v>159</v>
      </c>
      <c r="CY105" s="189" t="s">
        <v>2</v>
      </c>
      <c r="CZ105" s="190" t="s">
        <v>159</v>
      </c>
      <c r="DA105" s="189" t="s">
        <v>2</v>
      </c>
      <c r="DB105" s="190" t="s">
        <v>159</v>
      </c>
      <c r="DC105" s="189" t="s">
        <v>2</v>
      </c>
      <c r="DD105" s="190" t="s">
        <v>159</v>
      </c>
      <c r="DE105" s="183"/>
      <c r="DF105" s="183"/>
      <c r="DG105" s="177" t="s">
        <v>505</v>
      </c>
      <c r="DH105" s="472" t="s">
        <v>509</v>
      </c>
      <c r="DI105" s="457" t="s">
        <v>506</v>
      </c>
      <c r="DJ105" s="457" t="s">
        <v>134</v>
      </c>
      <c r="DK105" s="457" t="s">
        <v>498</v>
      </c>
      <c r="DL105" s="457" t="s">
        <v>499</v>
      </c>
      <c r="DM105" s="457" t="s">
        <v>500</v>
      </c>
      <c r="DN105" s="457" t="s">
        <v>131</v>
      </c>
      <c r="DO105" s="457" t="s">
        <v>390</v>
      </c>
      <c r="DP105" s="457" t="s">
        <v>36</v>
      </c>
      <c r="DQ105" s="457" t="s">
        <v>501</v>
      </c>
      <c r="DR105" s="457" t="s">
        <v>502</v>
      </c>
      <c r="DS105" s="457" t="s">
        <v>503</v>
      </c>
      <c r="DT105" s="457" t="s">
        <v>4</v>
      </c>
      <c r="DU105" s="457" t="s">
        <v>504</v>
      </c>
      <c r="DV105" s="466" t="s">
        <v>507</v>
      </c>
      <c r="DW105" s="466" t="s">
        <v>508</v>
      </c>
      <c r="DX105" s="457" t="s">
        <v>510</v>
      </c>
      <c r="DY105" s="457" t="s">
        <v>511</v>
      </c>
      <c r="DZ105" s="183"/>
      <c r="EA105" s="183"/>
      <c r="EB105" s="183"/>
      <c r="EC105" s="183"/>
      <c r="ED105" s="183"/>
      <c r="EE105" s="183"/>
      <c r="EF105" s="183"/>
      <c r="EG105" s="183"/>
      <c r="EH105" s="183"/>
      <c r="EI105" s="183"/>
      <c r="EJ105" s="183"/>
      <c r="EK105" s="183"/>
      <c r="EL105" s="183"/>
      <c r="EM105" s="183"/>
      <c r="EN105" s="183"/>
      <c r="EO105" s="183"/>
      <c r="EP105" s="183"/>
      <c r="EQ105" s="183"/>
      <c r="ER105" s="183"/>
      <c r="ES105" s="183"/>
      <c r="ET105" s="183"/>
      <c r="EU105" s="183"/>
      <c r="EV105" s="183"/>
      <c r="EW105" s="183"/>
      <c r="EX105" s="183"/>
      <c r="EY105" s="183"/>
      <c r="EZ105" s="183"/>
      <c r="FA105" s="183"/>
      <c r="FB105" s="183"/>
      <c r="FC105" s="183"/>
      <c r="FD105" s="183"/>
      <c r="FE105" s="183"/>
      <c r="FF105" s="183"/>
      <c r="FG105" s="183"/>
      <c r="FH105" s="183"/>
      <c r="FI105" s="183"/>
      <c r="FJ105" s="183"/>
      <c r="FK105" s="183"/>
      <c r="FL105" s="183"/>
      <c r="FM105" s="183"/>
      <c r="FN105" s="183"/>
      <c r="FO105" s="183"/>
      <c r="FP105" s="183"/>
      <c r="FQ105" s="183"/>
      <c r="FR105" s="183"/>
      <c r="FS105" s="183"/>
      <c r="FT105" s="183"/>
      <c r="FU105" s="183"/>
      <c r="FV105" s="183"/>
      <c r="FW105" s="183"/>
      <c r="FX105" s="183"/>
      <c r="FY105" s="183"/>
      <c r="FZ105" s="183"/>
      <c r="GA105" s="183"/>
      <c r="GB105" s="183"/>
      <c r="GC105" s="183"/>
      <c r="GD105" s="183"/>
      <c r="GE105" s="183"/>
      <c r="GF105" s="183"/>
      <c r="GG105" s="183"/>
      <c r="GH105" s="183"/>
      <c r="GI105" s="183"/>
      <c r="GJ105" s="183"/>
      <c r="GK105" s="183"/>
      <c r="GL105" s="183"/>
    </row>
    <row r="106" spans="1:194" s="175" customFormat="1" ht="60" customHeight="1" x14ac:dyDescent="0.3">
      <c r="A106" s="364"/>
      <c r="B106" s="365"/>
      <c r="C106" s="392" t="s">
        <v>27</v>
      </c>
      <c r="D106" s="641"/>
      <c r="E106" s="641"/>
      <c r="F106" s="641"/>
      <c r="G106" s="641"/>
      <c r="H106" s="641"/>
      <c r="I106" s="641"/>
      <c r="J106" s="642"/>
      <c r="K106" s="642"/>
      <c r="L106" s="622">
        <f>J106*K106*M106</f>
        <v>0</v>
      </c>
      <c r="M106" s="623"/>
      <c r="N106" s="620">
        <f>IFERROR(AL106,"")</f>
        <v>1.0765546639999999</v>
      </c>
      <c r="O106" s="621">
        <f>IFERROR(N106*M106,"")</f>
        <v>0</v>
      </c>
      <c r="P106" s="192"/>
      <c r="Q106" s="193">
        <f>Q107+BF106+($R$350*Q107)</f>
        <v>0</v>
      </c>
      <c r="R106" s="193">
        <f>IFERROR(R107+($R$348*R107),"")</f>
        <v>0</v>
      </c>
      <c r="S106" s="194">
        <f>+IF(R108="SI",((W110*'BD GN'!$AB$2)+S107)*1,COTIZACIÓN!S107*1)+(P107*S107)</f>
        <v>0</v>
      </c>
      <c r="T106" s="195">
        <f>IFERROR(R106*IF(K106&lt;=3,$T$13,15%),"")</f>
        <v>0</v>
      </c>
      <c r="U106" s="196">
        <f>BH106+BG106</f>
        <v>0</v>
      </c>
      <c r="V106" s="197" t="str">
        <f>IFERROR(BN106,0)</f>
        <v/>
      </c>
      <c r="W106" s="198" t="str">
        <f>IFERROR(IF(X108="SI",W109*J106*K106,IF(BE106=3,BE108,IF(BE106=4,BE109,IF(BE106=5,BE110,IF(BE106&gt;5,BE110+(BE111*(BE106-5)),"")))))*0,"")</f>
        <v/>
      </c>
      <c r="X106" s="198" t="str">
        <f>IFERROR(IF(X107="NO",(VLOOKUP(D106,'BD M.O'!C:E,3,FALSE))*W110,((VLOOKUP(D106,'BD M.O'!C:E,3,FALSE))+7500)*W110),"")</f>
        <v/>
      </c>
      <c r="Y106" s="198">
        <f>IFERROR($Y$13*AK106,"")</f>
        <v>4.2084457416288003E-2</v>
      </c>
      <c r="Z106" s="332" t="str">
        <f>IFERROR(($Z$13*AK106)+X106,"")</f>
        <v/>
      </c>
      <c r="AA106" s="199" t="str">
        <f>IFERROR(Y106+Z106,"")</f>
        <v/>
      </c>
      <c r="AB106" s="200">
        <f>IFERROR((SUM(Q106:X106)-T106+T108)*$AB$13,"")</f>
        <v>0</v>
      </c>
      <c r="AC106" s="201">
        <f>IFERROR(((SUM(Q106:V106,IF(X111&gt;AA106,AVERAGE(X111,AA106),AA106))-T106+T108))*$AB$13,"")</f>
        <v>0</v>
      </c>
      <c r="AD106" s="202" t="str">
        <f>IFERROR((J106*K106*$BV$14),"")</f>
        <v/>
      </c>
      <c r="AE106" s="202">
        <f>IFERROR($AE$13*AK106,"")</f>
        <v>6.4010592649919984E-2</v>
      </c>
      <c r="AF106" s="203" t="str">
        <f>IFERROR(($CI$11+$CI$13)*W110,"")</f>
        <v/>
      </c>
      <c r="AG106" s="202">
        <f>IFERROR((SUM(Q106:X106,AB106,AD106,AF106)-T106+T108)*$AG$13,"")</f>
        <v>0</v>
      </c>
      <c r="AH106" s="202">
        <f>IFERROR((SUM(Q106:V106,(IF(X111&gt;AA106,AVERAGE(X111,AA106),AA106)),AC106,AE106,AF106)-T106+T108)*$AG$13,"")</f>
        <v>3.2005296324959992E-2</v>
      </c>
      <c r="AI106" s="204">
        <f>IFERROR(AL106*$AI$13,"")</f>
        <v>2.1531093279999997E-2</v>
      </c>
      <c r="AJ106" s="204">
        <f>IFERROR($AJ$13*AL106,"")</f>
        <v>6.007175025119999E-3</v>
      </c>
      <c r="AK106" s="205">
        <f>IFERROR(SUM(Q106:X106,AB106,AD106,AG106,AF106)/(1-$AI$13)+(1-$AJ$13)-T106+T108,"")</f>
        <v>0.99441999999999997</v>
      </c>
      <c r="AL106" s="205">
        <f>IFERROR(SUM(Q106:V106,AC106,(IF(AD106&gt;AE106,AVERAGE(AD106,AE106),AE106)),AF106,,AH106,(IF(SUM(X111)&gt;AA106,AVERAGE(AA106,X111),AA106)))/(1-$AJ$13)+(1-$AI$13)-T106+T108,"")</f>
        <v>1.0765546639999999</v>
      </c>
      <c r="AM106" s="206">
        <f>$M$15*Q106</f>
        <v>0</v>
      </c>
      <c r="AN106" s="207">
        <f>$M$15*R106</f>
        <v>0</v>
      </c>
      <c r="AO106" s="208">
        <f>$M$15*S106</f>
        <v>0</v>
      </c>
      <c r="AP106" s="207">
        <f>$M$15*T106</f>
        <v>0</v>
      </c>
      <c r="AQ106" s="207" t="e">
        <f>$M$15*#REF!</f>
        <v>#REF!</v>
      </c>
      <c r="AR106" s="207">
        <f>$M$15*U106</f>
        <v>0</v>
      </c>
      <c r="AS106" s="208" t="e">
        <f>$M$15*V106</f>
        <v>#VALUE!</v>
      </c>
      <c r="AT106" s="207" t="e">
        <f>$M$15*W106</f>
        <v>#VALUE!</v>
      </c>
      <c r="AU106" s="208" t="e">
        <f>$M$15*X106</f>
        <v>#VALUE!</v>
      </c>
      <c r="AV106" s="207">
        <f>$M$15*AB106</f>
        <v>0</v>
      </c>
      <c r="AW106" s="208">
        <f>$M$15*AE106</f>
        <v>0</v>
      </c>
      <c r="AX106" s="207">
        <f>$M$15*AG106</f>
        <v>0</v>
      </c>
      <c r="AY106" s="209">
        <f>$M$15*AI106</f>
        <v>0</v>
      </c>
      <c r="AZ106" s="207">
        <f>$M$15*AK106</f>
        <v>0</v>
      </c>
      <c r="BA106" s="210"/>
      <c r="BB106" s="175" t="s">
        <v>23</v>
      </c>
      <c r="BC106" s="211" t="s">
        <v>113</v>
      </c>
      <c r="BD106" s="210"/>
      <c r="BE106" s="212"/>
      <c r="BF106" s="213">
        <f>IF(BH107="NO",((2*J106)+(2*K106))*'BD GN'!$AU$3,((3*J106)+(2*K106))*'BD GN'!$AU$3)</f>
        <v>0</v>
      </c>
      <c r="BG106" s="213">
        <f>'BD GN'!$BB$3*J106*K106</f>
        <v>0</v>
      </c>
      <c r="BH106" s="214">
        <f>((J106*2*BE106)+(K106*2*BE106))*'BD GN'!$AN$4</f>
        <v>0</v>
      </c>
      <c r="BI106" s="210"/>
      <c r="BJ106" s="212"/>
      <c r="BK106" s="212"/>
      <c r="BL106" s="215">
        <f>J106*K106*2.5*BJ106</f>
        <v>0</v>
      </c>
      <c r="BM106" s="215">
        <f>BK106+BL106</f>
        <v>0</v>
      </c>
      <c r="BN106" s="216" t="str">
        <f>IFERROR((VLOOKUP($C$12,'BD GN'!BD:BM,10,FALSE)*BM106)+$BR$338,"")</f>
        <v/>
      </c>
      <c r="BO106" s="210"/>
      <c r="BW106" s="210"/>
      <c r="CD106" s="184"/>
      <c r="CF106" s="185"/>
      <c r="CI106" s="184"/>
      <c r="CJ106" s="210"/>
      <c r="CK106" s="565"/>
      <c r="CL106" s="256"/>
      <c r="CM106" s="596"/>
      <c r="CN106" s="626"/>
      <c r="CO106" s="629"/>
      <c r="CP106" s="629"/>
      <c r="CQ106" s="629"/>
      <c r="CR106" s="629"/>
      <c r="CS106" s="629"/>
      <c r="CT106" s="632"/>
      <c r="CU106" s="565"/>
      <c r="CV106" s="560">
        <f>IFERROR(N106*CU106,"")</f>
        <v>0</v>
      </c>
      <c r="CW106" s="565"/>
      <c r="CX106" s="560">
        <f>IFERROR(P106*CW106,"")</f>
        <v>0</v>
      </c>
      <c r="CY106" s="565"/>
      <c r="CZ106" s="560">
        <f>IFERROR(R106*CY106,"")</f>
        <v>0</v>
      </c>
      <c r="DA106" s="565">
        <f t="shared" ref="DA106" si="336">CU106+CW106+CY106</f>
        <v>0</v>
      </c>
      <c r="DB106" s="560">
        <f t="shared" ref="DB106" si="337">IFERROR(CV106+CX106+CZ106,"")</f>
        <v>0</v>
      </c>
      <c r="DC106" s="565">
        <f>M106-(CU106+CW106+CY106)</f>
        <v>0</v>
      </c>
      <c r="DD106" s="560">
        <f>IFERROR(O106-(CV106+CX106+CZ106),"")</f>
        <v>0</v>
      </c>
      <c r="DG106" s="575"/>
      <c r="DH106" s="575"/>
      <c r="DI106" s="569">
        <f t="shared" ref="DI106" si="338">IFERROR(IF(DG106&gt;0,(((N106)/(1+10%+19%*5%)+((N106)/(1+10%+19%*5%))*10%)*DH106),0),0)</f>
        <v>0</v>
      </c>
      <c r="DJ106" s="569">
        <f t="shared" ref="DJ106" si="339">IFERROR(IF(DG106&gt;0,(N106*DH106),0),0)</f>
        <v>0</v>
      </c>
      <c r="DK106" s="569">
        <f t="shared" ref="DK106" si="340">IF(DG106&gt;0,((R106+T106)*DH106),0)</f>
        <v>0</v>
      </c>
      <c r="DL106" s="569">
        <f t="shared" ref="DL106" si="341">IF(DG106&gt;0,(Q106*DH106),0)</f>
        <v>0</v>
      </c>
      <c r="DM106" s="572">
        <f t="shared" ref="DM106" si="342">IF(DG106&gt;0,(S106*DH106),0)</f>
        <v>0</v>
      </c>
      <c r="DN106" s="569">
        <f t="shared" ref="DN106" si="343">IF(DG106&gt;0,(BN106*DH106),0)</f>
        <v>0</v>
      </c>
      <c r="DO106" s="569">
        <f t="shared" ref="DO106" si="344">IF(DG106&gt;0,(AF106*DH106),0)</f>
        <v>0</v>
      </c>
      <c r="DP106" s="569">
        <f>IF(DG106&gt;0,((DI106)*('BD P&amp;G'!$E$16+'BD P&amp;G'!$E$17+'BD P&amp;G'!$E$18+'BD P&amp;G'!$E$19+'BD P&amp;G'!$E$20+'BD P&amp;G'!$E$21+'BD P&amp;G'!$E$22+'BD P&amp;G'!$E$23)*DH106),0)</f>
        <v>0</v>
      </c>
      <c r="DQ106" s="569">
        <f>IFERROR(IF(DG106&gt;0,((DI106*'BD P&amp;G'!$E$7)+(DI106*'BD P&amp;G'!$E$9)+AI106),0),0)</f>
        <v>0</v>
      </c>
      <c r="DR106" s="569">
        <f t="shared" ref="DR106" si="345">IFERROR(IF(DG106&gt;0,((DI106*1%)),0),0)</f>
        <v>0</v>
      </c>
      <c r="DS106" s="569">
        <f>IFERROR(IF(DG106&gt;0,(((DI106*'BD P&amp;G'!$E$32+DI106*'BD P&amp;G'!$E$33+DI106*'BD P&amp;G'!$E$35+DI106*'BD P&amp;G'!$E$36+DI106*'BD P&amp;G'!$E$37))),0),0)</f>
        <v>0</v>
      </c>
      <c r="DT106" s="569">
        <f t="shared" ref="DT106" si="346">IF(DG106&gt;0,(Y106*DH106),0)</f>
        <v>0</v>
      </c>
      <c r="DU106" s="569">
        <f t="shared" ref="DU106" si="347">IF(DG106&gt;0,(Z106*DH106),0)</f>
        <v>0</v>
      </c>
      <c r="DV106" s="575">
        <f t="shared" ref="DV106" si="348">IF(DG106&gt;0,(Y110*DH106),0)</f>
        <v>0</v>
      </c>
      <c r="DW106" s="575">
        <f t="shared" ref="DW106" si="349">IF(DG106&gt;0,(Z110*DH106),0)</f>
        <v>0</v>
      </c>
      <c r="DX106" s="569">
        <f t="shared" ref="DX106" si="350">IF(DV106&gt;0,DJ106,0)</f>
        <v>0</v>
      </c>
      <c r="DY106" s="569">
        <f t="shared" ref="DY106" si="351">IF(DW106&gt;0,DJ106,0)</f>
        <v>0</v>
      </c>
    </row>
    <row r="107" spans="1:194" s="175" customFormat="1" ht="60" customHeight="1" x14ac:dyDescent="0.25">
      <c r="A107" s="366"/>
      <c r="B107" s="367"/>
      <c r="C107" s="393" t="s">
        <v>28</v>
      </c>
      <c r="D107" s="598"/>
      <c r="E107" s="598"/>
      <c r="F107" s="598"/>
      <c r="G107" s="598"/>
      <c r="H107" s="598"/>
      <c r="I107" s="598"/>
      <c r="J107" s="604"/>
      <c r="K107" s="604"/>
      <c r="L107" s="607"/>
      <c r="M107" s="559"/>
      <c r="N107" s="610"/>
      <c r="O107" s="613"/>
      <c r="P107" s="192"/>
      <c r="Q107" s="217"/>
      <c r="R107" s="217"/>
      <c r="S107" s="218"/>
      <c r="T107" s="219">
        <f>IFERROR(T106/$R$353,"")</f>
        <v>0</v>
      </c>
      <c r="U107" s="206"/>
      <c r="V107" s="220"/>
      <c r="W107" s="221" t="s">
        <v>239</v>
      </c>
      <c r="X107" s="222" t="s">
        <v>204</v>
      </c>
      <c r="Y107" s="223"/>
      <c r="Z107" s="224"/>
      <c r="AA107" s="225"/>
      <c r="AB107" s="226"/>
      <c r="AC107" s="206"/>
      <c r="AD107" s="206"/>
      <c r="AE107" s="206"/>
      <c r="AF107" s="227"/>
      <c r="AG107" s="206"/>
      <c r="AH107" s="206"/>
      <c r="AI107" s="206"/>
      <c r="AJ107" s="206"/>
      <c r="AK107" s="227"/>
      <c r="AL107" s="210"/>
      <c r="AM107" s="206"/>
      <c r="AN107" s="206"/>
      <c r="AO107" s="228"/>
      <c r="AP107" s="229"/>
      <c r="AQ107" s="206"/>
      <c r="AR107" s="206"/>
      <c r="AS107" s="228"/>
      <c r="AT107" s="229"/>
      <c r="AU107" s="228"/>
      <c r="AV107" s="229"/>
      <c r="AW107" s="228"/>
      <c r="AX107" s="229"/>
      <c r="AY107" s="206"/>
      <c r="AZ107" s="229"/>
      <c r="BA107" s="210"/>
      <c r="BB107" s="175" t="s">
        <v>24</v>
      </c>
      <c r="BC107" s="175" t="s">
        <v>114</v>
      </c>
      <c r="BD107" s="210"/>
      <c r="BE107" s="176" t="s">
        <v>206</v>
      </c>
      <c r="BF107" s="230" t="s">
        <v>204</v>
      </c>
      <c r="BG107" s="176" t="s">
        <v>290</v>
      </c>
      <c r="BH107" s="231" t="s">
        <v>204</v>
      </c>
      <c r="BI107" s="210"/>
      <c r="BN107" s="232"/>
      <c r="BO107" s="210"/>
      <c r="BV107" s="184"/>
      <c r="BW107" s="210"/>
      <c r="CD107" s="184"/>
      <c r="CF107" s="185"/>
      <c r="CI107" s="184"/>
      <c r="CJ107" s="210"/>
      <c r="CK107" s="563"/>
      <c r="CM107" s="559"/>
      <c r="CN107" s="627"/>
      <c r="CO107" s="630"/>
      <c r="CP107" s="630"/>
      <c r="CQ107" s="630"/>
      <c r="CR107" s="630"/>
      <c r="CS107" s="630"/>
      <c r="CT107" s="633"/>
      <c r="CU107" s="563"/>
      <c r="CV107" s="561"/>
      <c r="CW107" s="563"/>
      <c r="CX107" s="561"/>
      <c r="CY107" s="563"/>
      <c r="CZ107" s="561"/>
      <c r="DA107" s="563"/>
      <c r="DB107" s="561"/>
      <c r="DC107" s="563"/>
      <c r="DD107" s="561"/>
      <c r="DG107" s="576"/>
      <c r="DH107" s="576"/>
      <c r="DI107" s="570"/>
      <c r="DJ107" s="570"/>
      <c r="DK107" s="570"/>
      <c r="DL107" s="570"/>
      <c r="DM107" s="573"/>
      <c r="DN107" s="570"/>
      <c r="DO107" s="570"/>
      <c r="DP107" s="570"/>
      <c r="DQ107" s="570"/>
      <c r="DR107" s="570"/>
      <c r="DS107" s="570"/>
      <c r="DT107" s="570"/>
      <c r="DU107" s="570"/>
      <c r="DV107" s="576"/>
      <c r="DW107" s="576"/>
      <c r="DX107" s="570"/>
      <c r="DY107" s="570"/>
    </row>
    <row r="108" spans="1:194" s="175" customFormat="1" ht="60" customHeight="1" x14ac:dyDescent="0.3">
      <c r="A108" s="366"/>
      <c r="B108" s="367"/>
      <c r="C108" s="393" t="s">
        <v>30</v>
      </c>
      <c r="D108" s="599"/>
      <c r="E108" s="599"/>
      <c r="F108" s="599"/>
      <c r="G108" s="599"/>
      <c r="H108" s="599"/>
      <c r="I108" s="599"/>
      <c r="J108" s="604"/>
      <c r="K108" s="604"/>
      <c r="L108" s="607"/>
      <c r="M108" s="559"/>
      <c r="N108" s="610"/>
      <c r="O108" s="613"/>
      <c r="P108" s="192"/>
      <c r="Q108" s="176" t="s">
        <v>205</v>
      </c>
      <c r="R108" s="233" t="s">
        <v>204</v>
      </c>
      <c r="S108" s="234"/>
      <c r="T108" s="235">
        <f>IFERROR(($R$353-8000)*T107,"")</f>
        <v>0</v>
      </c>
      <c r="U108" s="206"/>
      <c r="V108" s="220"/>
      <c r="W108" s="221" t="s">
        <v>258</v>
      </c>
      <c r="X108" s="222" t="s">
        <v>204</v>
      </c>
      <c r="Y108" s="236"/>
      <c r="Z108" s="237"/>
      <c r="AA108" s="225"/>
      <c r="AB108" s="226"/>
      <c r="AC108" s="206"/>
      <c r="AD108" s="206"/>
      <c r="AE108" s="206"/>
      <c r="AF108" s="227"/>
      <c r="AG108" s="206"/>
      <c r="AH108" s="206"/>
      <c r="AI108" s="206"/>
      <c r="AJ108" s="206"/>
      <c r="AK108" s="227"/>
      <c r="AL108" s="238"/>
      <c r="AM108" s="206"/>
      <c r="AN108" s="206"/>
      <c r="AO108" s="228"/>
      <c r="AP108" s="229"/>
      <c r="AQ108" s="206"/>
      <c r="AR108" s="206"/>
      <c r="AS108" s="228"/>
      <c r="AT108" s="229"/>
      <c r="AU108" s="228"/>
      <c r="AV108" s="229"/>
      <c r="AW108" s="228"/>
      <c r="AX108" s="229"/>
      <c r="AY108" s="206"/>
      <c r="AZ108" s="229"/>
      <c r="BA108" s="210"/>
      <c r="BB108" s="175" t="s">
        <v>26</v>
      </c>
      <c r="BC108" s="211" t="s">
        <v>115</v>
      </c>
      <c r="BD108" s="210"/>
      <c r="BE108" s="177" t="str">
        <f>IFERROR(VLOOKUP(D106,'BD M.O'!C:H,4,FALSE),"")</f>
        <v/>
      </c>
      <c r="BF108" s="177" t="s">
        <v>259</v>
      </c>
      <c r="BI108" s="210"/>
      <c r="BO108" s="210"/>
      <c r="BV108" s="184"/>
      <c r="BW108" s="210"/>
      <c r="CD108" s="184"/>
      <c r="CF108" s="185"/>
      <c r="CI108" s="184"/>
      <c r="CJ108" s="210"/>
      <c r="CK108" s="563"/>
      <c r="CM108" s="559"/>
      <c r="CN108" s="627"/>
      <c r="CO108" s="630"/>
      <c r="CP108" s="630"/>
      <c r="CQ108" s="630"/>
      <c r="CR108" s="630"/>
      <c r="CS108" s="630"/>
      <c r="CT108" s="633"/>
      <c r="CU108" s="563"/>
      <c r="CV108" s="561"/>
      <c r="CW108" s="563"/>
      <c r="CX108" s="561"/>
      <c r="CY108" s="563"/>
      <c r="CZ108" s="561"/>
      <c r="DA108" s="563"/>
      <c r="DB108" s="561"/>
      <c r="DC108" s="563"/>
      <c r="DD108" s="561"/>
      <c r="DG108" s="577"/>
      <c r="DH108" s="577"/>
      <c r="DI108" s="571"/>
      <c r="DJ108" s="571"/>
      <c r="DK108" s="571"/>
      <c r="DL108" s="571"/>
      <c r="DM108" s="574"/>
      <c r="DN108" s="571"/>
      <c r="DO108" s="571"/>
      <c r="DP108" s="571"/>
      <c r="DQ108" s="571"/>
      <c r="DR108" s="571"/>
      <c r="DS108" s="571"/>
      <c r="DT108" s="571"/>
      <c r="DU108" s="571"/>
      <c r="DV108" s="577"/>
      <c r="DW108" s="577"/>
      <c r="DX108" s="571"/>
      <c r="DY108" s="571"/>
    </row>
    <row r="109" spans="1:194" s="175" customFormat="1" ht="60" customHeight="1" x14ac:dyDescent="0.25">
      <c r="A109" s="366"/>
      <c r="B109" s="367"/>
      <c r="C109" s="395" t="s">
        <v>180</v>
      </c>
      <c r="D109" s="599" t="s">
        <v>31</v>
      </c>
      <c r="E109" s="599"/>
      <c r="F109" s="394" t="s">
        <v>9</v>
      </c>
      <c r="G109" s="599" t="s">
        <v>33</v>
      </c>
      <c r="H109" s="599"/>
      <c r="I109" s="394" t="str">
        <f>+IF($BG$9="SI","","X")</f>
        <v>X</v>
      </c>
      <c r="J109" s="604"/>
      <c r="K109" s="604"/>
      <c r="L109" s="607"/>
      <c r="M109" s="559"/>
      <c r="N109" s="610"/>
      <c r="O109" s="613"/>
      <c r="P109" s="192"/>
      <c r="Q109" s="239"/>
      <c r="R109" s="221" t="s">
        <v>209</v>
      </c>
      <c r="S109" s="234" t="str">
        <f>IF(S107="","",S107/(J106*K106))</f>
        <v/>
      </c>
      <c r="T109" s="226"/>
      <c r="U109" s="206"/>
      <c r="V109" s="220"/>
      <c r="W109" s="239" t="str">
        <f>IFERROR(IF(X108="SI",VLOOKUP(D106,'BD M.O'!C:F,4,FALSE),""),"")</f>
        <v/>
      </c>
      <c r="X109" s="221" t="s">
        <v>258</v>
      </c>
      <c r="Y109" s="221" t="s">
        <v>507</v>
      </c>
      <c r="Z109" s="221" t="s">
        <v>508</v>
      </c>
      <c r="AA109" s="225"/>
      <c r="AB109" s="226"/>
      <c r="AC109" s="206"/>
      <c r="AD109" s="206"/>
      <c r="AE109" s="206"/>
      <c r="AF109" s="227"/>
      <c r="AG109" s="206"/>
      <c r="AH109" s="206"/>
      <c r="AI109" s="206"/>
      <c r="AJ109" s="206"/>
      <c r="AK109" s="227"/>
      <c r="AL109" s="240"/>
      <c r="AM109" s="206"/>
      <c r="AN109" s="206"/>
      <c r="AO109" s="228"/>
      <c r="AP109" s="229"/>
      <c r="AQ109" s="206"/>
      <c r="AR109" s="206"/>
      <c r="AS109" s="228"/>
      <c r="AT109" s="229"/>
      <c r="AU109" s="228"/>
      <c r="AV109" s="229"/>
      <c r="AW109" s="228"/>
      <c r="AX109" s="229"/>
      <c r="AY109" s="206"/>
      <c r="AZ109" s="229"/>
      <c r="BA109" s="210"/>
      <c r="BC109" s="175" t="s">
        <v>116</v>
      </c>
      <c r="BD109" s="210"/>
      <c r="BE109" s="177" t="str">
        <f>IFERROR(VLOOKUP(COTIZACIÓN!D106,'BD M.O'!C:I,5,FALSE),"")</f>
        <v/>
      </c>
      <c r="BF109" s="177" t="s">
        <v>260</v>
      </c>
      <c r="BI109" s="210"/>
      <c r="BO109" s="210"/>
      <c r="BP109" s="183"/>
      <c r="BQ109" s="183"/>
      <c r="BR109" s="183"/>
      <c r="BS109" s="183"/>
      <c r="BT109" s="183"/>
      <c r="BU109" s="183"/>
      <c r="BV109" s="182"/>
      <c r="BW109" s="210"/>
      <c r="BX109" s="183"/>
      <c r="BY109" s="183"/>
      <c r="BZ109" s="183"/>
      <c r="CA109" s="183"/>
      <c r="CB109" s="183"/>
      <c r="CC109" s="183"/>
      <c r="CD109" s="182"/>
      <c r="CE109" s="183"/>
      <c r="CF109" s="241"/>
      <c r="CG109" s="183"/>
      <c r="CH109" s="183"/>
      <c r="CI109" s="182"/>
      <c r="CJ109" s="210"/>
      <c r="CK109" s="563"/>
      <c r="CM109" s="559"/>
      <c r="CN109" s="627"/>
      <c r="CO109" s="630"/>
      <c r="CP109" s="630"/>
      <c r="CQ109" s="630"/>
      <c r="CR109" s="630"/>
      <c r="CS109" s="630"/>
      <c r="CT109" s="633"/>
      <c r="CU109" s="563"/>
      <c r="CV109" s="561"/>
      <c r="CW109" s="563"/>
      <c r="CX109" s="561"/>
      <c r="CY109" s="563"/>
      <c r="CZ109" s="561"/>
      <c r="DA109" s="563"/>
      <c r="DB109" s="561"/>
      <c r="DC109" s="563"/>
      <c r="DD109" s="561"/>
      <c r="DG109" s="575"/>
      <c r="DH109" s="575"/>
      <c r="DI109" s="569">
        <f t="shared" ref="DI109" si="352">IFERROR(IF(DG109&gt;0,(((N106)/(1+10%+19%*5%)+((N106)/(1+10%+19%*5%))*10%)*DH109),0),0)</f>
        <v>0</v>
      </c>
      <c r="DJ109" s="569">
        <f t="shared" ref="DJ109" si="353">IFERROR(IF(DG109&gt;0,(N106*DH109),0),0)</f>
        <v>0</v>
      </c>
      <c r="DK109" s="569">
        <f t="shared" ref="DK109" si="354">IF(DG109&gt;0,((R106+T106)*DH109),0)</f>
        <v>0</v>
      </c>
      <c r="DL109" s="569">
        <f t="shared" ref="DL109" si="355">IF(DG109&gt;0,(Q106*DH109),0)</f>
        <v>0</v>
      </c>
      <c r="DM109" s="572">
        <f t="shared" ref="DM109" si="356">IF(DG109&gt;0,(S106*DH109),0)</f>
        <v>0</v>
      </c>
      <c r="DN109" s="569">
        <f t="shared" ref="DN109" si="357">IF(DG109&gt;0,(BN106*DH109),0)</f>
        <v>0</v>
      </c>
      <c r="DO109" s="569">
        <f t="shared" ref="DO109" si="358">IF(DG109&gt;0,(AF106*DH109),0)</f>
        <v>0</v>
      </c>
      <c r="DP109" s="569">
        <f>IF(DG109&gt;0,((DI109)*('BD P&amp;G'!$E$16+'BD P&amp;G'!$E$17+'BD P&amp;G'!$E$18+'BD P&amp;G'!$E$19+'BD P&amp;G'!$E$20+'BD P&amp;G'!$E$21+'BD P&amp;G'!$E$22+'BD P&amp;G'!$E$23)*DH109),0)</f>
        <v>0</v>
      </c>
      <c r="DQ109" s="569">
        <f>IFERROR(IF(DG109&gt;0,((DI109*'BD P&amp;G'!$E$7)+(DI109*'BD P&amp;G'!$E$9)+AI106),0),0)</f>
        <v>0</v>
      </c>
      <c r="DR109" s="569">
        <f t="shared" ref="DR109" si="359">IFERROR(IF(DG109&gt;0,((DI109*1%)),0),0)</f>
        <v>0</v>
      </c>
      <c r="DS109" s="569">
        <f>IFERROR(IF(DG109&gt;0,(((DI109*'BD P&amp;G'!$E$32+DI109*'BD P&amp;G'!$E$33+DI109*'BD P&amp;G'!$E$35+DI109*'BD P&amp;G'!$E$36+DI109*'BD P&amp;G'!$E$37))),0),0)</f>
        <v>0</v>
      </c>
      <c r="DT109" s="569">
        <f t="shared" ref="DT109" si="360">IF(DG109&gt;0,(Y106*DH109),0)</f>
        <v>0</v>
      </c>
      <c r="DU109" s="569">
        <f t="shared" ref="DU109" si="361">IF(DG109&gt;0,(Z106*DH109),0)</f>
        <v>0</v>
      </c>
      <c r="DV109" s="575">
        <f t="shared" ref="DV109" si="362">IF(DG109&gt;0,(Y110*DH109),0)</f>
        <v>0</v>
      </c>
      <c r="DW109" s="575">
        <f t="shared" ref="DW109" si="363">IF(DG109&gt;0,(Z110*DH109),0)</f>
        <v>0</v>
      </c>
      <c r="DX109" s="569">
        <f t="shared" ref="DX109" si="364">IF(DV109&gt;0,DJ109,0)</f>
        <v>0</v>
      </c>
      <c r="DY109" s="569">
        <f t="shared" ref="DY109" si="365">IF(DW109&gt;0,DJ109,0)</f>
        <v>0</v>
      </c>
    </row>
    <row r="110" spans="1:194" s="175" customFormat="1" ht="60" customHeight="1" x14ac:dyDescent="0.3">
      <c r="A110" s="366"/>
      <c r="B110" s="367"/>
      <c r="C110" s="393" t="s">
        <v>35</v>
      </c>
      <c r="D110" s="599" t="str">
        <f>IFERROR(VLOOKUP(D106,'BD GN'!C:E,3,),"")</f>
        <v/>
      </c>
      <c r="E110" s="599"/>
      <c r="F110" s="599"/>
      <c r="G110" s="599"/>
      <c r="H110" s="599"/>
      <c r="I110" s="599"/>
      <c r="J110" s="604"/>
      <c r="K110" s="604"/>
      <c r="L110" s="607"/>
      <c r="M110" s="559"/>
      <c r="N110" s="610"/>
      <c r="O110" s="613"/>
      <c r="P110" s="192"/>
      <c r="Q110" s="239"/>
      <c r="R110" s="221" t="s">
        <v>210</v>
      </c>
      <c r="S110" s="234" t="str">
        <f>IFERROR(IF(N106="","",N106/W110),"")</f>
        <v/>
      </c>
      <c r="T110" s="226"/>
      <c r="U110" s="206"/>
      <c r="V110" s="220"/>
      <c r="W110" s="242" t="str">
        <f>+IF(J106*K106&gt;=1,J106*K106,IF(AND(J106*K106&gt;0,J106*K106&lt;1),1,""))</f>
        <v/>
      </c>
      <c r="X110" s="221" t="s">
        <v>298</v>
      </c>
      <c r="Y110" s="461">
        <f>IFERROR(IF(D106='BD GN'!$C$25,COTIZACIÓN!W110,IF(D106='BD GN'!$C$26,COTIZACIÓN!W110,IF(D106='BD GN'!$C$27,COTIZACIÓN!W110,IF(COTIZACIÓN!D106='BD GN'!$C$28,COTIZACIÓN!W110,IF(COTIZACIÓN!D106='BD GN'!$C$29,COTIZACIÓN!W110,IF(COTIZACIÓN!D106='BD GN'!$C$35,COTIZACIÓN!W110,IF(COTIZACIÓN!D106='BD GN'!$C$36,COTIZACIÓN!W110,IF(COTIZACIÓN!D106='BD GN'!$C$37,COTIZACIÓN!W110,IF(COTIZACIÓN!D106='BD GN'!$C$38,COTIZACIÓN!W110,IF(COTIZACIÓN!D106='BD GN'!$C$39,COTIZACIÓN!W110,IF(COTIZACIÓN!D106='BD GN'!$C$40,COTIZACIÓN!W110,IF(COTIZACIÓN!D106='BD GN'!$C$41,COTIZACIÓN!W110,IF(COTIZACIÓN!D106='BD GN'!$C$42,COTIZACIÓN!W110,IF(COTIZACIÓN!D106='BD GN'!$C$49,COTIZACIÓN!W110,IF(COTIZACIÓN!D106='BD GN'!$C$50,COTIZACIÓN!W110,IF(COTIZACIÓN!D106='BD GN'!$C$51,COTIZACIÓN!W110,IF(COTIZACIÓN!D106='BD GN'!$C$67,COTIZACIÓN!W110,0))))))))))))))))),0)</f>
        <v>0</v>
      </c>
      <c r="Z110" s="461">
        <f>IFERROR(W110-Y110,0)</f>
        <v>0</v>
      </c>
      <c r="AA110" s="225"/>
      <c r="AB110" s="226"/>
      <c r="AC110" s="206"/>
      <c r="AD110" s="206"/>
      <c r="AE110" s="206"/>
      <c r="AF110" s="227"/>
      <c r="AG110" s="206"/>
      <c r="AH110" s="206"/>
      <c r="AI110" s="206"/>
      <c r="AJ110" s="206"/>
      <c r="AK110" s="227"/>
      <c r="AL110" s="210"/>
      <c r="AM110" s="206"/>
      <c r="AN110" s="206"/>
      <c r="AO110" s="228"/>
      <c r="AP110" s="229"/>
      <c r="AQ110" s="206"/>
      <c r="AR110" s="206"/>
      <c r="AS110" s="228"/>
      <c r="AT110" s="229"/>
      <c r="AU110" s="228"/>
      <c r="AV110" s="229"/>
      <c r="AW110" s="228"/>
      <c r="AX110" s="229"/>
      <c r="AY110" s="206"/>
      <c r="AZ110" s="229"/>
      <c r="BA110" s="210"/>
      <c r="BC110" s="211" t="s">
        <v>117</v>
      </c>
      <c r="BD110" s="210"/>
      <c r="BE110" s="177" t="str">
        <f>IFERROR(VLOOKUP(D106,'BD M.O'!C:I,6,FALSE),"")</f>
        <v/>
      </c>
      <c r="BF110" s="177" t="s">
        <v>261</v>
      </c>
      <c r="BI110" s="210"/>
      <c r="BO110" s="210"/>
      <c r="BP110" s="183"/>
      <c r="BQ110" s="183"/>
      <c r="BR110" s="183"/>
      <c r="BW110" s="210"/>
      <c r="CD110" s="184"/>
      <c r="CF110" s="185"/>
      <c r="CI110" s="184"/>
      <c r="CJ110" s="210"/>
      <c r="CK110" s="563"/>
      <c r="CM110" s="559"/>
      <c r="CN110" s="627"/>
      <c r="CO110" s="630"/>
      <c r="CP110" s="630"/>
      <c r="CQ110" s="630"/>
      <c r="CR110" s="630"/>
      <c r="CS110" s="630"/>
      <c r="CT110" s="633"/>
      <c r="CU110" s="563"/>
      <c r="CV110" s="561"/>
      <c r="CW110" s="563"/>
      <c r="CX110" s="561"/>
      <c r="CY110" s="563"/>
      <c r="CZ110" s="561"/>
      <c r="DA110" s="563"/>
      <c r="DB110" s="561"/>
      <c r="DC110" s="563"/>
      <c r="DD110" s="561"/>
      <c r="DG110" s="576"/>
      <c r="DH110" s="576"/>
      <c r="DI110" s="570"/>
      <c r="DJ110" s="570"/>
      <c r="DK110" s="570"/>
      <c r="DL110" s="570"/>
      <c r="DM110" s="573"/>
      <c r="DN110" s="570"/>
      <c r="DO110" s="570"/>
      <c r="DP110" s="570"/>
      <c r="DQ110" s="570"/>
      <c r="DR110" s="570"/>
      <c r="DS110" s="570"/>
      <c r="DT110" s="570"/>
      <c r="DU110" s="570"/>
      <c r="DV110" s="576"/>
      <c r="DW110" s="576"/>
      <c r="DX110" s="570"/>
      <c r="DY110" s="570"/>
    </row>
    <row r="111" spans="1:194" s="252" customFormat="1" ht="60" customHeight="1" x14ac:dyDescent="0.25">
      <c r="A111" s="368"/>
      <c r="B111" s="369"/>
      <c r="C111" s="396" t="s">
        <v>10</v>
      </c>
      <c r="D111" s="645" t="s">
        <v>32</v>
      </c>
      <c r="E111" s="645"/>
      <c r="F111" s="645"/>
      <c r="G111" s="645"/>
      <c r="H111" s="645"/>
      <c r="I111" s="645"/>
      <c r="J111" s="643"/>
      <c r="K111" s="643"/>
      <c r="L111" s="646"/>
      <c r="M111" s="648"/>
      <c r="N111" s="649"/>
      <c r="O111" s="644"/>
      <c r="P111" s="192"/>
      <c r="Q111" s="239"/>
      <c r="R111" s="334" t="s">
        <v>475</v>
      </c>
      <c r="S111" s="234" t="str">
        <f>IFERROR(IF($C$12='BD GN'!$CC$1,VLOOKUP(COTIZACIÓN!D106,'BD GN'!CB:CG,2,FALSE),IF(COTIZACIÓN!$C$12='BD GN'!$CD$1,VLOOKUP(COTIZACIÓN!D106,'BD GN'!CB:CG,3,FALSE),IF($C$12='BD GN'!$CE$1,VLOOKUP(COTIZACIÓN!D106,'BD GN'!CB:CG,4,FALSE),IF(COTIZACIÓN!$C$12='BD GN'!$CF$1,VLOOKUP(COTIZACIÓN!D106,'BD GN'!CB:CG,5,FALSE),IF(COTIZACIÓN!$C$12='BD GN'!$CG$1,VLOOKUP(COTIZACIÓN!D106,'BD GN'!CB:CG,6,FALSE),""))))),"-")</f>
        <v/>
      </c>
      <c r="T111" s="243"/>
      <c r="U111" s="244"/>
      <c r="V111" s="245"/>
      <c r="W111" s="177" t="s">
        <v>394</v>
      </c>
      <c r="X111" s="246">
        <f>IFERROR(SUM(W106:X106),"")</f>
        <v>0</v>
      </c>
      <c r="Y111" s="166" t="s">
        <v>404</v>
      </c>
      <c r="Z111" s="199" t="str">
        <f>IFERROR(Y106+Z106,"")</f>
        <v/>
      </c>
      <c r="AA111" s="247"/>
      <c r="AB111" s="243"/>
      <c r="AC111" s="244"/>
      <c r="AD111" s="244"/>
      <c r="AE111" s="244"/>
      <c r="AF111" s="227"/>
      <c r="AG111" s="206"/>
      <c r="AH111" s="206"/>
      <c r="AI111" s="206"/>
      <c r="AJ111" s="206"/>
      <c r="AK111" s="227"/>
      <c r="AL111" s="227"/>
      <c r="AM111" s="248"/>
      <c r="AN111" s="248"/>
      <c r="AO111" s="249"/>
      <c r="AP111" s="250"/>
      <c r="AQ111" s="248"/>
      <c r="AR111" s="248"/>
      <c r="AS111" s="249"/>
      <c r="AT111" s="250"/>
      <c r="AU111" s="249"/>
      <c r="AV111" s="250"/>
      <c r="AW111" s="249"/>
      <c r="AX111" s="250"/>
      <c r="AY111" s="248"/>
      <c r="AZ111" s="250"/>
      <c r="BA111" s="210"/>
      <c r="BB111" s="175"/>
      <c r="BC111" s="175" t="s">
        <v>118</v>
      </c>
      <c r="BD111" s="210"/>
      <c r="BE111" s="251" t="str">
        <f>IFERROR(VLOOKUP(D106,'BD M.O'!C:I,7,FALSE),"")</f>
        <v/>
      </c>
      <c r="BF111" s="251" t="s">
        <v>262</v>
      </c>
      <c r="BG111" s="175"/>
      <c r="BH111" s="175"/>
      <c r="BI111" s="210"/>
      <c r="BJ111" s="175"/>
      <c r="BK111" s="175"/>
      <c r="BL111" s="175"/>
      <c r="BM111" s="175"/>
      <c r="BN111" s="175"/>
      <c r="BO111" s="210"/>
      <c r="BP111" s="175"/>
      <c r="BQ111" s="175"/>
      <c r="BR111" s="175"/>
      <c r="BS111" s="183"/>
      <c r="BT111" s="183"/>
      <c r="BU111" s="183"/>
      <c r="BV111" s="183"/>
      <c r="BW111" s="210"/>
      <c r="BX111" s="175"/>
      <c r="BY111" s="175"/>
      <c r="BZ111" s="175"/>
      <c r="CA111" s="175"/>
      <c r="CB111" s="175"/>
      <c r="CC111" s="175"/>
      <c r="CD111" s="184"/>
      <c r="CE111" s="175"/>
      <c r="CF111" s="185"/>
      <c r="CG111" s="175"/>
      <c r="CH111" s="175"/>
      <c r="CI111" s="184"/>
      <c r="CJ111" s="210"/>
      <c r="CK111" s="564"/>
      <c r="CL111" s="257"/>
      <c r="CM111" s="597"/>
      <c r="CN111" s="628"/>
      <c r="CO111" s="631"/>
      <c r="CP111" s="631"/>
      <c r="CQ111" s="631"/>
      <c r="CR111" s="631"/>
      <c r="CS111" s="631"/>
      <c r="CT111" s="634"/>
      <c r="CU111" s="564"/>
      <c r="CV111" s="562"/>
      <c r="CW111" s="564"/>
      <c r="CX111" s="562"/>
      <c r="CY111" s="564"/>
      <c r="CZ111" s="562"/>
      <c r="DA111" s="564"/>
      <c r="DB111" s="562"/>
      <c r="DC111" s="564"/>
      <c r="DD111" s="562"/>
      <c r="DE111" s="175"/>
      <c r="DF111" s="175"/>
      <c r="DG111" s="577"/>
      <c r="DH111" s="577"/>
      <c r="DI111" s="571"/>
      <c r="DJ111" s="571"/>
      <c r="DK111" s="571"/>
      <c r="DL111" s="571"/>
      <c r="DM111" s="574"/>
      <c r="DN111" s="571"/>
      <c r="DO111" s="571"/>
      <c r="DP111" s="571"/>
      <c r="DQ111" s="571"/>
      <c r="DR111" s="571"/>
      <c r="DS111" s="571"/>
      <c r="DT111" s="571"/>
      <c r="DU111" s="571"/>
      <c r="DV111" s="577"/>
      <c r="DW111" s="577"/>
      <c r="DX111" s="571"/>
      <c r="DY111" s="571"/>
      <c r="DZ111" s="175"/>
      <c r="EA111" s="175"/>
      <c r="EB111" s="175"/>
      <c r="EC111" s="175"/>
      <c r="ED111" s="175"/>
      <c r="EE111" s="175"/>
      <c r="EF111" s="175"/>
      <c r="EG111" s="175"/>
      <c r="EH111" s="175"/>
      <c r="EI111" s="175"/>
      <c r="EJ111" s="175"/>
      <c r="EK111" s="175"/>
      <c r="EL111" s="175"/>
      <c r="EM111" s="175"/>
      <c r="EN111" s="175"/>
      <c r="EO111" s="175"/>
      <c r="EP111" s="175"/>
      <c r="EQ111" s="175"/>
      <c r="ER111" s="175"/>
      <c r="ES111" s="175"/>
      <c r="ET111" s="175"/>
      <c r="EU111" s="175"/>
      <c r="EV111" s="175"/>
      <c r="EW111" s="175"/>
      <c r="EX111" s="175"/>
      <c r="EY111" s="175"/>
      <c r="EZ111" s="175"/>
      <c r="FA111" s="175"/>
      <c r="FB111" s="175"/>
      <c r="FC111" s="175"/>
      <c r="FD111" s="175"/>
      <c r="FE111" s="175"/>
      <c r="FF111" s="175"/>
      <c r="FG111" s="175"/>
      <c r="FH111" s="175"/>
      <c r="FI111" s="175"/>
      <c r="FJ111" s="175"/>
      <c r="FK111" s="175"/>
      <c r="FL111" s="175"/>
      <c r="FM111" s="175"/>
      <c r="FN111" s="175"/>
      <c r="FO111" s="175"/>
      <c r="FP111" s="175"/>
      <c r="FQ111" s="175"/>
      <c r="FR111" s="175"/>
      <c r="FS111" s="175"/>
      <c r="FT111" s="175"/>
      <c r="FU111" s="175"/>
      <c r="FV111" s="175"/>
      <c r="FW111" s="175"/>
      <c r="FX111" s="175"/>
      <c r="FY111" s="175"/>
      <c r="FZ111" s="175"/>
      <c r="GA111" s="175"/>
      <c r="GB111" s="175"/>
      <c r="GC111" s="175"/>
      <c r="GD111" s="175"/>
      <c r="GE111" s="175"/>
      <c r="GF111" s="175"/>
      <c r="GG111" s="175"/>
      <c r="GH111" s="175"/>
      <c r="GI111" s="175"/>
      <c r="GJ111" s="175"/>
      <c r="GK111" s="175"/>
      <c r="GL111" s="175"/>
    </row>
    <row r="112" spans="1:194" s="255" customFormat="1" ht="60" customHeight="1" x14ac:dyDescent="0.3">
      <c r="A112" s="362" t="s">
        <v>193</v>
      </c>
      <c r="B112" s="363" t="s">
        <v>25</v>
      </c>
      <c r="C112" s="391" t="s">
        <v>174</v>
      </c>
      <c r="D112" s="640" t="s">
        <v>173</v>
      </c>
      <c r="E112" s="640"/>
      <c r="F112" s="640"/>
      <c r="G112" s="640"/>
      <c r="H112" s="640"/>
      <c r="I112" s="640"/>
      <c r="J112" s="418" t="s">
        <v>443</v>
      </c>
      <c r="K112" s="418" t="s">
        <v>444</v>
      </c>
      <c r="L112" s="418" t="s">
        <v>171</v>
      </c>
      <c r="M112" s="363" t="s">
        <v>2</v>
      </c>
      <c r="N112" s="419" t="s">
        <v>7</v>
      </c>
      <c r="O112" s="420" t="s">
        <v>8</v>
      </c>
      <c r="P112" s="159"/>
      <c r="Q112" s="164" t="s">
        <v>93</v>
      </c>
      <c r="R112" s="164" t="s">
        <v>34</v>
      </c>
      <c r="S112" s="164" t="s">
        <v>28</v>
      </c>
      <c r="T112" s="164" t="s">
        <v>95</v>
      </c>
      <c r="U112" s="164" t="s">
        <v>96</v>
      </c>
      <c r="V112" s="164" t="s">
        <v>97</v>
      </c>
      <c r="W112" s="164" t="s">
        <v>4</v>
      </c>
      <c r="X112" s="164" t="s">
        <v>103</v>
      </c>
      <c r="Y112" s="160" t="s">
        <v>402</v>
      </c>
      <c r="Z112" s="165" t="s">
        <v>403</v>
      </c>
      <c r="AA112" s="166" t="s">
        <v>404</v>
      </c>
      <c r="AB112" s="164" t="s">
        <v>99</v>
      </c>
      <c r="AC112" s="164" t="s">
        <v>395</v>
      </c>
      <c r="AD112" s="253" t="s">
        <v>36</v>
      </c>
      <c r="AE112" s="164" t="s">
        <v>389</v>
      </c>
      <c r="AF112" s="164" t="s">
        <v>390</v>
      </c>
      <c r="AG112" s="164" t="s">
        <v>164</v>
      </c>
      <c r="AH112" s="253" t="s">
        <v>396</v>
      </c>
      <c r="AI112" s="164" t="s">
        <v>190</v>
      </c>
      <c r="AJ112" s="164" t="s">
        <v>339</v>
      </c>
      <c r="AK112" s="253" t="s">
        <v>391</v>
      </c>
      <c r="AL112" s="253" t="s">
        <v>393</v>
      </c>
      <c r="AM112" s="167" t="s">
        <v>93</v>
      </c>
      <c r="AN112" s="168" t="s">
        <v>34</v>
      </c>
      <c r="AO112" s="169" t="s">
        <v>28</v>
      </c>
      <c r="AP112" s="170" t="s">
        <v>95</v>
      </c>
      <c r="AQ112" s="167" t="s">
        <v>3</v>
      </c>
      <c r="AR112" s="167" t="s">
        <v>96</v>
      </c>
      <c r="AS112" s="169" t="s">
        <v>97</v>
      </c>
      <c r="AT112" s="170" t="s">
        <v>4</v>
      </c>
      <c r="AU112" s="169" t="s">
        <v>103</v>
      </c>
      <c r="AV112" s="170" t="s">
        <v>99</v>
      </c>
      <c r="AW112" s="169" t="s">
        <v>36</v>
      </c>
      <c r="AX112" s="171" t="s">
        <v>29</v>
      </c>
      <c r="AY112" s="172" t="s">
        <v>190</v>
      </c>
      <c r="AZ112" s="173" t="s">
        <v>102</v>
      </c>
      <c r="BA112" s="174"/>
      <c r="BB112" s="183"/>
      <c r="BC112" s="211" t="s">
        <v>119</v>
      </c>
      <c r="BD112" s="174"/>
      <c r="BE112" s="176" t="s">
        <v>189</v>
      </c>
      <c r="BF112" s="177" t="str">
        <f>$BF$13</f>
        <v xml:space="preserve">VR SILICONA </v>
      </c>
      <c r="BG112" s="177" t="str">
        <f>$BG$13</f>
        <v xml:space="preserve">VR PELÍCULA </v>
      </c>
      <c r="BH112" s="254" t="str">
        <f>$BH$13</f>
        <v>VR EMBALAJE</v>
      </c>
      <c r="BI112" s="174"/>
      <c r="BJ112" s="176" t="str">
        <f>$BJ$13</f>
        <v>ESP. CRISTAL</v>
      </c>
      <c r="BK112" s="176" t="s">
        <v>130</v>
      </c>
      <c r="BL112" s="177" t="s">
        <v>28</v>
      </c>
      <c r="BM112" s="177" t="str">
        <f>BM105</f>
        <v>TOTAL</v>
      </c>
      <c r="BN112" s="177" t="s">
        <v>133</v>
      </c>
      <c r="BO112" s="174"/>
      <c r="BP112" s="175"/>
      <c r="BQ112" s="175"/>
      <c r="BR112" s="175"/>
      <c r="BS112" s="175"/>
      <c r="BT112" s="175"/>
      <c r="BU112" s="175"/>
      <c r="BV112" s="175"/>
      <c r="BW112" s="174"/>
      <c r="BX112" s="175"/>
      <c r="BY112" s="175"/>
      <c r="BZ112" s="175"/>
      <c r="CA112" s="175"/>
      <c r="CB112" s="175"/>
      <c r="CC112" s="175"/>
      <c r="CD112" s="184"/>
      <c r="CE112" s="175"/>
      <c r="CF112" s="185"/>
      <c r="CG112" s="175"/>
      <c r="CH112" s="175"/>
      <c r="CI112" s="184"/>
      <c r="CJ112" s="174"/>
      <c r="CK112" s="186" t="s">
        <v>415</v>
      </c>
      <c r="CL112" s="187" t="s">
        <v>417</v>
      </c>
      <c r="CM112" s="187" t="s">
        <v>416</v>
      </c>
      <c r="CN112" s="188" t="s">
        <v>418</v>
      </c>
      <c r="CO112" s="187" t="s">
        <v>417</v>
      </c>
      <c r="CP112" s="187" t="s">
        <v>409</v>
      </c>
      <c r="CQ112" s="187" t="s">
        <v>410</v>
      </c>
      <c r="CR112" s="187" t="s">
        <v>411</v>
      </c>
      <c r="CS112" s="187" t="s">
        <v>412</v>
      </c>
      <c r="CT112" s="187" t="s">
        <v>413</v>
      </c>
      <c r="CU112" s="189" t="s">
        <v>2</v>
      </c>
      <c r="CV112" s="190" t="s">
        <v>159</v>
      </c>
      <c r="CW112" s="189" t="s">
        <v>2</v>
      </c>
      <c r="CX112" s="190" t="s">
        <v>159</v>
      </c>
      <c r="CY112" s="189" t="s">
        <v>2</v>
      </c>
      <c r="CZ112" s="190" t="s">
        <v>159</v>
      </c>
      <c r="DA112" s="189" t="s">
        <v>2</v>
      </c>
      <c r="DB112" s="190" t="s">
        <v>159</v>
      </c>
      <c r="DC112" s="189" t="s">
        <v>2</v>
      </c>
      <c r="DD112" s="190" t="s">
        <v>159</v>
      </c>
      <c r="DE112" s="183"/>
      <c r="DF112" s="183"/>
      <c r="DG112" s="177" t="s">
        <v>505</v>
      </c>
      <c r="DH112" s="472" t="s">
        <v>509</v>
      </c>
      <c r="DI112" s="457" t="s">
        <v>506</v>
      </c>
      <c r="DJ112" s="457" t="s">
        <v>134</v>
      </c>
      <c r="DK112" s="457" t="s">
        <v>498</v>
      </c>
      <c r="DL112" s="457" t="s">
        <v>499</v>
      </c>
      <c r="DM112" s="457" t="s">
        <v>500</v>
      </c>
      <c r="DN112" s="457" t="s">
        <v>131</v>
      </c>
      <c r="DO112" s="457" t="s">
        <v>390</v>
      </c>
      <c r="DP112" s="457" t="s">
        <v>36</v>
      </c>
      <c r="DQ112" s="457" t="s">
        <v>501</v>
      </c>
      <c r="DR112" s="457" t="s">
        <v>502</v>
      </c>
      <c r="DS112" s="457" t="s">
        <v>503</v>
      </c>
      <c r="DT112" s="457" t="s">
        <v>4</v>
      </c>
      <c r="DU112" s="457" t="s">
        <v>504</v>
      </c>
      <c r="DV112" s="466" t="s">
        <v>507</v>
      </c>
      <c r="DW112" s="466" t="s">
        <v>508</v>
      </c>
      <c r="DX112" s="457" t="s">
        <v>510</v>
      </c>
      <c r="DY112" s="457" t="s">
        <v>511</v>
      </c>
      <c r="DZ112" s="183"/>
      <c r="EA112" s="183"/>
      <c r="EB112" s="183"/>
      <c r="EC112" s="183"/>
      <c r="ED112" s="183"/>
      <c r="EE112" s="183"/>
      <c r="EF112" s="183"/>
      <c r="EG112" s="183"/>
      <c r="EH112" s="183"/>
      <c r="EI112" s="183"/>
      <c r="EJ112" s="183"/>
      <c r="EK112" s="183"/>
      <c r="EL112" s="183"/>
      <c r="EM112" s="183"/>
      <c r="EN112" s="183"/>
      <c r="EO112" s="183"/>
      <c r="EP112" s="183"/>
      <c r="EQ112" s="183"/>
      <c r="ER112" s="183"/>
      <c r="ES112" s="183"/>
      <c r="ET112" s="183"/>
      <c r="EU112" s="183"/>
      <c r="EV112" s="183"/>
      <c r="EW112" s="183"/>
      <c r="EX112" s="183"/>
      <c r="EY112" s="183"/>
      <c r="EZ112" s="183"/>
      <c r="FA112" s="183"/>
      <c r="FB112" s="183"/>
      <c r="FC112" s="183"/>
      <c r="FD112" s="183"/>
      <c r="FE112" s="183"/>
      <c r="FF112" s="183"/>
      <c r="FG112" s="183"/>
      <c r="FH112" s="183"/>
      <c r="FI112" s="183"/>
      <c r="FJ112" s="183"/>
      <c r="FK112" s="183"/>
      <c r="FL112" s="183"/>
      <c r="FM112" s="183"/>
      <c r="FN112" s="183"/>
      <c r="FO112" s="183"/>
      <c r="FP112" s="183"/>
      <c r="FQ112" s="183"/>
      <c r="FR112" s="183"/>
      <c r="FS112" s="183"/>
      <c r="FT112" s="183"/>
      <c r="FU112" s="183"/>
      <c r="FV112" s="183"/>
      <c r="FW112" s="183"/>
      <c r="FX112" s="183"/>
      <c r="FY112" s="183"/>
      <c r="FZ112" s="183"/>
      <c r="GA112" s="183"/>
      <c r="GB112" s="183"/>
      <c r="GC112" s="183"/>
      <c r="GD112" s="183"/>
      <c r="GE112" s="183"/>
      <c r="GF112" s="183"/>
      <c r="GG112" s="183"/>
      <c r="GH112" s="183"/>
      <c r="GI112" s="183"/>
      <c r="GJ112" s="183"/>
      <c r="GK112" s="183"/>
      <c r="GL112" s="183"/>
    </row>
    <row r="113" spans="1:194" s="175" customFormat="1" ht="60" customHeight="1" x14ac:dyDescent="0.3">
      <c r="A113" s="364"/>
      <c r="B113" s="365"/>
      <c r="C113" s="392" t="s">
        <v>27</v>
      </c>
      <c r="D113" s="641"/>
      <c r="E113" s="641"/>
      <c r="F113" s="641"/>
      <c r="G113" s="641"/>
      <c r="H113" s="641"/>
      <c r="I113" s="641"/>
      <c r="J113" s="642"/>
      <c r="K113" s="642"/>
      <c r="L113" s="622">
        <f>J113*K113*M113</f>
        <v>0</v>
      </c>
      <c r="M113" s="623"/>
      <c r="N113" s="620">
        <f>IFERROR(AL113,"")</f>
        <v>1.0765546639999999</v>
      </c>
      <c r="O113" s="621">
        <f>IFERROR(N113*M113,"")</f>
        <v>0</v>
      </c>
      <c r="P113" s="192"/>
      <c r="Q113" s="193">
        <f>Q114+BF113+($R$350*Q114)</f>
        <v>0</v>
      </c>
      <c r="R113" s="193">
        <f>IFERROR(R114+($R$348*R114),"")</f>
        <v>0</v>
      </c>
      <c r="S113" s="194">
        <f>+IF(R115="SI",((W117*'BD GN'!$AB$2)+S114)*1,COTIZACIÓN!S114*1)+(P114*S114)</f>
        <v>0</v>
      </c>
      <c r="T113" s="195">
        <f>IFERROR(R113*IF(K113&lt;=3,$T$13,15%),"")</f>
        <v>0</v>
      </c>
      <c r="U113" s="196">
        <f>BH113+BG113</f>
        <v>0</v>
      </c>
      <c r="V113" s="197" t="str">
        <f>IFERROR(BN113,0)</f>
        <v/>
      </c>
      <c r="W113" s="198" t="str">
        <f>IFERROR(IF(X115="SI",W116*J113*K113,IF(BE113=3,BE115,IF(BE113=4,BE116,IF(BE113=5,BE117,IF(BE113&gt;5,BE117+(BE118*(BE113-5)),"")))))*0,"")</f>
        <v/>
      </c>
      <c r="X113" s="198" t="str">
        <f>IFERROR(IF(X114="NO",(VLOOKUP(D113,'BD M.O'!C:E,3,FALSE))*W117,((VLOOKUP(D113,'BD M.O'!C:E,3,FALSE))+7500)*W117),"")</f>
        <v/>
      </c>
      <c r="Y113" s="198">
        <f>IFERROR($Y$13*AK113,"")</f>
        <v>4.2084457416288003E-2</v>
      </c>
      <c r="Z113" s="332" t="str">
        <f>IFERROR(($Z$13*AK113)+X113,"")</f>
        <v/>
      </c>
      <c r="AA113" s="199" t="str">
        <f>IFERROR(Y113+Z113,"")</f>
        <v/>
      </c>
      <c r="AB113" s="200">
        <f>IFERROR((SUM(Q113:X113)-T113+T115)*$AB$13,"")</f>
        <v>0</v>
      </c>
      <c r="AC113" s="201">
        <f>IFERROR(((SUM(Q113:V113,IF(X118&gt;AA113,AVERAGE(X118,AA113),AA113))-T113+T115))*$AB$13,"")</f>
        <v>0</v>
      </c>
      <c r="AD113" s="202" t="str">
        <f>IFERROR((J113*K113*$BV$14),"")</f>
        <v/>
      </c>
      <c r="AE113" s="202">
        <f>IFERROR($AE$13*AK113,"")</f>
        <v>6.4010592649919984E-2</v>
      </c>
      <c r="AF113" s="203" t="str">
        <f>IFERROR(($CI$11+$CI$13)*W117,"")</f>
        <v/>
      </c>
      <c r="AG113" s="202">
        <f>IFERROR((SUM(Q113:X113,AB113,AD113,AF113)-T113+T115)*$AG$13,"")</f>
        <v>0</v>
      </c>
      <c r="AH113" s="202">
        <f>IFERROR((SUM(Q113:V113,(IF(X118&gt;AA113,AVERAGE(X118,AA113),AA113)),AC113,AE113,AF113)-T113+T115)*$AG$13,"")</f>
        <v>3.2005296324959992E-2</v>
      </c>
      <c r="AI113" s="204">
        <f>IFERROR(AL113*$AI$13,"")</f>
        <v>2.1531093279999997E-2</v>
      </c>
      <c r="AJ113" s="204">
        <f>IFERROR($AJ$13*AL113,"")</f>
        <v>6.007175025119999E-3</v>
      </c>
      <c r="AK113" s="205">
        <f>IFERROR(SUM(Q113:X113,AB113,AD113,AG113,AF113)/(1-$AI$13)+(1-$AJ$13)-T113+T115,"")</f>
        <v>0.99441999999999997</v>
      </c>
      <c r="AL113" s="205">
        <f>IFERROR(SUM(Q113:V113,AC113,(IF(AD113&gt;AE113,AVERAGE(AD113,AE113),AE113)),AF113,,AH113,(IF(SUM(X118)&gt;AA113,AVERAGE(AA113,X118),AA113)))/(1-$AJ$13)+(1-$AI$13)-T113+T115,"")</f>
        <v>1.0765546639999999</v>
      </c>
      <c r="AM113" s="206">
        <f>$M$15*Q113</f>
        <v>0</v>
      </c>
      <c r="AN113" s="207">
        <f>$M$15*R113</f>
        <v>0</v>
      </c>
      <c r="AO113" s="208">
        <f>$M$15*S113</f>
        <v>0</v>
      </c>
      <c r="AP113" s="207">
        <f>$M$15*T113</f>
        <v>0</v>
      </c>
      <c r="AQ113" s="207" t="e">
        <f>$M$15*#REF!</f>
        <v>#REF!</v>
      </c>
      <c r="AR113" s="207">
        <f>$M$15*U113</f>
        <v>0</v>
      </c>
      <c r="AS113" s="208" t="e">
        <f>$M$15*V113</f>
        <v>#VALUE!</v>
      </c>
      <c r="AT113" s="207" t="e">
        <f>$M$15*W113</f>
        <v>#VALUE!</v>
      </c>
      <c r="AU113" s="208" t="e">
        <f>$M$15*X113</f>
        <v>#VALUE!</v>
      </c>
      <c r="AV113" s="207">
        <f>$M$15*AB113</f>
        <v>0</v>
      </c>
      <c r="AW113" s="208">
        <f>$M$15*AE113</f>
        <v>0</v>
      </c>
      <c r="AX113" s="207">
        <f>$M$15*AG113</f>
        <v>0</v>
      </c>
      <c r="AY113" s="209">
        <f>$M$15*AI113</f>
        <v>0</v>
      </c>
      <c r="AZ113" s="207">
        <f>$M$15*AK113</f>
        <v>0</v>
      </c>
      <c r="BA113" s="210"/>
      <c r="BB113" s="175" t="s">
        <v>23</v>
      </c>
      <c r="BC113" s="211" t="s">
        <v>113</v>
      </c>
      <c r="BD113" s="210"/>
      <c r="BE113" s="212"/>
      <c r="BF113" s="213">
        <f>IF(BH114="NO",((2*J113)+(2*K113))*'BD GN'!$AU$3,((3*J113)+(2*K113))*'BD GN'!$AU$3)</f>
        <v>0</v>
      </c>
      <c r="BG113" s="213">
        <f>'BD GN'!$BB$3*J113*K113</f>
        <v>0</v>
      </c>
      <c r="BH113" s="214">
        <f>((J113*2*BE113)+(K113*2*BE113))*'BD GN'!$AN$4</f>
        <v>0</v>
      </c>
      <c r="BI113" s="210"/>
      <c r="BJ113" s="212"/>
      <c r="BK113" s="212"/>
      <c r="BL113" s="215">
        <f>J113*K113*2.5*BJ113</f>
        <v>0</v>
      </c>
      <c r="BM113" s="215">
        <f>BK113+BL113</f>
        <v>0</v>
      </c>
      <c r="BN113" s="216" t="str">
        <f>IFERROR((VLOOKUP($C$12,'BD GN'!BD:BM,10,FALSE)*BM113)+$BR$338,"")</f>
        <v/>
      </c>
      <c r="BO113" s="210"/>
      <c r="BW113" s="210"/>
      <c r="CD113" s="184"/>
      <c r="CF113" s="185"/>
      <c r="CI113" s="184"/>
      <c r="CJ113" s="210"/>
      <c r="CK113" s="565"/>
      <c r="CL113" s="256"/>
      <c r="CM113" s="596"/>
      <c r="CN113" s="626"/>
      <c r="CO113" s="629"/>
      <c r="CP113" s="629"/>
      <c r="CQ113" s="629"/>
      <c r="CR113" s="629"/>
      <c r="CS113" s="629"/>
      <c r="CT113" s="632"/>
      <c r="CU113" s="565"/>
      <c r="CV113" s="560">
        <f>IFERROR(N113*CU113,"")</f>
        <v>0</v>
      </c>
      <c r="CW113" s="565"/>
      <c r="CX113" s="560">
        <f>IFERROR(P113*CW113,"")</f>
        <v>0</v>
      </c>
      <c r="CY113" s="565"/>
      <c r="CZ113" s="560">
        <f>IFERROR(R113*CY113,"")</f>
        <v>0</v>
      </c>
      <c r="DA113" s="565">
        <f t="shared" ref="DA113" si="366">CU113+CW113+CY113</f>
        <v>0</v>
      </c>
      <c r="DB113" s="560">
        <f t="shared" ref="DB113" si="367">IFERROR(CV113+CX113+CZ113,"")</f>
        <v>0</v>
      </c>
      <c r="DC113" s="565">
        <f>M113-(CU113+CW113+CY113)</f>
        <v>0</v>
      </c>
      <c r="DD113" s="560">
        <f>IFERROR(O113-(CV113+CX113+CZ113),"")</f>
        <v>0</v>
      </c>
      <c r="DG113" s="575"/>
      <c r="DH113" s="575"/>
      <c r="DI113" s="569">
        <f t="shared" ref="DI113" si="368">IFERROR(IF(DG113&gt;0,(((N113)/(1+10%+19%*5%)+((N113)/(1+10%+19%*5%))*10%)*DH113),0),0)</f>
        <v>0</v>
      </c>
      <c r="DJ113" s="569">
        <f t="shared" ref="DJ113" si="369">IFERROR(IF(DG113&gt;0,(N113*DH113),0),0)</f>
        <v>0</v>
      </c>
      <c r="DK113" s="569">
        <f t="shared" ref="DK113" si="370">IF(DG113&gt;0,((R113+T113)*DH113),0)</f>
        <v>0</v>
      </c>
      <c r="DL113" s="569">
        <f t="shared" ref="DL113" si="371">IF(DG113&gt;0,(Q113*DH113),0)</f>
        <v>0</v>
      </c>
      <c r="DM113" s="572">
        <f t="shared" ref="DM113" si="372">IF(DG113&gt;0,(S113*DH113),0)</f>
        <v>0</v>
      </c>
      <c r="DN113" s="569">
        <f t="shared" ref="DN113" si="373">IF(DG113&gt;0,(BN113*DH113),0)</f>
        <v>0</v>
      </c>
      <c r="DO113" s="569">
        <f t="shared" ref="DO113" si="374">IF(DG113&gt;0,(AF113*DH113),0)</f>
        <v>0</v>
      </c>
      <c r="DP113" s="569">
        <f>IF(DG113&gt;0,((DI113)*('BD P&amp;G'!$E$16+'BD P&amp;G'!$E$17+'BD P&amp;G'!$E$18+'BD P&amp;G'!$E$19+'BD P&amp;G'!$E$20+'BD P&amp;G'!$E$21+'BD P&amp;G'!$E$22+'BD P&amp;G'!$E$23)*DH113),0)</f>
        <v>0</v>
      </c>
      <c r="DQ113" s="569">
        <f>IFERROR(IF(DG113&gt;0,((DI113*'BD P&amp;G'!$E$7)+(DI113*'BD P&amp;G'!$E$9)+AI113),0),0)</f>
        <v>0</v>
      </c>
      <c r="DR113" s="569">
        <f t="shared" ref="DR113" si="375">IFERROR(IF(DG113&gt;0,((DI113*1%)),0),0)</f>
        <v>0</v>
      </c>
      <c r="DS113" s="569">
        <f>IFERROR(IF(DG113&gt;0,(((DI113*'BD P&amp;G'!$E$32+DI113*'BD P&amp;G'!$E$33+DI113*'BD P&amp;G'!$E$35+DI113*'BD P&amp;G'!$E$36+DI113*'BD P&amp;G'!$E$37))),0),0)</f>
        <v>0</v>
      </c>
      <c r="DT113" s="569">
        <f t="shared" ref="DT113" si="376">IF(DG113&gt;0,(Y113*DH113),0)</f>
        <v>0</v>
      </c>
      <c r="DU113" s="569">
        <f t="shared" ref="DU113" si="377">IF(DG113&gt;0,(Z113*DH113),0)</f>
        <v>0</v>
      </c>
      <c r="DV113" s="575">
        <f t="shared" ref="DV113" si="378">IF(DG113&gt;0,(Y117*DH113),0)</f>
        <v>0</v>
      </c>
      <c r="DW113" s="575">
        <f t="shared" ref="DW113" si="379">IF(DG113&gt;0,(Z117*DH113),0)</f>
        <v>0</v>
      </c>
      <c r="DX113" s="569">
        <f t="shared" ref="DX113" si="380">IF(DV113&gt;0,DJ113,0)</f>
        <v>0</v>
      </c>
      <c r="DY113" s="569">
        <f t="shared" ref="DY113" si="381">IF(DW113&gt;0,DJ113,0)</f>
        <v>0</v>
      </c>
    </row>
    <row r="114" spans="1:194" s="175" customFormat="1" ht="60" customHeight="1" x14ac:dyDescent="0.25">
      <c r="A114" s="366"/>
      <c r="B114" s="367"/>
      <c r="C114" s="393" t="s">
        <v>28</v>
      </c>
      <c r="D114" s="598"/>
      <c r="E114" s="598"/>
      <c r="F114" s="598"/>
      <c r="G114" s="598"/>
      <c r="H114" s="598"/>
      <c r="I114" s="598"/>
      <c r="J114" s="604"/>
      <c r="K114" s="604"/>
      <c r="L114" s="607"/>
      <c r="M114" s="559"/>
      <c r="N114" s="610"/>
      <c r="O114" s="613"/>
      <c r="P114" s="192"/>
      <c r="Q114" s="217"/>
      <c r="R114" s="217"/>
      <c r="S114" s="218"/>
      <c r="T114" s="219">
        <f>IFERROR(T113/$R$353,"")</f>
        <v>0</v>
      </c>
      <c r="U114" s="206"/>
      <c r="V114" s="220"/>
      <c r="W114" s="221" t="s">
        <v>239</v>
      </c>
      <c r="X114" s="222" t="s">
        <v>204</v>
      </c>
      <c r="Y114" s="223"/>
      <c r="Z114" s="224"/>
      <c r="AA114" s="225"/>
      <c r="AB114" s="226"/>
      <c r="AC114" s="206"/>
      <c r="AD114" s="206"/>
      <c r="AE114" s="206"/>
      <c r="AF114" s="227"/>
      <c r="AG114" s="206"/>
      <c r="AH114" s="206"/>
      <c r="AI114" s="206"/>
      <c r="AJ114" s="206"/>
      <c r="AK114" s="227"/>
      <c r="AL114" s="210"/>
      <c r="AM114" s="206"/>
      <c r="AN114" s="206"/>
      <c r="AO114" s="228"/>
      <c r="AP114" s="229"/>
      <c r="AQ114" s="206"/>
      <c r="AR114" s="206"/>
      <c r="AS114" s="228"/>
      <c r="AT114" s="229"/>
      <c r="AU114" s="228"/>
      <c r="AV114" s="229"/>
      <c r="AW114" s="228"/>
      <c r="AX114" s="229"/>
      <c r="AY114" s="206"/>
      <c r="AZ114" s="229"/>
      <c r="BA114" s="210"/>
      <c r="BB114" s="175" t="s">
        <v>24</v>
      </c>
      <c r="BC114" s="175" t="s">
        <v>114</v>
      </c>
      <c r="BD114" s="210"/>
      <c r="BE114" s="176" t="s">
        <v>206</v>
      </c>
      <c r="BF114" s="230" t="s">
        <v>204</v>
      </c>
      <c r="BG114" s="176" t="s">
        <v>290</v>
      </c>
      <c r="BH114" s="231" t="s">
        <v>204</v>
      </c>
      <c r="BI114" s="210"/>
      <c r="BN114" s="232"/>
      <c r="BO114" s="210"/>
      <c r="BV114" s="184"/>
      <c r="BW114" s="210"/>
      <c r="CD114" s="184"/>
      <c r="CF114" s="185"/>
      <c r="CI114" s="184"/>
      <c r="CJ114" s="210"/>
      <c r="CK114" s="563"/>
      <c r="CM114" s="559"/>
      <c r="CN114" s="627"/>
      <c r="CO114" s="630"/>
      <c r="CP114" s="630"/>
      <c r="CQ114" s="630"/>
      <c r="CR114" s="630"/>
      <c r="CS114" s="630"/>
      <c r="CT114" s="633"/>
      <c r="CU114" s="563"/>
      <c r="CV114" s="561"/>
      <c r="CW114" s="563"/>
      <c r="CX114" s="561"/>
      <c r="CY114" s="563"/>
      <c r="CZ114" s="561"/>
      <c r="DA114" s="563"/>
      <c r="DB114" s="561"/>
      <c r="DC114" s="563"/>
      <c r="DD114" s="561"/>
      <c r="DG114" s="576"/>
      <c r="DH114" s="576"/>
      <c r="DI114" s="570"/>
      <c r="DJ114" s="570"/>
      <c r="DK114" s="570"/>
      <c r="DL114" s="570"/>
      <c r="DM114" s="573"/>
      <c r="DN114" s="570"/>
      <c r="DO114" s="570"/>
      <c r="DP114" s="570"/>
      <c r="DQ114" s="570"/>
      <c r="DR114" s="570"/>
      <c r="DS114" s="570"/>
      <c r="DT114" s="570"/>
      <c r="DU114" s="570"/>
      <c r="DV114" s="576"/>
      <c r="DW114" s="576"/>
      <c r="DX114" s="570"/>
      <c r="DY114" s="570"/>
    </row>
    <row r="115" spans="1:194" s="175" customFormat="1" ht="60" customHeight="1" x14ac:dyDescent="0.3">
      <c r="A115" s="366"/>
      <c r="B115" s="367"/>
      <c r="C115" s="393" t="s">
        <v>30</v>
      </c>
      <c r="D115" s="599"/>
      <c r="E115" s="599"/>
      <c r="F115" s="599"/>
      <c r="G115" s="599"/>
      <c r="H115" s="599"/>
      <c r="I115" s="599"/>
      <c r="J115" s="604"/>
      <c r="K115" s="604"/>
      <c r="L115" s="607"/>
      <c r="M115" s="559"/>
      <c r="N115" s="610"/>
      <c r="O115" s="613"/>
      <c r="P115" s="192"/>
      <c r="Q115" s="176" t="s">
        <v>205</v>
      </c>
      <c r="R115" s="233" t="s">
        <v>204</v>
      </c>
      <c r="S115" s="234"/>
      <c r="T115" s="235">
        <f>IFERROR(($R$353-8000)*T114,"")</f>
        <v>0</v>
      </c>
      <c r="U115" s="206"/>
      <c r="V115" s="220"/>
      <c r="W115" s="221" t="s">
        <v>258</v>
      </c>
      <c r="X115" s="222" t="s">
        <v>204</v>
      </c>
      <c r="Y115" s="236"/>
      <c r="Z115" s="237"/>
      <c r="AA115" s="225"/>
      <c r="AB115" s="226"/>
      <c r="AC115" s="206"/>
      <c r="AD115" s="206"/>
      <c r="AE115" s="206"/>
      <c r="AF115" s="227"/>
      <c r="AG115" s="206"/>
      <c r="AH115" s="206"/>
      <c r="AI115" s="206"/>
      <c r="AJ115" s="206"/>
      <c r="AK115" s="227"/>
      <c r="AL115" s="238"/>
      <c r="AM115" s="206"/>
      <c r="AN115" s="206"/>
      <c r="AO115" s="228"/>
      <c r="AP115" s="229"/>
      <c r="AQ115" s="206"/>
      <c r="AR115" s="206"/>
      <c r="AS115" s="228"/>
      <c r="AT115" s="229"/>
      <c r="AU115" s="228"/>
      <c r="AV115" s="229"/>
      <c r="AW115" s="228"/>
      <c r="AX115" s="229"/>
      <c r="AY115" s="206"/>
      <c r="AZ115" s="229"/>
      <c r="BA115" s="210"/>
      <c r="BB115" s="175" t="s">
        <v>26</v>
      </c>
      <c r="BC115" s="211" t="s">
        <v>115</v>
      </c>
      <c r="BD115" s="210"/>
      <c r="BE115" s="177" t="str">
        <f>IFERROR(VLOOKUP(D113,'BD M.O'!C:H,4,FALSE),"")</f>
        <v/>
      </c>
      <c r="BF115" s="177" t="s">
        <v>259</v>
      </c>
      <c r="BI115" s="210"/>
      <c r="BO115" s="210"/>
      <c r="BV115" s="184"/>
      <c r="BW115" s="210"/>
      <c r="CD115" s="184"/>
      <c r="CF115" s="185"/>
      <c r="CI115" s="184"/>
      <c r="CJ115" s="210"/>
      <c r="CK115" s="563"/>
      <c r="CM115" s="559"/>
      <c r="CN115" s="627"/>
      <c r="CO115" s="630"/>
      <c r="CP115" s="630"/>
      <c r="CQ115" s="630"/>
      <c r="CR115" s="630"/>
      <c r="CS115" s="630"/>
      <c r="CT115" s="633"/>
      <c r="CU115" s="563"/>
      <c r="CV115" s="561"/>
      <c r="CW115" s="563"/>
      <c r="CX115" s="561"/>
      <c r="CY115" s="563"/>
      <c r="CZ115" s="561"/>
      <c r="DA115" s="563"/>
      <c r="DB115" s="561"/>
      <c r="DC115" s="563"/>
      <c r="DD115" s="561"/>
      <c r="DG115" s="577"/>
      <c r="DH115" s="577"/>
      <c r="DI115" s="571"/>
      <c r="DJ115" s="571"/>
      <c r="DK115" s="571"/>
      <c r="DL115" s="571"/>
      <c r="DM115" s="574"/>
      <c r="DN115" s="571"/>
      <c r="DO115" s="571"/>
      <c r="DP115" s="571"/>
      <c r="DQ115" s="571"/>
      <c r="DR115" s="571"/>
      <c r="DS115" s="571"/>
      <c r="DT115" s="571"/>
      <c r="DU115" s="571"/>
      <c r="DV115" s="577"/>
      <c r="DW115" s="577"/>
      <c r="DX115" s="571"/>
      <c r="DY115" s="571"/>
    </row>
    <row r="116" spans="1:194" s="175" customFormat="1" ht="60" customHeight="1" x14ac:dyDescent="0.25">
      <c r="A116" s="366"/>
      <c r="B116" s="367"/>
      <c r="C116" s="395" t="s">
        <v>180</v>
      </c>
      <c r="D116" s="599" t="s">
        <v>31</v>
      </c>
      <c r="E116" s="599"/>
      <c r="F116" s="394" t="s">
        <v>9</v>
      </c>
      <c r="G116" s="599" t="s">
        <v>33</v>
      </c>
      <c r="H116" s="599"/>
      <c r="I116" s="394" t="str">
        <f>+IF($BG$9="SI","","X")</f>
        <v>X</v>
      </c>
      <c r="J116" s="604"/>
      <c r="K116" s="604"/>
      <c r="L116" s="607"/>
      <c r="M116" s="559"/>
      <c r="N116" s="610"/>
      <c r="O116" s="613"/>
      <c r="P116" s="192"/>
      <c r="Q116" s="239"/>
      <c r="R116" s="221" t="s">
        <v>209</v>
      </c>
      <c r="S116" s="234" t="str">
        <f>IF(S114="","",S114/(J113*K113))</f>
        <v/>
      </c>
      <c r="T116" s="226"/>
      <c r="U116" s="206"/>
      <c r="V116" s="220"/>
      <c r="W116" s="239" t="str">
        <f>IFERROR(IF(X115="SI",VLOOKUP(D113,'BD M.O'!C:F,4,FALSE),""),"")</f>
        <v/>
      </c>
      <c r="X116" s="221" t="s">
        <v>258</v>
      </c>
      <c r="Y116" s="221" t="s">
        <v>507</v>
      </c>
      <c r="Z116" s="221" t="s">
        <v>508</v>
      </c>
      <c r="AA116" s="225"/>
      <c r="AB116" s="226"/>
      <c r="AC116" s="206"/>
      <c r="AD116" s="206"/>
      <c r="AE116" s="206"/>
      <c r="AF116" s="227"/>
      <c r="AG116" s="206"/>
      <c r="AH116" s="206"/>
      <c r="AI116" s="206"/>
      <c r="AJ116" s="206"/>
      <c r="AK116" s="227"/>
      <c r="AL116" s="240"/>
      <c r="AM116" s="206"/>
      <c r="AN116" s="206"/>
      <c r="AO116" s="228"/>
      <c r="AP116" s="229"/>
      <c r="AQ116" s="206"/>
      <c r="AR116" s="206"/>
      <c r="AS116" s="228"/>
      <c r="AT116" s="229"/>
      <c r="AU116" s="228"/>
      <c r="AV116" s="229"/>
      <c r="AW116" s="228"/>
      <c r="AX116" s="229"/>
      <c r="AY116" s="206"/>
      <c r="AZ116" s="229"/>
      <c r="BA116" s="210"/>
      <c r="BC116" s="175" t="s">
        <v>116</v>
      </c>
      <c r="BD116" s="210"/>
      <c r="BE116" s="177" t="str">
        <f>IFERROR(VLOOKUP(COTIZACIÓN!D113,'BD M.O'!C:I,5,FALSE),"")</f>
        <v/>
      </c>
      <c r="BF116" s="177" t="s">
        <v>260</v>
      </c>
      <c r="BI116" s="210"/>
      <c r="BO116" s="210"/>
      <c r="BP116" s="183"/>
      <c r="BQ116" s="183"/>
      <c r="BR116" s="183"/>
      <c r="BS116" s="183"/>
      <c r="BT116" s="183"/>
      <c r="BU116" s="183"/>
      <c r="BV116" s="182"/>
      <c r="BW116" s="210"/>
      <c r="BX116" s="183"/>
      <c r="BY116" s="183"/>
      <c r="BZ116" s="183"/>
      <c r="CA116" s="183"/>
      <c r="CB116" s="183"/>
      <c r="CC116" s="183"/>
      <c r="CD116" s="182"/>
      <c r="CE116" s="183"/>
      <c r="CF116" s="241"/>
      <c r="CG116" s="183"/>
      <c r="CH116" s="183"/>
      <c r="CI116" s="182"/>
      <c r="CJ116" s="210"/>
      <c r="CK116" s="563"/>
      <c r="CM116" s="559"/>
      <c r="CN116" s="627"/>
      <c r="CO116" s="630"/>
      <c r="CP116" s="630"/>
      <c r="CQ116" s="630"/>
      <c r="CR116" s="630"/>
      <c r="CS116" s="630"/>
      <c r="CT116" s="633"/>
      <c r="CU116" s="563"/>
      <c r="CV116" s="561"/>
      <c r="CW116" s="563"/>
      <c r="CX116" s="561"/>
      <c r="CY116" s="563"/>
      <c r="CZ116" s="561"/>
      <c r="DA116" s="563"/>
      <c r="DB116" s="561"/>
      <c r="DC116" s="563"/>
      <c r="DD116" s="561"/>
      <c r="DG116" s="575"/>
      <c r="DH116" s="575"/>
      <c r="DI116" s="569">
        <f t="shared" ref="DI116" si="382">IFERROR(IF(DG116&gt;0,(((N113)/(1+10%+19%*5%)+((N113)/(1+10%+19%*5%))*10%)*DH116),0),0)</f>
        <v>0</v>
      </c>
      <c r="DJ116" s="569">
        <f t="shared" ref="DJ116" si="383">IFERROR(IF(DG116&gt;0,(N113*DH116),0),0)</f>
        <v>0</v>
      </c>
      <c r="DK116" s="569">
        <f t="shared" ref="DK116" si="384">IF(DG116&gt;0,((R113+T113)*DH116),0)</f>
        <v>0</v>
      </c>
      <c r="DL116" s="569">
        <f t="shared" ref="DL116" si="385">IF(DG116&gt;0,(Q113*DH116),0)</f>
        <v>0</v>
      </c>
      <c r="DM116" s="572">
        <f t="shared" ref="DM116" si="386">IF(DG116&gt;0,(S113*DH116),0)</f>
        <v>0</v>
      </c>
      <c r="DN116" s="569">
        <f t="shared" ref="DN116" si="387">IF(DG116&gt;0,(BN113*DH116),0)</f>
        <v>0</v>
      </c>
      <c r="DO116" s="569">
        <f t="shared" ref="DO116" si="388">IF(DG116&gt;0,(AF113*DH116),0)</f>
        <v>0</v>
      </c>
      <c r="DP116" s="569">
        <f>IF(DG116&gt;0,((DI116)*('BD P&amp;G'!$E$16+'BD P&amp;G'!$E$17+'BD P&amp;G'!$E$18+'BD P&amp;G'!$E$19+'BD P&amp;G'!$E$20+'BD P&amp;G'!$E$21+'BD P&amp;G'!$E$22+'BD P&amp;G'!$E$23)*DH116),0)</f>
        <v>0</v>
      </c>
      <c r="DQ116" s="569">
        <f>IFERROR(IF(DG116&gt;0,((DI116*'BD P&amp;G'!$E$7)+(DI116*'BD P&amp;G'!$E$9)+AI113),0),0)</f>
        <v>0</v>
      </c>
      <c r="DR116" s="569">
        <f t="shared" ref="DR116" si="389">IFERROR(IF(DG116&gt;0,((DI116*1%)),0),0)</f>
        <v>0</v>
      </c>
      <c r="DS116" s="569">
        <f>IFERROR(IF(DG116&gt;0,(((DI116*'BD P&amp;G'!$E$32+DI116*'BD P&amp;G'!$E$33+DI116*'BD P&amp;G'!$E$35+DI116*'BD P&amp;G'!$E$36+DI116*'BD P&amp;G'!$E$37))),0),0)</f>
        <v>0</v>
      </c>
      <c r="DT116" s="569">
        <f t="shared" ref="DT116" si="390">IF(DG116&gt;0,(Y113*DH116),0)</f>
        <v>0</v>
      </c>
      <c r="DU116" s="569">
        <f t="shared" ref="DU116" si="391">IF(DG116&gt;0,(Z113*DH116),0)</f>
        <v>0</v>
      </c>
      <c r="DV116" s="575">
        <f t="shared" ref="DV116" si="392">IF(DG116&gt;0,(Y117*DH116),0)</f>
        <v>0</v>
      </c>
      <c r="DW116" s="575">
        <f t="shared" ref="DW116" si="393">IF(DG116&gt;0,(Z117*DH116),0)</f>
        <v>0</v>
      </c>
      <c r="DX116" s="569">
        <f t="shared" ref="DX116" si="394">IF(DV116&gt;0,DJ116,0)</f>
        <v>0</v>
      </c>
      <c r="DY116" s="569">
        <f t="shared" ref="DY116" si="395">IF(DW116&gt;0,DJ116,0)</f>
        <v>0</v>
      </c>
    </row>
    <row r="117" spans="1:194" s="175" customFormat="1" ht="60" customHeight="1" x14ac:dyDescent="0.3">
      <c r="A117" s="366"/>
      <c r="B117" s="367"/>
      <c r="C117" s="393" t="s">
        <v>35</v>
      </c>
      <c r="D117" s="599" t="str">
        <f>IFERROR(VLOOKUP(D113,'BD GN'!C:E,3,),"")</f>
        <v/>
      </c>
      <c r="E117" s="599"/>
      <c r="F117" s="599"/>
      <c r="G117" s="599"/>
      <c r="H117" s="599"/>
      <c r="I117" s="599"/>
      <c r="J117" s="604"/>
      <c r="K117" s="604"/>
      <c r="L117" s="607"/>
      <c r="M117" s="559"/>
      <c r="N117" s="610"/>
      <c r="O117" s="613"/>
      <c r="P117" s="192"/>
      <c r="Q117" s="239"/>
      <c r="R117" s="221" t="s">
        <v>210</v>
      </c>
      <c r="S117" s="234" t="str">
        <f>IFERROR(IF(N113="","",N113/W117),"")</f>
        <v/>
      </c>
      <c r="T117" s="226"/>
      <c r="U117" s="206"/>
      <c r="V117" s="220"/>
      <c r="W117" s="242" t="str">
        <f>+IF(J113*K113&gt;=1,J113*K113,IF(AND(J113*K113&gt;0,J113*K113&lt;1),1,""))</f>
        <v/>
      </c>
      <c r="X117" s="221" t="s">
        <v>298</v>
      </c>
      <c r="Y117" s="461">
        <f>IFERROR(IF(D113='BD GN'!$C$25,COTIZACIÓN!W117,IF(D113='BD GN'!$C$26,COTIZACIÓN!W117,IF(D113='BD GN'!$C$27,COTIZACIÓN!W117,IF(COTIZACIÓN!D113='BD GN'!$C$28,COTIZACIÓN!W117,IF(COTIZACIÓN!D113='BD GN'!$C$29,COTIZACIÓN!W117,IF(COTIZACIÓN!D113='BD GN'!$C$35,COTIZACIÓN!W117,IF(COTIZACIÓN!D113='BD GN'!$C$36,COTIZACIÓN!W117,IF(COTIZACIÓN!D113='BD GN'!$C$37,COTIZACIÓN!W117,IF(COTIZACIÓN!D113='BD GN'!$C$38,COTIZACIÓN!W117,IF(COTIZACIÓN!D113='BD GN'!$C$39,COTIZACIÓN!W117,IF(COTIZACIÓN!D113='BD GN'!$C$40,COTIZACIÓN!W117,IF(COTIZACIÓN!D113='BD GN'!$C$41,COTIZACIÓN!W117,IF(COTIZACIÓN!D113='BD GN'!$C$42,COTIZACIÓN!W117,IF(COTIZACIÓN!D113='BD GN'!$C$49,COTIZACIÓN!W117,IF(COTIZACIÓN!D113='BD GN'!$C$50,COTIZACIÓN!W117,IF(COTIZACIÓN!D113='BD GN'!$C$51,COTIZACIÓN!W117,IF(COTIZACIÓN!D113='BD GN'!$C$67,COTIZACIÓN!W117,0))))))))))))))))),0)</f>
        <v>0</v>
      </c>
      <c r="Z117" s="461">
        <f>IFERROR(W117-Y117,0)</f>
        <v>0</v>
      </c>
      <c r="AA117" s="225"/>
      <c r="AB117" s="226"/>
      <c r="AC117" s="206"/>
      <c r="AD117" s="206"/>
      <c r="AE117" s="206"/>
      <c r="AF117" s="227"/>
      <c r="AG117" s="206"/>
      <c r="AH117" s="206"/>
      <c r="AI117" s="206"/>
      <c r="AJ117" s="206"/>
      <c r="AK117" s="227"/>
      <c r="AL117" s="210"/>
      <c r="AM117" s="206"/>
      <c r="AN117" s="206"/>
      <c r="AO117" s="228"/>
      <c r="AP117" s="229"/>
      <c r="AQ117" s="206"/>
      <c r="AR117" s="206"/>
      <c r="AS117" s="228"/>
      <c r="AT117" s="229"/>
      <c r="AU117" s="228"/>
      <c r="AV117" s="229"/>
      <c r="AW117" s="228"/>
      <c r="AX117" s="229"/>
      <c r="AY117" s="206"/>
      <c r="AZ117" s="229"/>
      <c r="BA117" s="210"/>
      <c r="BC117" s="211" t="s">
        <v>117</v>
      </c>
      <c r="BD117" s="210"/>
      <c r="BE117" s="177" t="str">
        <f>IFERROR(VLOOKUP(D113,'BD M.O'!C:I,6,FALSE),"")</f>
        <v/>
      </c>
      <c r="BF117" s="177" t="s">
        <v>261</v>
      </c>
      <c r="BI117" s="210"/>
      <c r="BO117" s="210"/>
      <c r="BP117" s="183"/>
      <c r="BQ117" s="183"/>
      <c r="BR117" s="183"/>
      <c r="BW117" s="210"/>
      <c r="CD117" s="184"/>
      <c r="CF117" s="185"/>
      <c r="CI117" s="184"/>
      <c r="CJ117" s="210"/>
      <c r="CK117" s="563"/>
      <c r="CM117" s="559"/>
      <c r="CN117" s="627"/>
      <c r="CO117" s="630"/>
      <c r="CP117" s="630"/>
      <c r="CQ117" s="630"/>
      <c r="CR117" s="630"/>
      <c r="CS117" s="630"/>
      <c r="CT117" s="633"/>
      <c r="CU117" s="563"/>
      <c r="CV117" s="561"/>
      <c r="CW117" s="563"/>
      <c r="CX117" s="561"/>
      <c r="CY117" s="563"/>
      <c r="CZ117" s="561"/>
      <c r="DA117" s="563"/>
      <c r="DB117" s="561"/>
      <c r="DC117" s="563"/>
      <c r="DD117" s="561"/>
      <c r="DG117" s="576"/>
      <c r="DH117" s="576"/>
      <c r="DI117" s="570"/>
      <c r="DJ117" s="570"/>
      <c r="DK117" s="570"/>
      <c r="DL117" s="570"/>
      <c r="DM117" s="573"/>
      <c r="DN117" s="570"/>
      <c r="DO117" s="570"/>
      <c r="DP117" s="570"/>
      <c r="DQ117" s="570"/>
      <c r="DR117" s="570"/>
      <c r="DS117" s="570"/>
      <c r="DT117" s="570"/>
      <c r="DU117" s="570"/>
      <c r="DV117" s="576"/>
      <c r="DW117" s="576"/>
      <c r="DX117" s="570"/>
      <c r="DY117" s="570"/>
    </row>
    <row r="118" spans="1:194" s="252" customFormat="1" ht="60" customHeight="1" x14ac:dyDescent="0.25">
      <c r="A118" s="368"/>
      <c r="B118" s="369"/>
      <c r="C118" s="396" t="s">
        <v>10</v>
      </c>
      <c r="D118" s="645" t="s">
        <v>32</v>
      </c>
      <c r="E118" s="645"/>
      <c r="F118" s="645"/>
      <c r="G118" s="645"/>
      <c r="H118" s="645"/>
      <c r="I118" s="645"/>
      <c r="J118" s="643"/>
      <c r="K118" s="643"/>
      <c r="L118" s="646"/>
      <c r="M118" s="648"/>
      <c r="N118" s="649"/>
      <c r="O118" s="644"/>
      <c r="P118" s="192"/>
      <c r="Q118" s="239"/>
      <c r="R118" s="334" t="s">
        <v>475</v>
      </c>
      <c r="S118" s="234" t="str">
        <f>IFERROR(IF($C$12='BD GN'!$CC$1,VLOOKUP(COTIZACIÓN!D113,'BD GN'!CB:CG,2,FALSE),IF(COTIZACIÓN!$C$12='BD GN'!$CD$1,VLOOKUP(COTIZACIÓN!D113,'BD GN'!CB:CG,3,FALSE),IF($C$12='BD GN'!$CE$1,VLOOKUP(COTIZACIÓN!D113,'BD GN'!CB:CG,4,FALSE),IF(COTIZACIÓN!$C$12='BD GN'!$CF$1,VLOOKUP(COTIZACIÓN!D113,'BD GN'!CB:CG,5,FALSE),IF(COTIZACIÓN!$C$12='BD GN'!$CG$1,VLOOKUP(COTIZACIÓN!D113,'BD GN'!CB:CG,6,FALSE),""))))),"-")</f>
        <v/>
      </c>
      <c r="T118" s="243"/>
      <c r="U118" s="244"/>
      <c r="V118" s="245"/>
      <c r="W118" s="177" t="s">
        <v>394</v>
      </c>
      <c r="X118" s="246">
        <f>IFERROR(SUM(W113:X113),"")</f>
        <v>0</v>
      </c>
      <c r="Y118" s="166" t="s">
        <v>404</v>
      </c>
      <c r="Z118" s="199" t="str">
        <f>IFERROR(Y113+Z113,"")</f>
        <v/>
      </c>
      <c r="AA118" s="247"/>
      <c r="AB118" s="243"/>
      <c r="AC118" s="244"/>
      <c r="AD118" s="244"/>
      <c r="AE118" s="244"/>
      <c r="AF118" s="227"/>
      <c r="AG118" s="206"/>
      <c r="AH118" s="206"/>
      <c r="AI118" s="206"/>
      <c r="AJ118" s="206"/>
      <c r="AK118" s="227"/>
      <c r="AL118" s="227"/>
      <c r="AM118" s="248"/>
      <c r="AN118" s="248"/>
      <c r="AO118" s="249"/>
      <c r="AP118" s="250"/>
      <c r="AQ118" s="248"/>
      <c r="AR118" s="248"/>
      <c r="AS118" s="249"/>
      <c r="AT118" s="250"/>
      <c r="AU118" s="249"/>
      <c r="AV118" s="250"/>
      <c r="AW118" s="249"/>
      <c r="AX118" s="250"/>
      <c r="AY118" s="248"/>
      <c r="AZ118" s="250"/>
      <c r="BA118" s="210"/>
      <c r="BB118" s="175"/>
      <c r="BC118" s="175" t="s">
        <v>118</v>
      </c>
      <c r="BD118" s="210"/>
      <c r="BE118" s="251" t="str">
        <f>IFERROR(VLOOKUP(D113,'BD M.O'!C:I,7,FALSE),"")</f>
        <v/>
      </c>
      <c r="BF118" s="251" t="s">
        <v>262</v>
      </c>
      <c r="BG118" s="175"/>
      <c r="BH118" s="175"/>
      <c r="BI118" s="210"/>
      <c r="BJ118" s="175"/>
      <c r="BK118" s="175"/>
      <c r="BL118" s="175"/>
      <c r="BM118" s="175"/>
      <c r="BN118" s="175"/>
      <c r="BO118" s="210"/>
      <c r="BP118" s="175"/>
      <c r="BQ118" s="175"/>
      <c r="BR118" s="175"/>
      <c r="BS118" s="183"/>
      <c r="BT118" s="183"/>
      <c r="BU118" s="183"/>
      <c r="BV118" s="183"/>
      <c r="BW118" s="210"/>
      <c r="BX118" s="175"/>
      <c r="BY118" s="175"/>
      <c r="BZ118" s="175"/>
      <c r="CA118" s="175"/>
      <c r="CB118" s="175"/>
      <c r="CC118" s="175"/>
      <c r="CD118" s="184"/>
      <c r="CE118" s="175"/>
      <c r="CF118" s="185"/>
      <c r="CG118" s="175"/>
      <c r="CH118" s="175"/>
      <c r="CI118" s="184"/>
      <c r="CJ118" s="210"/>
      <c r="CK118" s="564"/>
      <c r="CL118" s="257"/>
      <c r="CM118" s="597"/>
      <c r="CN118" s="628"/>
      <c r="CO118" s="631"/>
      <c r="CP118" s="631"/>
      <c r="CQ118" s="631"/>
      <c r="CR118" s="631"/>
      <c r="CS118" s="631"/>
      <c r="CT118" s="634"/>
      <c r="CU118" s="564"/>
      <c r="CV118" s="562"/>
      <c r="CW118" s="564"/>
      <c r="CX118" s="562"/>
      <c r="CY118" s="564"/>
      <c r="CZ118" s="562"/>
      <c r="DA118" s="564"/>
      <c r="DB118" s="562"/>
      <c r="DC118" s="564"/>
      <c r="DD118" s="562"/>
      <c r="DE118" s="175"/>
      <c r="DF118" s="175"/>
      <c r="DG118" s="577"/>
      <c r="DH118" s="577"/>
      <c r="DI118" s="571"/>
      <c r="DJ118" s="571"/>
      <c r="DK118" s="571"/>
      <c r="DL118" s="571"/>
      <c r="DM118" s="574"/>
      <c r="DN118" s="571"/>
      <c r="DO118" s="571"/>
      <c r="DP118" s="571"/>
      <c r="DQ118" s="571"/>
      <c r="DR118" s="571"/>
      <c r="DS118" s="571"/>
      <c r="DT118" s="571"/>
      <c r="DU118" s="571"/>
      <c r="DV118" s="577"/>
      <c r="DW118" s="577"/>
      <c r="DX118" s="571"/>
      <c r="DY118" s="571"/>
      <c r="DZ118" s="175"/>
      <c r="EA118" s="175"/>
      <c r="EB118" s="175"/>
      <c r="EC118" s="175"/>
      <c r="ED118" s="175"/>
      <c r="EE118" s="175"/>
      <c r="EF118" s="175"/>
      <c r="EG118" s="175"/>
      <c r="EH118" s="175"/>
      <c r="EI118" s="175"/>
      <c r="EJ118" s="175"/>
      <c r="EK118" s="175"/>
      <c r="EL118" s="175"/>
      <c r="EM118" s="175"/>
      <c r="EN118" s="175"/>
      <c r="EO118" s="175"/>
      <c r="EP118" s="175"/>
      <c r="EQ118" s="175"/>
      <c r="ER118" s="175"/>
      <c r="ES118" s="175"/>
      <c r="ET118" s="175"/>
      <c r="EU118" s="175"/>
      <c r="EV118" s="175"/>
      <c r="EW118" s="175"/>
      <c r="EX118" s="175"/>
      <c r="EY118" s="175"/>
      <c r="EZ118" s="175"/>
      <c r="FA118" s="175"/>
      <c r="FB118" s="175"/>
      <c r="FC118" s="175"/>
      <c r="FD118" s="175"/>
      <c r="FE118" s="175"/>
      <c r="FF118" s="175"/>
      <c r="FG118" s="175"/>
      <c r="FH118" s="175"/>
      <c r="FI118" s="175"/>
      <c r="FJ118" s="175"/>
      <c r="FK118" s="175"/>
      <c r="FL118" s="175"/>
      <c r="FM118" s="175"/>
      <c r="FN118" s="175"/>
      <c r="FO118" s="175"/>
      <c r="FP118" s="175"/>
      <c r="FQ118" s="175"/>
      <c r="FR118" s="175"/>
      <c r="FS118" s="175"/>
      <c r="FT118" s="175"/>
      <c r="FU118" s="175"/>
      <c r="FV118" s="175"/>
      <c r="FW118" s="175"/>
      <c r="FX118" s="175"/>
      <c r="FY118" s="175"/>
      <c r="FZ118" s="175"/>
      <c r="GA118" s="175"/>
      <c r="GB118" s="175"/>
      <c r="GC118" s="175"/>
      <c r="GD118" s="175"/>
      <c r="GE118" s="175"/>
      <c r="GF118" s="175"/>
      <c r="GG118" s="175"/>
      <c r="GH118" s="175"/>
      <c r="GI118" s="175"/>
      <c r="GJ118" s="175"/>
      <c r="GK118" s="175"/>
      <c r="GL118" s="175"/>
    </row>
    <row r="119" spans="1:194" s="255" customFormat="1" ht="60" customHeight="1" x14ac:dyDescent="0.3">
      <c r="A119" s="362" t="s">
        <v>193</v>
      </c>
      <c r="B119" s="363" t="s">
        <v>25</v>
      </c>
      <c r="C119" s="391" t="s">
        <v>174</v>
      </c>
      <c r="D119" s="640" t="s">
        <v>173</v>
      </c>
      <c r="E119" s="640"/>
      <c r="F119" s="640"/>
      <c r="G119" s="640"/>
      <c r="H119" s="640"/>
      <c r="I119" s="640"/>
      <c r="J119" s="418" t="s">
        <v>443</v>
      </c>
      <c r="K119" s="418" t="s">
        <v>444</v>
      </c>
      <c r="L119" s="418" t="s">
        <v>171</v>
      </c>
      <c r="M119" s="363" t="s">
        <v>2</v>
      </c>
      <c r="N119" s="419" t="s">
        <v>7</v>
      </c>
      <c r="O119" s="420" t="s">
        <v>8</v>
      </c>
      <c r="P119" s="159"/>
      <c r="Q119" s="164" t="s">
        <v>93</v>
      </c>
      <c r="R119" s="164" t="s">
        <v>34</v>
      </c>
      <c r="S119" s="164" t="s">
        <v>28</v>
      </c>
      <c r="T119" s="164" t="s">
        <v>95</v>
      </c>
      <c r="U119" s="164" t="s">
        <v>96</v>
      </c>
      <c r="V119" s="164" t="s">
        <v>97</v>
      </c>
      <c r="W119" s="164" t="s">
        <v>4</v>
      </c>
      <c r="X119" s="164" t="s">
        <v>103</v>
      </c>
      <c r="Y119" s="160" t="s">
        <v>402</v>
      </c>
      <c r="Z119" s="165" t="s">
        <v>403</v>
      </c>
      <c r="AA119" s="166" t="s">
        <v>404</v>
      </c>
      <c r="AB119" s="164" t="s">
        <v>99</v>
      </c>
      <c r="AC119" s="164" t="s">
        <v>395</v>
      </c>
      <c r="AD119" s="253" t="s">
        <v>36</v>
      </c>
      <c r="AE119" s="164" t="s">
        <v>389</v>
      </c>
      <c r="AF119" s="164" t="s">
        <v>390</v>
      </c>
      <c r="AG119" s="164" t="s">
        <v>164</v>
      </c>
      <c r="AH119" s="253" t="s">
        <v>396</v>
      </c>
      <c r="AI119" s="164" t="s">
        <v>190</v>
      </c>
      <c r="AJ119" s="164" t="s">
        <v>339</v>
      </c>
      <c r="AK119" s="253" t="s">
        <v>391</v>
      </c>
      <c r="AL119" s="253" t="s">
        <v>393</v>
      </c>
      <c r="AM119" s="167" t="s">
        <v>93</v>
      </c>
      <c r="AN119" s="168" t="s">
        <v>34</v>
      </c>
      <c r="AO119" s="169" t="s">
        <v>28</v>
      </c>
      <c r="AP119" s="170" t="s">
        <v>95</v>
      </c>
      <c r="AQ119" s="167" t="s">
        <v>3</v>
      </c>
      <c r="AR119" s="167" t="s">
        <v>96</v>
      </c>
      <c r="AS119" s="169" t="s">
        <v>97</v>
      </c>
      <c r="AT119" s="170" t="s">
        <v>4</v>
      </c>
      <c r="AU119" s="169" t="s">
        <v>103</v>
      </c>
      <c r="AV119" s="170" t="s">
        <v>99</v>
      </c>
      <c r="AW119" s="169" t="s">
        <v>36</v>
      </c>
      <c r="AX119" s="171" t="s">
        <v>29</v>
      </c>
      <c r="AY119" s="172" t="s">
        <v>190</v>
      </c>
      <c r="AZ119" s="173" t="s">
        <v>102</v>
      </c>
      <c r="BA119" s="174"/>
      <c r="BB119" s="183"/>
      <c r="BC119" s="211" t="s">
        <v>119</v>
      </c>
      <c r="BD119" s="174"/>
      <c r="BE119" s="176" t="s">
        <v>189</v>
      </c>
      <c r="BF119" s="177" t="str">
        <f>$BF$13</f>
        <v xml:space="preserve">VR SILICONA </v>
      </c>
      <c r="BG119" s="177" t="str">
        <f>$BG$13</f>
        <v xml:space="preserve">VR PELÍCULA </v>
      </c>
      <c r="BH119" s="254" t="str">
        <f>$BH$13</f>
        <v>VR EMBALAJE</v>
      </c>
      <c r="BI119" s="174"/>
      <c r="BJ119" s="176" t="str">
        <f>$BJ$13</f>
        <v>ESP. CRISTAL</v>
      </c>
      <c r="BK119" s="176" t="s">
        <v>130</v>
      </c>
      <c r="BL119" s="177" t="s">
        <v>28</v>
      </c>
      <c r="BM119" s="177" t="str">
        <f>BM112</f>
        <v>TOTAL</v>
      </c>
      <c r="BN119" s="177" t="s">
        <v>133</v>
      </c>
      <c r="BO119" s="174"/>
      <c r="BP119" s="175"/>
      <c r="BQ119" s="175"/>
      <c r="BR119" s="175"/>
      <c r="BS119" s="175"/>
      <c r="BT119" s="175"/>
      <c r="BU119" s="175"/>
      <c r="BV119" s="175"/>
      <c r="BW119" s="174"/>
      <c r="BX119" s="175"/>
      <c r="BY119" s="175"/>
      <c r="BZ119" s="175"/>
      <c r="CA119" s="175"/>
      <c r="CB119" s="175"/>
      <c r="CC119" s="175"/>
      <c r="CD119" s="184"/>
      <c r="CE119" s="175"/>
      <c r="CF119" s="185"/>
      <c r="CG119" s="175"/>
      <c r="CH119" s="175"/>
      <c r="CI119" s="184"/>
      <c r="CJ119" s="174"/>
      <c r="CK119" s="186" t="s">
        <v>415</v>
      </c>
      <c r="CL119" s="187" t="s">
        <v>417</v>
      </c>
      <c r="CM119" s="187" t="s">
        <v>416</v>
      </c>
      <c r="CN119" s="188" t="s">
        <v>418</v>
      </c>
      <c r="CO119" s="187" t="s">
        <v>417</v>
      </c>
      <c r="CP119" s="187" t="s">
        <v>409</v>
      </c>
      <c r="CQ119" s="187" t="s">
        <v>410</v>
      </c>
      <c r="CR119" s="187" t="s">
        <v>411</v>
      </c>
      <c r="CS119" s="187" t="s">
        <v>412</v>
      </c>
      <c r="CT119" s="187" t="s">
        <v>413</v>
      </c>
      <c r="CU119" s="189" t="s">
        <v>2</v>
      </c>
      <c r="CV119" s="190" t="s">
        <v>159</v>
      </c>
      <c r="CW119" s="189" t="s">
        <v>2</v>
      </c>
      <c r="CX119" s="190" t="s">
        <v>159</v>
      </c>
      <c r="CY119" s="189" t="s">
        <v>2</v>
      </c>
      <c r="CZ119" s="190" t="s">
        <v>159</v>
      </c>
      <c r="DA119" s="189" t="s">
        <v>2</v>
      </c>
      <c r="DB119" s="190" t="s">
        <v>159</v>
      </c>
      <c r="DC119" s="189" t="s">
        <v>2</v>
      </c>
      <c r="DD119" s="190" t="s">
        <v>159</v>
      </c>
      <c r="DE119" s="183"/>
      <c r="DF119" s="183"/>
      <c r="DG119" s="177" t="s">
        <v>505</v>
      </c>
      <c r="DH119" s="472" t="s">
        <v>509</v>
      </c>
      <c r="DI119" s="457" t="s">
        <v>506</v>
      </c>
      <c r="DJ119" s="457" t="s">
        <v>134</v>
      </c>
      <c r="DK119" s="457" t="s">
        <v>498</v>
      </c>
      <c r="DL119" s="457" t="s">
        <v>499</v>
      </c>
      <c r="DM119" s="457" t="s">
        <v>500</v>
      </c>
      <c r="DN119" s="457" t="s">
        <v>131</v>
      </c>
      <c r="DO119" s="457" t="s">
        <v>390</v>
      </c>
      <c r="DP119" s="457" t="s">
        <v>36</v>
      </c>
      <c r="DQ119" s="457" t="s">
        <v>501</v>
      </c>
      <c r="DR119" s="457" t="s">
        <v>502</v>
      </c>
      <c r="DS119" s="457" t="s">
        <v>503</v>
      </c>
      <c r="DT119" s="457" t="s">
        <v>4</v>
      </c>
      <c r="DU119" s="457" t="s">
        <v>504</v>
      </c>
      <c r="DV119" s="466" t="s">
        <v>507</v>
      </c>
      <c r="DW119" s="466" t="s">
        <v>508</v>
      </c>
      <c r="DX119" s="457" t="s">
        <v>510</v>
      </c>
      <c r="DY119" s="457" t="s">
        <v>511</v>
      </c>
      <c r="DZ119" s="183"/>
      <c r="EA119" s="183"/>
      <c r="EB119" s="183"/>
      <c r="EC119" s="183"/>
      <c r="ED119" s="183"/>
      <c r="EE119" s="183"/>
      <c r="EF119" s="183"/>
      <c r="EG119" s="183"/>
      <c r="EH119" s="183"/>
      <c r="EI119" s="183"/>
      <c r="EJ119" s="183"/>
      <c r="EK119" s="183"/>
      <c r="EL119" s="183"/>
      <c r="EM119" s="183"/>
      <c r="EN119" s="183"/>
      <c r="EO119" s="183"/>
      <c r="EP119" s="183"/>
      <c r="EQ119" s="183"/>
      <c r="ER119" s="183"/>
      <c r="ES119" s="183"/>
      <c r="ET119" s="183"/>
      <c r="EU119" s="183"/>
      <c r="EV119" s="183"/>
      <c r="EW119" s="183"/>
      <c r="EX119" s="183"/>
      <c r="EY119" s="183"/>
      <c r="EZ119" s="183"/>
      <c r="FA119" s="183"/>
      <c r="FB119" s="183"/>
      <c r="FC119" s="183"/>
      <c r="FD119" s="183"/>
      <c r="FE119" s="183"/>
      <c r="FF119" s="183"/>
      <c r="FG119" s="183"/>
      <c r="FH119" s="183"/>
      <c r="FI119" s="183"/>
      <c r="FJ119" s="183"/>
      <c r="FK119" s="183"/>
      <c r="FL119" s="183"/>
      <c r="FM119" s="183"/>
      <c r="FN119" s="183"/>
      <c r="FO119" s="183"/>
      <c r="FP119" s="183"/>
      <c r="FQ119" s="183"/>
      <c r="FR119" s="183"/>
      <c r="FS119" s="183"/>
      <c r="FT119" s="183"/>
      <c r="FU119" s="183"/>
      <c r="FV119" s="183"/>
      <c r="FW119" s="183"/>
      <c r="FX119" s="183"/>
      <c r="FY119" s="183"/>
      <c r="FZ119" s="183"/>
      <c r="GA119" s="183"/>
      <c r="GB119" s="183"/>
      <c r="GC119" s="183"/>
      <c r="GD119" s="183"/>
      <c r="GE119" s="183"/>
      <c r="GF119" s="183"/>
      <c r="GG119" s="183"/>
      <c r="GH119" s="183"/>
      <c r="GI119" s="183"/>
      <c r="GJ119" s="183"/>
      <c r="GK119" s="183"/>
      <c r="GL119" s="183"/>
    </row>
    <row r="120" spans="1:194" s="175" customFormat="1" ht="60" customHeight="1" x14ac:dyDescent="0.3">
      <c r="A120" s="364"/>
      <c r="B120" s="365"/>
      <c r="C120" s="392" t="s">
        <v>27</v>
      </c>
      <c r="D120" s="641"/>
      <c r="E120" s="641"/>
      <c r="F120" s="641"/>
      <c r="G120" s="641"/>
      <c r="H120" s="641"/>
      <c r="I120" s="641"/>
      <c r="J120" s="642"/>
      <c r="K120" s="642"/>
      <c r="L120" s="622">
        <f>J120*K120*M120</f>
        <v>0</v>
      </c>
      <c r="M120" s="623"/>
      <c r="N120" s="620">
        <f>IFERROR(AL120,"")</f>
        <v>1.0765546639999999</v>
      </c>
      <c r="O120" s="621">
        <f>IFERROR(N120*M120,"")</f>
        <v>0</v>
      </c>
      <c r="P120" s="192"/>
      <c r="Q120" s="193">
        <f>Q121+BF120+($R$350*Q121)</f>
        <v>0</v>
      </c>
      <c r="R120" s="193">
        <f>IFERROR(R121+($R$348*R121),"")</f>
        <v>0</v>
      </c>
      <c r="S120" s="194">
        <f>+IF(R122="SI",((W124*'BD GN'!$AB$2)+S121)*1,COTIZACIÓN!S121*1)+(P121*S121)</f>
        <v>0</v>
      </c>
      <c r="T120" s="195">
        <f>IFERROR(R120*IF(K120&lt;=3,$T$13,15%),"")</f>
        <v>0</v>
      </c>
      <c r="U120" s="196">
        <f>BH120+BG120</f>
        <v>0</v>
      </c>
      <c r="V120" s="197" t="str">
        <f>IFERROR(BN120,0)</f>
        <v/>
      </c>
      <c r="W120" s="198" t="str">
        <f>IFERROR(IF(X122="SI",W123*J120*K120,IF(BE120=3,BE122,IF(BE120=4,BE123,IF(BE120=5,BE124,IF(BE120&gt;5,BE124+(BE125*(BE120-5)),"")))))*0,"")</f>
        <v/>
      </c>
      <c r="X120" s="198" t="str">
        <f>IFERROR(IF(X121="NO",(VLOOKUP(D120,'BD M.O'!C:E,3,FALSE))*W124,((VLOOKUP(D120,'BD M.O'!C:E,3,FALSE))+7500)*W124),"")</f>
        <v/>
      </c>
      <c r="Y120" s="198">
        <f>IFERROR($Y$13*AK120,"")</f>
        <v>4.2084457416288003E-2</v>
      </c>
      <c r="Z120" s="332" t="str">
        <f>IFERROR(($Z$13*AK120)+X120,"")</f>
        <v/>
      </c>
      <c r="AA120" s="199" t="str">
        <f>IFERROR(Y120+Z120,"")</f>
        <v/>
      </c>
      <c r="AB120" s="200">
        <f>IFERROR((SUM(Q120:X120)-T120+T122)*$AB$13,"")</f>
        <v>0</v>
      </c>
      <c r="AC120" s="201">
        <f>IFERROR(((SUM(Q120:V120,IF(X125&gt;AA120,AVERAGE(X125,AA120),AA120))-T120+T122))*$AB$13,"")</f>
        <v>0</v>
      </c>
      <c r="AD120" s="202" t="str">
        <f>IFERROR((J120*K120*$BV$14),"")</f>
        <v/>
      </c>
      <c r="AE120" s="202">
        <f>IFERROR($AE$13*AK120,"")</f>
        <v>6.4010592649919984E-2</v>
      </c>
      <c r="AF120" s="203" t="str">
        <f>IFERROR(($CI$11+$CI$13)*W124,"")</f>
        <v/>
      </c>
      <c r="AG120" s="202">
        <f>IFERROR((SUM(Q120:X120,AB120,AD120,AF120)-T120+T122)*$AG$13,"")</f>
        <v>0</v>
      </c>
      <c r="AH120" s="202">
        <f>IFERROR((SUM(Q120:V120,(IF(X125&gt;AA120,AVERAGE(X125,AA120),AA120)),AC120,AE120,AF120)-T120+T122)*$AG$13,"")</f>
        <v>3.2005296324959992E-2</v>
      </c>
      <c r="AI120" s="204">
        <f>IFERROR(AL120*$AI$13,"")</f>
        <v>2.1531093279999997E-2</v>
      </c>
      <c r="AJ120" s="204">
        <f>IFERROR($AJ$13*AL120,"")</f>
        <v>6.007175025119999E-3</v>
      </c>
      <c r="AK120" s="205">
        <f>IFERROR(SUM(Q120:X120,AB120,AD120,AG120,AF120)/(1-$AI$13)+(1-$AJ$13)-T120+T122,"")</f>
        <v>0.99441999999999997</v>
      </c>
      <c r="AL120" s="205">
        <f>IFERROR(SUM(Q120:V120,AC120,(IF(AD120&gt;AE120,AVERAGE(AD120,AE120),AE120)),AF120,,AH120,(IF(SUM(X125)&gt;AA120,AVERAGE(AA120,X125),AA120)))/(1-$AJ$13)+(1-$AI$13)-T120+T122,"")</f>
        <v>1.0765546639999999</v>
      </c>
      <c r="AM120" s="206">
        <f>$M$15*Q120</f>
        <v>0</v>
      </c>
      <c r="AN120" s="207">
        <f>$M$15*R120</f>
        <v>0</v>
      </c>
      <c r="AO120" s="208">
        <f>$M$15*S120</f>
        <v>0</v>
      </c>
      <c r="AP120" s="207">
        <f>$M$15*T120</f>
        <v>0</v>
      </c>
      <c r="AQ120" s="207" t="e">
        <f>$M$15*#REF!</f>
        <v>#REF!</v>
      </c>
      <c r="AR120" s="207">
        <f>$M$15*U120</f>
        <v>0</v>
      </c>
      <c r="AS120" s="208" t="e">
        <f>$M$15*V120</f>
        <v>#VALUE!</v>
      </c>
      <c r="AT120" s="207" t="e">
        <f>$M$15*W120</f>
        <v>#VALUE!</v>
      </c>
      <c r="AU120" s="208" t="e">
        <f>$M$15*X120</f>
        <v>#VALUE!</v>
      </c>
      <c r="AV120" s="207">
        <f>$M$15*AB120</f>
        <v>0</v>
      </c>
      <c r="AW120" s="208">
        <f>$M$15*AE120</f>
        <v>0</v>
      </c>
      <c r="AX120" s="207">
        <f>$M$15*AG120</f>
        <v>0</v>
      </c>
      <c r="AY120" s="209">
        <f>$M$15*AI120</f>
        <v>0</v>
      </c>
      <c r="AZ120" s="207">
        <f>$M$15*AK120</f>
        <v>0</v>
      </c>
      <c r="BA120" s="210"/>
      <c r="BB120" s="175" t="s">
        <v>23</v>
      </c>
      <c r="BC120" s="211" t="s">
        <v>113</v>
      </c>
      <c r="BD120" s="210"/>
      <c r="BE120" s="212"/>
      <c r="BF120" s="213">
        <f>IF(BH121="NO",((2*J120)+(2*K120))*'BD GN'!$AU$3,((3*J120)+(2*K120))*'BD GN'!$AU$3)</f>
        <v>0</v>
      </c>
      <c r="BG120" s="213">
        <f>'BD GN'!$BB$3*J120*K120</f>
        <v>0</v>
      </c>
      <c r="BH120" s="214">
        <f>((J120*2*BE120)+(K120*2*BE120))*'BD GN'!$AN$4</f>
        <v>0</v>
      </c>
      <c r="BI120" s="210"/>
      <c r="BJ120" s="212"/>
      <c r="BK120" s="212"/>
      <c r="BL120" s="215">
        <f>J120*K120*2.5*BJ120</f>
        <v>0</v>
      </c>
      <c r="BM120" s="215">
        <f>BK120+BL120</f>
        <v>0</v>
      </c>
      <c r="BN120" s="216" t="str">
        <f>IFERROR((VLOOKUP($C$12,'BD GN'!BD:BM,10,FALSE)*BM120)+$BR$338,"")</f>
        <v/>
      </c>
      <c r="BO120" s="210"/>
      <c r="BW120" s="210"/>
      <c r="CD120" s="184"/>
      <c r="CF120" s="185"/>
      <c r="CI120" s="184"/>
      <c r="CJ120" s="210"/>
      <c r="CK120" s="565"/>
      <c r="CL120" s="256"/>
      <c r="CM120" s="596"/>
      <c r="CN120" s="626"/>
      <c r="CO120" s="629"/>
      <c r="CP120" s="629"/>
      <c r="CQ120" s="629"/>
      <c r="CR120" s="629"/>
      <c r="CS120" s="629"/>
      <c r="CT120" s="632"/>
      <c r="CU120" s="565"/>
      <c r="CV120" s="560">
        <f>IFERROR(N120*CU120,"")</f>
        <v>0</v>
      </c>
      <c r="CW120" s="565"/>
      <c r="CX120" s="560">
        <f>IFERROR(P120*CW120,"")</f>
        <v>0</v>
      </c>
      <c r="CY120" s="565"/>
      <c r="CZ120" s="560">
        <f>IFERROR(R120*CY120,"")</f>
        <v>0</v>
      </c>
      <c r="DA120" s="565">
        <f t="shared" ref="DA120" si="396">CU120+CW120+CY120</f>
        <v>0</v>
      </c>
      <c r="DB120" s="560">
        <f t="shared" ref="DB120" si="397">IFERROR(CV120+CX120+CZ120,"")</f>
        <v>0</v>
      </c>
      <c r="DC120" s="565">
        <f>M120-(CU120+CW120+CY120)</f>
        <v>0</v>
      </c>
      <c r="DD120" s="560">
        <f>IFERROR(O120-(CV120+CX120+CZ120),"")</f>
        <v>0</v>
      </c>
      <c r="DG120" s="575"/>
      <c r="DH120" s="575"/>
      <c r="DI120" s="569">
        <f t="shared" ref="DI120" si="398">IFERROR(IF(DG120&gt;0,(((N120)/(1+10%+19%*5%)+((N120)/(1+10%+19%*5%))*10%)*DH120),0),0)</f>
        <v>0</v>
      </c>
      <c r="DJ120" s="569">
        <f t="shared" ref="DJ120" si="399">IFERROR(IF(DG120&gt;0,(N120*DH120),0),0)</f>
        <v>0</v>
      </c>
      <c r="DK120" s="569">
        <f t="shared" ref="DK120" si="400">IF(DG120&gt;0,((R120+T120)*DH120),0)</f>
        <v>0</v>
      </c>
      <c r="DL120" s="569">
        <f t="shared" ref="DL120" si="401">IF(DG120&gt;0,(Q120*DH120),0)</f>
        <v>0</v>
      </c>
      <c r="DM120" s="572">
        <f t="shared" ref="DM120" si="402">IF(DG120&gt;0,(S120*DH120),0)</f>
        <v>0</v>
      </c>
      <c r="DN120" s="569">
        <f t="shared" ref="DN120" si="403">IF(DG120&gt;0,(BN120*DH120),0)</f>
        <v>0</v>
      </c>
      <c r="DO120" s="569">
        <f t="shared" ref="DO120" si="404">IF(DG120&gt;0,(AF120*DH120),0)</f>
        <v>0</v>
      </c>
      <c r="DP120" s="569">
        <f>IF(DG120&gt;0,((DI120)*('BD P&amp;G'!$E$16+'BD P&amp;G'!$E$17+'BD P&amp;G'!$E$18+'BD P&amp;G'!$E$19+'BD P&amp;G'!$E$20+'BD P&amp;G'!$E$21+'BD P&amp;G'!$E$22+'BD P&amp;G'!$E$23)*DH120),0)</f>
        <v>0</v>
      </c>
      <c r="DQ120" s="569">
        <f>IFERROR(IF(DG120&gt;0,((DI120*'BD P&amp;G'!$E$7)+(DI120*'BD P&amp;G'!$E$9)+AI120),0),0)</f>
        <v>0</v>
      </c>
      <c r="DR120" s="569">
        <f t="shared" ref="DR120" si="405">IFERROR(IF(DG120&gt;0,((DI120*1%)),0),0)</f>
        <v>0</v>
      </c>
      <c r="DS120" s="569">
        <f>IFERROR(IF(DG120&gt;0,(((DI120*'BD P&amp;G'!$E$32+DI120*'BD P&amp;G'!$E$33+DI120*'BD P&amp;G'!$E$35+DI120*'BD P&amp;G'!$E$36+DI120*'BD P&amp;G'!$E$37))),0),0)</f>
        <v>0</v>
      </c>
      <c r="DT120" s="569">
        <f t="shared" ref="DT120" si="406">IF(DG120&gt;0,(Y120*DH120),0)</f>
        <v>0</v>
      </c>
      <c r="DU120" s="569">
        <f t="shared" ref="DU120" si="407">IF(DG120&gt;0,(Z120*DH120),0)</f>
        <v>0</v>
      </c>
      <c r="DV120" s="575">
        <f t="shared" ref="DV120" si="408">IF(DG120&gt;0,(Y124*DH120),0)</f>
        <v>0</v>
      </c>
      <c r="DW120" s="575">
        <f t="shared" ref="DW120" si="409">IF(DG120&gt;0,(Z124*DH120),0)</f>
        <v>0</v>
      </c>
      <c r="DX120" s="569">
        <f t="shared" ref="DX120" si="410">IF(DV120&gt;0,DJ120,0)</f>
        <v>0</v>
      </c>
      <c r="DY120" s="569">
        <f t="shared" ref="DY120" si="411">IF(DW120&gt;0,DJ120,0)</f>
        <v>0</v>
      </c>
    </row>
    <row r="121" spans="1:194" s="175" customFormat="1" ht="60" customHeight="1" x14ac:dyDescent="0.25">
      <c r="A121" s="366"/>
      <c r="B121" s="367"/>
      <c r="C121" s="393" t="s">
        <v>28</v>
      </c>
      <c r="D121" s="598"/>
      <c r="E121" s="598"/>
      <c r="F121" s="598"/>
      <c r="G121" s="598"/>
      <c r="H121" s="598"/>
      <c r="I121" s="598"/>
      <c r="J121" s="604"/>
      <c r="K121" s="604"/>
      <c r="L121" s="607"/>
      <c r="M121" s="559"/>
      <c r="N121" s="610"/>
      <c r="O121" s="613"/>
      <c r="P121" s="192"/>
      <c r="Q121" s="217"/>
      <c r="R121" s="217"/>
      <c r="S121" s="218"/>
      <c r="T121" s="219">
        <f>IFERROR(T120/$R$353,"")</f>
        <v>0</v>
      </c>
      <c r="U121" s="206"/>
      <c r="V121" s="220"/>
      <c r="W121" s="221" t="s">
        <v>239</v>
      </c>
      <c r="X121" s="222" t="s">
        <v>204</v>
      </c>
      <c r="Y121" s="223"/>
      <c r="Z121" s="224"/>
      <c r="AA121" s="225"/>
      <c r="AB121" s="226"/>
      <c r="AC121" s="206"/>
      <c r="AD121" s="206"/>
      <c r="AE121" s="206"/>
      <c r="AF121" s="227"/>
      <c r="AG121" s="206"/>
      <c r="AH121" s="206"/>
      <c r="AI121" s="206"/>
      <c r="AJ121" s="206"/>
      <c r="AK121" s="227"/>
      <c r="AL121" s="210"/>
      <c r="AM121" s="206"/>
      <c r="AN121" s="206"/>
      <c r="AO121" s="228"/>
      <c r="AP121" s="229"/>
      <c r="AQ121" s="206"/>
      <c r="AR121" s="206"/>
      <c r="AS121" s="228"/>
      <c r="AT121" s="229"/>
      <c r="AU121" s="228"/>
      <c r="AV121" s="229"/>
      <c r="AW121" s="228"/>
      <c r="AX121" s="229"/>
      <c r="AY121" s="206"/>
      <c r="AZ121" s="229"/>
      <c r="BA121" s="210"/>
      <c r="BB121" s="175" t="s">
        <v>24</v>
      </c>
      <c r="BC121" s="175" t="s">
        <v>114</v>
      </c>
      <c r="BD121" s="210"/>
      <c r="BE121" s="176" t="s">
        <v>206</v>
      </c>
      <c r="BF121" s="230" t="s">
        <v>204</v>
      </c>
      <c r="BG121" s="176" t="s">
        <v>290</v>
      </c>
      <c r="BH121" s="231" t="s">
        <v>204</v>
      </c>
      <c r="BI121" s="210"/>
      <c r="BN121" s="232"/>
      <c r="BO121" s="210"/>
      <c r="BV121" s="184"/>
      <c r="BW121" s="210"/>
      <c r="CD121" s="184"/>
      <c r="CF121" s="185"/>
      <c r="CI121" s="184"/>
      <c r="CJ121" s="210"/>
      <c r="CK121" s="563"/>
      <c r="CM121" s="559"/>
      <c r="CN121" s="627"/>
      <c r="CO121" s="630"/>
      <c r="CP121" s="630"/>
      <c r="CQ121" s="630"/>
      <c r="CR121" s="630"/>
      <c r="CS121" s="630"/>
      <c r="CT121" s="633"/>
      <c r="CU121" s="563"/>
      <c r="CV121" s="561"/>
      <c r="CW121" s="563"/>
      <c r="CX121" s="561"/>
      <c r="CY121" s="563"/>
      <c r="CZ121" s="561"/>
      <c r="DA121" s="563"/>
      <c r="DB121" s="561"/>
      <c r="DC121" s="563"/>
      <c r="DD121" s="561"/>
      <c r="DG121" s="576"/>
      <c r="DH121" s="576"/>
      <c r="DI121" s="570"/>
      <c r="DJ121" s="570"/>
      <c r="DK121" s="570"/>
      <c r="DL121" s="570"/>
      <c r="DM121" s="573"/>
      <c r="DN121" s="570"/>
      <c r="DO121" s="570"/>
      <c r="DP121" s="570"/>
      <c r="DQ121" s="570"/>
      <c r="DR121" s="570"/>
      <c r="DS121" s="570"/>
      <c r="DT121" s="570"/>
      <c r="DU121" s="570"/>
      <c r="DV121" s="576"/>
      <c r="DW121" s="576"/>
      <c r="DX121" s="570"/>
      <c r="DY121" s="570"/>
    </row>
    <row r="122" spans="1:194" s="175" customFormat="1" ht="60" customHeight="1" x14ac:dyDescent="0.3">
      <c r="A122" s="366"/>
      <c r="B122" s="367"/>
      <c r="C122" s="393" t="s">
        <v>30</v>
      </c>
      <c r="D122" s="599"/>
      <c r="E122" s="599"/>
      <c r="F122" s="599"/>
      <c r="G122" s="599"/>
      <c r="H122" s="599"/>
      <c r="I122" s="599"/>
      <c r="J122" s="604"/>
      <c r="K122" s="604"/>
      <c r="L122" s="607"/>
      <c r="M122" s="559"/>
      <c r="N122" s="610"/>
      <c r="O122" s="613"/>
      <c r="P122" s="192"/>
      <c r="Q122" s="176" t="s">
        <v>205</v>
      </c>
      <c r="R122" s="233" t="s">
        <v>204</v>
      </c>
      <c r="S122" s="234"/>
      <c r="T122" s="235">
        <f>IFERROR(($R$353-8000)*T121,"")</f>
        <v>0</v>
      </c>
      <c r="U122" s="206"/>
      <c r="V122" s="220"/>
      <c r="W122" s="221" t="s">
        <v>258</v>
      </c>
      <c r="X122" s="222" t="s">
        <v>204</v>
      </c>
      <c r="Y122" s="236"/>
      <c r="Z122" s="237"/>
      <c r="AA122" s="225"/>
      <c r="AB122" s="226"/>
      <c r="AC122" s="206"/>
      <c r="AD122" s="206"/>
      <c r="AE122" s="206"/>
      <c r="AF122" s="227"/>
      <c r="AG122" s="206"/>
      <c r="AH122" s="206"/>
      <c r="AI122" s="206"/>
      <c r="AJ122" s="206"/>
      <c r="AK122" s="227"/>
      <c r="AL122" s="238"/>
      <c r="AM122" s="206"/>
      <c r="AN122" s="206"/>
      <c r="AO122" s="228"/>
      <c r="AP122" s="229"/>
      <c r="AQ122" s="206"/>
      <c r="AR122" s="206"/>
      <c r="AS122" s="228"/>
      <c r="AT122" s="229"/>
      <c r="AU122" s="228"/>
      <c r="AV122" s="229"/>
      <c r="AW122" s="228"/>
      <c r="AX122" s="229"/>
      <c r="AY122" s="206"/>
      <c r="AZ122" s="229"/>
      <c r="BA122" s="210"/>
      <c r="BB122" s="175" t="s">
        <v>26</v>
      </c>
      <c r="BC122" s="211" t="s">
        <v>115</v>
      </c>
      <c r="BD122" s="210"/>
      <c r="BE122" s="177" t="str">
        <f>IFERROR(VLOOKUP(D120,'BD M.O'!C:H,4,FALSE),"")</f>
        <v/>
      </c>
      <c r="BF122" s="177" t="s">
        <v>259</v>
      </c>
      <c r="BI122" s="210"/>
      <c r="BO122" s="210"/>
      <c r="BV122" s="184"/>
      <c r="BW122" s="210"/>
      <c r="CD122" s="184"/>
      <c r="CF122" s="185"/>
      <c r="CI122" s="184"/>
      <c r="CJ122" s="210"/>
      <c r="CK122" s="563"/>
      <c r="CM122" s="559"/>
      <c r="CN122" s="627"/>
      <c r="CO122" s="630"/>
      <c r="CP122" s="630"/>
      <c r="CQ122" s="630"/>
      <c r="CR122" s="630"/>
      <c r="CS122" s="630"/>
      <c r="CT122" s="633"/>
      <c r="CU122" s="563"/>
      <c r="CV122" s="561"/>
      <c r="CW122" s="563"/>
      <c r="CX122" s="561"/>
      <c r="CY122" s="563"/>
      <c r="CZ122" s="561"/>
      <c r="DA122" s="563"/>
      <c r="DB122" s="561"/>
      <c r="DC122" s="563"/>
      <c r="DD122" s="561"/>
      <c r="DG122" s="577"/>
      <c r="DH122" s="577"/>
      <c r="DI122" s="571"/>
      <c r="DJ122" s="571"/>
      <c r="DK122" s="571"/>
      <c r="DL122" s="571"/>
      <c r="DM122" s="574"/>
      <c r="DN122" s="571"/>
      <c r="DO122" s="571"/>
      <c r="DP122" s="571"/>
      <c r="DQ122" s="571"/>
      <c r="DR122" s="571"/>
      <c r="DS122" s="571"/>
      <c r="DT122" s="571"/>
      <c r="DU122" s="571"/>
      <c r="DV122" s="577"/>
      <c r="DW122" s="577"/>
      <c r="DX122" s="571"/>
      <c r="DY122" s="571"/>
    </row>
    <row r="123" spans="1:194" s="175" customFormat="1" ht="60" customHeight="1" x14ac:dyDescent="0.25">
      <c r="A123" s="366"/>
      <c r="B123" s="367"/>
      <c r="C123" s="395" t="s">
        <v>180</v>
      </c>
      <c r="D123" s="599" t="s">
        <v>31</v>
      </c>
      <c r="E123" s="599"/>
      <c r="F123" s="394" t="s">
        <v>9</v>
      </c>
      <c r="G123" s="599" t="s">
        <v>33</v>
      </c>
      <c r="H123" s="599"/>
      <c r="I123" s="394" t="str">
        <f>+IF($BG$9="SI","","X")</f>
        <v>X</v>
      </c>
      <c r="J123" s="604"/>
      <c r="K123" s="604"/>
      <c r="L123" s="607"/>
      <c r="M123" s="559"/>
      <c r="N123" s="610"/>
      <c r="O123" s="613"/>
      <c r="P123" s="192"/>
      <c r="Q123" s="239"/>
      <c r="R123" s="221" t="s">
        <v>209</v>
      </c>
      <c r="S123" s="234" t="str">
        <f>IF(S121="","",S121/(J120*K120))</f>
        <v/>
      </c>
      <c r="T123" s="226"/>
      <c r="U123" s="206"/>
      <c r="V123" s="220"/>
      <c r="W123" s="239" t="str">
        <f>IFERROR(IF(X122="SI",VLOOKUP(D120,'BD M.O'!C:F,4,FALSE),""),"")</f>
        <v/>
      </c>
      <c r="X123" s="221" t="s">
        <v>258</v>
      </c>
      <c r="Y123" s="221" t="s">
        <v>507</v>
      </c>
      <c r="Z123" s="221" t="s">
        <v>508</v>
      </c>
      <c r="AA123" s="225"/>
      <c r="AB123" s="226"/>
      <c r="AC123" s="206"/>
      <c r="AD123" s="206"/>
      <c r="AE123" s="206"/>
      <c r="AF123" s="227"/>
      <c r="AG123" s="206"/>
      <c r="AH123" s="206"/>
      <c r="AI123" s="206"/>
      <c r="AJ123" s="206"/>
      <c r="AK123" s="227"/>
      <c r="AL123" s="240"/>
      <c r="AM123" s="206"/>
      <c r="AN123" s="206"/>
      <c r="AO123" s="228"/>
      <c r="AP123" s="229"/>
      <c r="AQ123" s="206"/>
      <c r="AR123" s="206"/>
      <c r="AS123" s="228"/>
      <c r="AT123" s="229"/>
      <c r="AU123" s="228"/>
      <c r="AV123" s="229"/>
      <c r="AW123" s="228"/>
      <c r="AX123" s="229"/>
      <c r="AY123" s="206"/>
      <c r="AZ123" s="229"/>
      <c r="BA123" s="210"/>
      <c r="BC123" s="175" t="s">
        <v>116</v>
      </c>
      <c r="BD123" s="210"/>
      <c r="BE123" s="177" t="str">
        <f>IFERROR(VLOOKUP(COTIZACIÓN!D120,'BD M.O'!C:I,5,FALSE),"")</f>
        <v/>
      </c>
      <c r="BF123" s="177" t="s">
        <v>260</v>
      </c>
      <c r="BI123" s="210"/>
      <c r="BO123" s="210"/>
      <c r="BP123" s="183"/>
      <c r="BQ123" s="183"/>
      <c r="BR123" s="183"/>
      <c r="BS123" s="183"/>
      <c r="BT123" s="183"/>
      <c r="BU123" s="183"/>
      <c r="BV123" s="182"/>
      <c r="BW123" s="210"/>
      <c r="BX123" s="183"/>
      <c r="BY123" s="183"/>
      <c r="BZ123" s="183"/>
      <c r="CA123" s="183"/>
      <c r="CB123" s="183"/>
      <c r="CC123" s="183"/>
      <c r="CD123" s="182"/>
      <c r="CE123" s="183"/>
      <c r="CF123" s="241"/>
      <c r="CG123" s="183"/>
      <c r="CH123" s="183"/>
      <c r="CI123" s="182"/>
      <c r="CJ123" s="210"/>
      <c r="CK123" s="563"/>
      <c r="CM123" s="559"/>
      <c r="CN123" s="627"/>
      <c r="CO123" s="630"/>
      <c r="CP123" s="630"/>
      <c r="CQ123" s="630"/>
      <c r="CR123" s="630"/>
      <c r="CS123" s="630"/>
      <c r="CT123" s="633"/>
      <c r="CU123" s="563"/>
      <c r="CV123" s="561"/>
      <c r="CW123" s="563"/>
      <c r="CX123" s="561"/>
      <c r="CY123" s="563"/>
      <c r="CZ123" s="561"/>
      <c r="DA123" s="563"/>
      <c r="DB123" s="561"/>
      <c r="DC123" s="563"/>
      <c r="DD123" s="561"/>
      <c r="DG123" s="575"/>
      <c r="DH123" s="575"/>
      <c r="DI123" s="569">
        <f t="shared" ref="DI123" si="412">IFERROR(IF(DG123&gt;0,(((N120)/(1+10%+19%*5%)+((N120)/(1+10%+19%*5%))*10%)*DH123),0),0)</f>
        <v>0</v>
      </c>
      <c r="DJ123" s="569">
        <f t="shared" ref="DJ123" si="413">IFERROR(IF(DG123&gt;0,(N120*DH123),0),0)</f>
        <v>0</v>
      </c>
      <c r="DK123" s="569">
        <f t="shared" ref="DK123" si="414">IF(DG123&gt;0,((R120+T120)*DH123),0)</f>
        <v>0</v>
      </c>
      <c r="DL123" s="569">
        <f t="shared" ref="DL123" si="415">IF(DG123&gt;0,(Q120*DH123),0)</f>
        <v>0</v>
      </c>
      <c r="DM123" s="572">
        <f t="shared" ref="DM123" si="416">IF(DG123&gt;0,(S120*DH123),0)</f>
        <v>0</v>
      </c>
      <c r="DN123" s="569">
        <f t="shared" ref="DN123" si="417">IF(DG123&gt;0,(BN120*DH123),0)</f>
        <v>0</v>
      </c>
      <c r="DO123" s="569">
        <f t="shared" ref="DO123" si="418">IF(DG123&gt;0,(AF120*DH123),0)</f>
        <v>0</v>
      </c>
      <c r="DP123" s="569">
        <f>IF(DG123&gt;0,((DI123)*('BD P&amp;G'!$E$16+'BD P&amp;G'!$E$17+'BD P&amp;G'!$E$18+'BD P&amp;G'!$E$19+'BD P&amp;G'!$E$20+'BD P&amp;G'!$E$21+'BD P&amp;G'!$E$22+'BD P&amp;G'!$E$23)*DH123),0)</f>
        <v>0</v>
      </c>
      <c r="DQ123" s="569">
        <f>IFERROR(IF(DG123&gt;0,((DI123*'BD P&amp;G'!$E$7)+(DI123*'BD P&amp;G'!$E$9)+AI120),0),0)</f>
        <v>0</v>
      </c>
      <c r="DR123" s="569">
        <f t="shared" ref="DR123" si="419">IFERROR(IF(DG123&gt;0,((DI123*1%)),0),0)</f>
        <v>0</v>
      </c>
      <c r="DS123" s="569">
        <f>IFERROR(IF(DG123&gt;0,(((DI123*'BD P&amp;G'!$E$32+DI123*'BD P&amp;G'!$E$33+DI123*'BD P&amp;G'!$E$35+DI123*'BD P&amp;G'!$E$36+DI123*'BD P&amp;G'!$E$37))),0),0)</f>
        <v>0</v>
      </c>
      <c r="DT123" s="569">
        <f t="shared" ref="DT123" si="420">IF(DG123&gt;0,(Y120*DH123),0)</f>
        <v>0</v>
      </c>
      <c r="DU123" s="569">
        <f t="shared" ref="DU123" si="421">IF(DG123&gt;0,(Z120*DH123),0)</f>
        <v>0</v>
      </c>
      <c r="DV123" s="575">
        <f t="shared" ref="DV123" si="422">IF(DG123&gt;0,(Y124*DH123),0)</f>
        <v>0</v>
      </c>
      <c r="DW123" s="575">
        <f t="shared" ref="DW123" si="423">IF(DG123&gt;0,(Z124*DH123),0)</f>
        <v>0</v>
      </c>
      <c r="DX123" s="569">
        <f t="shared" ref="DX123" si="424">IF(DV123&gt;0,DJ123,0)</f>
        <v>0</v>
      </c>
      <c r="DY123" s="569">
        <f t="shared" ref="DY123" si="425">IF(DW123&gt;0,DJ123,0)</f>
        <v>0</v>
      </c>
    </row>
    <row r="124" spans="1:194" s="175" customFormat="1" ht="60" customHeight="1" x14ac:dyDescent="0.3">
      <c r="A124" s="366"/>
      <c r="B124" s="367"/>
      <c r="C124" s="393" t="s">
        <v>35</v>
      </c>
      <c r="D124" s="599" t="str">
        <f>IFERROR(VLOOKUP(D120,'BD GN'!C:E,3,),"")</f>
        <v/>
      </c>
      <c r="E124" s="599"/>
      <c r="F124" s="599"/>
      <c r="G124" s="599"/>
      <c r="H124" s="599"/>
      <c r="I124" s="599"/>
      <c r="J124" s="604"/>
      <c r="K124" s="604"/>
      <c r="L124" s="607"/>
      <c r="M124" s="559"/>
      <c r="N124" s="610"/>
      <c r="O124" s="613"/>
      <c r="P124" s="192"/>
      <c r="Q124" s="239"/>
      <c r="R124" s="221" t="s">
        <v>210</v>
      </c>
      <c r="S124" s="234" t="str">
        <f>IFERROR(IF(N120="","",N120/W124),"")</f>
        <v/>
      </c>
      <c r="T124" s="226"/>
      <c r="U124" s="206"/>
      <c r="V124" s="220"/>
      <c r="W124" s="242" t="str">
        <f>+IF(J120*K120&gt;=1,J120*K120,IF(AND(J120*K120&gt;0,J120*K120&lt;1),1,""))</f>
        <v/>
      </c>
      <c r="X124" s="221" t="s">
        <v>298</v>
      </c>
      <c r="Y124" s="461">
        <f>IFERROR(IF(D120='BD GN'!$C$25,COTIZACIÓN!W124,IF(D120='BD GN'!$C$26,COTIZACIÓN!W124,IF(D120='BD GN'!$C$27,COTIZACIÓN!W124,IF(COTIZACIÓN!D120='BD GN'!$C$28,COTIZACIÓN!W124,IF(COTIZACIÓN!D120='BD GN'!$C$29,COTIZACIÓN!W124,IF(COTIZACIÓN!D120='BD GN'!$C$35,COTIZACIÓN!W124,IF(COTIZACIÓN!D120='BD GN'!$C$36,COTIZACIÓN!W124,IF(COTIZACIÓN!D120='BD GN'!$C$37,COTIZACIÓN!W124,IF(COTIZACIÓN!D120='BD GN'!$C$38,COTIZACIÓN!W124,IF(COTIZACIÓN!D120='BD GN'!$C$39,COTIZACIÓN!W124,IF(COTIZACIÓN!D120='BD GN'!$C$40,COTIZACIÓN!W124,IF(COTIZACIÓN!D120='BD GN'!$C$41,COTIZACIÓN!W124,IF(COTIZACIÓN!D120='BD GN'!$C$42,COTIZACIÓN!W124,IF(COTIZACIÓN!D120='BD GN'!$C$49,COTIZACIÓN!W124,IF(COTIZACIÓN!D120='BD GN'!$C$50,COTIZACIÓN!W124,IF(COTIZACIÓN!D120='BD GN'!$C$51,COTIZACIÓN!W124,IF(COTIZACIÓN!D120='BD GN'!$C$67,COTIZACIÓN!W124,0))))))))))))))))),0)</f>
        <v>0</v>
      </c>
      <c r="Z124" s="461">
        <f>IFERROR(W124-Y124,0)</f>
        <v>0</v>
      </c>
      <c r="AA124" s="225"/>
      <c r="AB124" s="226"/>
      <c r="AC124" s="206"/>
      <c r="AD124" s="206"/>
      <c r="AE124" s="206"/>
      <c r="AF124" s="227"/>
      <c r="AG124" s="206"/>
      <c r="AH124" s="206"/>
      <c r="AI124" s="206"/>
      <c r="AJ124" s="206"/>
      <c r="AK124" s="227"/>
      <c r="AL124" s="210"/>
      <c r="AM124" s="206"/>
      <c r="AN124" s="206"/>
      <c r="AO124" s="228"/>
      <c r="AP124" s="229"/>
      <c r="AQ124" s="206"/>
      <c r="AR124" s="206"/>
      <c r="AS124" s="228"/>
      <c r="AT124" s="229"/>
      <c r="AU124" s="228"/>
      <c r="AV124" s="229"/>
      <c r="AW124" s="228"/>
      <c r="AX124" s="229"/>
      <c r="AY124" s="206"/>
      <c r="AZ124" s="229"/>
      <c r="BA124" s="210"/>
      <c r="BC124" s="211" t="s">
        <v>117</v>
      </c>
      <c r="BD124" s="210"/>
      <c r="BE124" s="177" t="str">
        <f>IFERROR(VLOOKUP(D120,'BD M.O'!C:I,6,FALSE),"")</f>
        <v/>
      </c>
      <c r="BF124" s="177" t="s">
        <v>261</v>
      </c>
      <c r="BI124" s="210"/>
      <c r="BO124" s="210"/>
      <c r="BP124" s="183"/>
      <c r="BQ124" s="183"/>
      <c r="BR124" s="183"/>
      <c r="BW124" s="210"/>
      <c r="CD124" s="184"/>
      <c r="CF124" s="185"/>
      <c r="CI124" s="184"/>
      <c r="CJ124" s="210"/>
      <c r="CK124" s="563"/>
      <c r="CM124" s="559"/>
      <c r="CN124" s="627"/>
      <c r="CO124" s="630"/>
      <c r="CP124" s="630"/>
      <c r="CQ124" s="630"/>
      <c r="CR124" s="630"/>
      <c r="CS124" s="630"/>
      <c r="CT124" s="633"/>
      <c r="CU124" s="563"/>
      <c r="CV124" s="561"/>
      <c r="CW124" s="563"/>
      <c r="CX124" s="561"/>
      <c r="CY124" s="563"/>
      <c r="CZ124" s="561"/>
      <c r="DA124" s="563"/>
      <c r="DB124" s="561"/>
      <c r="DC124" s="563"/>
      <c r="DD124" s="561"/>
      <c r="DG124" s="576"/>
      <c r="DH124" s="576"/>
      <c r="DI124" s="570"/>
      <c r="DJ124" s="570"/>
      <c r="DK124" s="570"/>
      <c r="DL124" s="570"/>
      <c r="DM124" s="573"/>
      <c r="DN124" s="570"/>
      <c r="DO124" s="570"/>
      <c r="DP124" s="570"/>
      <c r="DQ124" s="570"/>
      <c r="DR124" s="570"/>
      <c r="DS124" s="570"/>
      <c r="DT124" s="570"/>
      <c r="DU124" s="570"/>
      <c r="DV124" s="576"/>
      <c r="DW124" s="576"/>
      <c r="DX124" s="570"/>
      <c r="DY124" s="570"/>
    </row>
    <row r="125" spans="1:194" s="252" customFormat="1" ht="60" customHeight="1" x14ac:dyDescent="0.25">
      <c r="A125" s="368"/>
      <c r="B125" s="369"/>
      <c r="C125" s="396" t="s">
        <v>10</v>
      </c>
      <c r="D125" s="645" t="s">
        <v>32</v>
      </c>
      <c r="E125" s="645"/>
      <c r="F125" s="645"/>
      <c r="G125" s="645"/>
      <c r="H125" s="645"/>
      <c r="I125" s="645"/>
      <c r="J125" s="643"/>
      <c r="K125" s="643"/>
      <c r="L125" s="646"/>
      <c r="M125" s="648"/>
      <c r="N125" s="649"/>
      <c r="O125" s="644"/>
      <c r="P125" s="192"/>
      <c r="Q125" s="239"/>
      <c r="R125" s="334" t="s">
        <v>475</v>
      </c>
      <c r="S125" s="234" t="str">
        <f>IFERROR(IF($C$12='BD GN'!$CC$1,VLOOKUP(COTIZACIÓN!D120,'BD GN'!CB:CG,2,FALSE),IF(COTIZACIÓN!$C$12='BD GN'!$CD$1,VLOOKUP(COTIZACIÓN!D120,'BD GN'!CB:CG,3,FALSE),IF($C$12='BD GN'!$CE$1,VLOOKUP(COTIZACIÓN!D120,'BD GN'!CB:CG,4,FALSE),IF(COTIZACIÓN!$C$12='BD GN'!$CF$1,VLOOKUP(COTIZACIÓN!D120,'BD GN'!CB:CG,5,FALSE),IF(COTIZACIÓN!$C$12='BD GN'!$CG$1,VLOOKUP(COTIZACIÓN!D120,'BD GN'!CB:CG,6,FALSE),""))))),"-")</f>
        <v/>
      </c>
      <c r="T125" s="243"/>
      <c r="U125" s="244"/>
      <c r="V125" s="245"/>
      <c r="W125" s="177" t="s">
        <v>394</v>
      </c>
      <c r="X125" s="246">
        <f>IFERROR(SUM(W120:X120),"")</f>
        <v>0</v>
      </c>
      <c r="Y125" s="166" t="s">
        <v>404</v>
      </c>
      <c r="Z125" s="199" t="str">
        <f>IFERROR(Y120+Z120,"")</f>
        <v/>
      </c>
      <c r="AA125" s="247"/>
      <c r="AB125" s="243"/>
      <c r="AC125" s="244"/>
      <c r="AD125" s="244"/>
      <c r="AE125" s="244"/>
      <c r="AF125" s="227"/>
      <c r="AG125" s="206"/>
      <c r="AH125" s="206"/>
      <c r="AI125" s="206"/>
      <c r="AJ125" s="206"/>
      <c r="AK125" s="227"/>
      <c r="AL125" s="227"/>
      <c r="AM125" s="248"/>
      <c r="AN125" s="248"/>
      <c r="AO125" s="249"/>
      <c r="AP125" s="250"/>
      <c r="AQ125" s="248"/>
      <c r="AR125" s="248"/>
      <c r="AS125" s="249"/>
      <c r="AT125" s="250"/>
      <c r="AU125" s="249"/>
      <c r="AV125" s="250"/>
      <c r="AW125" s="249"/>
      <c r="AX125" s="250"/>
      <c r="AY125" s="248"/>
      <c r="AZ125" s="250"/>
      <c r="BA125" s="210"/>
      <c r="BB125" s="175"/>
      <c r="BC125" s="175" t="s">
        <v>118</v>
      </c>
      <c r="BD125" s="210"/>
      <c r="BE125" s="251" t="str">
        <f>IFERROR(VLOOKUP(D120,'BD M.O'!C:I,7,FALSE),"")</f>
        <v/>
      </c>
      <c r="BF125" s="251" t="s">
        <v>262</v>
      </c>
      <c r="BG125" s="175"/>
      <c r="BH125" s="175"/>
      <c r="BI125" s="210"/>
      <c r="BJ125" s="175"/>
      <c r="BK125" s="175"/>
      <c r="BL125" s="175"/>
      <c r="BM125" s="175"/>
      <c r="BN125" s="175"/>
      <c r="BO125" s="210"/>
      <c r="BP125" s="175"/>
      <c r="BQ125" s="175"/>
      <c r="BR125" s="175"/>
      <c r="BS125" s="183"/>
      <c r="BT125" s="183"/>
      <c r="BU125" s="183"/>
      <c r="BV125" s="183"/>
      <c r="BW125" s="210"/>
      <c r="BX125" s="175"/>
      <c r="BY125" s="175"/>
      <c r="BZ125" s="175"/>
      <c r="CA125" s="175"/>
      <c r="CB125" s="175"/>
      <c r="CC125" s="175"/>
      <c r="CD125" s="184"/>
      <c r="CE125" s="175"/>
      <c r="CF125" s="185"/>
      <c r="CG125" s="175"/>
      <c r="CH125" s="175"/>
      <c r="CI125" s="184"/>
      <c r="CJ125" s="210"/>
      <c r="CK125" s="564"/>
      <c r="CL125" s="257"/>
      <c r="CM125" s="597"/>
      <c r="CN125" s="628"/>
      <c r="CO125" s="631"/>
      <c r="CP125" s="631"/>
      <c r="CQ125" s="631"/>
      <c r="CR125" s="631"/>
      <c r="CS125" s="631"/>
      <c r="CT125" s="634"/>
      <c r="CU125" s="564"/>
      <c r="CV125" s="562"/>
      <c r="CW125" s="564"/>
      <c r="CX125" s="562"/>
      <c r="CY125" s="564"/>
      <c r="CZ125" s="562"/>
      <c r="DA125" s="564"/>
      <c r="DB125" s="562"/>
      <c r="DC125" s="564"/>
      <c r="DD125" s="562"/>
      <c r="DE125" s="175"/>
      <c r="DF125" s="175"/>
      <c r="DG125" s="577"/>
      <c r="DH125" s="577"/>
      <c r="DI125" s="571"/>
      <c r="DJ125" s="571"/>
      <c r="DK125" s="571"/>
      <c r="DL125" s="571"/>
      <c r="DM125" s="574"/>
      <c r="DN125" s="571"/>
      <c r="DO125" s="571"/>
      <c r="DP125" s="571"/>
      <c r="DQ125" s="571"/>
      <c r="DR125" s="571"/>
      <c r="DS125" s="571"/>
      <c r="DT125" s="571"/>
      <c r="DU125" s="571"/>
      <c r="DV125" s="577"/>
      <c r="DW125" s="577"/>
      <c r="DX125" s="571"/>
      <c r="DY125" s="571"/>
      <c r="DZ125" s="175"/>
      <c r="EA125" s="175"/>
      <c r="EB125" s="175"/>
      <c r="EC125" s="175"/>
      <c r="ED125" s="175"/>
      <c r="EE125" s="175"/>
      <c r="EF125" s="175"/>
      <c r="EG125" s="175"/>
      <c r="EH125" s="175"/>
      <c r="EI125" s="175"/>
      <c r="EJ125" s="175"/>
      <c r="EK125" s="175"/>
      <c r="EL125" s="175"/>
      <c r="EM125" s="175"/>
      <c r="EN125" s="175"/>
      <c r="EO125" s="175"/>
      <c r="EP125" s="175"/>
      <c r="EQ125" s="175"/>
      <c r="ER125" s="175"/>
      <c r="ES125" s="175"/>
      <c r="ET125" s="175"/>
      <c r="EU125" s="175"/>
      <c r="EV125" s="175"/>
      <c r="EW125" s="175"/>
      <c r="EX125" s="175"/>
      <c r="EY125" s="175"/>
      <c r="EZ125" s="175"/>
      <c r="FA125" s="175"/>
      <c r="FB125" s="175"/>
      <c r="FC125" s="175"/>
      <c r="FD125" s="175"/>
      <c r="FE125" s="175"/>
      <c r="FF125" s="175"/>
      <c r="FG125" s="175"/>
      <c r="FH125" s="175"/>
      <c r="FI125" s="175"/>
      <c r="FJ125" s="175"/>
      <c r="FK125" s="175"/>
      <c r="FL125" s="175"/>
      <c r="FM125" s="175"/>
      <c r="FN125" s="175"/>
      <c r="FO125" s="175"/>
      <c r="FP125" s="175"/>
      <c r="FQ125" s="175"/>
      <c r="FR125" s="175"/>
      <c r="FS125" s="175"/>
      <c r="FT125" s="175"/>
      <c r="FU125" s="175"/>
      <c r="FV125" s="175"/>
      <c r="FW125" s="175"/>
      <c r="FX125" s="175"/>
      <c r="FY125" s="175"/>
      <c r="FZ125" s="175"/>
      <c r="GA125" s="175"/>
      <c r="GB125" s="175"/>
      <c r="GC125" s="175"/>
      <c r="GD125" s="175"/>
      <c r="GE125" s="175"/>
      <c r="GF125" s="175"/>
      <c r="GG125" s="175"/>
      <c r="GH125" s="175"/>
      <c r="GI125" s="175"/>
      <c r="GJ125" s="175"/>
      <c r="GK125" s="175"/>
      <c r="GL125" s="175"/>
    </row>
    <row r="126" spans="1:194" s="255" customFormat="1" ht="60" customHeight="1" x14ac:dyDescent="0.3">
      <c r="A126" s="362" t="s">
        <v>193</v>
      </c>
      <c r="B126" s="363" t="s">
        <v>25</v>
      </c>
      <c r="C126" s="391" t="s">
        <v>174</v>
      </c>
      <c r="D126" s="640" t="s">
        <v>173</v>
      </c>
      <c r="E126" s="640"/>
      <c r="F126" s="640"/>
      <c r="G126" s="640"/>
      <c r="H126" s="640"/>
      <c r="I126" s="640"/>
      <c r="J126" s="418" t="s">
        <v>443</v>
      </c>
      <c r="K126" s="418" t="s">
        <v>444</v>
      </c>
      <c r="L126" s="418" t="s">
        <v>171</v>
      </c>
      <c r="M126" s="363" t="s">
        <v>2</v>
      </c>
      <c r="N126" s="419" t="s">
        <v>7</v>
      </c>
      <c r="O126" s="420" t="s">
        <v>8</v>
      </c>
      <c r="P126" s="159"/>
      <c r="Q126" s="164" t="s">
        <v>93</v>
      </c>
      <c r="R126" s="164" t="s">
        <v>34</v>
      </c>
      <c r="S126" s="164" t="s">
        <v>28</v>
      </c>
      <c r="T126" s="164" t="s">
        <v>95</v>
      </c>
      <c r="U126" s="164" t="s">
        <v>96</v>
      </c>
      <c r="V126" s="164" t="s">
        <v>97</v>
      </c>
      <c r="W126" s="164" t="s">
        <v>4</v>
      </c>
      <c r="X126" s="164" t="s">
        <v>103</v>
      </c>
      <c r="Y126" s="160" t="s">
        <v>402</v>
      </c>
      <c r="Z126" s="165" t="s">
        <v>403</v>
      </c>
      <c r="AA126" s="166" t="s">
        <v>404</v>
      </c>
      <c r="AB126" s="164" t="s">
        <v>99</v>
      </c>
      <c r="AC126" s="164" t="s">
        <v>395</v>
      </c>
      <c r="AD126" s="253" t="s">
        <v>36</v>
      </c>
      <c r="AE126" s="164" t="s">
        <v>389</v>
      </c>
      <c r="AF126" s="164" t="s">
        <v>390</v>
      </c>
      <c r="AG126" s="164" t="s">
        <v>164</v>
      </c>
      <c r="AH126" s="253" t="s">
        <v>396</v>
      </c>
      <c r="AI126" s="164" t="s">
        <v>190</v>
      </c>
      <c r="AJ126" s="164" t="s">
        <v>339</v>
      </c>
      <c r="AK126" s="253" t="s">
        <v>391</v>
      </c>
      <c r="AL126" s="253" t="s">
        <v>393</v>
      </c>
      <c r="AM126" s="167" t="s">
        <v>93</v>
      </c>
      <c r="AN126" s="168" t="s">
        <v>34</v>
      </c>
      <c r="AO126" s="169" t="s">
        <v>28</v>
      </c>
      <c r="AP126" s="170" t="s">
        <v>95</v>
      </c>
      <c r="AQ126" s="167" t="s">
        <v>3</v>
      </c>
      <c r="AR126" s="167" t="s">
        <v>96</v>
      </c>
      <c r="AS126" s="169" t="s">
        <v>97</v>
      </c>
      <c r="AT126" s="170" t="s">
        <v>4</v>
      </c>
      <c r="AU126" s="169" t="s">
        <v>103</v>
      </c>
      <c r="AV126" s="170" t="s">
        <v>99</v>
      </c>
      <c r="AW126" s="169" t="s">
        <v>36</v>
      </c>
      <c r="AX126" s="171" t="s">
        <v>29</v>
      </c>
      <c r="AY126" s="172" t="s">
        <v>190</v>
      </c>
      <c r="AZ126" s="173" t="s">
        <v>102</v>
      </c>
      <c r="BA126" s="174"/>
      <c r="BB126" s="183"/>
      <c r="BC126" s="211" t="s">
        <v>119</v>
      </c>
      <c r="BD126" s="174"/>
      <c r="BE126" s="176" t="s">
        <v>189</v>
      </c>
      <c r="BF126" s="177" t="str">
        <f>$BF$13</f>
        <v xml:space="preserve">VR SILICONA </v>
      </c>
      <c r="BG126" s="177" t="str">
        <f>$BG$13</f>
        <v xml:space="preserve">VR PELÍCULA </v>
      </c>
      <c r="BH126" s="254" t="str">
        <f>$BH$13</f>
        <v>VR EMBALAJE</v>
      </c>
      <c r="BI126" s="174"/>
      <c r="BJ126" s="176" t="str">
        <f>$BJ$13</f>
        <v>ESP. CRISTAL</v>
      </c>
      <c r="BK126" s="176" t="s">
        <v>130</v>
      </c>
      <c r="BL126" s="177" t="s">
        <v>28</v>
      </c>
      <c r="BM126" s="177" t="str">
        <f>BM119</f>
        <v>TOTAL</v>
      </c>
      <c r="BN126" s="177" t="s">
        <v>133</v>
      </c>
      <c r="BO126" s="174"/>
      <c r="BP126" s="175"/>
      <c r="BQ126" s="175"/>
      <c r="BR126" s="175"/>
      <c r="BS126" s="175"/>
      <c r="BT126" s="175"/>
      <c r="BU126" s="175"/>
      <c r="BV126" s="175"/>
      <c r="BW126" s="174"/>
      <c r="BX126" s="175"/>
      <c r="BY126" s="175"/>
      <c r="BZ126" s="175"/>
      <c r="CA126" s="175"/>
      <c r="CB126" s="175"/>
      <c r="CC126" s="175"/>
      <c r="CD126" s="184"/>
      <c r="CE126" s="175"/>
      <c r="CF126" s="185"/>
      <c r="CG126" s="175"/>
      <c r="CH126" s="175"/>
      <c r="CI126" s="184"/>
      <c r="CJ126" s="174"/>
      <c r="CK126" s="186" t="s">
        <v>415</v>
      </c>
      <c r="CL126" s="187" t="s">
        <v>417</v>
      </c>
      <c r="CM126" s="187" t="s">
        <v>416</v>
      </c>
      <c r="CN126" s="188" t="s">
        <v>418</v>
      </c>
      <c r="CO126" s="187" t="s">
        <v>417</v>
      </c>
      <c r="CP126" s="187" t="s">
        <v>409</v>
      </c>
      <c r="CQ126" s="187" t="s">
        <v>410</v>
      </c>
      <c r="CR126" s="187" t="s">
        <v>411</v>
      </c>
      <c r="CS126" s="187" t="s">
        <v>412</v>
      </c>
      <c r="CT126" s="187" t="s">
        <v>413</v>
      </c>
      <c r="CU126" s="189" t="s">
        <v>2</v>
      </c>
      <c r="CV126" s="190" t="s">
        <v>159</v>
      </c>
      <c r="CW126" s="189" t="s">
        <v>2</v>
      </c>
      <c r="CX126" s="190" t="s">
        <v>159</v>
      </c>
      <c r="CY126" s="189" t="s">
        <v>2</v>
      </c>
      <c r="CZ126" s="190" t="s">
        <v>159</v>
      </c>
      <c r="DA126" s="189" t="s">
        <v>2</v>
      </c>
      <c r="DB126" s="190" t="s">
        <v>159</v>
      </c>
      <c r="DC126" s="189" t="s">
        <v>2</v>
      </c>
      <c r="DD126" s="190" t="s">
        <v>159</v>
      </c>
      <c r="DE126" s="183"/>
      <c r="DF126" s="183"/>
      <c r="DG126" s="177" t="s">
        <v>505</v>
      </c>
      <c r="DH126" s="472" t="s">
        <v>509</v>
      </c>
      <c r="DI126" s="457" t="s">
        <v>506</v>
      </c>
      <c r="DJ126" s="457" t="s">
        <v>134</v>
      </c>
      <c r="DK126" s="457" t="s">
        <v>498</v>
      </c>
      <c r="DL126" s="457" t="s">
        <v>499</v>
      </c>
      <c r="DM126" s="457" t="s">
        <v>500</v>
      </c>
      <c r="DN126" s="457" t="s">
        <v>131</v>
      </c>
      <c r="DO126" s="457" t="s">
        <v>390</v>
      </c>
      <c r="DP126" s="457" t="s">
        <v>36</v>
      </c>
      <c r="DQ126" s="457" t="s">
        <v>501</v>
      </c>
      <c r="DR126" s="457" t="s">
        <v>502</v>
      </c>
      <c r="DS126" s="457" t="s">
        <v>503</v>
      </c>
      <c r="DT126" s="457" t="s">
        <v>4</v>
      </c>
      <c r="DU126" s="457" t="s">
        <v>504</v>
      </c>
      <c r="DV126" s="466" t="s">
        <v>507</v>
      </c>
      <c r="DW126" s="466" t="s">
        <v>508</v>
      </c>
      <c r="DX126" s="457" t="s">
        <v>510</v>
      </c>
      <c r="DY126" s="457" t="s">
        <v>511</v>
      </c>
      <c r="DZ126" s="183"/>
      <c r="EA126" s="183"/>
      <c r="EB126" s="183"/>
      <c r="EC126" s="183"/>
      <c r="ED126" s="183"/>
      <c r="EE126" s="183"/>
      <c r="EF126" s="183"/>
      <c r="EG126" s="183"/>
      <c r="EH126" s="183"/>
      <c r="EI126" s="183"/>
      <c r="EJ126" s="183"/>
      <c r="EK126" s="183"/>
      <c r="EL126" s="183"/>
      <c r="EM126" s="183"/>
      <c r="EN126" s="183"/>
      <c r="EO126" s="183"/>
      <c r="EP126" s="183"/>
      <c r="EQ126" s="183"/>
      <c r="ER126" s="183"/>
      <c r="ES126" s="183"/>
      <c r="ET126" s="183"/>
      <c r="EU126" s="183"/>
      <c r="EV126" s="183"/>
      <c r="EW126" s="183"/>
      <c r="EX126" s="183"/>
      <c r="EY126" s="183"/>
      <c r="EZ126" s="183"/>
      <c r="FA126" s="183"/>
      <c r="FB126" s="183"/>
      <c r="FC126" s="183"/>
      <c r="FD126" s="183"/>
      <c r="FE126" s="183"/>
      <c r="FF126" s="183"/>
      <c r="FG126" s="183"/>
      <c r="FH126" s="183"/>
      <c r="FI126" s="183"/>
      <c r="FJ126" s="183"/>
      <c r="FK126" s="183"/>
      <c r="FL126" s="183"/>
      <c r="FM126" s="183"/>
      <c r="FN126" s="183"/>
      <c r="FO126" s="183"/>
      <c r="FP126" s="183"/>
      <c r="FQ126" s="183"/>
      <c r="FR126" s="183"/>
      <c r="FS126" s="183"/>
      <c r="FT126" s="183"/>
      <c r="FU126" s="183"/>
      <c r="FV126" s="183"/>
      <c r="FW126" s="183"/>
      <c r="FX126" s="183"/>
      <c r="FY126" s="183"/>
      <c r="FZ126" s="183"/>
      <c r="GA126" s="183"/>
      <c r="GB126" s="183"/>
      <c r="GC126" s="183"/>
      <c r="GD126" s="183"/>
      <c r="GE126" s="183"/>
      <c r="GF126" s="183"/>
      <c r="GG126" s="183"/>
      <c r="GH126" s="183"/>
      <c r="GI126" s="183"/>
      <c r="GJ126" s="183"/>
      <c r="GK126" s="183"/>
      <c r="GL126" s="183"/>
    </row>
    <row r="127" spans="1:194" s="175" customFormat="1" ht="60" customHeight="1" x14ac:dyDescent="0.3">
      <c r="A127" s="364"/>
      <c r="B127" s="365"/>
      <c r="C127" s="392" t="s">
        <v>27</v>
      </c>
      <c r="D127" s="641"/>
      <c r="E127" s="641"/>
      <c r="F127" s="641"/>
      <c r="G127" s="641"/>
      <c r="H127" s="641"/>
      <c r="I127" s="641"/>
      <c r="J127" s="642"/>
      <c r="K127" s="642"/>
      <c r="L127" s="622">
        <f>J127*K127*M127</f>
        <v>0</v>
      </c>
      <c r="M127" s="623"/>
      <c r="N127" s="620">
        <f>IFERROR(AL127,"")</f>
        <v>1.0765546639999999</v>
      </c>
      <c r="O127" s="621">
        <f>IFERROR(N127*M127,"")</f>
        <v>0</v>
      </c>
      <c r="P127" s="192"/>
      <c r="Q127" s="193">
        <f>Q128+BF127+($R$350*Q128)</f>
        <v>0</v>
      </c>
      <c r="R127" s="193">
        <f>IFERROR(R128+($R$348*R128),"")</f>
        <v>0</v>
      </c>
      <c r="S127" s="194">
        <f>+IF(R129="SI",((W131*'BD GN'!$AB$2)+S128)*1,COTIZACIÓN!S128*1)+(P128*S128)</f>
        <v>0</v>
      </c>
      <c r="T127" s="195">
        <f>IFERROR(R127*IF(K127&lt;=3,$T$13,15%),"")</f>
        <v>0</v>
      </c>
      <c r="U127" s="196">
        <f>BH127+BG127</f>
        <v>0</v>
      </c>
      <c r="V127" s="197" t="str">
        <f>IFERROR(BN127,0)</f>
        <v/>
      </c>
      <c r="W127" s="198" t="str">
        <f>IFERROR(IF(X129="SI",W130*J127*K127,IF(BE127=3,BE129,IF(BE127=4,BE130,IF(BE127=5,BE131,IF(BE127&gt;5,BE131+(BE132*(BE127-5)),"")))))*0,"")</f>
        <v/>
      </c>
      <c r="X127" s="198" t="str">
        <f>IFERROR(IF(X128="NO",(VLOOKUP(D127,'BD M.O'!C:E,3,FALSE))*W131,((VLOOKUP(D127,'BD M.O'!C:E,3,FALSE))+7500)*W131),"")</f>
        <v/>
      </c>
      <c r="Y127" s="198">
        <f>IFERROR($Y$13*AK127,"")</f>
        <v>4.2084457416288003E-2</v>
      </c>
      <c r="Z127" s="332" t="str">
        <f>IFERROR(($Z$13*AK127)+X127,"")</f>
        <v/>
      </c>
      <c r="AA127" s="199" t="str">
        <f>IFERROR(Y127+Z127,"")</f>
        <v/>
      </c>
      <c r="AB127" s="200">
        <f>IFERROR((SUM(Q127:X127)-T127+T129)*$AB$13,"")</f>
        <v>0</v>
      </c>
      <c r="AC127" s="201">
        <f>IFERROR(((SUM(Q127:V127,IF(X132&gt;AA127,AVERAGE(X132,AA127),AA127))-T127+T129))*$AB$13,"")</f>
        <v>0</v>
      </c>
      <c r="AD127" s="202" t="str">
        <f>IFERROR((J127*K127*$BV$14),"")</f>
        <v/>
      </c>
      <c r="AE127" s="202">
        <f>IFERROR($AE$13*AK127,"")</f>
        <v>6.4010592649919984E-2</v>
      </c>
      <c r="AF127" s="203" t="str">
        <f>IFERROR(($CI$11+$CI$13)*W131,"")</f>
        <v/>
      </c>
      <c r="AG127" s="202">
        <f>IFERROR((SUM(Q127:X127,AB127,AD127,AF127)-T127+T129)*$AG$13,"")</f>
        <v>0</v>
      </c>
      <c r="AH127" s="202">
        <f>IFERROR((SUM(Q127:V127,(IF(X132&gt;AA127,AVERAGE(X132,AA127),AA127)),AC127,AE127,AF127)-T127+T129)*$AG$13,"")</f>
        <v>3.2005296324959992E-2</v>
      </c>
      <c r="AI127" s="204">
        <f>IFERROR(AL127*$AI$13,"")</f>
        <v>2.1531093279999997E-2</v>
      </c>
      <c r="AJ127" s="204">
        <f>IFERROR($AJ$13*AL127,"")</f>
        <v>6.007175025119999E-3</v>
      </c>
      <c r="AK127" s="205">
        <f>IFERROR(SUM(Q127:X127,AB127,AD127,AG127,AF127)/(1-$AI$13)+(1-$AJ$13)-T127+T129,"")</f>
        <v>0.99441999999999997</v>
      </c>
      <c r="AL127" s="205">
        <f>IFERROR(SUM(Q127:V127,AC127,(IF(AD127&gt;AE127,AVERAGE(AD127,AE127),AE127)),AF127,,AH127,(IF(SUM(X132)&gt;AA127,AVERAGE(AA127,X132),AA127)))/(1-$AJ$13)+(1-$AI$13)-T127+T129,"")</f>
        <v>1.0765546639999999</v>
      </c>
      <c r="AM127" s="206">
        <f>$M$15*Q127</f>
        <v>0</v>
      </c>
      <c r="AN127" s="207">
        <f>$M$15*R127</f>
        <v>0</v>
      </c>
      <c r="AO127" s="208">
        <f>$M$15*S127</f>
        <v>0</v>
      </c>
      <c r="AP127" s="207">
        <f>$M$15*T127</f>
        <v>0</v>
      </c>
      <c r="AQ127" s="207" t="e">
        <f>$M$15*#REF!</f>
        <v>#REF!</v>
      </c>
      <c r="AR127" s="207">
        <f>$M$15*U127</f>
        <v>0</v>
      </c>
      <c r="AS127" s="208" t="e">
        <f>$M$15*V127</f>
        <v>#VALUE!</v>
      </c>
      <c r="AT127" s="207" t="e">
        <f>$M$15*W127</f>
        <v>#VALUE!</v>
      </c>
      <c r="AU127" s="208" t="e">
        <f>$M$15*X127</f>
        <v>#VALUE!</v>
      </c>
      <c r="AV127" s="207">
        <f>$M$15*AB127</f>
        <v>0</v>
      </c>
      <c r="AW127" s="208">
        <f>$M$15*AE127</f>
        <v>0</v>
      </c>
      <c r="AX127" s="207">
        <f>$M$15*AG127</f>
        <v>0</v>
      </c>
      <c r="AY127" s="209">
        <f>$M$15*AI127</f>
        <v>0</v>
      </c>
      <c r="AZ127" s="207">
        <f>$M$15*AK127</f>
        <v>0</v>
      </c>
      <c r="BA127" s="210"/>
      <c r="BB127" s="175" t="s">
        <v>23</v>
      </c>
      <c r="BC127" s="211" t="s">
        <v>113</v>
      </c>
      <c r="BD127" s="210"/>
      <c r="BE127" s="212"/>
      <c r="BF127" s="213">
        <f>IF(BH128="NO",((2*J127)+(2*K127))*'BD GN'!$AU$3,((3*J127)+(2*K127))*'BD GN'!$AU$3)</f>
        <v>0</v>
      </c>
      <c r="BG127" s="213">
        <f>'BD GN'!$BB$3*J127*K127</f>
        <v>0</v>
      </c>
      <c r="BH127" s="214">
        <f>((J127*2*BE127)+(K127*2*BE127))*'BD GN'!$AN$4</f>
        <v>0</v>
      </c>
      <c r="BI127" s="210"/>
      <c r="BJ127" s="212"/>
      <c r="BK127" s="212"/>
      <c r="BL127" s="215">
        <f>J127*K127*2.5*BJ127</f>
        <v>0</v>
      </c>
      <c r="BM127" s="215">
        <f>BK127+BL127</f>
        <v>0</v>
      </c>
      <c r="BN127" s="216" t="str">
        <f>IFERROR((VLOOKUP($C$12,'BD GN'!BD:BM,10,FALSE)*BM127)+$BR$338,"")</f>
        <v/>
      </c>
      <c r="BO127" s="210"/>
      <c r="BW127" s="210"/>
      <c r="CD127" s="184"/>
      <c r="CF127" s="185"/>
      <c r="CI127" s="184"/>
      <c r="CJ127" s="210"/>
      <c r="CK127" s="565"/>
      <c r="CL127" s="256"/>
      <c r="CM127" s="596"/>
      <c r="CN127" s="626"/>
      <c r="CO127" s="629"/>
      <c r="CP127" s="629"/>
      <c r="CQ127" s="629"/>
      <c r="CR127" s="629"/>
      <c r="CS127" s="629"/>
      <c r="CT127" s="632"/>
      <c r="CU127" s="565"/>
      <c r="CV127" s="560">
        <f>IFERROR(N127*CU127,"")</f>
        <v>0</v>
      </c>
      <c r="CW127" s="565"/>
      <c r="CX127" s="560">
        <f>IFERROR(P127*CW127,"")</f>
        <v>0</v>
      </c>
      <c r="CY127" s="565"/>
      <c r="CZ127" s="560">
        <f>IFERROR(R127*CY127,"")</f>
        <v>0</v>
      </c>
      <c r="DA127" s="565">
        <f t="shared" ref="DA127" si="426">CU127+CW127+CY127</f>
        <v>0</v>
      </c>
      <c r="DB127" s="560">
        <f t="shared" ref="DB127" si="427">IFERROR(CV127+CX127+CZ127,"")</f>
        <v>0</v>
      </c>
      <c r="DC127" s="565">
        <f>M127-(CU127+CW127+CY127)</f>
        <v>0</v>
      </c>
      <c r="DD127" s="560">
        <f>IFERROR(O127-(CV127+CX127+CZ127),"")</f>
        <v>0</v>
      </c>
      <c r="DG127" s="575"/>
      <c r="DH127" s="575"/>
      <c r="DI127" s="569">
        <f t="shared" ref="DI127" si="428">IFERROR(IF(DG127&gt;0,(((N127)/(1+10%+19%*5%)+((N127)/(1+10%+19%*5%))*10%)*DH127),0),0)</f>
        <v>0</v>
      </c>
      <c r="DJ127" s="569">
        <f t="shared" ref="DJ127" si="429">IFERROR(IF(DG127&gt;0,(N127*DH127),0),0)</f>
        <v>0</v>
      </c>
      <c r="DK127" s="569">
        <f t="shared" ref="DK127" si="430">IF(DG127&gt;0,((R127+T127)*DH127),0)</f>
        <v>0</v>
      </c>
      <c r="DL127" s="569">
        <f t="shared" ref="DL127" si="431">IF(DG127&gt;0,(Q127*DH127),0)</f>
        <v>0</v>
      </c>
      <c r="DM127" s="572">
        <f t="shared" ref="DM127" si="432">IF(DG127&gt;0,(S127*DH127),0)</f>
        <v>0</v>
      </c>
      <c r="DN127" s="569">
        <f t="shared" ref="DN127" si="433">IF(DG127&gt;0,(BN127*DH127),0)</f>
        <v>0</v>
      </c>
      <c r="DO127" s="569">
        <f t="shared" ref="DO127" si="434">IF(DG127&gt;0,(AF127*DH127),0)</f>
        <v>0</v>
      </c>
      <c r="DP127" s="569">
        <f>IF(DG127&gt;0,((DI127)*('BD P&amp;G'!$E$16+'BD P&amp;G'!$E$17+'BD P&amp;G'!$E$18+'BD P&amp;G'!$E$19+'BD P&amp;G'!$E$20+'BD P&amp;G'!$E$21+'BD P&amp;G'!$E$22+'BD P&amp;G'!$E$23)*DH127),0)</f>
        <v>0</v>
      </c>
      <c r="DQ127" s="569">
        <f>IFERROR(IF(DG127&gt;0,((DI127*'BD P&amp;G'!$E$7)+(DI127*'BD P&amp;G'!$E$9)+AI127),0),0)</f>
        <v>0</v>
      </c>
      <c r="DR127" s="569">
        <f t="shared" ref="DR127" si="435">IFERROR(IF(DG127&gt;0,((DI127*1%)),0),0)</f>
        <v>0</v>
      </c>
      <c r="DS127" s="569">
        <f>IFERROR(IF(DG127&gt;0,(((DI127*'BD P&amp;G'!$E$32+DI127*'BD P&amp;G'!$E$33+DI127*'BD P&amp;G'!$E$35+DI127*'BD P&amp;G'!$E$36+DI127*'BD P&amp;G'!$E$37))),0),0)</f>
        <v>0</v>
      </c>
      <c r="DT127" s="569">
        <f t="shared" ref="DT127" si="436">IF(DG127&gt;0,(Y127*DH127),0)</f>
        <v>0</v>
      </c>
      <c r="DU127" s="569">
        <f t="shared" ref="DU127" si="437">IF(DG127&gt;0,(Z127*DH127),0)</f>
        <v>0</v>
      </c>
      <c r="DV127" s="575">
        <f t="shared" ref="DV127" si="438">IF(DG127&gt;0,(Y131*DH127),0)</f>
        <v>0</v>
      </c>
      <c r="DW127" s="575">
        <f t="shared" ref="DW127" si="439">IF(DG127&gt;0,(Z131*DH127),0)</f>
        <v>0</v>
      </c>
      <c r="DX127" s="569">
        <f t="shared" ref="DX127" si="440">IF(DV127&gt;0,DJ127,0)</f>
        <v>0</v>
      </c>
      <c r="DY127" s="569">
        <f t="shared" ref="DY127" si="441">IF(DW127&gt;0,DJ127,0)</f>
        <v>0</v>
      </c>
    </row>
    <row r="128" spans="1:194" s="175" customFormat="1" ht="60" customHeight="1" x14ac:dyDescent="0.25">
      <c r="A128" s="366"/>
      <c r="B128" s="367"/>
      <c r="C128" s="393" t="s">
        <v>28</v>
      </c>
      <c r="D128" s="598"/>
      <c r="E128" s="598"/>
      <c r="F128" s="598"/>
      <c r="G128" s="598"/>
      <c r="H128" s="598"/>
      <c r="I128" s="598"/>
      <c r="J128" s="604"/>
      <c r="K128" s="604"/>
      <c r="L128" s="607"/>
      <c r="M128" s="559"/>
      <c r="N128" s="610"/>
      <c r="O128" s="613"/>
      <c r="P128" s="192"/>
      <c r="Q128" s="217"/>
      <c r="R128" s="217"/>
      <c r="S128" s="218"/>
      <c r="T128" s="219">
        <f>IFERROR(T127/$R$353,"")</f>
        <v>0</v>
      </c>
      <c r="U128" s="206"/>
      <c r="V128" s="220"/>
      <c r="W128" s="221" t="s">
        <v>239</v>
      </c>
      <c r="X128" s="222" t="s">
        <v>204</v>
      </c>
      <c r="Y128" s="223"/>
      <c r="Z128" s="224"/>
      <c r="AA128" s="225"/>
      <c r="AB128" s="226"/>
      <c r="AC128" s="206"/>
      <c r="AD128" s="206"/>
      <c r="AE128" s="206"/>
      <c r="AF128" s="227"/>
      <c r="AG128" s="206"/>
      <c r="AH128" s="206"/>
      <c r="AI128" s="206"/>
      <c r="AJ128" s="206"/>
      <c r="AK128" s="227"/>
      <c r="AL128" s="210"/>
      <c r="AM128" s="206"/>
      <c r="AN128" s="206"/>
      <c r="AO128" s="228"/>
      <c r="AP128" s="229"/>
      <c r="AQ128" s="206"/>
      <c r="AR128" s="206"/>
      <c r="AS128" s="228"/>
      <c r="AT128" s="229"/>
      <c r="AU128" s="228"/>
      <c r="AV128" s="229"/>
      <c r="AW128" s="228"/>
      <c r="AX128" s="229"/>
      <c r="AY128" s="206"/>
      <c r="AZ128" s="229"/>
      <c r="BA128" s="210"/>
      <c r="BB128" s="175" t="s">
        <v>24</v>
      </c>
      <c r="BC128" s="175" t="s">
        <v>114</v>
      </c>
      <c r="BD128" s="210"/>
      <c r="BE128" s="176" t="s">
        <v>206</v>
      </c>
      <c r="BF128" s="230" t="s">
        <v>204</v>
      </c>
      <c r="BG128" s="176" t="s">
        <v>290</v>
      </c>
      <c r="BH128" s="231" t="s">
        <v>204</v>
      </c>
      <c r="BI128" s="210"/>
      <c r="BN128" s="232"/>
      <c r="BO128" s="210"/>
      <c r="BV128" s="184"/>
      <c r="BW128" s="210"/>
      <c r="CD128" s="184"/>
      <c r="CF128" s="185"/>
      <c r="CI128" s="184"/>
      <c r="CJ128" s="210"/>
      <c r="CK128" s="563"/>
      <c r="CM128" s="559"/>
      <c r="CN128" s="627"/>
      <c r="CO128" s="630"/>
      <c r="CP128" s="630"/>
      <c r="CQ128" s="630"/>
      <c r="CR128" s="630"/>
      <c r="CS128" s="630"/>
      <c r="CT128" s="633"/>
      <c r="CU128" s="563"/>
      <c r="CV128" s="561"/>
      <c r="CW128" s="563"/>
      <c r="CX128" s="561"/>
      <c r="CY128" s="563"/>
      <c r="CZ128" s="561"/>
      <c r="DA128" s="563"/>
      <c r="DB128" s="561"/>
      <c r="DC128" s="563"/>
      <c r="DD128" s="561"/>
      <c r="DG128" s="576"/>
      <c r="DH128" s="576"/>
      <c r="DI128" s="570"/>
      <c r="DJ128" s="570"/>
      <c r="DK128" s="570"/>
      <c r="DL128" s="570"/>
      <c r="DM128" s="573"/>
      <c r="DN128" s="570"/>
      <c r="DO128" s="570"/>
      <c r="DP128" s="570"/>
      <c r="DQ128" s="570"/>
      <c r="DR128" s="570"/>
      <c r="DS128" s="570"/>
      <c r="DT128" s="570"/>
      <c r="DU128" s="570"/>
      <c r="DV128" s="576"/>
      <c r="DW128" s="576"/>
      <c r="DX128" s="570"/>
      <c r="DY128" s="570"/>
    </row>
    <row r="129" spans="1:194" s="175" customFormat="1" ht="60" customHeight="1" x14ac:dyDescent="0.3">
      <c r="A129" s="366"/>
      <c r="B129" s="367"/>
      <c r="C129" s="393" t="s">
        <v>30</v>
      </c>
      <c r="D129" s="599"/>
      <c r="E129" s="599"/>
      <c r="F129" s="599"/>
      <c r="G129" s="599"/>
      <c r="H129" s="599"/>
      <c r="I129" s="599"/>
      <c r="J129" s="604"/>
      <c r="K129" s="604"/>
      <c r="L129" s="607"/>
      <c r="M129" s="559"/>
      <c r="N129" s="610"/>
      <c r="O129" s="613"/>
      <c r="P129" s="192"/>
      <c r="Q129" s="176" t="s">
        <v>205</v>
      </c>
      <c r="R129" s="233" t="s">
        <v>204</v>
      </c>
      <c r="S129" s="234"/>
      <c r="T129" s="235">
        <f>IFERROR(($R$353-8000)*T128,"")</f>
        <v>0</v>
      </c>
      <c r="U129" s="206"/>
      <c r="V129" s="220"/>
      <c r="W129" s="221" t="s">
        <v>258</v>
      </c>
      <c r="X129" s="222" t="s">
        <v>204</v>
      </c>
      <c r="Y129" s="236"/>
      <c r="Z129" s="237"/>
      <c r="AA129" s="225"/>
      <c r="AB129" s="226"/>
      <c r="AC129" s="206"/>
      <c r="AD129" s="206"/>
      <c r="AE129" s="206"/>
      <c r="AF129" s="227"/>
      <c r="AG129" s="206"/>
      <c r="AH129" s="206"/>
      <c r="AI129" s="206"/>
      <c r="AJ129" s="206"/>
      <c r="AK129" s="227"/>
      <c r="AL129" s="238"/>
      <c r="AM129" s="206"/>
      <c r="AN129" s="206"/>
      <c r="AO129" s="228"/>
      <c r="AP129" s="229"/>
      <c r="AQ129" s="206"/>
      <c r="AR129" s="206"/>
      <c r="AS129" s="228"/>
      <c r="AT129" s="229"/>
      <c r="AU129" s="228"/>
      <c r="AV129" s="229"/>
      <c r="AW129" s="228"/>
      <c r="AX129" s="229"/>
      <c r="AY129" s="206"/>
      <c r="AZ129" s="229"/>
      <c r="BA129" s="210"/>
      <c r="BB129" s="175" t="s">
        <v>26</v>
      </c>
      <c r="BC129" s="211" t="s">
        <v>115</v>
      </c>
      <c r="BD129" s="210"/>
      <c r="BE129" s="177" t="str">
        <f>IFERROR(VLOOKUP(D127,'BD M.O'!C:H,4,FALSE),"")</f>
        <v/>
      </c>
      <c r="BF129" s="177" t="s">
        <v>259</v>
      </c>
      <c r="BI129" s="210"/>
      <c r="BO129" s="210"/>
      <c r="BV129" s="184"/>
      <c r="BW129" s="210"/>
      <c r="CD129" s="184"/>
      <c r="CF129" s="185"/>
      <c r="CI129" s="184"/>
      <c r="CJ129" s="210"/>
      <c r="CK129" s="563"/>
      <c r="CM129" s="559"/>
      <c r="CN129" s="627"/>
      <c r="CO129" s="630"/>
      <c r="CP129" s="630"/>
      <c r="CQ129" s="630"/>
      <c r="CR129" s="630"/>
      <c r="CS129" s="630"/>
      <c r="CT129" s="633"/>
      <c r="CU129" s="563"/>
      <c r="CV129" s="561"/>
      <c r="CW129" s="563"/>
      <c r="CX129" s="561"/>
      <c r="CY129" s="563"/>
      <c r="CZ129" s="561"/>
      <c r="DA129" s="563"/>
      <c r="DB129" s="561"/>
      <c r="DC129" s="563"/>
      <c r="DD129" s="561"/>
      <c r="DG129" s="577"/>
      <c r="DH129" s="577"/>
      <c r="DI129" s="571"/>
      <c r="DJ129" s="571"/>
      <c r="DK129" s="571"/>
      <c r="DL129" s="571"/>
      <c r="DM129" s="574"/>
      <c r="DN129" s="571"/>
      <c r="DO129" s="571"/>
      <c r="DP129" s="571"/>
      <c r="DQ129" s="571"/>
      <c r="DR129" s="571"/>
      <c r="DS129" s="571"/>
      <c r="DT129" s="571"/>
      <c r="DU129" s="571"/>
      <c r="DV129" s="577"/>
      <c r="DW129" s="577"/>
      <c r="DX129" s="571"/>
      <c r="DY129" s="571"/>
    </row>
    <row r="130" spans="1:194" s="175" customFormat="1" ht="60" customHeight="1" x14ac:dyDescent="0.25">
      <c r="A130" s="366"/>
      <c r="B130" s="367"/>
      <c r="C130" s="395" t="s">
        <v>180</v>
      </c>
      <c r="D130" s="599" t="s">
        <v>31</v>
      </c>
      <c r="E130" s="599"/>
      <c r="F130" s="394" t="s">
        <v>9</v>
      </c>
      <c r="G130" s="599" t="s">
        <v>33</v>
      </c>
      <c r="H130" s="599"/>
      <c r="I130" s="394" t="str">
        <f>+IF($BG$9="SI","","X")</f>
        <v>X</v>
      </c>
      <c r="J130" s="604"/>
      <c r="K130" s="604"/>
      <c r="L130" s="607"/>
      <c r="M130" s="559"/>
      <c r="N130" s="610"/>
      <c r="O130" s="613"/>
      <c r="P130" s="192"/>
      <c r="Q130" s="239"/>
      <c r="R130" s="221" t="s">
        <v>209</v>
      </c>
      <c r="S130" s="234" t="str">
        <f>IF(S128="","",S128/(J127*K127))</f>
        <v/>
      </c>
      <c r="T130" s="226"/>
      <c r="U130" s="206"/>
      <c r="V130" s="220"/>
      <c r="W130" s="239" t="str">
        <f>IFERROR(IF(X129="SI",VLOOKUP(D127,'BD M.O'!C:F,4,FALSE),""),"")</f>
        <v/>
      </c>
      <c r="X130" s="221" t="s">
        <v>258</v>
      </c>
      <c r="Y130" s="221" t="s">
        <v>507</v>
      </c>
      <c r="Z130" s="221" t="s">
        <v>508</v>
      </c>
      <c r="AA130" s="225"/>
      <c r="AB130" s="226"/>
      <c r="AC130" s="206"/>
      <c r="AD130" s="206"/>
      <c r="AE130" s="206"/>
      <c r="AF130" s="227"/>
      <c r="AG130" s="206"/>
      <c r="AH130" s="206"/>
      <c r="AI130" s="206"/>
      <c r="AJ130" s="206"/>
      <c r="AK130" s="227"/>
      <c r="AL130" s="240"/>
      <c r="AM130" s="206"/>
      <c r="AN130" s="206"/>
      <c r="AO130" s="228"/>
      <c r="AP130" s="229"/>
      <c r="AQ130" s="206"/>
      <c r="AR130" s="206"/>
      <c r="AS130" s="228"/>
      <c r="AT130" s="229"/>
      <c r="AU130" s="228"/>
      <c r="AV130" s="229"/>
      <c r="AW130" s="228"/>
      <c r="AX130" s="229"/>
      <c r="AY130" s="206"/>
      <c r="AZ130" s="229"/>
      <c r="BA130" s="210"/>
      <c r="BC130" s="175" t="s">
        <v>116</v>
      </c>
      <c r="BD130" s="210"/>
      <c r="BE130" s="177" t="str">
        <f>IFERROR(VLOOKUP(COTIZACIÓN!D127,'BD M.O'!C:I,5,FALSE),"")</f>
        <v/>
      </c>
      <c r="BF130" s="177" t="s">
        <v>260</v>
      </c>
      <c r="BI130" s="210"/>
      <c r="BO130" s="210"/>
      <c r="BP130" s="183"/>
      <c r="BQ130" s="183"/>
      <c r="BR130" s="183"/>
      <c r="BS130" s="183"/>
      <c r="BT130" s="183"/>
      <c r="BU130" s="183"/>
      <c r="BV130" s="182"/>
      <c r="BW130" s="210"/>
      <c r="BX130" s="183"/>
      <c r="BY130" s="183"/>
      <c r="BZ130" s="183"/>
      <c r="CA130" s="183"/>
      <c r="CB130" s="183"/>
      <c r="CC130" s="183"/>
      <c r="CD130" s="182"/>
      <c r="CE130" s="183"/>
      <c r="CF130" s="241"/>
      <c r="CG130" s="183"/>
      <c r="CH130" s="183"/>
      <c r="CI130" s="182"/>
      <c r="CJ130" s="210"/>
      <c r="CK130" s="563"/>
      <c r="CM130" s="559"/>
      <c r="CN130" s="627"/>
      <c r="CO130" s="630"/>
      <c r="CP130" s="630"/>
      <c r="CQ130" s="630"/>
      <c r="CR130" s="630"/>
      <c r="CS130" s="630"/>
      <c r="CT130" s="633"/>
      <c r="CU130" s="563"/>
      <c r="CV130" s="561"/>
      <c r="CW130" s="563"/>
      <c r="CX130" s="561"/>
      <c r="CY130" s="563"/>
      <c r="CZ130" s="561"/>
      <c r="DA130" s="563"/>
      <c r="DB130" s="561"/>
      <c r="DC130" s="563"/>
      <c r="DD130" s="561"/>
      <c r="DG130" s="575"/>
      <c r="DH130" s="575"/>
      <c r="DI130" s="569">
        <f t="shared" ref="DI130" si="442">IFERROR(IF(DG130&gt;0,(((N127)/(1+10%+19%*5%)+((N127)/(1+10%+19%*5%))*10%)*DH130),0),0)</f>
        <v>0</v>
      </c>
      <c r="DJ130" s="569">
        <f t="shared" ref="DJ130" si="443">IFERROR(IF(DG130&gt;0,(N127*DH130),0),0)</f>
        <v>0</v>
      </c>
      <c r="DK130" s="569">
        <f t="shared" ref="DK130" si="444">IF(DG130&gt;0,((R127+T127)*DH130),0)</f>
        <v>0</v>
      </c>
      <c r="DL130" s="569">
        <f t="shared" ref="DL130" si="445">IF(DG130&gt;0,(Q127*DH130),0)</f>
        <v>0</v>
      </c>
      <c r="DM130" s="572">
        <f t="shared" ref="DM130" si="446">IF(DG130&gt;0,(S127*DH130),0)</f>
        <v>0</v>
      </c>
      <c r="DN130" s="569">
        <f t="shared" ref="DN130" si="447">IF(DG130&gt;0,(BN127*DH130),0)</f>
        <v>0</v>
      </c>
      <c r="DO130" s="569">
        <f t="shared" ref="DO130" si="448">IF(DG130&gt;0,(AF127*DH130),0)</f>
        <v>0</v>
      </c>
      <c r="DP130" s="569">
        <f>IF(DG130&gt;0,((DI130)*('BD P&amp;G'!$E$16+'BD P&amp;G'!$E$17+'BD P&amp;G'!$E$18+'BD P&amp;G'!$E$19+'BD P&amp;G'!$E$20+'BD P&amp;G'!$E$21+'BD P&amp;G'!$E$22+'BD P&amp;G'!$E$23)*DH130),0)</f>
        <v>0</v>
      </c>
      <c r="DQ130" s="569">
        <f>IFERROR(IF(DG130&gt;0,((DI130*'BD P&amp;G'!$E$7)+(DI130*'BD P&amp;G'!$E$9)+AI127),0),0)</f>
        <v>0</v>
      </c>
      <c r="DR130" s="569">
        <f t="shared" ref="DR130" si="449">IFERROR(IF(DG130&gt;0,((DI130*1%)),0),0)</f>
        <v>0</v>
      </c>
      <c r="DS130" s="569">
        <f>IFERROR(IF(DG130&gt;0,(((DI130*'BD P&amp;G'!$E$32+DI130*'BD P&amp;G'!$E$33+DI130*'BD P&amp;G'!$E$35+DI130*'BD P&amp;G'!$E$36+DI130*'BD P&amp;G'!$E$37))),0),0)</f>
        <v>0</v>
      </c>
      <c r="DT130" s="569">
        <f t="shared" ref="DT130" si="450">IF(DG130&gt;0,(Y127*DH130),0)</f>
        <v>0</v>
      </c>
      <c r="DU130" s="569">
        <f t="shared" ref="DU130" si="451">IF(DG130&gt;0,(Z127*DH130),0)</f>
        <v>0</v>
      </c>
      <c r="DV130" s="575">
        <f t="shared" ref="DV130" si="452">IF(DG130&gt;0,(Y131*DH130),0)</f>
        <v>0</v>
      </c>
      <c r="DW130" s="575">
        <f t="shared" ref="DW130" si="453">IF(DG130&gt;0,(Z131*DH130),0)</f>
        <v>0</v>
      </c>
      <c r="DX130" s="569">
        <f t="shared" ref="DX130" si="454">IF(DV130&gt;0,DJ130,0)</f>
        <v>0</v>
      </c>
      <c r="DY130" s="569">
        <f t="shared" ref="DY130" si="455">IF(DW130&gt;0,DJ130,0)</f>
        <v>0</v>
      </c>
    </row>
    <row r="131" spans="1:194" s="175" customFormat="1" ht="60" customHeight="1" x14ac:dyDescent="0.3">
      <c r="A131" s="366"/>
      <c r="B131" s="367"/>
      <c r="C131" s="393" t="s">
        <v>35</v>
      </c>
      <c r="D131" s="599" t="str">
        <f>IFERROR(VLOOKUP(D127,'BD GN'!C:E,3,),"")</f>
        <v/>
      </c>
      <c r="E131" s="599"/>
      <c r="F131" s="599"/>
      <c r="G131" s="599"/>
      <c r="H131" s="599"/>
      <c r="I131" s="599"/>
      <c r="J131" s="604"/>
      <c r="K131" s="604"/>
      <c r="L131" s="607"/>
      <c r="M131" s="559"/>
      <c r="N131" s="610"/>
      <c r="O131" s="613"/>
      <c r="P131" s="192"/>
      <c r="Q131" s="239"/>
      <c r="R131" s="221" t="s">
        <v>210</v>
      </c>
      <c r="S131" s="234" t="str">
        <f>IFERROR(IF(N127="","",N127/W131),"")</f>
        <v/>
      </c>
      <c r="T131" s="226"/>
      <c r="U131" s="206"/>
      <c r="V131" s="220"/>
      <c r="W131" s="242" t="str">
        <f>+IF(J127*K127&gt;=1,J127*K127,IF(AND(J127*K127&gt;0,J127*K127&lt;1),1,""))</f>
        <v/>
      </c>
      <c r="X131" s="221" t="s">
        <v>298</v>
      </c>
      <c r="Y131" s="461">
        <f>IFERROR(IF(D127='BD GN'!$C$25,COTIZACIÓN!W131,IF(D127='BD GN'!$C$26,COTIZACIÓN!W131,IF(D127='BD GN'!$C$27,COTIZACIÓN!W131,IF(COTIZACIÓN!D127='BD GN'!$C$28,COTIZACIÓN!W131,IF(COTIZACIÓN!D127='BD GN'!$C$29,COTIZACIÓN!W131,IF(COTIZACIÓN!D127='BD GN'!$C$35,COTIZACIÓN!W131,IF(COTIZACIÓN!D127='BD GN'!$C$36,COTIZACIÓN!W131,IF(COTIZACIÓN!D127='BD GN'!$C$37,COTIZACIÓN!W131,IF(COTIZACIÓN!D127='BD GN'!$C$38,COTIZACIÓN!W131,IF(COTIZACIÓN!D127='BD GN'!$C$39,COTIZACIÓN!W131,IF(COTIZACIÓN!D127='BD GN'!$C$40,COTIZACIÓN!W131,IF(COTIZACIÓN!D127='BD GN'!$C$41,COTIZACIÓN!W131,IF(COTIZACIÓN!D127='BD GN'!$C$42,COTIZACIÓN!W131,IF(COTIZACIÓN!D127='BD GN'!$C$49,COTIZACIÓN!W131,IF(COTIZACIÓN!D127='BD GN'!$C$50,COTIZACIÓN!W131,IF(COTIZACIÓN!D127='BD GN'!$C$51,COTIZACIÓN!W131,IF(COTIZACIÓN!D127='BD GN'!$C$67,COTIZACIÓN!W131,0))))))))))))))))),0)</f>
        <v>0</v>
      </c>
      <c r="Z131" s="461">
        <f>IFERROR(W131-Y131,0)</f>
        <v>0</v>
      </c>
      <c r="AA131" s="225"/>
      <c r="AB131" s="226"/>
      <c r="AC131" s="206"/>
      <c r="AD131" s="206"/>
      <c r="AE131" s="206"/>
      <c r="AF131" s="227"/>
      <c r="AG131" s="206"/>
      <c r="AH131" s="206"/>
      <c r="AI131" s="206"/>
      <c r="AJ131" s="206"/>
      <c r="AK131" s="227"/>
      <c r="AL131" s="210"/>
      <c r="AM131" s="206"/>
      <c r="AN131" s="206"/>
      <c r="AO131" s="228"/>
      <c r="AP131" s="229"/>
      <c r="AQ131" s="206"/>
      <c r="AR131" s="206"/>
      <c r="AS131" s="228"/>
      <c r="AT131" s="229"/>
      <c r="AU131" s="228"/>
      <c r="AV131" s="229"/>
      <c r="AW131" s="228"/>
      <c r="AX131" s="229"/>
      <c r="AY131" s="206"/>
      <c r="AZ131" s="229"/>
      <c r="BA131" s="210"/>
      <c r="BC131" s="211" t="s">
        <v>117</v>
      </c>
      <c r="BD131" s="210"/>
      <c r="BE131" s="177" t="str">
        <f>IFERROR(VLOOKUP(D127,'BD M.O'!C:I,6,FALSE),"")</f>
        <v/>
      </c>
      <c r="BF131" s="177" t="s">
        <v>261</v>
      </c>
      <c r="BI131" s="210"/>
      <c r="BO131" s="210"/>
      <c r="BP131" s="183"/>
      <c r="BQ131" s="183"/>
      <c r="BR131" s="183"/>
      <c r="BW131" s="210"/>
      <c r="CD131" s="184"/>
      <c r="CF131" s="185"/>
      <c r="CI131" s="184"/>
      <c r="CJ131" s="210"/>
      <c r="CK131" s="563"/>
      <c r="CM131" s="559"/>
      <c r="CN131" s="627"/>
      <c r="CO131" s="630"/>
      <c r="CP131" s="630"/>
      <c r="CQ131" s="630"/>
      <c r="CR131" s="630"/>
      <c r="CS131" s="630"/>
      <c r="CT131" s="633"/>
      <c r="CU131" s="563"/>
      <c r="CV131" s="561"/>
      <c r="CW131" s="563"/>
      <c r="CX131" s="561"/>
      <c r="CY131" s="563"/>
      <c r="CZ131" s="561"/>
      <c r="DA131" s="563"/>
      <c r="DB131" s="561"/>
      <c r="DC131" s="563"/>
      <c r="DD131" s="561"/>
      <c r="DG131" s="576"/>
      <c r="DH131" s="576"/>
      <c r="DI131" s="570"/>
      <c r="DJ131" s="570"/>
      <c r="DK131" s="570"/>
      <c r="DL131" s="570"/>
      <c r="DM131" s="573"/>
      <c r="DN131" s="570"/>
      <c r="DO131" s="570"/>
      <c r="DP131" s="570"/>
      <c r="DQ131" s="570"/>
      <c r="DR131" s="570"/>
      <c r="DS131" s="570"/>
      <c r="DT131" s="570"/>
      <c r="DU131" s="570"/>
      <c r="DV131" s="576"/>
      <c r="DW131" s="576"/>
      <c r="DX131" s="570"/>
      <c r="DY131" s="570"/>
    </row>
    <row r="132" spans="1:194" s="252" customFormat="1" ht="60" customHeight="1" x14ac:dyDescent="0.25">
      <c r="A132" s="368"/>
      <c r="B132" s="369"/>
      <c r="C132" s="396" t="s">
        <v>10</v>
      </c>
      <c r="D132" s="645" t="s">
        <v>32</v>
      </c>
      <c r="E132" s="645"/>
      <c r="F132" s="645"/>
      <c r="G132" s="645"/>
      <c r="H132" s="645"/>
      <c r="I132" s="645"/>
      <c r="J132" s="643"/>
      <c r="K132" s="643"/>
      <c r="L132" s="646"/>
      <c r="M132" s="648"/>
      <c r="N132" s="649"/>
      <c r="O132" s="644"/>
      <c r="P132" s="192"/>
      <c r="Q132" s="239"/>
      <c r="R132" s="334" t="s">
        <v>475</v>
      </c>
      <c r="S132" s="234" t="str">
        <f>IFERROR(IF($C$12='BD GN'!$CC$1,VLOOKUP(COTIZACIÓN!D127,'BD GN'!CB:CG,2,FALSE),IF(COTIZACIÓN!$C$12='BD GN'!$CD$1,VLOOKUP(COTIZACIÓN!D127,'BD GN'!CB:CG,3,FALSE),IF($C$12='BD GN'!$CE$1,VLOOKUP(COTIZACIÓN!D127,'BD GN'!CB:CG,4,FALSE),IF(COTIZACIÓN!$C$12='BD GN'!$CF$1,VLOOKUP(COTIZACIÓN!D127,'BD GN'!CB:CG,5,FALSE),IF(COTIZACIÓN!$C$12='BD GN'!$CG$1,VLOOKUP(COTIZACIÓN!D127,'BD GN'!CB:CG,6,FALSE),""))))),"-")</f>
        <v/>
      </c>
      <c r="T132" s="243"/>
      <c r="U132" s="244"/>
      <c r="V132" s="245"/>
      <c r="W132" s="177" t="s">
        <v>394</v>
      </c>
      <c r="X132" s="246">
        <f>IFERROR(SUM(W127:X127),"")</f>
        <v>0</v>
      </c>
      <c r="Y132" s="166" t="s">
        <v>404</v>
      </c>
      <c r="Z132" s="199" t="str">
        <f>IFERROR(Y127+Z127,"")</f>
        <v/>
      </c>
      <c r="AA132" s="247"/>
      <c r="AB132" s="243"/>
      <c r="AC132" s="244"/>
      <c r="AD132" s="244"/>
      <c r="AE132" s="244"/>
      <c r="AF132" s="227"/>
      <c r="AG132" s="206"/>
      <c r="AH132" s="206"/>
      <c r="AI132" s="206"/>
      <c r="AJ132" s="206"/>
      <c r="AK132" s="227"/>
      <c r="AL132" s="227"/>
      <c r="AM132" s="248"/>
      <c r="AN132" s="248"/>
      <c r="AO132" s="249"/>
      <c r="AP132" s="250"/>
      <c r="AQ132" s="248"/>
      <c r="AR132" s="248"/>
      <c r="AS132" s="249"/>
      <c r="AT132" s="250"/>
      <c r="AU132" s="249"/>
      <c r="AV132" s="250"/>
      <c r="AW132" s="249"/>
      <c r="AX132" s="250"/>
      <c r="AY132" s="248"/>
      <c r="AZ132" s="250"/>
      <c r="BA132" s="210"/>
      <c r="BB132" s="175"/>
      <c r="BC132" s="175" t="s">
        <v>118</v>
      </c>
      <c r="BD132" s="210"/>
      <c r="BE132" s="251" t="str">
        <f>IFERROR(VLOOKUP(D127,'BD M.O'!C:I,7,FALSE),"")</f>
        <v/>
      </c>
      <c r="BF132" s="251" t="s">
        <v>262</v>
      </c>
      <c r="BG132" s="175"/>
      <c r="BH132" s="175"/>
      <c r="BI132" s="210"/>
      <c r="BJ132" s="175"/>
      <c r="BK132" s="175"/>
      <c r="BL132" s="175"/>
      <c r="BM132" s="175"/>
      <c r="BN132" s="175"/>
      <c r="BO132" s="210"/>
      <c r="BP132" s="175"/>
      <c r="BQ132" s="175"/>
      <c r="BR132" s="175"/>
      <c r="BS132" s="183"/>
      <c r="BT132" s="183"/>
      <c r="BU132" s="183"/>
      <c r="BV132" s="183"/>
      <c r="BW132" s="210"/>
      <c r="BX132" s="175"/>
      <c r="BY132" s="175"/>
      <c r="BZ132" s="175"/>
      <c r="CA132" s="175"/>
      <c r="CB132" s="175"/>
      <c r="CC132" s="175"/>
      <c r="CD132" s="184"/>
      <c r="CE132" s="175"/>
      <c r="CF132" s="185"/>
      <c r="CG132" s="175"/>
      <c r="CH132" s="175"/>
      <c r="CI132" s="184"/>
      <c r="CJ132" s="210"/>
      <c r="CK132" s="564"/>
      <c r="CL132" s="257"/>
      <c r="CM132" s="597"/>
      <c r="CN132" s="628"/>
      <c r="CO132" s="631"/>
      <c r="CP132" s="631"/>
      <c r="CQ132" s="631"/>
      <c r="CR132" s="631"/>
      <c r="CS132" s="631"/>
      <c r="CT132" s="634"/>
      <c r="CU132" s="564"/>
      <c r="CV132" s="562"/>
      <c r="CW132" s="564"/>
      <c r="CX132" s="562"/>
      <c r="CY132" s="564"/>
      <c r="CZ132" s="562"/>
      <c r="DA132" s="564"/>
      <c r="DB132" s="562"/>
      <c r="DC132" s="564"/>
      <c r="DD132" s="562"/>
      <c r="DE132" s="175"/>
      <c r="DF132" s="175"/>
      <c r="DG132" s="577"/>
      <c r="DH132" s="577"/>
      <c r="DI132" s="571"/>
      <c r="DJ132" s="571"/>
      <c r="DK132" s="571"/>
      <c r="DL132" s="571"/>
      <c r="DM132" s="574"/>
      <c r="DN132" s="571"/>
      <c r="DO132" s="571"/>
      <c r="DP132" s="571"/>
      <c r="DQ132" s="571"/>
      <c r="DR132" s="571"/>
      <c r="DS132" s="571"/>
      <c r="DT132" s="571"/>
      <c r="DU132" s="571"/>
      <c r="DV132" s="577"/>
      <c r="DW132" s="577"/>
      <c r="DX132" s="571"/>
      <c r="DY132" s="571"/>
      <c r="DZ132" s="175"/>
      <c r="EA132" s="175"/>
      <c r="EB132" s="175"/>
      <c r="EC132" s="175"/>
      <c r="ED132" s="175"/>
      <c r="EE132" s="175"/>
      <c r="EF132" s="175"/>
      <c r="EG132" s="175"/>
      <c r="EH132" s="175"/>
      <c r="EI132" s="175"/>
      <c r="EJ132" s="175"/>
      <c r="EK132" s="175"/>
      <c r="EL132" s="175"/>
      <c r="EM132" s="175"/>
      <c r="EN132" s="175"/>
      <c r="EO132" s="175"/>
      <c r="EP132" s="175"/>
      <c r="EQ132" s="175"/>
      <c r="ER132" s="175"/>
      <c r="ES132" s="175"/>
      <c r="ET132" s="175"/>
      <c r="EU132" s="175"/>
      <c r="EV132" s="175"/>
      <c r="EW132" s="175"/>
      <c r="EX132" s="175"/>
      <c r="EY132" s="175"/>
      <c r="EZ132" s="175"/>
      <c r="FA132" s="175"/>
      <c r="FB132" s="175"/>
      <c r="FC132" s="175"/>
      <c r="FD132" s="175"/>
      <c r="FE132" s="175"/>
      <c r="FF132" s="175"/>
      <c r="FG132" s="175"/>
      <c r="FH132" s="175"/>
      <c r="FI132" s="175"/>
      <c r="FJ132" s="175"/>
      <c r="FK132" s="175"/>
      <c r="FL132" s="175"/>
      <c r="FM132" s="175"/>
      <c r="FN132" s="175"/>
      <c r="FO132" s="175"/>
      <c r="FP132" s="175"/>
      <c r="FQ132" s="175"/>
      <c r="FR132" s="175"/>
      <c r="FS132" s="175"/>
      <c r="FT132" s="175"/>
      <c r="FU132" s="175"/>
      <c r="FV132" s="175"/>
      <c r="FW132" s="175"/>
      <c r="FX132" s="175"/>
      <c r="FY132" s="175"/>
      <c r="FZ132" s="175"/>
      <c r="GA132" s="175"/>
      <c r="GB132" s="175"/>
      <c r="GC132" s="175"/>
      <c r="GD132" s="175"/>
      <c r="GE132" s="175"/>
      <c r="GF132" s="175"/>
      <c r="GG132" s="175"/>
      <c r="GH132" s="175"/>
      <c r="GI132" s="175"/>
      <c r="GJ132" s="175"/>
      <c r="GK132" s="175"/>
      <c r="GL132" s="175"/>
    </row>
    <row r="133" spans="1:194" s="255" customFormat="1" ht="60" customHeight="1" x14ac:dyDescent="0.3">
      <c r="A133" s="362" t="s">
        <v>193</v>
      </c>
      <c r="B133" s="363" t="s">
        <v>25</v>
      </c>
      <c r="C133" s="391" t="s">
        <v>174</v>
      </c>
      <c r="D133" s="640" t="s">
        <v>173</v>
      </c>
      <c r="E133" s="640"/>
      <c r="F133" s="640"/>
      <c r="G133" s="640"/>
      <c r="H133" s="640"/>
      <c r="I133" s="640"/>
      <c r="J133" s="418" t="s">
        <v>443</v>
      </c>
      <c r="K133" s="418" t="s">
        <v>444</v>
      </c>
      <c r="L133" s="418" t="s">
        <v>171</v>
      </c>
      <c r="M133" s="363" t="s">
        <v>2</v>
      </c>
      <c r="N133" s="419" t="s">
        <v>7</v>
      </c>
      <c r="O133" s="420" t="s">
        <v>8</v>
      </c>
      <c r="P133" s="159"/>
      <c r="Q133" s="164" t="s">
        <v>93</v>
      </c>
      <c r="R133" s="164" t="s">
        <v>34</v>
      </c>
      <c r="S133" s="164" t="s">
        <v>28</v>
      </c>
      <c r="T133" s="164" t="s">
        <v>95</v>
      </c>
      <c r="U133" s="164" t="s">
        <v>96</v>
      </c>
      <c r="V133" s="164" t="s">
        <v>97</v>
      </c>
      <c r="W133" s="164" t="s">
        <v>4</v>
      </c>
      <c r="X133" s="164" t="s">
        <v>103</v>
      </c>
      <c r="Y133" s="160" t="s">
        <v>402</v>
      </c>
      <c r="Z133" s="165" t="s">
        <v>403</v>
      </c>
      <c r="AA133" s="166" t="s">
        <v>404</v>
      </c>
      <c r="AB133" s="164" t="s">
        <v>99</v>
      </c>
      <c r="AC133" s="164" t="s">
        <v>395</v>
      </c>
      <c r="AD133" s="253" t="s">
        <v>36</v>
      </c>
      <c r="AE133" s="164" t="s">
        <v>389</v>
      </c>
      <c r="AF133" s="164" t="s">
        <v>390</v>
      </c>
      <c r="AG133" s="164" t="s">
        <v>164</v>
      </c>
      <c r="AH133" s="253" t="s">
        <v>396</v>
      </c>
      <c r="AI133" s="164" t="s">
        <v>190</v>
      </c>
      <c r="AJ133" s="164" t="s">
        <v>339</v>
      </c>
      <c r="AK133" s="253" t="s">
        <v>391</v>
      </c>
      <c r="AL133" s="253" t="s">
        <v>393</v>
      </c>
      <c r="AM133" s="167" t="s">
        <v>93</v>
      </c>
      <c r="AN133" s="168" t="s">
        <v>34</v>
      </c>
      <c r="AO133" s="169" t="s">
        <v>28</v>
      </c>
      <c r="AP133" s="170" t="s">
        <v>95</v>
      </c>
      <c r="AQ133" s="167" t="s">
        <v>3</v>
      </c>
      <c r="AR133" s="167" t="s">
        <v>96</v>
      </c>
      <c r="AS133" s="169" t="s">
        <v>97</v>
      </c>
      <c r="AT133" s="170" t="s">
        <v>4</v>
      </c>
      <c r="AU133" s="169" t="s">
        <v>103</v>
      </c>
      <c r="AV133" s="170" t="s">
        <v>99</v>
      </c>
      <c r="AW133" s="169" t="s">
        <v>36</v>
      </c>
      <c r="AX133" s="171" t="s">
        <v>29</v>
      </c>
      <c r="AY133" s="172" t="s">
        <v>190</v>
      </c>
      <c r="AZ133" s="173" t="s">
        <v>102</v>
      </c>
      <c r="BA133" s="174"/>
      <c r="BB133" s="183"/>
      <c r="BC133" s="211" t="s">
        <v>119</v>
      </c>
      <c r="BD133" s="174"/>
      <c r="BE133" s="176" t="s">
        <v>189</v>
      </c>
      <c r="BF133" s="177" t="str">
        <f>$BF$13</f>
        <v xml:space="preserve">VR SILICONA </v>
      </c>
      <c r="BG133" s="177" t="str">
        <f>$BG$13</f>
        <v xml:space="preserve">VR PELÍCULA </v>
      </c>
      <c r="BH133" s="254" t="str">
        <f>$BH$13</f>
        <v>VR EMBALAJE</v>
      </c>
      <c r="BI133" s="174"/>
      <c r="BJ133" s="176" t="str">
        <f>$BJ$13</f>
        <v>ESP. CRISTAL</v>
      </c>
      <c r="BK133" s="176" t="s">
        <v>130</v>
      </c>
      <c r="BL133" s="177" t="s">
        <v>28</v>
      </c>
      <c r="BM133" s="177" t="str">
        <f>BM126</f>
        <v>TOTAL</v>
      </c>
      <c r="BN133" s="177" t="s">
        <v>133</v>
      </c>
      <c r="BO133" s="174"/>
      <c r="BP133" s="175"/>
      <c r="BQ133" s="175"/>
      <c r="BR133" s="175"/>
      <c r="BS133" s="175"/>
      <c r="BT133" s="175"/>
      <c r="BU133" s="175"/>
      <c r="BV133" s="175"/>
      <c r="BW133" s="174"/>
      <c r="BX133" s="175"/>
      <c r="BY133" s="175"/>
      <c r="BZ133" s="175"/>
      <c r="CA133" s="175"/>
      <c r="CB133" s="175"/>
      <c r="CC133" s="175"/>
      <c r="CD133" s="184"/>
      <c r="CE133" s="175"/>
      <c r="CF133" s="185"/>
      <c r="CG133" s="175"/>
      <c r="CH133" s="175"/>
      <c r="CI133" s="184"/>
      <c r="CJ133" s="174"/>
      <c r="CK133" s="186" t="s">
        <v>415</v>
      </c>
      <c r="CL133" s="187" t="s">
        <v>417</v>
      </c>
      <c r="CM133" s="187" t="s">
        <v>416</v>
      </c>
      <c r="CN133" s="188" t="s">
        <v>418</v>
      </c>
      <c r="CO133" s="187" t="s">
        <v>417</v>
      </c>
      <c r="CP133" s="187" t="s">
        <v>409</v>
      </c>
      <c r="CQ133" s="187" t="s">
        <v>410</v>
      </c>
      <c r="CR133" s="187" t="s">
        <v>411</v>
      </c>
      <c r="CS133" s="187" t="s">
        <v>412</v>
      </c>
      <c r="CT133" s="187" t="s">
        <v>413</v>
      </c>
      <c r="CU133" s="189" t="s">
        <v>2</v>
      </c>
      <c r="CV133" s="190" t="s">
        <v>159</v>
      </c>
      <c r="CW133" s="189" t="s">
        <v>2</v>
      </c>
      <c r="CX133" s="190" t="s">
        <v>159</v>
      </c>
      <c r="CY133" s="189" t="s">
        <v>2</v>
      </c>
      <c r="CZ133" s="190" t="s">
        <v>159</v>
      </c>
      <c r="DA133" s="189" t="s">
        <v>2</v>
      </c>
      <c r="DB133" s="190" t="s">
        <v>159</v>
      </c>
      <c r="DC133" s="189" t="s">
        <v>2</v>
      </c>
      <c r="DD133" s="190" t="s">
        <v>159</v>
      </c>
      <c r="DE133" s="183"/>
      <c r="DF133" s="183"/>
      <c r="DG133" s="177" t="s">
        <v>505</v>
      </c>
      <c r="DH133" s="472" t="s">
        <v>509</v>
      </c>
      <c r="DI133" s="457" t="s">
        <v>506</v>
      </c>
      <c r="DJ133" s="457" t="s">
        <v>134</v>
      </c>
      <c r="DK133" s="457" t="s">
        <v>498</v>
      </c>
      <c r="DL133" s="457" t="s">
        <v>499</v>
      </c>
      <c r="DM133" s="457" t="s">
        <v>500</v>
      </c>
      <c r="DN133" s="457" t="s">
        <v>131</v>
      </c>
      <c r="DO133" s="457" t="s">
        <v>390</v>
      </c>
      <c r="DP133" s="457" t="s">
        <v>36</v>
      </c>
      <c r="DQ133" s="457" t="s">
        <v>501</v>
      </c>
      <c r="DR133" s="457" t="s">
        <v>502</v>
      </c>
      <c r="DS133" s="457" t="s">
        <v>503</v>
      </c>
      <c r="DT133" s="457" t="s">
        <v>4</v>
      </c>
      <c r="DU133" s="457" t="s">
        <v>504</v>
      </c>
      <c r="DV133" s="466" t="s">
        <v>507</v>
      </c>
      <c r="DW133" s="466" t="s">
        <v>508</v>
      </c>
      <c r="DX133" s="457" t="s">
        <v>510</v>
      </c>
      <c r="DY133" s="457" t="s">
        <v>511</v>
      </c>
      <c r="DZ133" s="183"/>
      <c r="EA133" s="183"/>
      <c r="EB133" s="183"/>
      <c r="EC133" s="183"/>
      <c r="ED133" s="183"/>
      <c r="EE133" s="183"/>
      <c r="EF133" s="183"/>
      <c r="EG133" s="183"/>
      <c r="EH133" s="183"/>
      <c r="EI133" s="183"/>
      <c r="EJ133" s="183"/>
      <c r="EK133" s="183"/>
      <c r="EL133" s="183"/>
      <c r="EM133" s="183"/>
      <c r="EN133" s="183"/>
      <c r="EO133" s="183"/>
      <c r="EP133" s="183"/>
      <c r="EQ133" s="183"/>
      <c r="ER133" s="183"/>
      <c r="ES133" s="183"/>
      <c r="ET133" s="183"/>
      <c r="EU133" s="183"/>
      <c r="EV133" s="183"/>
      <c r="EW133" s="183"/>
      <c r="EX133" s="183"/>
      <c r="EY133" s="183"/>
      <c r="EZ133" s="183"/>
      <c r="FA133" s="183"/>
      <c r="FB133" s="183"/>
      <c r="FC133" s="183"/>
      <c r="FD133" s="183"/>
      <c r="FE133" s="183"/>
      <c r="FF133" s="183"/>
      <c r="FG133" s="183"/>
      <c r="FH133" s="183"/>
      <c r="FI133" s="183"/>
      <c r="FJ133" s="183"/>
      <c r="FK133" s="183"/>
      <c r="FL133" s="183"/>
      <c r="FM133" s="183"/>
      <c r="FN133" s="183"/>
      <c r="FO133" s="183"/>
      <c r="FP133" s="183"/>
      <c r="FQ133" s="183"/>
      <c r="FR133" s="183"/>
      <c r="FS133" s="183"/>
      <c r="FT133" s="183"/>
      <c r="FU133" s="183"/>
      <c r="FV133" s="183"/>
      <c r="FW133" s="183"/>
      <c r="FX133" s="183"/>
      <c r="FY133" s="183"/>
      <c r="FZ133" s="183"/>
      <c r="GA133" s="183"/>
      <c r="GB133" s="183"/>
      <c r="GC133" s="183"/>
      <c r="GD133" s="183"/>
      <c r="GE133" s="183"/>
      <c r="GF133" s="183"/>
      <c r="GG133" s="183"/>
      <c r="GH133" s="183"/>
      <c r="GI133" s="183"/>
      <c r="GJ133" s="183"/>
      <c r="GK133" s="183"/>
      <c r="GL133" s="183"/>
    </row>
    <row r="134" spans="1:194" s="175" customFormat="1" ht="60" customHeight="1" x14ac:dyDescent="0.3">
      <c r="A134" s="364"/>
      <c r="B134" s="365"/>
      <c r="C134" s="392" t="s">
        <v>27</v>
      </c>
      <c r="D134" s="641"/>
      <c r="E134" s="641"/>
      <c r="F134" s="641"/>
      <c r="G134" s="641"/>
      <c r="H134" s="641"/>
      <c r="I134" s="641"/>
      <c r="J134" s="642"/>
      <c r="K134" s="642"/>
      <c r="L134" s="622">
        <f>J134*K134*M134</f>
        <v>0</v>
      </c>
      <c r="M134" s="623"/>
      <c r="N134" s="620">
        <f>IFERROR(AL134,"")</f>
        <v>1.0765546639999999</v>
      </c>
      <c r="O134" s="621">
        <f>IFERROR(N134*M134,"")</f>
        <v>0</v>
      </c>
      <c r="P134" s="192"/>
      <c r="Q134" s="193">
        <f>Q135+BF134+($R$350*Q135)</f>
        <v>0</v>
      </c>
      <c r="R134" s="193">
        <f>IFERROR(R135+($R$348*R135),"")</f>
        <v>0</v>
      </c>
      <c r="S134" s="194">
        <f>+IF(R136="SI",((W138*'BD GN'!$AB$2)+S135)*1,COTIZACIÓN!S135*1)+(P135*S135)</f>
        <v>0</v>
      </c>
      <c r="T134" s="195">
        <f>IFERROR(R134*IF(K134&lt;=3,$T$13,15%),"")</f>
        <v>0</v>
      </c>
      <c r="U134" s="196">
        <f>BH134+BG134</f>
        <v>0</v>
      </c>
      <c r="V134" s="197" t="str">
        <f>IFERROR(BN134,0)</f>
        <v/>
      </c>
      <c r="W134" s="198" t="str">
        <f>IFERROR(IF(X136="SI",W137*J134*K134,IF(BE134=3,BE136,IF(BE134=4,BE137,IF(BE134=5,BE138,IF(BE134&gt;5,BE138+(BE139*(BE134-5)),"")))))*0,"")</f>
        <v/>
      </c>
      <c r="X134" s="198" t="str">
        <f>IFERROR(IF(X135="NO",(VLOOKUP(D134,'BD M.O'!C:E,3,FALSE))*W138,((VLOOKUP(D134,'BD M.O'!C:E,3,FALSE))+7500)*W138),"")</f>
        <v/>
      </c>
      <c r="Y134" s="198">
        <f>IFERROR($Y$13*AK134,"")</f>
        <v>4.2084457416288003E-2</v>
      </c>
      <c r="Z134" s="332" t="str">
        <f>IFERROR(($Z$13*AK134)+X134,"")</f>
        <v/>
      </c>
      <c r="AA134" s="199" t="str">
        <f>IFERROR(Y134+Z134,"")</f>
        <v/>
      </c>
      <c r="AB134" s="200">
        <f>IFERROR((SUM(Q134:X134)-T134+T136)*$AB$13,"")</f>
        <v>0</v>
      </c>
      <c r="AC134" s="201">
        <f>IFERROR(((SUM(Q134:V134,IF(X139&gt;AA134,AVERAGE(X139,AA134),AA134))-T134+T136))*$AB$13,"")</f>
        <v>0</v>
      </c>
      <c r="AD134" s="202" t="str">
        <f>IFERROR((J134*K134*$BV$14),"")</f>
        <v/>
      </c>
      <c r="AE134" s="202">
        <f>IFERROR($AE$13*AK134,"")</f>
        <v>6.4010592649919984E-2</v>
      </c>
      <c r="AF134" s="203" t="str">
        <f>IFERROR(($CI$11+$CI$13)*W138,"")</f>
        <v/>
      </c>
      <c r="AG134" s="202">
        <f>IFERROR((SUM(Q134:X134,AB134,AD134,AF134)-T134+T136)*$AG$13,"")</f>
        <v>0</v>
      </c>
      <c r="AH134" s="202">
        <f>IFERROR((SUM(Q134:V134,(IF(X139&gt;AA134,AVERAGE(X139,AA134),AA134)),AC134,AE134,AF134)-T134+T136)*$AG$13,"")</f>
        <v>3.2005296324959992E-2</v>
      </c>
      <c r="AI134" s="204">
        <f>IFERROR(AL134*$AI$13,"")</f>
        <v>2.1531093279999997E-2</v>
      </c>
      <c r="AJ134" s="204">
        <f>IFERROR($AJ$13*AL134,"")</f>
        <v>6.007175025119999E-3</v>
      </c>
      <c r="AK134" s="205">
        <f>IFERROR(SUM(Q134:X134,AB134,AD134,AG134,AF134)/(1-$AI$13)+(1-$AJ$13)-T134+T136,"")</f>
        <v>0.99441999999999997</v>
      </c>
      <c r="AL134" s="205">
        <f>IFERROR(SUM(Q134:V134,AC134,(IF(AD134&gt;AE134,AVERAGE(AD134,AE134),AE134)),AF134,,AH134,(IF(SUM(X139)&gt;AA134,AVERAGE(AA134,X139),AA134)))/(1-$AJ$13)+(1-$AI$13)-T134+T136,"")</f>
        <v>1.0765546639999999</v>
      </c>
      <c r="AM134" s="206">
        <f>$M$15*Q134</f>
        <v>0</v>
      </c>
      <c r="AN134" s="207">
        <f>$M$15*R134</f>
        <v>0</v>
      </c>
      <c r="AO134" s="208">
        <f>$M$15*S134</f>
        <v>0</v>
      </c>
      <c r="AP134" s="207">
        <f>$M$15*T134</f>
        <v>0</v>
      </c>
      <c r="AQ134" s="207" t="e">
        <f>$M$15*#REF!</f>
        <v>#REF!</v>
      </c>
      <c r="AR134" s="207">
        <f>$M$15*U134</f>
        <v>0</v>
      </c>
      <c r="AS134" s="208" t="e">
        <f>$M$15*V134</f>
        <v>#VALUE!</v>
      </c>
      <c r="AT134" s="207" t="e">
        <f>$M$15*W134</f>
        <v>#VALUE!</v>
      </c>
      <c r="AU134" s="208" t="e">
        <f>$M$15*X134</f>
        <v>#VALUE!</v>
      </c>
      <c r="AV134" s="207">
        <f>$M$15*AB134</f>
        <v>0</v>
      </c>
      <c r="AW134" s="208">
        <f>$M$15*AE134</f>
        <v>0</v>
      </c>
      <c r="AX134" s="207">
        <f>$M$15*AG134</f>
        <v>0</v>
      </c>
      <c r="AY134" s="209">
        <f>$M$15*AI134</f>
        <v>0</v>
      </c>
      <c r="AZ134" s="207">
        <f>$M$15*AK134</f>
        <v>0</v>
      </c>
      <c r="BA134" s="210"/>
      <c r="BB134" s="175" t="s">
        <v>23</v>
      </c>
      <c r="BC134" s="211" t="s">
        <v>113</v>
      </c>
      <c r="BD134" s="210"/>
      <c r="BE134" s="212"/>
      <c r="BF134" s="213">
        <f>IF(BH135="NO",((2*J134)+(2*K134))*'BD GN'!$AU$3,((3*J134)+(2*K134))*'BD GN'!$AU$3)</f>
        <v>0</v>
      </c>
      <c r="BG134" s="213">
        <f>'BD GN'!$BB$3*J134*K134</f>
        <v>0</v>
      </c>
      <c r="BH134" s="214">
        <f>((J134*2*BE134)+(K134*2*BE134))*'BD GN'!$AN$4</f>
        <v>0</v>
      </c>
      <c r="BI134" s="210"/>
      <c r="BJ134" s="212"/>
      <c r="BK134" s="212"/>
      <c r="BL134" s="215">
        <f>J134*K134*2.5*BJ134</f>
        <v>0</v>
      </c>
      <c r="BM134" s="215">
        <f>BK134+BL134</f>
        <v>0</v>
      </c>
      <c r="BN134" s="216" t="str">
        <f>IFERROR((VLOOKUP($C$12,'BD GN'!BD:BM,10,FALSE)*BM134)+$BR$338,"")</f>
        <v/>
      </c>
      <c r="BO134" s="210"/>
      <c r="BW134" s="210"/>
      <c r="CD134" s="184"/>
      <c r="CF134" s="185"/>
      <c r="CI134" s="184"/>
      <c r="CJ134" s="210"/>
      <c r="CK134" s="565"/>
      <c r="CL134" s="256"/>
      <c r="CM134" s="596"/>
      <c r="CN134" s="626"/>
      <c r="CO134" s="629"/>
      <c r="CP134" s="629"/>
      <c r="CQ134" s="629"/>
      <c r="CR134" s="629"/>
      <c r="CS134" s="629"/>
      <c r="CT134" s="632"/>
      <c r="CU134" s="565"/>
      <c r="CV134" s="560">
        <f>IFERROR(N134*CU134,"")</f>
        <v>0</v>
      </c>
      <c r="CW134" s="565"/>
      <c r="CX134" s="560">
        <f>IFERROR(P134*CW134,"")</f>
        <v>0</v>
      </c>
      <c r="CY134" s="565"/>
      <c r="CZ134" s="560">
        <f>IFERROR(R134*CY134,"")</f>
        <v>0</v>
      </c>
      <c r="DA134" s="565">
        <f t="shared" ref="DA134" si="456">CU134+CW134+CY134</f>
        <v>0</v>
      </c>
      <c r="DB134" s="560">
        <f t="shared" ref="DB134" si="457">IFERROR(CV134+CX134+CZ134,"")</f>
        <v>0</v>
      </c>
      <c r="DC134" s="565">
        <f>M134-(CU134+CW134+CY134)</f>
        <v>0</v>
      </c>
      <c r="DD134" s="560">
        <f>IFERROR(O134-(CV134+CX134+CZ134),"")</f>
        <v>0</v>
      </c>
      <c r="DG134" s="575"/>
      <c r="DH134" s="575"/>
      <c r="DI134" s="569">
        <f t="shared" ref="DI134" si="458">IFERROR(IF(DG134&gt;0,(((N134)/(1+10%+19%*5%)+((N134)/(1+10%+19%*5%))*10%)*DH134),0),0)</f>
        <v>0</v>
      </c>
      <c r="DJ134" s="569">
        <f t="shared" ref="DJ134" si="459">IFERROR(IF(DG134&gt;0,(N134*DH134),0),0)</f>
        <v>0</v>
      </c>
      <c r="DK134" s="569">
        <f t="shared" ref="DK134" si="460">IF(DG134&gt;0,((R134+T134)*DH134),0)</f>
        <v>0</v>
      </c>
      <c r="DL134" s="569">
        <f t="shared" ref="DL134" si="461">IF(DG134&gt;0,(Q134*DH134),0)</f>
        <v>0</v>
      </c>
      <c r="DM134" s="572">
        <f t="shared" ref="DM134" si="462">IF(DG134&gt;0,(S134*DH134),0)</f>
        <v>0</v>
      </c>
      <c r="DN134" s="569">
        <f t="shared" ref="DN134" si="463">IF(DG134&gt;0,(BN134*DH134),0)</f>
        <v>0</v>
      </c>
      <c r="DO134" s="569">
        <f t="shared" ref="DO134" si="464">IF(DG134&gt;0,(AF134*DH134),0)</f>
        <v>0</v>
      </c>
      <c r="DP134" s="569">
        <f>IF(DG134&gt;0,((DI134)*('BD P&amp;G'!$E$16+'BD P&amp;G'!$E$17+'BD P&amp;G'!$E$18+'BD P&amp;G'!$E$19+'BD P&amp;G'!$E$20+'BD P&amp;G'!$E$21+'BD P&amp;G'!$E$22+'BD P&amp;G'!$E$23)*DH134),0)</f>
        <v>0</v>
      </c>
      <c r="DQ134" s="569">
        <f>IFERROR(IF(DG134&gt;0,((DI134*'BD P&amp;G'!$E$7)+(DI134*'BD P&amp;G'!$E$9)+AI134),0),0)</f>
        <v>0</v>
      </c>
      <c r="DR134" s="569">
        <f t="shared" ref="DR134" si="465">IFERROR(IF(DG134&gt;0,((DI134*1%)),0),0)</f>
        <v>0</v>
      </c>
      <c r="DS134" s="569">
        <f>IFERROR(IF(DG134&gt;0,(((DI134*'BD P&amp;G'!$E$32+DI134*'BD P&amp;G'!$E$33+DI134*'BD P&amp;G'!$E$35+DI134*'BD P&amp;G'!$E$36+DI134*'BD P&amp;G'!$E$37))),0),0)</f>
        <v>0</v>
      </c>
      <c r="DT134" s="569">
        <f t="shared" ref="DT134" si="466">IF(DG134&gt;0,(Y134*DH134),0)</f>
        <v>0</v>
      </c>
      <c r="DU134" s="569">
        <f t="shared" ref="DU134" si="467">IF(DG134&gt;0,(Z134*DH134),0)</f>
        <v>0</v>
      </c>
      <c r="DV134" s="575">
        <f t="shared" ref="DV134" si="468">IF(DG134&gt;0,(Y138*DH134),0)</f>
        <v>0</v>
      </c>
      <c r="DW134" s="575">
        <f t="shared" ref="DW134" si="469">IF(DG134&gt;0,(Z138*DH134),0)</f>
        <v>0</v>
      </c>
      <c r="DX134" s="569">
        <f t="shared" ref="DX134" si="470">IF(DV134&gt;0,DJ134,0)</f>
        <v>0</v>
      </c>
      <c r="DY134" s="569">
        <f t="shared" ref="DY134" si="471">IF(DW134&gt;0,DJ134,0)</f>
        <v>0</v>
      </c>
    </row>
    <row r="135" spans="1:194" s="175" customFormat="1" ht="60" customHeight="1" x14ac:dyDescent="0.25">
      <c r="A135" s="366"/>
      <c r="B135" s="367"/>
      <c r="C135" s="393" t="s">
        <v>28</v>
      </c>
      <c r="D135" s="598"/>
      <c r="E135" s="598"/>
      <c r="F135" s="598"/>
      <c r="G135" s="598"/>
      <c r="H135" s="598"/>
      <c r="I135" s="598"/>
      <c r="J135" s="604"/>
      <c r="K135" s="604"/>
      <c r="L135" s="607"/>
      <c r="M135" s="559"/>
      <c r="N135" s="610"/>
      <c r="O135" s="613"/>
      <c r="P135" s="192"/>
      <c r="Q135" s="217"/>
      <c r="R135" s="217"/>
      <c r="S135" s="218"/>
      <c r="T135" s="219">
        <f>IFERROR(T134/$R$353,"")</f>
        <v>0</v>
      </c>
      <c r="U135" s="206"/>
      <c r="V135" s="220"/>
      <c r="W135" s="221" t="s">
        <v>239</v>
      </c>
      <c r="X135" s="222" t="s">
        <v>204</v>
      </c>
      <c r="Y135" s="223"/>
      <c r="Z135" s="224"/>
      <c r="AA135" s="225"/>
      <c r="AB135" s="226"/>
      <c r="AC135" s="206"/>
      <c r="AD135" s="206"/>
      <c r="AE135" s="206"/>
      <c r="AF135" s="227"/>
      <c r="AG135" s="206"/>
      <c r="AH135" s="206"/>
      <c r="AI135" s="206"/>
      <c r="AJ135" s="206"/>
      <c r="AK135" s="227"/>
      <c r="AL135" s="210"/>
      <c r="AM135" s="206"/>
      <c r="AN135" s="206"/>
      <c r="AO135" s="228"/>
      <c r="AP135" s="229"/>
      <c r="AQ135" s="206"/>
      <c r="AR135" s="206"/>
      <c r="AS135" s="228"/>
      <c r="AT135" s="229"/>
      <c r="AU135" s="228"/>
      <c r="AV135" s="229"/>
      <c r="AW135" s="228"/>
      <c r="AX135" s="229"/>
      <c r="AY135" s="206"/>
      <c r="AZ135" s="229"/>
      <c r="BA135" s="210"/>
      <c r="BB135" s="175" t="s">
        <v>24</v>
      </c>
      <c r="BC135" s="175" t="s">
        <v>114</v>
      </c>
      <c r="BD135" s="210"/>
      <c r="BE135" s="176" t="s">
        <v>206</v>
      </c>
      <c r="BF135" s="230" t="s">
        <v>204</v>
      </c>
      <c r="BG135" s="176" t="s">
        <v>290</v>
      </c>
      <c r="BH135" s="231" t="s">
        <v>204</v>
      </c>
      <c r="BI135" s="210"/>
      <c r="BN135" s="232"/>
      <c r="BO135" s="210"/>
      <c r="BV135" s="184"/>
      <c r="BW135" s="210"/>
      <c r="CD135" s="184"/>
      <c r="CF135" s="185"/>
      <c r="CI135" s="184"/>
      <c r="CJ135" s="210"/>
      <c r="CK135" s="563"/>
      <c r="CM135" s="559"/>
      <c r="CN135" s="627"/>
      <c r="CO135" s="630"/>
      <c r="CP135" s="630"/>
      <c r="CQ135" s="630"/>
      <c r="CR135" s="630"/>
      <c r="CS135" s="630"/>
      <c r="CT135" s="633"/>
      <c r="CU135" s="563"/>
      <c r="CV135" s="561"/>
      <c r="CW135" s="563"/>
      <c r="CX135" s="561"/>
      <c r="CY135" s="563"/>
      <c r="CZ135" s="561"/>
      <c r="DA135" s="563"/>
      <c r="DB135" s="561"/>
      <c r="DC135" s="563"/>
      <c r="DD135" s="561"/>
      <c r="DG135" s="576"/>
      <c r="DH135" s="576"/>
      <c r="DI135" s="570"/>
      <c r="DJ135" s="570"/>
      <c r="DK135" s="570"/>
      <c r="DL135" s="570"/>
      <c r="DM135" s="573"/>
      <c r="DN135" s="570"/>
      <c r="DO135" s="570"/>
      <c r="DP135" s="570"/>
      <c r="DQ135" s="570"/>
      <c r="DR135" s="570"/>
      <c r="DS135" s="570"/>
      <c r="DT135" s="570"/>
      <c r="DU135" s="570"/>
      <c r="DV135" s="576"/>
      <c r="DW135" s="576"/>
      <c r="DX135" s="570"/>
      <c r="DY135" s="570"/>
    </row>
    <row r="136" spans="1:194" s="175" customFormat="1" ht="60" customHeight="1" x14ac:dyDescent="0.3">
      <c r="A136" s="366"/>
      <c r="B136" s="367"/>
      <c r="C136" s="393" t="s">
        <v>30</v>
      </c>
      <c r="D136" s="599"/>
      <c r="E136" s="599"/>
      <c r="F136" s="599"/>
      <c r="G136" s="599"/>
      <c r="H136" s="599"/>
      <c r="I136" s="599"/>
      <c r="J136" s="604"/>
      <c r="K136" s="604"/>
      <c r="L136" s="607"/>
      <c r="M136" s="559"/>
      <c r="N136" s="610"/>
      <c r="O136" s="613"/>
      <c r="P136" s="192"/>
      <c r="Q136" s="176" t="s">
        <v>205</v>
      </c>
      <c r="R136" s="233" t="s">
        <v>204</v>
      </c>
      <c r="S136" s="234"/>
      <c r="T136" s="235">
        <f>IFERROR(($R$353-8000)*T135,"")</f>
        <v>0</v>
      </c>
      <c r="U136" s="206"/>
      <c r="V136" s="220"/>
      <c r="W136" s="221" t="s">
        <v>258</v>
      </c>
      <c r="X136" s="222" t="s">
        <v>204</v>
      </c>
      <c r="Y136" s="236"/>
      <c r="Z136" s="237"/>
      <c r="AA136" s="225"/>
      <c r="AB136" s="226"/>
      <c r="AC136" s="206"/>
      <c r="AD136" s="206"/>
      <c r="AE136" s="206"/>
      <c r="AF136" s="227"/>
      <c r="AG136" s="206"/>
      <c r="AH136" s="206"/>
      <c r="AI136" s="206"/>
      <c r="AJ136" s="206"/>
      <c r="AK136" s="227"/>
      <c r="AL136" s="238"/>
      <c r="AM136" s="206"/>
      <c r="AN136" s="206"/>
      <c r="AO136" s="228"/>
      <c r="AP136" s="229"/>
      <c r="AQ136" s="206"/>
      <c r="AR136" s="206"/>
      <c r="AS136" s="228"/>
      <c r="AT136" s="229"/>
      <c r="AU136" s="228"/>
      <c r="AV136" s="229"/>
      <c r="AW136" s="228"/>
      <c r="AX136" s="229"/>
      <c r="AY136" s="206"/>
      <c r="AZ136" s="229"/>
      <c r="BA136" s="210"/>
      <c r="BB136" s="175" t="s">
        <v>26</v>
      </c>
      <c r="BC136" s="211" t="s">
        <v>115</v>
      </c>
      <c r="BD136" s="210"/>
      <c r="BE136" s="177" t="str">
        <f>IFERROR(VLOOKUP(D134,'BD M.O'!C:H,4,FALSE),"")</f>
        <v/>
      </c>
      <c r="BF136" s="177" t="s">
        <v>259</v>
      </c>
      <c r="BI136" s="210"/>
      <c r="BO136" s="210"/>
      <c r="BV136" s="184"/>
      <c r="BW136" s="210"/>
      <c r="CD136" s="184"/>
      <c r="CF136" s="185"/>
      <c r="CI136" s="184"/>
      <c r="CJ136" s="210"/>
      <c r="CK136" s="563"/>
      <c r="CM136" s="559"/>
      <c r="CN136" s="627"/>
      <c r="CO136" s="630"/>
      <c r="CP136" s="630"/>
      <c r="CQ136" s="630"/>
      <c r="CR136" s="630"/>
      <c r="CS136" s="630"/>
      <c r="CT136" s="633"/>
      <c r="CU136" s="563"/>
      <c r="CV136" s="561"/>
      <c r="CW136" s="563"/>
      <c r="CX136" s="561"/>
      <c r="CY136" s="563"/>
      <c r="CZ136" s="561"/>
      <c r="DA136" s="563"/>
      <c r="DB136" s="561"/>
      <c r="DC136" s="563"/>
      <c r="DD136" s="561"/>
      <c r="DG136" s="577"/>
      <c r="DH136" s="577"/>
      <c r="DI136" s="571"/>
      <c r="DJ136" s="571"/>
      <c r="DK136" s="571"/>
      <c r="DL136" s="571"/>
      <c r="DM136" s="574"/>
      <c r="DN136" s="571"/>
      <c r="DO136" s="571"/>
      <c r="DP136" s="571"/>
      <c r="DQ136" s="571"/>
      <c r="DR136" s="571"/>
      <c r="DS136" s="571"/>
      <c r="DT136" s="571"/>
      <c r="DU136" s="571"/>
      <c r="DV136" s="577"/>
      <c r="DW136" s="577"/>
      <c r="DX136" s="571"/>
      <c r="DY136" s="571"/>
    </row>
    <row r="137" spans="1:194" s="175" customFormat="1" ht="60" customHeight="1" x14ac:dyDescent="0.25">
      <c r="A137" s="366"/>
      <c r="B137" s="367"/>
      <c r="C137" s="395" t="s">
        <v>180</v>
      </c>
      <c r="D137" s="599" t="s">
        <v>31</v>
      </c>
      <c r="E137" s="599"/>
      <c r="F137" s="394" t="s">
        <v>9</v>
      </c>
      <c r="G137" s="599" t="s">
        <v>33</v>
      </c>
      <c r="H137" s="599"/>
      <c r="I137" s="394" t="str">
        <f>+IF($BG$9="SI","","X")</f>
        <v>X</v>
      </c>
      <c r="J137" s="604"/>
      <c r="K137" s="604"/>
      <c r="L137" s="607"/>
      <c r="M137" s="559"/>
      <c r="N137" s="610"/>
      <c r="O137" s="613"/>
      <c r="P137" s="192"/>
      <c r="Q137" s="239"/>
      <c r="R137" s="221" t="s">
        <v>209</v>
      </c>
      <c r="S137" s="234" t="str">
        <f>IF(S135="","",S135/(J134*K134))</f>
        <v/>
      </c>
      <c r="T137" s="226"/>
      <c r="U137" s="206"/>
      <c r="V137" s="220"/>
      <c r="W137" s="239" t="str">
        <f>IFERROR(IF(X136="SI",VLOOKUP(D134,'BD M.O'!C:F,4,FALSE),""),"")</f>
        <v/>
      </c>
      <c r="X137" s="221" t="s">
        <v>258</v>
      </c>
      <c r="Y137" s="221" t="s">
        <v>507</v>
      </c>
      <c r="Z137" s="221" t="s">
        <v>508</v>
      </c>
      <c r="AA137" s="225"/>
      <c r="AB137" s="226"/>
      <c r="AC137" s="206"/>
      <c r="AD137" s="206"/>
      <c r="AE137" s="206"/>
      <c r="AF137" s="227"/>
      <c r="AG137" s="206"/>
      <c r="AH137" s="206"/>
      <c r="AI137" s="206"/>
      <c r="AJ137" s="206"/>
      <c r="AK137" s="227"/>
      <c r="AL137" s="240"/>
      <c r="AM137" s="206"/>
      <c r="AN137" s="206"/>
      <c r="AO137" s="228"/>
      <c r="AP137" s="229"/>
      <c r="AQ137" s="206"/>
      <c r="AR137" s="206"/>
      <c r="AS137" s="228"/>
      <c r="AT137" s="229"/>
      <c r="AU137" s="228"/>
      <c r="AV137" s="229"/>
      <c r="AW137" s="228"/>
      <c r="AX137" s="229"/>
      <c r="AY137" s="206"/>
      <c r="AZ137" s="229"/>
      <c r="BA137" s="210"/>
      <c r="BC137" s="175" t="s">
        <v>116</v>
      </c>
      <c r="BD137" s="210"/>
      <c r="BE137" s="177" t="str">
        <f>IFERROR(VLOOKUP(COTIZACIÓN!D134,'BD M.O'!C:I,5,FALSE),"")</f>
        <v/>
      </c>
      <c r="BF137" s="177" t="s">
        <v>260</v>
      </c>
      <c r="BI137" s="210"/>
      <c r="BO137" s="210"/>
      <c r="BP137" s="183"/>
      <c r="BQ137" s="183"/>
      <c r="BR137" s="183"/>
      <c r="BS137" s="183"/>
      <c r="BT137" s="183"/>
      <c r="BU137" s="183"/>
      <c r="BV137" s="182"/>
      <c r="BW137" s="210"/>
      <c r="BX137" s="183"/>
      <c r="BY137" s="183"/>
      <c r="BZ137" s="183"/>
      <c r="CA137" s="183"/>
      <c r="CB137" s="183"/>
      <c r="CC137" s="183"/>
      <c r="CD137" s="182"/>
      <c r="CE137" s="183"/>
      <c r="CF137" s="241"/>
      <c r="CG137" s="183"/>
      <c r="CH137" s="183"/>
      <c r="CI137" s="182"/>
      <c r="CJ137" s="210"/>
      <c r="CK137" s="563"/>
      <c r="CM137" s="559"/>
      <c r="CN137" s="627"/>
      <c r="CO137" s="630"/>
      <c r="CP137" s="630"/>
      <c r="CQ137" s="630"/>
      <c r="CR137" s="630"/>
      <c r="CS137" s="630"/>
      <c r="CT137" s="633"/>
      <c r="CU137" s="563"/>
      <c r="CV137" s="561"/>
      <c r="CW137" s="563"/>
      <c r="CX137" s="561"/>
      <c r="CY137" s="563"/>
      <c r="CZ137" s="561"/>
      <c r="DA137" s="563"/>
      <c r="DB137" s="561"/>
      <c r="DC137" s="563"/>
      <c r="DD137" s="561"/>
      <c r="DG137" s="575"/>
      <c r="DH137" s="575"/>
      <c r="DI137" s="569">
        <f t="shared" ref="DI137" si="472">IFERROR(IF(DG137&gt;0,(((N134)/(1+10%+19%*5%)+((N134)/(1+10%+19%*5%))*10%)*DH137),0),0)</f>
        <v>0</v>
      </c>
      <c r="DJ137" s="569">
        <f t="shared" ref="DJ137" si="473">IFERROR(IF(DG137&gt;0,(N134*DH137),0),0)</f>
        <v>0</v>
      </c>
      <c r="DK137" s="569">
        <f t="shared" ref="DK137" si="474">IF(DG137&gt;0,((R134+T134)*DH137),0)</f>
        <v>0</v>
      </c>
      <c r="DL137" s="569">
        <f t="shared" ref="DL137" si="475">IF(DG137&gt;0,(Q134*DH137),0)</f>
        <v>0</v>
      </c>
      <c r="DM137" s="572">
        <f t="shared" ref="DM137" si="476">IF(DG137&gt;0,(S134*DH137),0)</f>
        <v>0</v>
      </c>
      <c r="DN137" s="569">
        <f t="shared" ref="DN137" si="477">IF(DG137&gt;0,(BN134*DH137),0)</f>
        <v>0</v>
      </c>
      <c r="DO137" s="569">
        <f t="shared" ref="DO137" si="478">IF(DG137&gt;0,(AF134*DH137),0)</f>
        <v>0</v>
      </c>
      <c r="DP137" s="569">
        <f>IF(DG137&gt;0,((DI137)*('BD P&amp;G'!$E$16+'BD P&amp;G'!$E$17+'BD P&amp;G'!$E$18+'BD P&amp;G'!$E$19+'BD P&amp;G'!$E$20+'BD P&amp;G'!$E$21+'BD P&amp;G'!$E$22+'BD P&amp;G'!$E$23)*DH137),0)</f>
        <v>0</v>
      </c>
      <c r="DQ137" s="569">
        <f>IFERROR(IF(DG137&gt;0,((DI137*'BD P&amp;G'!$E$7)+(DI137*'BD P&amp;G'!$E$9)+AI134),0),0)</f>
        <v>0</v>
      </c>
      <c r="DR137" s="569">
        <f t="shared" ref="DR137" si="479">IFERROR(IF(DG137&gt;0,((DI137*1%)),0),0)</f>
        <v>0</v>
      </c>
      <c r="DS137" s="569">
        <f>IFERROR(IF(DG137&gt;0,(((DI137*'BD P&amp;G'!$E$32+DI137*'BD P&amp;G'!$E$33+DI137*'BD P&amp;G'!$E$35+DI137*'BD P&amp;G'!$E$36+DI137*'BD P&amp;G'!$E$37))),0),0)</f>
        <v>0</v>
      </c>
      <c r="DT137" s="569">
        <f t="shared" ref="DT137" si="480">IF(DG137&gt;0,(Y134*DH137),0)</f>
        <v>0</v>
      </c>
      <c r="DU137" s="569">
        <f t="shared" ref="DU137" si="481">IF(DG137&gt;0,(Z134*DH137),0)</f>
        <v>0</v>
      </c>
      <c r="DV137" s="575">
        <f t="shared" ref="DV137" si="482">IF(DG137&gt;0,(Y138*DH137),0)</f>
        <v>0</v>
      </c>
      <c r="DW137" s="575">
        <f t="shared" ref="DW137" si="483">IF(DG137&gt;0,(Z138*DH137),0)</f>
        <v>0</v>
      </c>
      <c r="DX137" s="569">
        <f t="shared" ref="DX137" si="484">IF(DV137&gt;0,DJ137,0)</f>
        <v>0</v>
      </c>
      <c r="DY137" s="569">
        <f t="shared" ref="DY137" si="485">IF(DW137&gt;0,DJ137,0)</f>
        <v>0</v>
      </c>
    </row>
    <row r="138" spans="1:194" s="175" customFormat="1" ht="60" customHeight="1" x14ac:dyDescent="0.3">
      <c r="A138" s="366"/>
      <c r="B138" s="367"/>
      <c r="C138" s="393" t="s">
        <v>35</v>
      </c>
      <c r="D138" s="599" t="str">
        <f>IFERROR(VLOOKUP(D134,'BD GN'!C:E,3,),"")</f>
        <v/>
      </c>
      <c r="E138" s="599"/>
      <c r="F138" s="599"/>
      <c r="G138" s="599"/>
      <c r="H138" s="599"/>
      <c r="I138" s="599"/>
      <c r="J138" s="604"/>
      <c r="K138" s="604"/>
      <c r="L138" s="607"/>
      <c r="M138" s="559"/>
      <c r="N138" s="610"/>
      <c r="O138" s="613"/>
      <c r="P138" s="192"/>
      <c r="Q138" s="239"/>
      <c r="R138" s="221" t="s">
        <v>210</v>
      </c>
      <c r="S138" s="234" t="str">
        <f>IFERROR(IF(N134="","",N134/W138),"")</f>
        <v/>
      </c>
      <c r="T138" s="226"/>
      <c r="U138" s="206"/>
      <c r="V138" s="220"/>
      <c r="W138" s="242" t="str">
        <f>+IF(J134*K134&gt;=1,J134*K134,IF(AND(J134*K134&gt;0,J134*K134&lt;1),1,""))</f>
        <v/>
      </c>
      <c r="X138" s="221" t="s">
        <v>298</v>
      </c>
      <c r="Y138" s="461">
        <f>IFERROR(IF(D134='BD GN'!$C$25,COTIZACIÓN!W138,IF(D134='BD GN'!$C$26,COTIZACIÓN!W138,IF(D134='BD GN'!$C$27,COTIZACIÓN!W138,IF(COTIZACIÓN!D134='BD GN'!$C$28,COTIZACIÓN!W138,IF(COTIZACIÓN!D134='BD GN'!$C$29,COTIZACIÓN!W138,IF(COTIZACIÓN!D134='BD GN'!$C$35,COTIZACIÓN!W138,IF(COTIZACIÓN!D134='BD GN'!$C$36,COTIZACIÓN!W138,IF(COTIZACIÓN!D134='BD GN'!$C$37,COTIZACIÓN!W138,IF(COTIZACIÓN!D134='BD GN'!$C$38,COTIZACIÓN!W138,IF(COTIZACIÓN!D134='BD GN'!$C$39,COTIZACIÓN!W138,IF(COTIZACIÓN!D134='BD GN'!$C$40,COTIZACIÓN!W138,IF(COTIZACIÓN!D134='BD GN'!$C$41,COTIZACIÓN!W138,IF(COTIZACIÓN!D134='BD GN'!$C$42,COTIZACIÓN!W138,IF(COTIZACIÓN!D134='BD GN'!$C$49,COTIZACIÓN!W138,IF(COTIZACIÓN!D134='BD GN'!$C$50,COTIZACIÓN!W138,IF(COTIZACIÓN!D134='BD GN'!$C$51,COTIZACIÓN!W138,IF(COTIZACIÓN!D134='BD GN'!$C$67,COTIZACIÓN!W138,0))))))))))))))))),0)</f>
        <v>0</v>
      </c>
      <c r="Z138" s="461">
        <f>IFERROR(W138-Y138,0)</f>
        <v>0</v>
      </c>
      <c r="AA138" s="225"/>
      <c r="AB138" s="226"/>
      <c r="AC138" s="206"/>
      <c r="AD138" s="206"/>
      <c r="AE138" s="206"/>
      <c r="AF138" s="227"/>
      <c r="AG138" s="206"/>
      <c r="AH138" s="206"/>
      <c r="AI138" s="206"/>
      <c r="AJ138" s="206"/>
      <c r="AK138" s="227"/>
      <c r="AL138" s="210"/>
      <c r="AM138" s="206"/>
      <c r="AN138" s="206"/>
      <c r="AO138" s="228"/>
      <c r="AP138" s="229"/>
      <c r="AQ138" s="206"/>
      <c r="AR138" s="206"/>
      <c r="AS138" s="228"/>
      <c r="AT138" s="229"/>
      <c r="AU138" s="228"/>
      <c r="AV138" s="229"/>
      <c r="AW138" s="228"/>
      <c r="AX138" s="229"/>
      <c r="AY138" s="206"/>
      <c r="AZ138" s="229"/>
      <c r="BA138" s="210"/>
      <c r="BC138" s="211" t="s">
        <v>117</v>
      </c>
      <c r="BD138" s="210"/>
      <c r="BE138" s="177" t="str">
        <f>IFERROR(VLOOKUP(D134,'BD M.O'!C:I,6,FALSE),"")</f>
        <v/>
      </c>
      <c r="BF138" s="177" t="s">
        <v>261</v>
      </c>
      <c r="BI138" s="210"/>
      <c r="BO138" s="210"/>
      <c r="BP138" s="183"/>
      <c r="BQ138" s="183"/>
      <c r="BR138" s="183"/>
      <c r="BW138" s="210"/>
      <c r="CD138" s="184"/>
      <c r="CF138" s="185"/>
      <c r="CI138" s="184"/>
      <c r="CJ138" s="210"/>
      <c r="CK138" s="563"/>
      <c r="CM138" s="559"/>
      <c r="CN138" s="627"/>
      <c r="CO138" s="630"/>
      <c r="CP138" s="630"/>
      <c r="CQ138" s="630"/>
      <c r="CR138" s="630"/>
      <c r="CS138" s="630"/>
      <c r="CT138" s="633"/>
      <c r="CU138" s="563"/>
      <c r="CV138" s="561"/>
      <c r="CW138" s="563"/>
      <c r="CX138" s="561"/>
      <c r="CY138" s="563"/>
      <c r="CZ138" s="561"/>
      <c r="DA138" s="563"/>
      <c r="DB138" s="561"/>
      <c r="DC138" s="563"/>
      <c r="DD138" s="561"/>
      <c r="DG138" s="576"/>
      <c r="DH138" s="576"/>
      <c r="DI138" s="570"/>
      <c r="DJ138" s="570"/>
      <c r="DK138" s="570"/>
      <c r="DL138" s="570"/>
      <c r="DM138" s="573"/>
      <c r="DN138" s="570"/>
      <c r="DO138" s="570"/>
      <c r="DP138" s="570"/>
      <c r="DQ138" s="570"/>
      <c r="DR138" s="570"/>
      <c r="DS138" s="570"/>
      <c r="DT138" s="570"/>
      <c r="DU138" s="570"/>
      <c r="DV138" s="576"/>
      <c r="DW138" s="576"/>
      <c r="DX138" s="570"/>
      <c r="DY138" s="570"/>
    </row>
    <row r="139" spans="1:194" s="252" customFormat="1" ht="60" customHeight="1" x14ac:dyDescent="0.25">
      <c r="A139" s="368"/>
      <c r="B139" s="369"/>
      <c r="C139" s="396" t="s">
        <v>10</v>
      </c>
      <c r="D139" s="645" t="s">
        <v>32</v>
      </c>
      <c r="E139" s="645"/>
      <c r="F139" s="645"/>
      <c r="G139" s="645"/>
      <c r="H139" s="645"/>
      <c r="I139" s="645"/>
      <c r="J139" s="643"/>
      <c r="K139" s="643"/>
      <c r="L139" s="646"/>
      <c r="M139" s="648"/>
      <c r="N139" s="649"/>
      <c r="O139" s="644"/>
      <c r="P139" s="192"/>
      <c r="Q139" s="239"/>
      <c r="R139" s="334" t="s">
        <v>475</v>
      </c>
      <c r="S139" s="234" t="str">
        <f>IFERROR(IF($C$12='BD GN'!$CC$1,VLOOKUP(COTIZACIÓN!D134,'BD GN'!CB:CG,2,FALSE),IF(COTIZACIÓN!$C$12='BD GN'!$CD$1,VLOOKUP(COTIZACIÓN!D134,'BD GN'!CB:CG,3,FALSE),IF($C$12='BD GN'!$CE$1,VLOOKUP(COTIZACIÓN!D134,'BD GN'!CB:CG,4,FALSE),IF(COTIZACIÓN!$C$12='BD GN'!$CF$1,VLOOKUP(COTIZACIÓN!D134,'BD GN'!CB:CG,5,FALSE),IF(COTIZACIÓN!$C$12='BD GN'!$CG$1,VLOOKUP(COTIZACIÓN!D134,'BD GN'!CB:CG,6,FALSE),""))))),"-")</f>
        <v/>
      </c>
      <c r="T139" s="243"/>
      <c r="U139" s="244"/>
      <c r="V139" s="245"/>
      <c r="W139" s="177" t="s">
        <v>394</v>
      </c>
      <c r="X139" s="246">
        <f>IFERROR(SUM(W134:X134),"")</f>
        <v>0</v>
      </c>
      <c r="Y139" s="166" t="s">
        <v>404</v>
      </c>
      <c r="Z139" s="199" t="str">
        <f>IFERROR(Y134+Z134,"")</f>
        <v/>
      </c>
      <c r="AA139" s="247"/>
      <c r="AB139" s="243"/>
      <c r="AC139" s="244"/>
      <c r="AD139" s="244"/>
      <c r="AE139" s="244"/>
      <c r="AF139" s="227"/>
      <c r="AG139" s="206"/>
      <c r="AH139" s="206"/>
      <c r="AI139" s="206"/>
      <c r="AJ139" s="206"/>
      <c r="AK139" s="227"/>
      <c r="AL139" s="227"/>
      <c r="AM139" s="248"/>
      <c r="AN139" s="248"/>
      <c r="AO139" s="249"/>
      <c r="AP139" s="250"/>
      <c r="AQ139" s="248"/>
      <c r="AR139" s="248"/>
      <c r="AS139" s="249"/>
      <c r="AT139" s="250"/>
      <c r="AU139" s="249"/>
      <c r="AV139" s="250"/>
      <c r="AW139" s="249"/>
      <c r="AX139" s="250"/>
      <c r="AY139" s="248"/>
      <c r="AZ139" s="250"/>
      <c r="BA139" s="210"/>
      <c r="BB139" s="175"/>
      <c r="BC139" s="175" t="s">
        <v>118</v>
      </c>
      <c r="BD139" s="210"/>
      <c r="BE139" s="251" t="str">
        <f>IFERROR(VLOOKUP(D134,'BD M.O'!C:I,7,FALSE),"")</f>
        <v/>
      </c>
      <c r="BF139" s="251" t="s">
        <v>262</v>
      </c>
      <c r="BG139" s="175"/>
      <c r="BH139" s="175"/>
      <c r="BI139" s="210"/>
      <c r="BJ139" s="175"/>
      <c r="BK139" s="175"/>
      <c r="BL139" s="175"/>
      <c r="BM139" s="175"/>
      <c r="BN139" s="175"/>
      <c r="BO139" s="210"/>
      <c r="BP139" s="175"/>
      <c r="BQ139" s="175"/>
      <c r="BR139" s="175"/>
      <c r="BS139" s="183"/>
      <c r="BT139" s="183"/>
      <c r="BU139" s="183"/>
      <c r="BV139" s="183"/>
      <c r="BW139" s="210"/>
      <c r="BX139" s="175"/>
      <c r="BY139" s="175"/>
      <c r="BZ139" s="175"/>
      <c r="CA139" s="175"/>
      <c r="CB139" s="175"/>
      <c r="CC139" s="175"/>
      <c r="CD139" s="184"/>
      <c r="CE139" s="175"/>
      <c r="CF139" s="185"/>
      <c r="CG139" s="175"/>
      <c r="CH139" s="175"/>
      <c r="CI139" s="184"/>
      <c r="CJ139" s="210"/>
      <c r="CK139" s="564"/>
      <c r="CL139" s="257"/>
      <c r="CM139" s="597"/>
      <c r="CN139" s="628"/>
      <c r="CO139" s="631"/>
      <c r="CP139" s="631"/>
      <c r="CQ139" s="631"/>
      <c r="CR139" s="631"/>
      <c r="CS139" s="631"/>
      <c r="CT139" s="634"/>
      <c r="CU139" s="564"/>
      <c r="CV139" s="562"/>
      <c r="CW139" s="564"/>
      <c r="CX139" s="562"/>
      <c r="CY139" s="564"/>
      <c r="CZ139" s="562"/>
      <c r="DA139" s="564"/>
      <c r="DB139" s="562"/>
      <c r="DC139" s="564"/>
      <c r="DD139" s="562"/>
      <c r="DE139" s="175"/>
      <c r="DF139" s="175"/>
      <c r="DG139" s="577"/>
      <c r="DH139" s="577"/>
      <c r="DI139" s="571"/>
      <c r="DJ139" s="571"/>
      <c r="DK139" s="571"/>
      <c r="DL139" s="571"/>
      <c r="DM139" s="574"/>
      <c r="DN139" s="571"/>
      <c r="DO139" s="571"/>
      <c r="DP139" s="571"/>
      <c r="DQ139" s="571"/>
      <c r="DR139" s="571"/>
      <c r="DS139" s="571"/>
      <c r="DT139" s="571"/>
      <c r="DU139" s="571"/>
      <c r="DV139" s="577"/>
      <c r="DW139" s="577"/>
      <c r="DX139" s="571"/>
      <c r="DY139" s="571"/>
      <c r="DZ139" s="175"/>
      <c r="EA139" s="175"/>
      <c r="EB139" s="175"/>
      <c r="EC139" s="175"/>
      <c r="ED139" s="175"/>
      <c r="EE139" s="175"/>
      <c r="EF139" s="175"/>
      <c r="EG139" s="175"/>
      <c r="EH139" s="175"/>
      <c r="EI139" s="175"/>
      <c r="EJ139" s="175"/>
      <c r="EK139" s="175"/>
      <c r="EL139" s="175"/>
      <c r="EM139" s="175"/>
      <c r="EN139" s="175"/>
      <c r="EO139" s="175"/>
      <c r="EP139" s="175"/>
      <c r="EQ139" s="175"/>
      <c r="ER139" s="175"/>
      <c r="ES139" s="175"/>
      <c r="ET139" s="175"/>
      <c r="EU139" s="175"/>
      <c r="EV139" s="175"/>
      <c r="EW139" s="175"/>
      <c r="EX139" s="175"/>
      <c r="EY139" s="175"/>
      <c r="EZ139" s="175"/>
      <c r="FA139" s="175"/>
      <c r="FB139" s="175"/>
      <c r="FC139" s="175"/>
      <c r="FD139" s="175"/>
      <c r="FE139" s="175"/>
      <c r="FF139" s="175"/>
      <c r="FG139" s="175"/>
      <c r="FH139" s="175"/>
      <c r="FI139" s="175"/>
      <c r="FJ139" s="175"/>
      <c r="FK139" s="175"/>
      <c r="FL139" s="175"/>
      <c r="FM139" s="175"/>
      <c r="FN139" s="175"/>
      <c r="FO139" s="175"/>
      <c r="FP139" s="175"/>
      <c r="FQ139" s="175"/>
      <c r="FR139" s="175"/>
      <c r="FS139" s="175"/>
      <c r="FT139" s="175"/>
      <c r="FU139" s="175"/>
      <c r="FV139" s="175"/>
      <c r="FW139" s="175"/>
      <c r="FX139" s="175"/>
      <c r="FY139" s="175"/>
      <c r="FZ139" s="175"/>
      <c r="GA139" s="175"/>
      <c r="GB139" s="175"/>
      <c r="GC139" s="175"/>
      <c r="GD139" s="175"/>
      <c r="GE139" s="175"/>
      <c r="GF139" s="175"/>
      <c r="GG139" s="175"/>
      <c r="GH139" s="175"/>
      <c r="GI139" s="175"/>
      <c r="GJ139" s="175"/>
      <c r="GK139" s="175"/>
      <c r="GL139" s="175"/>
    </row>
    <row r="140" spans="1:194" s="255" customFormat="1" ht="60" customHeight="1" x14ac:dyDescent="0.3">
      <c r="A140" s="362" t="s">
        <v>193</v>
      </c>
      <c r="B140" s="363" t="s">
        <v>25</v>
      </c>
      <c r="C140" s="391" t="s">
        <v>174</v>
      </c>
      <c r="D140" s="640" t="s">
        <v>173</v>
      </c>
      <c r="E140" s="640"/>
      <c r="F140" s="640"/>
      <c r="G140" s="640"/>
      <c r="H140" s="640"/>
      <c r="I140" s="640"/>
      <c r="J140" s="418" t="s">
        <v>443</v>
      </c>
      <c r="K140" s="418" t="s">
        <v>444</v>
      </c>
      <c r="L140" s="418" t="s">
        <v>171</v>
      </c>
      <c r="M140" s="363" t="s">
        <v>2</v>
      </c>
      <c r="N140" s="419" t="s">
        <v>7</v>
      </c>
      <c r="O140" s="420" t="s">
        <v>8</v>
      </c>
      <c r="P140" s="159"/>
      <c r="Q140" s="164" t="s">
        <v>93</v>
      </c>
      <c r="R140" s="164" t="s">
        <v>34</v>
      </c>
      <c r="S140" s="164" t="s">
        <v>28</v>
      </c>
      <c r="T140" s="164" t="s">
        <v>95</v>
      </c>
      <c r="U140" s="164" t="s">
        <v>96</v>
      </c>
      <c r="V140" s="164" t="s">
        <v>97</v>
      </c>
      <c r="W140" s="164" t="s">
        <v>4</v>
      </c>
      <c r="X140" s="164" t="s">
        <v>103</v>
      </c>
      <c r="Y140" s="160" t="s">
        <v>402</v>
      </c>
      <c r="Z140" s="165" t="s">
        <v>403</v>
      </c>
      <c r="AA140" s="166" t="s">
        <v>404</v>
      </c>
      <c r="AB140" s="164" t="s">
        <v>99</v>
      </c>
      <c r="AC140" s="164" t="s">
        <v>395</v>
      </c>
      <c r="AD140" s="253" t="s">
        <v>36</v>
      </c>
      <c r="AE140" s="164" t="s">
        <v>389</v>
      </c>
      <c r="AF140" s="164" t="s">
        <v>390</v>
      </c>
      <c r="AG140" s="164" t="s">
        <v>164</v>
      </c>
      <c r="AH140" s="253" t="s">
        <v>396</v>
      </c>
      <c r="AI140" s="164" t="s">
        <v>190</v>
      </c>
      <c r="AJ140" s="164" t="s">
        <v>339</v>
      </c>
      <c r="AK140" s="253" t="s">
        <v>391</v>
      </c>
      <c r="AL140" s="253" t="s">
        <v>393</v>
      </c>
      <c r="AM140" s="167" t="s">
        <v>93</v>
      </c>
      <c r="AN140" s="168" t="s">
        <v>34</v>
      </c>
      <c r="AO140" s="169" t="s">
        <v>28</v>
      </c>
      <c r="AP140" s="170" t="s">
        <v>95</v>
      </c>
      <c r="AQ140" s="167" t="s">
        <v>3</v>
      </c>
      <c r="AR140" s="167" t="s">
        <v>96</v>
      </c>
      <c r="AS140" s="169" t="s">
        <v>97</v>
      </c>
      <c r="AT140" s="170" t="s">
        <v>4</v>
      </c>
      <c r="AU140" s="169" t="s">
        <v>103</v>
      </c>
      <c r="AV140" s="170" t="s">
        <v>99</v>
      </c>
      <c r="AW140" s="169" t="s">
        <v>36</v>
      </c>
      <c r="AX140" s="171" t="s">
        <v>29</v>
      </c>
      <c r="AY140" s="172" t="s">
        <v>190</v>
      </c>
      <c r="AZ140" s="173" t="s">
        <v>102</v>
      </c>
      <c r="BA140" s="174"/>
      <c r="BB140" s="183"/>
      <c r="BC140" s="211" t="s">
        <v>119</v>
      </c>
      <c r="BD140" s="174"/>
      <c r="BE140" s="176" t="s">
        <v>189</v>
      </c>
      <c r="BF140" s="177" t="str">
        <f>$BF$13</f>
        <v xml:space="preserve">VR SILICONA </v>
      </c>
      <c r="BG140" s="177" t="str">
        <f>$BG$13</f>
        <v xml:space="preserve">VR PELÍCULA </v>
      </c>
      <c r="BH140" s="254" t="str">
        <f>$BH$13</f>
        <v>VR EMBALAJE</v>
      </c>
      <c r="BI140" s="174"/>
      <c r="BJ140" s="176" t="str">
        <f>$BJ$13</f>
        <v>ESP. CRISTAL</v>
      </c>
      <c r="BK140" s="176" t="s">
        <v>130</v>
      </c>
      <c r="BL140" s="177" t="s">
        <v>28</v>
      </c>
      <c r="BM140" s="177" t="str">
        <f>BM133</f>
        <v>TOTAL</v>
      </c>
      <c r="BN140" s="177" t="s">
        <v>133</v>
      </c>
      <c r="BO140" s="174"/>
      <c r="BP140" s="175"/>
      <c r="BQ140" s="175"/>
      <c r="BR140" s="175"/>
      <c r="BS140" s="175"/>
      <c r="BT140" s="175"/>
      <c r="BU140" s="175"/>
      <c r="BV140" s="175"/>
      <c r="BW140" s="174"/>
      <c r="BX140" s="175"/>
      <c r="BY140" s="175"/>
      <c r="BZ140" s="175"/>
      <c r="CA140" s="175"/>
      <c r="CB140" s="175"/>
      <c r="CC140" s="175"/>
      <c r="CD140" s="184"/>
      <c r="CE140" s="175"/>
      <c r="CF140" s="185"/>
      <c r="CG140" s="175"/>
      <c r="CH140" s="175"/>
      <c r="CI140" s="184"/>
      <c r="CJ140" s="174"/>
      <c r="CK140" s="186" t="s">
        <v>415</v>
      </c>
      <c r="CL140" s="187" t="s">
        <v>417</v>
      </c>
      <c r="CM140" s="187" t="s">
        <v>416</v>
      </c>
      <c r="CN140" s="188" t="s">
        <v>418</v>
      </c>
      <c r="CO140" s="187" t="s">
        <v>417</v>
      </c>
      <c r="CP140" s="187" t="s">
        <v>409</v>
      </c>
      <c r="CQ140" s="187" t="s">
        <v>410</v>
      </c>
      <c r="CR140" s="187" t="s">
        <v>411</v>
      </c>
      <c r="CS140" s="187" t="s">
        <v>412</v>
      </c>
      <c r="CT140" s="187" t="s">
        <v>413</v>
      </c>
      <c r="CU140" s="189" t="s">
        <v>2</v>
      </c>
      <c r="CV140" s="190" t="s">
        <v>159</v>
      </c>
      <c r="CW140" s="189" t="s">
        <v>2</v>
      </c>
      <c r="CX140" s="190" t="s">
        <v>159</v>
      </c>
      <c r="CY140" s="189" t="s">
        <v>2</v>
      </c>
      <c r="CZ140" s="190" t="s">
        <v>159</v>
      </c>
      <c r="DA140" s="189" t="s">
        <v>2</v>
      </c>
      <c r="DB140" s="190" t="s">
        <v>159</v>
      </c>
      <c r="DC140" s="189" t="s">
        <v>2</v>
      </c>
      <c r="DD140" s="190" t="s">
        <v>159</v>
      </c>
      <c r="DE140" s="183"/>
      <c r="DF140" s="183"/>
      <c r="DG140" s="177" t="s">
        <v>505</v>
      </c>
      <c r="DH140" s="472" t="s">
        <v>509</v>
      </c>
      <c r="DI140" s="457" t="s">
        <v>506</v>
      </c>
      <c r="DJ140" s="457" t="s">
        <v>134</v>
      </c>
      <c r="DK140" s="457" t="s">
        <v>498</v>
      </c>
      <c r="DL140" s="457" t="s">
        <v>499</v>
      </c>
      <c r="DM140" s="457" t="s">
        <v>500</v>
      </c>
      <c r="DN140" s="457" t="s">
        <v>131</v>
      </c>
      <c r="DO140" s="457" t="s">
        <v>390</v>
      </c>
      <c r="DP140" s="457" t="s">
        <v>36</v>
      </c>
      <c r="DQ140" s="457" t="s">
        <v>501</v>
      </c>
      <c r="DR140" s="457" t="s">
        <v>502</v>
      </c>
      <c r="DS140" s="457" t="s">
        <v>503</v>
      </c>
      <c r="DT140" s="457" t="s">
        <v>4</v>
      </c>
      <c r="DU140" s="457" t="s">
        <v>504</v>
      </c>
      <c r="DV140" s="466" t="s">
        <v>507</v>
      </c>
      <c r="DW140" s="466" t="s">
        <v>508</v>
      </c>
      <c r="DX140" s="457" t="s">
        <v>510</v>
      </c>
      <c r="DY140" s="457" t="s">
        <v>511</v>
      </c>
      <c r="DZ140" s="183"/>
      <c r="EA140" s="183"/>
      <c r="EB140" s="183"/>
      <c r="EC140" s="183"/>
      <c r="ED140" s="183"/>
      <c r="EE140" s="183"/>
      <c r="EF140" s="183"/>
      <c r="EG140" s="183"/>
      <c r="EH140" s="183"/>
      <c r="EI140" s="183"/>
      <c r="EJ140" s="183"/>
      <c r="EK140" s="183"/>
      <c r="EL140" s="183"/>
      <c r="EM140" s="183"/>
      <c r="EN140" s="183"/>
      <c r="EO140" s="183"/>
      <c r="EP140" s="183"/>
      <c r="EQ140" s="183"/>
      <c r="ER140" s="183"/>
      <c r="ES140" s="183"/>
      <c r="ET140" s="183"/>
      <c r="EU140" s="183"/>
      <c r="EV140" s="183"/>
      <c r="EW140" s="183"/>
      <c r="EX140" s="183"/>
      <c r="EY140" s="183"/>
      <c r="EZ140" s="183"/>
      <c r="FA140" s="183"/>
      <c r="FB140" s="183"/>
      <c r="FC140" s="183"/>
      <c r="FD140" s="183"/>
      <c r="FE140" s="183"/>
      <c r="FF140" s="183"/>
      <c r="FG140" s="183"/>
      <c r="FH140" s="183"/>
      <c r="FI140" s="183"/>
      <c r="FJ140" s="183"/>
      <c r="FK140" s="183"/>
      <c r="FL140" s="183"/>
      <c r="FM140" s="183"/>
      <c r="FN140" s="183"/>
      <c r="FO140" s="183"/>
      <c r="FP140" s="183"/>
      <c r="FQ140" s="183"/>
      <c r="FR140" s="183"/>
      <c r="FS140" s="183"/>
      <c r="FT140" s="183"/>
      <c r="FU140" s="183"/>
      <c r="FV140" s="183"/>
      <c r="FW140" s="183"/>
      <c r="FX140" s="183"/>
      <c r="FY140" s="183"/>
      <c r="FZ140" s="183"/>
      <c r="GA140" s="183"/>
      <c r="GB140" s="183"/>
      <c r="GC140" s="183"/>
      <c r="GD140" s="183"/>
      <c r="GE140" s="183"/>
      <c r="GF140" s="183"/>
      <c r="GG140" s="183"/>
      <c r="GH140" s="183"/>
      <c r="GI140" s="183"/>
      <c r="GJ140" s="183"/>
      <c r="GK140" s="183"/>
      <c r="GL140" s="183"/>
    </row>
    <row r="141" spans="1:194" s="175" customFormat="1" ht="60" customHeight="1" x14ac:dyDescent="0.3">
      <c r="A141" s="364"/>
      <c r="B141" s="365"/>
      <c r="C141" s="392" t="s">
        <v>27</v>
      </c>
      <c r="D141" s="641"/>
      <c r="E141" s="641"/>
      <c r="F141" s="641"/>
      <c r="G141" s="641"/>
      <c r="H141" s="641"/>
      <c r="I141" s="641"/>
      <c r="J141" s="642"/>
      <c r="K141" s="642"/>
      <c r="L141" s="622">
        <f>J141*K141*M141</f>
        <v>0</v>
      </c>
      <c r="M141" s="623"/>
      <c r="N141" s="620">
        <f>IFERROR(AL141,"")</f>
        <v>1.0765546639999999</v>
      </c>
      <c r="O141" s="621">
        <f>IFERROR(N141*M141,"")</f>
        <v>0</v>
      </c>
      <c r="P141" s="192"/>
      <c r="Q141" s="193">
        <f>Q142+BF141+($R$350*Q142)</f>
        <v>0</v>
      </c>
      <c r="R141" s="193">
        <f>IFERROR(R142+($R$348*R142),"")</f>
        <v>0</v>
      </c>
      <c r="S141" s="194">
        <f>+IF(R143="SI",((W145*'BD GN'!$AB$2)+S142)*1,COTIZACIÓN!S142*1)+(P142*S142)</f>
        <v>0</v>
      </c>
      <c r="T141" s="195">
        <f>IFERROR(R141*IF(K141&lt;=3,$T$13,15%),"")</f>
        <v>0</v>
      </c>
      <c r="U141" s="196">
        <f>BH141+BG141</f>
        <v>0</v>
      </c>
      <c r="V141" s="197" t="str">
        <f>IFERROR(BN141,0)</f>
        <v/>
      </c>
      <c r="W141" s="198" t="str">
        <f>IFERROR(IF(X143="SI",W144*J141*K141,IF(BE141=3,BE143,IF(BE141=4,BE144,IF(BE141=5,BE145,IF(BE141&gt;5,BE145+(BE146*(BE141-5)),"")))))*0,"")</f>
        <v/>
      </c>
      <c r="X141" s="198" t="str">
        <f>IFERROR(IF(X142="NO",(VLOOKUP(D141,'BD M.O'!C:E,3,FALSE))*W145,((VLOOKUP(D141,'BD M.O'!C:E,3,FALSE))+7500)*W145),"")</f>
        <v/>
      </c>
      <c r="Y141" s="198">
        <f>IFERROR($Y$13*AK141,"")</f>
        <v>4.2084457416288003E-2</v>
      </c>
      <c r="Z141" s="332" t="str">
        <f>IFERROR(($Z$13*AK141)+X141,"")</f>
        <v/>
      </c>
      <c r="AA141" s="199" t="str">
        <f>IFERROR(Y141+Z141,"")</f>
        <v/>
      </c>
      <c r="AB141" s="200">
        <f>IFERROR((SUM(Q141:X141)-T141+T143)*$AB$13,"")</f>
        <v>0</v>
      </c>
      <c r="AC141" s="201">
        <f>IFERROR(((SUM(Q141:V141,IF(X146&gt;AA141,AVERAGE(X146,AA141),AA141))-T141+T143))*$AB$13,"")</f>
        <v>0</v>
      </c>
      <c r="AD141" s="202" t="str">
        <f>IFERROR((J141*K141*$BV$14),"")</f>
        <v/>
      </c>
      <c r="AE141" s="202">
        <f>IFERROR($AE$13*AK141,"")</f>
        <v>6.4010592649919984E-2</v>
      </c>
      <c r="AF141" s="203" t="str">
        <f>IFERROR(($CI$11+$CI$13)*W145,"")</f>
        <v/>
      </c>
      <c r="AG141" s="202">
        <f>IFERROR((SUM(Q141:X141,AB141,AD141,AF141)-T141+T143)*$AG$13,"")</f>
        <v>0</v>
      </c>
      <c r="AH141" s="202">
        <f>IFERROR((SUM(Q141:V141,(IF(X146&gt;AA141,AVERAGE(X146,AA141),AA141)),AC141,AE141,AF141)-T141+T143)*$AG$13,"")</f>
        <v>3.2005296324959992E-2</v>
      </c>
      <c r="AI141" s="204">
        <f>IFERROR(AL141*$AI$13,"")</f>
        <v>2.1531093279999997E-2</v>
      </c>
      <c r="AJ141" s="204">
        <f>IFERROR($AJ$13*AL141,"")</f>
        <v>6.007175025119999E-3</v>
      </c>
      <c r="AK141" s="205">
        <f>IFERROR(SUM(Q141:X141,AB141,AD141,AG141,AF141)/(1-$AI$13)+(1-$AJ$13)-T141+T143,"")</f>
        <v>0.99441999999999997</v>
      </c>
      <c r="AL141" s="205">
        <f>IFERROR(SUM(Q141:V141,AC141,(IF(AD141&gt;AE141,AVERAGE(AD141,AE141),AE141)),AF141,,AH141,(IF(SUM(X146)&gt;AA141,AVERAGE(AA141,X146),AA141)))/(1-$AJ$13)+(1-$AI$13)-T141+T143,"")</f>
        <v>1.0765546639999999</v>
      </c>
      <c r="AM141" s="206">
        <f>$M$15*Q141</f>
        <v>0</v>
      </c>
      <c r="AN141" s="207">
        <f>$M$15*R141</f>
        <v>0</v>
      </c>
      <c r="AO141" s="208">
        <f>$M$15*S141</f>
        <v>0</v>
      </c>
      <c r="AP141" s="207">
        <f>$M$15*T141</f>
        <v>0</v>
      </c>
      <c r="AQ141" s="207" t="e">
        <f>$M$15*#REF!</f>
        <v>#REF!</v>
      </c>
      <c r="AR141" s="207">
        <f>$M$15*U141</f>
        <v>0</v>
      </c>
      <c r="AS141" s="208" t="e">
        <f>$M$15*V141</f>
        <v>#VALUE!</v>
      </c>
      <c r="AT141" s="207" t="e">
        <f>$M$15*W141</f>
        <v>#VALUE!</v>
      </c>
      <c r="AU141" s="208" t="e">
        <f>$M$15*X141</f>
        <v>#VALUE!</v>
      </c>
      <c r="AV141" s="207">
        <f>$M$15*AB141</f>
        <v>0</v>
      </c>
      <c r="AW141" s="208">
        <f>$M$15*AE141</f>
        <v>0</v>
      </c>
      <c r="AX141" s="207">
        <f>$M$15*AG141</f>
        <v>0</v>
      </c>
      <c r="AY141" s="209">
        <f>$M$15*AI141</f>
        <v>0</v>
      </c>
      <c r="AZ141" s="207">
        <f>$M$15*AK141</f>
        <v>0</v>
      </c>
      <c r="BA141" s="210"/>
      <c r="BB141" s="175" t="s">
        <v>23</v>
      </c>
      <c r="BC141" s="211" t="s">
        <v>113</v>
      </c>
      <c r="BD141" s="210"/>
      <c r="BE141" s="212"/>
      <c r="BF141" s="213">
        <f>IF(BH142="NO",((2*J141)+(2*K141))*'BD GN'!$AU$3,((3*J141)+(2*K141))*'BD GN'!$AU$3)</f>
        <v>0</v>
      </c>
      <c r="BG141" s="213">
        <f>'BD GN'!$BB$3*J141*K141</f>
        <v>0</v>
      </c>
      <c r="BH141" s="214">
        <f>((J141*2*BE141)+(K141*2*BE141))*'BD GN'!$AN$4</f>
        <v>0</v>
      </c>
      <c r="BI141" s="210"/>
      <c r="BJ141" s="212"/>
      <c r="BK141" s="212"/>
      <c r="BL141" s="215">
        <f>J141*K141*2.5*BJ141</f>
        <v>0</v>
      </c>
      <c r="BM141" s="215">
        <f>BK141+BL141</f>
        <v>0</v>
      </c>
      <c r="BN141" s="216" t="str">
        <f>IFERROR((VLOOKUP($C$12,'BD GN'!BD:BM,10,FALSE)*BM141)+$BR$338,"")</f>
        <v/>
      </c>
      <c r="BO141" s="210"/>
      <c r="BW141" s="210"/>
      <c r="CD141" s="184"/>
      <c r="CF141" s="185"/>
      <c r="CI141" s="184"/>
      <c r="CJ141" s="210"/>
      <c r="CK141" s="565"/>
      <c r="CL141" s="256"/>
      <c r="CM141" s="596"/>
      <c r="CN141" s="626"/>
      <c r="CO141" s="629"/>
      <c r="CP141" s="629"/>
      <c r="CQ141" s="629"/>
      <c r="CR141" s="629"/>
      <c r="CS141" s="629"/>
      <c r="CT141" s="632"/>
      <c r="CU141" s="565"/>
      <c r="CV141" s="560">
        <f>IFERROR(N141*CU141,"")</f>
        <v>0</v>
      </c>
      <c r="CW141" s="565"/>
      <c r="CX141" s="560">
        <f>IFERROR(P141*CW141,"")</f>
        <v>0</v>
      </c>
      <c r="CY141" s="565"/>
      <c r="CZ141" s="560">
        <f>IFERROR(R141*CY141,"")</f>
        <v>0</v>
      </c>
      <c r="DA141" s="565">
        <f t="shared" ref="DA141" si="486">CU141+CW141+CY141</f>
        <v>0</v>
      </c>
      <c r="DB141" s="560">
        <f t="shared" ref="DB141" si="487">IFERROR(CV141+CX141+CZ141,"")</f>
        <v>0</v>
      </c>
      <c r="DC141" s="565">
        <f>M141-(CU141+CW141+CY141)</f>
        <v>0</v>
      </c>
      <c r="DD141" s="560">
        <f>IFERROR(O141-(CV141+CX141+CZ141),"")</f>
        <v>0</v>
      </c>
      <c r="DG141" s="575"/>
      <c r="DH141" s="575"/>
      <c r="DI141" s="569">
        <f t="shared" ref="DI141" si="488">IFERROR(IF(DG141&gt;0,(((N141)/(1+10%+19%*5%)+((N141)/(1+10%+19%*5%))*10%)*DH141),0),0)</f>
        <v>0</v>
      </c>
      <c r="DJ141" s="569">
        <f t="shared" ref="DJ141" si="489">IFERROR(IF(DG141&gt;0,(N141*DH141),0),0)</f>
        <v>0</v>
      </c>
      <c r="DK141" s="569">
        <f t="shared" ref="DK141" si="490">IF(DG141&gt;0,((R141+T141)*DH141),0)</f>
        <v>0</v>
      </c>
      <c r="DL141" s="569">
        <f t="shared" ref="DL141" si="491">IF(DG141&gt;0,(Q141*DH141),0)</f>
        <v>0</v>
      </c>
      <c r="DM141" s="572">
        <f t="shared" ref="DM141" si="492">IF(DG141&gt;0,(S141*DH141),0)</f>
        <v>0</v>
      </c>
      <c r="DN141" s="569">
        <f t="shared" ref="DN141" si="493">IF(DG141&gt;0,(BN141*DH141),0)</f>
        <v>0</v>
      </c>
      <c r="DO141" s="569">
        <f t="shared" ref="DO141" si="494">IF(DG141&gt;0,(AF141*DH141),0)</f>
        <v>0</v>
      </c>
      <c r="DP141" s="569">
        <f>IF(DG141&gt;0,((DI141)*('BD P&amp;G'!$E$16+'BD P&amp;G'!$E$17+'BD P&amp;G'!$E$18+'BD P&amp;G'!$E$19+'BD P&amp;G'!$E$20+'BD P&amp;G'!$E$21+'BD P&amp;G'!$E$22+'BD P&amp;G'!$E$23)*DH141),0)</f>
        <v>0</v>
      </c>
      <c r="DQ141" s="569">
        <f>IFERROR(IF(DG141&gt;0,((DI141*'BD P&amp;G'!$E$7)+(DI141*'BD P&amp;G'!$E$9)+AI141),0),0)</f>
        <v>0</v>
      </c>
      <c r="DR141" s="569">
        <f t="shared" ref="DR141" si="495">IFERROR(IF(DG141&gt;0,((DI141*1%)),0),0)</f>
        <v>0</v>
      </c>
      <c r="DS141" s="569">
        <f>IFERROR(IF(DG141&gt;0,(((DI141*'BD P&amp;G'!$E$32+DI141*'BD P&amp;G'!$E$33+DI141*'BD P&amp;G'!$E$35+DI141*'BD P&amp;G'!$E$36+DI141*'BD P&amp;G'!$E$37))),0),0)</f>
        <v>0</v>
      </c>
      <c r="DT141" s="569">
        <f t="shared" ref="DT141" si="496">IF(DG141&gt;0,(Y141*DH141),0)</f>
        <v>0</v>
      </c>
      <c r="DU141" s="569">
        <f t="shared" ref="DU141" si="497">IF(DG141&gt;0,(Z141*DH141),0)</f>
        <v>0</v>
      </c>
      <c r="DV141" s="575">
        <f t="shared" ref="DV141" si="498">IF(DG141&gt;0,(Y145*DH141),0)</f>
        <v>0</v>
      </c>
      <c r="DW141" s="575">
        <f t="shared" ref="DW141" si="499">IF(DG141&gt;0,(Z145*DH141),0)</f>
        <v>0</v>
      </c>
      <c r="DX141" s="569">
        <f t="shared" ref="DX141" si="500">IF(DV141&gt;0,DJ141,0)</f>
        <v>0</v>
      </c>
      <c r="DY141" s="569">
        <f t="shared" ref="DY141" si="501">IF(DW141&gt;0,DJ141,0)</f>
        <v>0</v>
      </c>
    </row>
    <row r="142" spans="1:194" s="175" customFormat="1" ht="60" customHeight="1" x14ac:dyDescent="0.25">
      <c r="A142" s="366"/>
      <c r="B142" s="367"/>
      <c r="C142" s="393" t="s">
        <v>28</v>
      </c>
      <c r="D142" s="598"/>
      <c r="E142" s="598"/>
      <c r="F142" s="598"/>
      <c r="G142" s="598"/>
      <c r="H142" s="598"/>
      <c r="I142" s="598"/>
      <c r="J142" s="604"/>
      <c r="K142" s="604"/>
      <c r="L142" s="607"/>
      <c r="M142" s="559"/>
      <c r="N142" s="610"/>
      <c r="O142" s="613"/>
      <c r="P142" s="192"/>
      <c r="Q142" s="217"/>
      <c r="R142" s="217"/>
      <c r="S142" s="218"/>
      <c r="T142" s="219">
        <f>IFERROR(T141/$R$353,"")</f>
        <v>0</v>
      </c>
      <c r="U142" s="206"/>
      <c r="V142" s="220"/>
      <c r="W142" s="221" t="s">
        <v>239</v>
      </c>
      <c r="X142" s="222" t="s">
        <v>204</v>
      </c>
      <c r="Y142" s="223"/>
      <c r="Z142" s="224"/>
      <c r="AA142" s="225"/>
      <c r="AB142" s="226"/>
      <c r="AC142" s="206"/>
      <c r="AD142" s="206"/>
      <c r="AE142" s="206"/>
      <c r="AF142" s="227"/>
      <c r="AG142" s="206"/>
      <c r="AH142" s="206"/>
      <c r="AI142" s="206"/>
      <c r="AJ142" s="206"/>
      <c r="AK142" s="227"/>
      <c r="AL142" s="210"/>
      <c r="AM142" s="206"/>
      <c r="AN142" s="206"/>
      <c r="AO142" s="228"/>
      <c r="AP142" s="229"/>
      <c r="AQ142" s="206"/>
      <c r="AR142" s="206"/>
      <c r="AS142" s="228"/>
      <c r="AT142" s="229"/>
      <c r="AU142" s="228"/>
      <c r="AV142" s="229"/>
      <c r="AW142" s="228"/>
      <c r="AX142" s="229"/>
      <c r="AY142" s="206"/>
      <c r="AZ142" s="229"/>
      <c r="BA142" s="210"/>
      <c r="BB142" s="175" t="s">
        <v>24</v>
      </c>
      <c r="BC142" s="175" t="s">
        <v>114</v>
      </c>
      <c r="BD142" s="210"/>
      <c r="BE142" s="176" t="s">
        <v>206</v>
      </c>
      <c r="BF142" s="230" t="s">
        <v>204</v>
      </c>
      <c r="BG142" s="176" t="s">
        <v>290</v>
      </c>
      <c r="BH142" s="231" t="s">
        <v>204</v>
      </c>
      <c r="BI142" s="210"/>
      <c r="BN142" s="232"/>
      <c r="BO142" s="210"/>
      <c r="BV142" s="184"/>
      <c r="BW142" s="210"/>
      <c r="CD142" s="184"/>
      <c r="CF142" s="185"/>
      <c r="CI142" s="184"/>
      <c r="CJ142" s="210"/>
      <c r="CK142" s="563"/>
      <c r="CM142" s="559"/>
      <c r="CN142" s="627"/>
      <c r="CO142" s="630"/>
      <c r="CP142" s="630"/>
      <c r="CQ142" s="630"/>
      <c r="CR142" s="630"/>
      <c r="CS142" s="630"/>
      <c r="CT142" s="633"/>
      <c r="CU142" s="563"/>
      <c r="CV142" s="561"/>
      <c r="CW142" s="563"/>
      <c r="CX142" s="561"/>
      <c r="CY142" s="563"/>
      <c r="CZ142" s="561"/>
      <c r="DA142" s="563"/>
      <c r="DB142" s="561"/>
      <c r="DC142" s="563"/>
      <c r="DD142" s="561"/>
      <c r="DG142" s="576"/>
      <c r="DH142" s="576"/>
      <c r="DI142" s="570"/>
      <c r="DJ142" s="570"/>
      <c r="DK142" s="570"/>
      <c r="DL142" s="570"/>
      <c r="DM142" s="573"/>
      <c r="DN142" s="570"/>
      <c r="DO142" s="570"/>
      <c r="DP142" s="570"/>
      <c r="DQ142" s="570"/>
      <c r="DR142" s="570"/>
      <c r="DS142" s="570"/>
      <c r="DT142" s="570"/>
      <c r="DU142" s="570"/>
      <c r="DV142" s="576"/>
      <c r="DW142" s="576"/>
      <c r="DX142" s="570"/>
      <c r="DY142" s="570"/>
    </row>
    <row r="143" spans="1:194" s="175" customFormat="1" ht="60" customHeight="1" x14ac:dyDescent="0.3">
      <c r="A143" s="366"/>
      <c r="B143" s="367"/>
      <c r="C143" s="393" t="s">
        <v>30</v>
      </c>
      <c r="D143" s="599"/>
      <c r="E143" s="599"/>
      <c r="F143" s="599"/>
      <c r="G143" s="599"/>
      <c r="H143" s="599"/>
      <c r="I143" s="599"/>
      <c r="J143" s="604"/>
      <c r="K143" s="604"/>
      <c r="L143" s="607"/>
      <c r="M143" s="559"/>
      <c r="N143" s="610"/>
      <c r="O143" s="613"/>
      <c r="P143" s="192"/>
      <c r="Q143" s="176" t="s">
        <v>205</v>
      </c>
      <c r="R143" s="233" t="s">
        <v>204</v>
      </c>
      <c r="S143" s="234"/>
      <c r="T143" s="235">
        <f>IFERROR(($R$353-8000)*T142,"")</f>
        <v>0</v>
      </c>
      <c r="U143" s="206"/>
      <c r="V143" s="220"/>
      <c r="W143" s="221" t="s">
        <v>258</v>
      </c>
      <c r="X143" s="222" t="s">
        <v>204</v>
      </c>
      <c r="Y143" s="236"/>
      <c r="Z143" s="237"/>
      <c r="AA143" s="225"/>
      <c r="AB143" s="226"/>
      <c r="AC143" s="206"/>
      <c r="AD143" s="206"/>
      <c r="AE143" s="206"/>
      <c r="AF143" s="227"/>
      <c r="AG143" s="206"/>
      <c r="AH143" s="206"/>
      <c r="AI143" s="206"/>
      <c r="AJ143" s="206"/>
      <c r="AK143" s="227"/>
      <c r="AL143" s="238"/>
      <c r="AM143" s="206"/>
      <c r="AN143" s="206"/>
      <c r="AO143" s="228"/>
      <c r="AP143" s="229"/>
      <c r="AQ143" s="206"/>
      <c r="AR143" s="206"/>
      <c r="AS143" s="228"/>
      <c r="AT143" s="229"/>
      <c r="AU143" s="228"/>
      <c r="AV143" s="229"/>
      <c r="AW143" s="228"/>
      <c r="AX143" s="229"/>
      <c r="AY143" s="206"/>
      <c r="AZ143" s="229"/>
      <c r="BA143" s="210"/>
      <c r="BB143" s="175" t="s">
        <v>26</v>
      </c>
      <c r="BC143" s="211" t="s">
        <v>115</v>
      </c>
      <c r="BD143" s="210"/>
      <c r="BE143" s="177" t="str">
        <f>IFERROR(VLOOKUP(D141,'BD M.O'!C:H,4,FALSE),"")</f>
        <v/>
      </c>
      <c r="BF143" s="177" t="s">
        <v>259</v>
      </c>
      <c r="BI143" s="210"/>
      <c r="BO143" s="210"/>
      <c r="BV143" s="184"/>
      <c r="BW143" s="210"/>
      <c r="CD143" s="184"/>
      <c r="CF143" s="185"/>
      <c r="CI143" s="184"/>
      <c r="CJ143" s="210"/>
      <c r="CK143" s="563"/>
      <c r="CM143" s="559"/>
      <c r="CN143" s="627"/>
      <c r="CO143" s="630"/>
      <c r="CP143" s="630"/>
      <c r="CQ143" s="630"/>
      <c r="CR143" s="630"/>
      <c r="CS143" s="630"/>
      <c r="CT143" s="633"/>
      <c r="CU143" s="563"/>
      <c r="CV143" s="561"/>
      <c r="CW143" s="563"/>
      <c r="CX143" s="561"/>
      <c r="CY143" s="563"/>
      <c r="CZ143" s="561"/>
      <c r="DA143" s="563"/>
      <c r="DB143" s="561"/>
      <c r="DC143" s="563"/>
      <c r="DD143" s="561"/>
      <c r="DG143" s="577"/>
      <c r="DH143" s="577"/>
      <c r="DI143" s="571"/>
      <c r="DJ143" s="571"/>
      <c r="DK143" s="571"/>
      <c r="DL143" s="571"/>
      <c r="DM143" s="574"/>
      <c r="DN143" s="571"/>
      <c r="DO143" s="571"/>
      <c r="DP143" s="571"/>
      <c r="DQ143" s="571"/>
      <c r="DR143" s="571"/>
      <c r="DS143" s="571"/>
      <c r="DT143" s="571"/>
      <c r="DU143" s="571"/>
      <c r="DV143" s="577"/>
      <c r="DW143" s="577"/>
      <c r="DX143" s="571"/>
      <c r="DY143" s="571"/>
    </row>
    <row r="144" spans="1:194" s="175" customFormat="1" ht="60" customHeight="1" x14ac:dyDescent="0.25">
      <c r="A144" s="366"/>
      <c r="B144" s="367"/>
      <c r="C144" s="395" t="s">
        <v>180</v>
      </c>
      <c r="D144" s="599" t="s">
        <v>31</v>
      </c>
      <c r="E144" s="599"/>
      <c r="F144" s="394" t="s">
        <v>9</v>
      </c>
      <c r="G144" s="599" t="s">
        <v>33</v>
      </c>
      <c r="H144" s="599"/>
      <c r="I144" s="394" t="str">
        <f>+IF($BG$9="SI","","X")</f>
        <v>X</v>
      </c>
      <c r="J144" s="604"/>
      <c r="K144" s="604"/>
      <c r="L144" s="607"/>
      <c r="M144" s="559"/>
      <c r="N144" s="610"/>
      <c r="O144" s="613"/>
      <c r="P144" s="192"/>
      <c r="Q144" s="239"/>
      <c r="R144" s="221" t="s">
        <v>209</v>
      </c>
      <c r="S144" s="234" t="str">
        <f>IF(S142="","",S142/(J141*K141))</f>
        <v/>
      </c>
      <c r="T144" s="226"/>
      <c r="U144" s="206"/>
      <c r="V144" s="220"/>
      <c r="W144" s="239" t="str">
        <f>IFERROR(IF(X143="SI",VLOOKUP(D141,'BD M.O'!C:F,4,FALSE),""),"")</f>
        <v/>
      </c>
      <c r="X144" s="221" t="s">
        <v>258</v>
      </c>
      <c r="Y144" s="221" t="s">
        <v>507</v>
      </c>
      <c r="Z144" s="221" t="s">
        <v>508</v>
      </c>
      <c r="AA144" s="225"/>
      <c r="AB144" s="226"/>
      <c r="AC144" s="206"/>
      <c r="AD144" s="206"/>
      <c r="AE144" s="206"/>
      <c r="AF144" s="227"/>
      <c r="AG144" s="206"/>
      <c r="AH144" s="206"/>
      <c r="AI144" s="206"/>
      <c r="AJ144" s="206"/>
      <c r="AK144" s="227"/>
      <c r="AL144" s="240"/>
      <c r="AM144" s="206"/>
      <c r="AN144" s="206"/>
      <c r="AO144" s="228"/>
      <c r="AP144" s="229"/>
      <c r="AQ144" s="206"/>
      <c r="AR144" s="206"/>
      <c r="AS144" s="228"/>
      <c r="AT144" s="229"/>
      <c r="AU144" s="228"/>
      <c r="AV144" s="229"/>
      <c r="AW144" s="228"/>
      <c r="AX144" s="229"/>
      <c r="AY144" s="206"/>
      <c r="AZ144" s="229"/>
      <c r="BA144" s="210"/>
      <c r="BC144" s="175" t="s">
        <v>116</v>
      </c>
      <c r="BD144" s="210"/>
      <c r="BE144" s="177" t="str">
        <f>IFERROR(VLOOKUP(COTIZACIÓN!D141,'BD M.O'!C:I,5,FALSE),"")</f>
        <v/>
      </c>
      <c r="BF144" s="177" t="s">
        <v>260</v>
      </c>
      <c r="BI144" s="210"/>
      <c r="BO144" s="210"/>
      <c r="BP144" s="183"/>
      <c r="BQ144" s="183"/>
      <c r="BR144" s="183"/>
      <c r="BS144" s="183"/>
      <c r="BT144" s="183"/>
      <c r="BU144" s="183"/>
      <c r="BV144" s="182"/>
      <c r="BW144" s="210"/>
      <c r="BX144" s="183"/>
      <c r="BY144" s="183"/>
      <c r="BZ144" s="183"/>
      <c r="CA144" s="183"/>
      <c r="CB144" s="183"/>
      <c r="CC144" s="183"/>
      <c r="CD144" s="182"/>
      <c r="CE144" s="183"/>
      <c r="CF144" s="241"/>
      <c r="CG144" s="183"/>
      <c r="CH144" s="183"/>
      <c r="CI144" s="182"/>
      <c r="CJ144" s="210"/>
      <c r="CK144" s="563"/>
      <c r="CM144" s="559"/>
      <c r="CN144" s="627"/>
      <c r="CO144" s="630"/>
      <c r="CP144" s="630"/>
      <c r="CQ144" s="630"/>
      <c r="CR144" s="630"/>
      <c r="CS144" s="630"/>
      <c r="CT144" s="633"/>
      <c r="CU144" s="563"/>
      <c r="CV144" s="561"/>
      <c r="CW144" s="563"/>
      <c r="CX144" s="561"/>
      <c r="CY144" s="563"/>
      <c r="CZ144" s="561"/>
      <c r="DA144" s="563"/>
      <c r="DB144" s="561"/>
      <c r="DC144" s="563"/>
      <c r="DD144" s="561"/>
      <c r="DG144" s="575"/>
      <c r="DH144" s="575"/>
      <c r="DI144" s="569">
        <f t="shared" ref="DI144" si="502">IFERROR(IF(DG144&gt;0,(((N141)/(1+10%+19%*5%)+((N141)/(1+10%+19%*5%))*10%)*DH144),0),0)</f>
        <v>0</v>
      </c>
      <c r="DJ144" s="569">
        <f t="shared" ref="DJ144" si="503">IFERROR(IF(DG144&gt;0,(N141*DH144),0),0)</f>
        <v>0</v>
      </c>
      <c r="DK144" s="569">
        <f t="shared" ref="DK144" si="504">IF(DG144&gt;0,((R141+T141)*DH144),0)</f>
        <v>0</v>
      </c>
      <c r="DL144" s="569">
        <f t="shared" ref="DL144" si="505">IF(DG144&gt;0,(Q141*DH144),0)</f>
        <v>0</v>
      </c>
      <c r="DM144" s="572">
        <f t="shared" ref="DM144" si="506">IF(DG144&gt;0,(S141*DH144),0)</f>
        <v>0</v>
      </c>
      <c r="DN144" s="569">
        <f t="shared" ref="DN144" si="507">IF(DG144&gt;0,(BN141*DH144),0)</f>
        <v>0</v>
      </c>
      <c r="DO144" s="569">
        <f t="shared" ref="DO144" si="508">IF(DG144&gt;0,(AF141*DH144),0)</f>
        <v>0</v>
      </c>
      <c r="DP144" s="569">
        <f>IF(DG144&gt;0,((DI144)*('BD P&amp;G'!$E$16+'BD P&amp;G'!$E$17+'BD P&amp;G'!$E$18+'BD P&amp;G'!$E$19+'BD P&amp;G'!$E$20+'BD P&amp;G'!$E$21+'BD P&amp;G'!$E$22+'BD P&amp;G'!$E$23)*DH144),0)</f>
        <v>0</v>
      </c>
      <c r="DQ144" s="569">
        <f>IFERROR(IF(DG144&gt;0,((DI144*'BD P&amp;G'!$E$7)+(DI144*'BD P&amp;G'!$E$9)+AI141),0),0)</f>
        <v>0</v>
      </c>
      <c r="DR144" s="569">
        <f t="shared" ref="DR144" si="509">IFERROR(IF(DG144&gt;0,((DI144*1%)),0),0)</f>
        <v>0</v>
      </c>
      <c r="DS144" s="569">
        <f>IFERROR(IF(DG144&gt;0,(((DI144*'BD P&amp;G'!$E$32+DI144*'BD P&amp;G'!$E$33+DI144*'BD P&amp;G'!$E$35+DI144*'BD P&amp;G'!$E$36+DI144*'BD P&amp;G'!$E$37))),0),0)</f>
        <v>0</v>
      </c>
      <c r="DT144" s="569">
        <f t="shared" ref="DT144" si="510">IF(DG144&gt;0,(Y141*DH144),0)</f>
        <v>0</v>
      </c>
      <c r="DU144" s="569">
        <f t="shared" ref="DU144" si="511">IF(DG144&gt;0,(Z141*DH144),0)</f>
        <v>0</v>
      </c>
      <c r="DV144" s="575">
        <f t="shared" ref="DV144" si="512">IF(DG144&gt;0,(Y145*DH144),0)</f>
        <v>0</v>
      </c>
      <c r="DW144" s="575">
        <f t="shared" ref="DW144" si="513">IF(DG144&gt;0,(Z145*DH144),0)</f>
        <v>0</v>
      </c>
      <c r="DX144" s="569">
        <f t="shared" ref="DX144" si="514">IF(DV144&gt;0,DJ144,0)</f>
        <v>0</v>
      </c>
      <c r="DY144" s="569">
        <f t="shared" ref="DY144" si="515">IF(DW144&gt;0,DJ144,0)</f>
        <v>0</v>
      </c>
    </row>
    <row r="145" spans="1:194" s="175" customFormat="1" ht="60" customHeight="1" x14ac:dyDescent="0.3">
      <c r="A145" s="366"/>
      <c r="B145" s="367"/>
      <c r="C145" s="393" t="s">
        <v>35</v>
      </c>
      <c r="D145" s="599" t="str">
        <f>IFERROR(VLOOKUP(D141,'BD GN'!C:E,3,),"")</f>
        <v/>
      </c>
      <c r="E145" s="599"/>
      <c r="F145" s="599"/>
      <c r="G145" s="599"/>
      <c r="H145" s="599"/>
      <c r="I145" s="599"/>
      <c r="J145" s="604"/>
      <c r="K145" s="604"/>
      <c r="L145" s="607"/>
      <c r="M145" s="559"/>
      <c r="N145" s="610"/>
      <c r="O145" s="613"/>
      <c r="P145" s="192"/>
      <c r="Q145" s="239"/>
      <c r="R145" s="221" t="s">
        <v>210</v>
      </c>
      <c r="S145" s="234" t="str">
        <f>IFERROR(IF(N141="","",N141/W145),"")</f>
        <v/>
      </c>
      <c r="T145" s="226"/>
      <c r="U145" s="206"/>
      <c r="V145" s="220"/>
      <c r="W145" s="242" t="str">
        <f>+IF(J141*K141&gt;=1,J141*K141,IF(AND(J141*K141&gt;0,J141*K141&lt;1),1,""))</f>
        <v/>
      </c>
      <c r="X145" s="221" t="s">
        <v>298</v>
      </c>
      <c r="Y145" s="461">
        <f>IFERROR(IF(D141='BD GN'!$C$25,COTIZACIÓN!W145,IF(D141='BD GN'!$C$26,COTIZACIÓN!W145,IF(D141='BD GN'!$C$27,COTIZACIÓN!W145,IF(COTIZACIÓN!D141='BD GN'!$C$28,COTIZACIÓN!W145,IF(COTIZACIÓN!D141='BD GN'!$C$29,COTIZACIÓN!W145,IF(COTIZACIÓN!D141='BD GN'!$C$35,COTIZACIÓN!W145,IF(COTIZACIÓN!D141='BD GN'!$C$36,COTIZACIÓN!W145,IF(COTIZACIÓN!D141='BD GN'!$C$37,COTIZACIÓN!W145,IF(COTIZACIÓN!D141='BD GN'!$C$38,COTIZACIÓN!W145,IF(COTIZACIÓN!D141='BD GN'!$C$39,COTIZACIÓN!W145,IF(COTIZACIÓN!D141='BD GN'!$C$40,COTIZACIÓN!W145,IF(COTIZACIÓN!D141='BD GN'!$C$41,COTIZACIÓN!W145,IF(COTIZACIÓN!D141='BD GN'!$C$42,COTIZACIÓN!W145,IF(COTIZACIÓN!D141='BD GN'!$C$49,COTIZACIÓN!W145,IF(COTIZACIÓN!D141='BD GN'!$C$50,COTIZACIÓN!W145,IF(COTIZACIÓN!D141='BD GN'!$C$51,COTIZACIÓN!W145,IF(COTIZACIÓN!D141='BD GN'!$C$67,COTIZACIÓN!W145,0))))))))))))))))),0)</f>
        <v>0</v>
      </c>
      <c r="Z145" s="461">
        <f>IFERROR(W145-Y145,0)</f>
        <v>0</v>
      </c>
      <c r="AA145" s="225"/>
      <c r="AB145" s="226"/>
      <c r="AC145" s="206"/>
      <c r="AD145" s="206"/>
      <c r="AE145" s="206"/>
      <c r="AF145" s="227"/>
      <c r="AG145" s="206"/>
      <c r="AH145" s="206"/>
      <c r="AI145" s="206"/>
      <c r="AJ145" s="206"/>
      <c r="AK145" s="227"/>
      <c r="AL145" s="210"/>
      <c r="AM145" s="206"/>
      <c r="AN145" s="206"/>
      <c r="AO145" s="228"/>
      <c r="AP145" s="229"/>
      <c r="AQ145" s="206"/>
      <c r="AR145" s="206"/>
      <c r="AS145" s="228"/>
      <c r="AT145" s="229"/>
      <c r="AU145" s="228"/>
      <c r="AV145" s="229"/>
      <c r="AW145" s="228"/>
      <c r="AX145" s="229"/>
      <c r="AY145" s="206"/>
      <c r="AZ145" s="229"/>
      <c r="BA145" s="210"/>
      <c r="BC145" s="211" t="s">
        <v>117</v>
      </c>
      <c r="BD145" s="210"/>
      <c r="BE145" s="177" t="str">
        <f>IFERROR(VLOOKUP(D141,'BD M.O'!C:I,6,FALSE),"")</f>
        <v/>
      </c>
      <c r="BF145" s="177" t="s">
        <v>261</v>
      </c>
      <c r="BI145" s="210"/>
      <c r="BO145" s="210"/>
      <c r="BP145" s="183"/>
      <c r="BQ145" s="183"/>
      <c r="BR145" s="183"/>
      <c r="BW145" s="210"/>
      <c r="CD145" s="184"/>
      <c r="CF145" s="185"/>
      <c r="CI145" s="184"/>
      <c r="CJ145" s="210"/>
      <c r="CK145" s="563"/>
      <c r="CM145" s="559"/>
      <c r="CN145" s="627"/>
      <c r="CO145" s="630"/>
      <c r="CP145" s="630"/>
      <c r="CQ145" s="630"/>
      <c r="CR145" s="630"/>
      <c r="CS145" s="630"/>
      <c r="CT145" s="633"/>
      <c r="CU145" s="563"/>
      <c r="CV145" s="561"/>
      <c r="CW145" s="563"/>
      <c r="CX145" s="561"/>
      <c r="CY145" s="563"/>
      <c r="CZ145" s="561"/>
      <c r="DA145" s="563"/>
      <c r="DB145" s="561"/>
      <c r="DC145" s="563"/>
      <c r="DD145" s="561"/>
      <c r="DG145" s="576"/>
      <c r="DH145" s="576"/>
      <c r="DI145" s="570"/>
      <c r="DJ145" s="570"/>
      <c r="DK145" s="570"/>
      <c r="DL145" s="570"/>
      <c r="DM145" s="573"/>
      <c r="DN145" s="570"/>
      <c r="DO145" s="570"/>
      <c r="DP145" s="570"/>
      <c r="DQ145" s="570"/>
      <c r="DR145" s="570"/>
      <c r="DS145" s="570"/>
      <c r="DT145" s="570"/>
      <c r="DU145" s="570"/>
      <c r="DV145" s="576"/>
      <c r="DW145" s="576"/>
      <c r="DX145" s="570"/>
      <c r="DY145" s="570"/>
    </row>
    <row r="146" spans="1:194" s="252" customFormat="1" ht="60" customHeight="1" x14ac:dyDescent="0.25">
      <c r="A146" s="368"/>
      <c r="B146" s="369"/>
      <c r="C146" s="396" t="s">
        <v>10</v>
      </c>
      <c r="D146" s="645" t="s">
        <v>32</v>
      </c>
      <c r="E146" s="645"/>
      <c r="F146" s="645"/>
      <c r="G146" s="645"/>
      <c r="H146" s="645"/>
      <c r="I146" s="645"/>
      <c r="J146" s="643"/>
      <c r="K146" s="643"/>
      <c r="L146" s="646"/>
      <c r="M146" s="648"/>
      <c r="N146" s="649"/>
      <c r="O146" s="644"/>
      <c r="P146" s="192"/>
      <c r="Q146" s="239"/>
      <c r="R146" s="334" t="s">
        <v>475</v>
      </c>
      <c r="S146" s="234" t="str">
        <f>IFERROR(IF($C$12='BD GN'!$CC$1,VLOOKUP(COTIZACIÓN!D141,'BD GN'!CB:CG,2,FALSE),IF(COTIZACIÓN!$C$12='BD GN'!$CD$1,VLOOKUP(COTIZACIÓN!D141,'BD GN'!CB:CG,3,FALSE),IF($C$12='BD GN'!$CE$1,VLOOKUP(COTIZACIÓN!D141,'BD GN'!CB:CG,4,FALSE),IF(COTIZACIÓN!$C$12='BD GN'!$CF$1,VLOOKUP(COTIZACIÓN!D141,'BD GN'!CB:CG,5,FALSE),IF(COTIZACIÓN!$C$12='BD GN'!$CG$1,VLOOKUP(COTIZACIÓN!D141,'BD GN'!CB:CG,6,FALSE),""))))),"-")</f>
        <v/>
      </c>
      <c r="T146" s="243"/>
      <c r="U146" s="244"/>
      <c r="V146" s="245"/>
      <c r="W146" s="177" t="s">
        <v>394</v>
      </c>
      <c r="X146" s="246">
        <f>IFERROR(SUM(W141:X141),"")</f>
        <v>0</v>
      </c>
      <c r="Y146" s="166" t="s">
        <v>404</v>
      </c>
      <c r="Z146" s="199" t="str">
        <f>IFERROR(Y141+Z141,"")</f>
        <v/>
      </c>
      <c r="AA146" s="247"/>
      <c r="AB146" s="243"/>
      <c r="AC146" s="244"/>
      <c r="AD146" s="244"/>
      <c r="AE146" s="244"/>
      <c r="AF146" s="227"/>
      <c r="AG146" s="206"/>
      <c r="AH146" s="206"/>
      <c r="AI146" s="206"/>
      <c r="AJ146" s="206"/>
      <c r="AK146" s="227"/>
      <c r="AL146" s="227"/>
      <c r="AM146" s="248"/>
      <c r="AN146" s="248"/>
      <c r="AO146" s="249"/>
      <c r="AP146" s="250"/>
      <c r="AQ146" s="248"/>
      <c r="AR146" s="248"/>
      <c r="AS146" s="249"/>
      <c r="AT146" s="250"/>
      <c r="AU146" s="249"/>
      <c r="AV146" s="250"/>
      <c r="AW146" s="249"/>
      <c r="AX146" s="250"/>
      <c r="AY146" s="248"/>
      <c r="AZ146" s="250"/>
      <c r="BA146" s="210"/>
      <c r="BB146" s="175"/>
      <c r="BC146" s="175" t="s">
        <v>118</v>
      </c>
      <c r="BD146" s="210"/>
      <c r="BE146" s="251" t="str">
        <f>IFERROR(VLOOKUP(D141,'BD M.O'!C:I,7,FALSE),"")</f>
        <v/>
      </c>
      <c r="BF146" s="251" t="s">
        <v>262</v>
      </c>
      <c r="BG146" s="175"/>
      <c r="BH146" s="175"/>
      <c r="BI146" s="210"/>
      <c r="BJ146" s="175"/>
      <c r="BK146" s="175"/>
      <c r="BL146" s="175"/>
      <c r="BM146" s="175"/>
      <c r="BN146" s="175"/>
      <c r="BO146" s="210"/>
      <c r="BP146" s="175"/>
      <c r="BQ146" s="175"/>
      <c r="BR146" s="175"/>
      <c r="BS146" s="183"/>
      <c r="BT146" s="183"/>
      <c r="BU146" s="183"/>
      <c r="BV146" s="183"/>
      <c r="BW146" s="210"/>
      <c r="BX146" s="175"/>
      <c r="BY146" s="175"/>
      <c r="BZ146" s="175"/>
      <c r="CA146" s="175"/>
      <c r="CB146" s="175"/>
      <c r="CC146" s="175"/>
      <c r="CD146" s="184"/>
      <c r="CE146" s="175"/>
      <c r="CF146" s="185"/>
      <c r="CG146" s="175"/>
      <c r="CH146" s="175"/>
      <c r="CI146" s="184"/>
      <c r="CJ146" s="210"/>
      <c r="CK146" s="564"/>
      <c r="CL146" s="257"/>
      <c r="CM146" s="597"/>
      <c r="CN146" s="628"/>
      <c r="CO146" s="631"/>
      <c r="CP146" s="631"/>
      <c r="CQ146" s="631"/>
      <c r="CR146" s="631"/>
      <c r="CS146" s="631"/>
      <c r="CT146" s="634"/>
      <c r="CU146" s="564"/>
      <c r="CV146" s="562"/>
      <c r="CW146" s="564"/>
      <c r="CX146" s="562"/>
      <c r="CY146" s="564"/>
      <c r="CZ146" s="562"/>
      <c r="DA146" s="564"/>
      <c r="DB146" s="562"/>
      <c r="DC146" s="564"/>
      <c r="DD146" s="562"/>
      <c r="DE146" s="175"/>
      <c r="DF146" s="175"/>
      <c r="DG146" s="577"/>
      <c r="DH146" s="577"/>
      <c r="DI146" s="571"/>
      <c r="DJ146" s="571"/>
      <c r="DK146" s="571"/>
      <c r="DL146" s="571"/>
      <c r="DM146" s="574"/>
      <c r="DN146" s="571"/>
      <c r="DO146" s="571"/>
      <c r="DP146" s="571"/>
      <c r="DQ146" s="571"/>
      <c r="DR146" s="571"/>
      <c r="DS146" s="571"/>
      <c r="DT146" s="571"/>
      <c r="DU146" s="571"/>
      <c r="DV146" s="577"/>
      <c r="DW146" s="577"/>
      <c r="DX146" s="571"/>
      <c r="DY146" s="571"/>
      <c r="DZ146" s="175"/>
      <c r="EA146" s="175"/>
      <c r="EB146" s="175"/>
      <c r="EC146" s="175"/>
      <c r="ED146" s="175"/>
      <c r="EE146" s="175"/>
      <c r="EF146" s="175"/>
      <c r="EG146" s="175"/>
      <c r="EH146" s="175"/>
      <c r="EI146" s="175"/>
      <c r="EJ146" s="175"/>
      <c r="EK146" s="175"/>
      <c r="EL146" s="175"/>
      <c r="EM146" s="175"/>
      <c r="EN146" s="175"/>
      <c r="EO146" s="175"/>
      <c r="EP146" s="175"/>
      <c r="EQ146" s="175"/>
      <c r="ER146" s="175"/>
      <c r="ES146" s="175"/>
      <c r="ET146" s="175"/>
      <c r="EU146" s="175"/>
      <c r="EV146" s="175"/>
      <c r="EW146" s="175"/>
      <c r="EX146" s="175"/>
      <c r="EY146" s="175"/>
      <c r="EZ146" s="175"/>
      <c r="FA146" s="175"/>
      <c r="FB146" s="175"/>
      <c r="FC146" s="175"/>
      <c r="FD146" s="175"/>
      <c r="FE146" s="175"/>
      <c r="FF146" s="175"/>
      <c r="FG146" s="175"/>
      <c r="FH146" s="175"/>
      <c r="FI146" s="175"/>
      <c r="FJ146" s="175"/>
      <c r="FK146" s="175"/>
      <c r="FL146" s="175"/>
      <c r="FM146" s="175"/>
      <c r="FN146" s="175"/>
      <c r="FO146" s="175"/>
      <c r="FP146" s="175"/>
      <c r="FQ146" s="175"/>
      <c r="FR146" s="175"/>
      <c r="FS146" s="175"/>
      <c r="FT146" s="175"/>
      <c r="FU146" s="175"/>
      <c r="FV146" s="175"/>
      <c r="FW146" s="175"/>
      <c r="FX146" s="175"/>
      <c r="FY146" s="175"/>
      <c r="FZ146" s="175"/>
      <c r="GA146" s="175"/>
      <c r="GB146" s="175"/>
      <c r="GC146" s="175"/>
      <c r="GD146" s="175"/>
      <c r="GE146" s="175"/>
      <c r="GF146" s="175"/>
      <c r="GG146" s="175"/>
      <c r="GH146" s="175"/>
      <c r="GI146" s="175"/>
      <c r="GJ146" s="175"/>
      <c r="GK146" s="175"/>
      <c r="GL146" s="175"/>
    </row>
    <row r="147" spans="1:194" s="255" customFormat="1" ht="60" customHeight="1" x14ac:dyDescent="0.3">
      <c r="A147" s="362" t="s">
        <v>193</v>
      </c>
      <c r="B147" s="363" t="s">
        <v>25</v>
      </c>
      <c r="C147" s="391" t="s">
        <v>174</v>
      </c>
      <c r="D147" s="640" t="s">
        <v>173</v>
      </c>
      <c r="E147" s="640"/>
      <c r="F147" s="640"/>
      <c r="G147" s="640"/>
      <c r="H147" s="640"/>
      <c r="I147" s="640"/>
      <c r="J147" s="418" t="s">
        <v>443</v>
      </c>
      <c r="K147" s="418" t="s">
        <v>444</v>
      </c>
      <c r="L147" s="418" t="s">
        <v>171</v>
      </c>
      <c r="M147" s="363" t="s">
        <v>2</v>
      </c>
      <c r="N147" s="419" t="s">
        <v>7</v>
      </c>
      <c r="O147" s="420" t="s">
        <v>8</v>
      </c>
      <c r="P147" s="159"/>
      <c r="Q147" s="164" t="s">
        <v>93</v>
      </c>
      <c r="R147" s="164" t="s">
        <v>34</v>
      </c>
      <c r="S147" s="164" t="s">
        <v>28</v>
      </c>
      <c r="T147" s="164" t="s">
        <v>95</v>
      </c>
      <c r="U147" s="164" t="s">
        <v>96</v>
      </c>
      <c r="V147" s="164" t="s">
        <v>97</v>
      </c>
      <c r="W147" s="164" t="s">
        <v>4</v>
      </c>
      <c r="X147" s="164" t="s">
        <v>103</v>
      </c>
      <c r="Y147" s="160" t="s">
        <v>402</v>
      </c>
      <c r="Z147" s="165" t="s">
        <v>403</v>
      </c>
      <c r="AA147" s="166" t="s">
        <v>404</v>
      </c>
      <c r="AB147" s="164" t="s">
        <v>99</v>
      </c>
      <c r="AC147" s="164" t="s">
        <v>395</v>
      </c>
      <c r="AD147" s="253" t="s">
        <v>36</v>
      </c>
      <c r="AE147" s="164" t="s">
        <v>389</v>
      </c>
      <c r="AF147" s="164" t="s">
        <v>390</v>
      </c>
      <c r="AG147" s="164" t="s">
        <v>164</v>
      </c>
      <c r="AH147" s="253" t="s">
        <v>396</v>
      </c>
      <c r="AI147" s="164" t="s">
        <v>190</v>
      </c>
      <c r="AJ147" s="164" t="s">
        <v>339</v>
      </c>
      <c r="AK147" s="253" t="s">
        <v>391</v>
      </c>
      <c r="AL147" s="253" t="s">
        <v>393</v>
      </c>
      <c r="AM147" s="167" t="s">
        <v>93</v>
      </c>
      <c r="AN147" s="168" t="s">
        <v>34</v>
      </c>
      <c r="AO147" s="169" t="s">
        <v>28</v>
      </c>
      <c r="AP147" s="170" t="s">
        <v>95</v>
      </c>
      <c r="AQ147" s="167" t="s">
        <v>3</v>
      </c>
      <c r="AR147" s="167" t="s">
        <v>96</v>
      </c>
      <c r="AS147" s="169" t="s">
        <v>97</v>
      </c>
      <c r="AT147" s="170" t="s">
        <v>4</v>
      </c>
      <c r="AU147" s="169" t="s">
        <v>103</v>
      </c>
      <c r="AV147" s="170" t="s">
        <v>99</v>
      </c>
      <c r="AW147" s="169" t="s">
        <v>36</v>
      </c>
      <c r="AX147" s="171" t="s">
        <v>29</v>
      </c>
      <c r="AY147" s="172" t="s">
        <v>190</v>
      </c>
      <c r="AZ147" s="173" t="s">
        <v>102</v>
      </c>
      <c r="BA147" s="174"/>
      <c r="BB147" s="183"/>
      <c r="BC147" s="211" t="s">
        <v>119</v>
      </c>
      <c r="BD147" s="174"/>
      <c r="BE147" s="176" t="s">
        <v>189</v>
      </c>
      <c r="BF147" s="177" t="str">
        <f>$BF$13</f>
        <v xml:space="preserve">VR SILICONA </v>
      </c>
      <c r="BG147" s="177" t="str">
        <f>$BG$13</f>
        <v xml:space="preserve">VR PELÍCULA </v>
      </c>
      <c r="BH147" s="254" t="str">
        <f>$BH$13</f>
        <v>VR EMBALAJE</v>
      </c>
      <c r="BI147" s="174"/>
      <c r="BJ147" s="176" t="str">
        <f>$BJ$13</f>
        <v>ESP. CRISTAL</v>
      </c>
      <c r="BK147" s="176" t="s">
        <v>130</v>
      </c>
      <c r="BL147" s="177" t="s">
        <v>28</v>
      </c>
      <c r="BM147" s="177" t="str">
        <f>BM140</f>
        <v>TOTAL</v>
      </c>
      <c r="BN147" s="177" t="s">
        <v>133</v>
      </c>
      <c r="BO147" s="174"/>
      <c r="BP147" s="175"/>
      <c r="BQ147" s="175"/>
      <c r="BR147" s="175"/>
      <c r="BS147" s="175"/>
      <c r="BT147" s="175"/>
      <c r="BU147" s="175"/>
      <c r="BV147" s="175"/>
      <c r="BW147" s="174"/>
      <c r="BX147" s="175"/>
      <c r="BY147" s="175"/>
      <c r="BZ147" s="175"/>
      <c r="CA147" s="175"/>
      <c r="CB147" s="175"/>
      <c r="CC147" s="175"/>
      <c r="CD147" s="184"/>
      <c r="CE147" s="175"/>
      <c r="CF147" s="185"/>
      <c r="CG147" s="175"/>
      <c r="CH147" s="175"/>
      <c r="CI147" s="184"/>
      <c r="CJ147" s="174"/>
      <c r="CK147" s="186" t="s">
        <v>415</v>
      </c>
      <c r="CL147" s="187" t="s">
        <v>417</v>
      </c>
      <c r="CM147" s="187" t="s">
        <v>416</v>
      </c>
      <c r="CN147" s="188" t="s">
        <v>418</v>
      </c>
      <c r="CO147" s="187" t="s">
        <v>417</v>
      </c>
      <c r="CP147" s="187" t="s">
        <v>409</v>
      </c>
      <c r="CQ147" s="187" t="s">
        <v>410</v>
      </c>
      <c r="CR147" s="187" t="s">
        <v>411</v>
      </c>
      <c r="CS147" s="187" t="s">
        <v>412</v>
      </c>
      <c r="CT147" s="187" t="s">
        <v>413</v>
      </c>
      <c r="CU147" s="189" t="s">
        <v>2</v>
      </c>
      <c r="CV147" s="190" t="s">
        <v>159</v>
      </c>
      <c r="CW147" s="189" t="s">
        <v>2</v>
      </c>
      <c r="CX147" s="190" t="s">
        <v>159</v>
      </c>
      <c r="CY147" s="189" t="s">
        <v>2</v>
      </c>
      <c r="CZ147" s="190" t="s">
        <v>159</v>
      </c>
      <c r="DA147" s="189" t="s">
        <v>2</v>
      </c>
      <c r="DB147" s="190" t="s">
        <v>159</v>
      </c>
      <c r="DC147" s="189" t="s">
        <v>2</v>
      </c>
      <c r="DD147" s="190" t="s">
        <v>159</v>
      </c>
      <c r="DE147" s="183"/>
      <c r="DF147" s="183"/>
      <c r="DG147" s="177" t="s">
        <v>505</v>
      </c>
      <c r="DH147" s="472" t="s">
        <v>509</v>
      </c>
      <c r="DI147" s="457" t="s">
        <v>506</v>
      </c>
      <c r="DJ147" s="457" t="s">
        <v>134</v>
      </c>
      <c r="DK147" s="457" t="s">
        <v>498</v>
      </c>
      <c r="DL147" s="457" t="s">
        <v>499</v>
      </c>
      <c r="DM147" s="457" t="s">
        <v>500</v>
      </c>
      <c r="DN147" s="457" t="s">
        <v>131</v>
      </c>
      <c r="DO147" s="457" t="s">
        <v>390</v>
      </c>
      <c r="DP147" s="457" t="s">
        <v>36</v>
      </c>
      <c r="DQ147" s="457" t="s">
        <v>501</v>
      </c>
      <c r="DR147" s="457" t="s">
        <v>502</v>
      </c>
      <c r="DS147" s="457" t="s">
        <v>503</v>
      </c>
      <c r="DT147" s="457" t="s">
        <v>4</v>
      </c>
      <c r="DU147" s="457" t="s">
        <v>504</v>
      </c>
      <c r="DV147" s="466" t="s">
        <v>507</v>
      </c>
      <c r="DW147" s="466" t="s">
        <v>508</v>
      </c>
      <c r="DX147" s="457" t="s">
        <v>510</v>
      </c>
      <c r="DY147" s="457" t="s">
        <v>511</v>
      </c>
      <c r="DZ147" s="183"/>
      <c r="EA147" s="183"/>
      <c r="EB147" s="183"/>
      <c r="EC147" s="183"/>
      <c r="ED147" s="183"/>
      <c r="EE147" s="183"/>
      <c r="EF147" s="183"/>
      <c r="EG147" s="183"/>
      <c r="EH147" s="183"/>
      <c r="EI147" s="183"/>
      <c r="EJ147" s="183"/>
      <c r="EK147" s="183"/>
      <c r="EL147" s="183"/>
      <c r="EM147" s="183"/>
      <c r="EN147" s="183"/>
      <c r="EO147" s="183"/>
      <c r="EP147" s="183"/>
      <c r="EQ147" s="183"/>
      <c r="ER147" s="183"/>
      <c r="ES147" s="183"/>
      <c r="ET147" s="183"/>
      <c r="EU147" s="183"/>
      <c r="EV147" s="183"/>
      <c r="EW147" s="183"/>
      <c r="EX147" s="183"/>
      <c r="EY147" s="183"/>
      <c r="EZ147" s="183"/>
      <c r="FA147" s="183"/>
      <c r="FB147" s="183"/>
      <c r="FC147" s="183"/>
      <c r="FD147" s="183"/>
      <c r="FE147" s="183"/>
      <c r="FF147" s="183"/>
      <c r="FG147" s="183"/>
      <c r="FH147" s="183"/>
      <c r="FI147" s="183"/>
      <c r="FJ147" s="183"/>
      <c r="FK147" s="183"/>
      <c r="FL147" s="183"/>
      <c r="FM147" s="183"/>
      <c r="FN147" s="183"/>
      <c r="FO147" s="183"/>
      <c r="FP147" s="183"/>
      <c r="FQ147" s="183"/>
      <c r="FR147" s="183"/>
      <c r="FS147" s="183"/>
      <c r="FT147" s="183"/>
      <c r="FU147" s="183"/>
      <c r="FV147" s="183"/>
      <c r="FW147" s="183"/>
      <c r="FX147" s="183"/>
      <c r="FY147" s="183"/>
      <c r="FZ147" s="183"/>
      <c r="GA147" s="183"/>
      <c r="GB147" s="183"/>
      <c r="GC147" s="183"/>
      <c r="GD147" s="183"/>
      <c r="GE147" s="183"/>
      <c r="GF147" s="183"/>
      <c r="GG147" s="183"/>
      <c r="GH147" s="183"/>
      <c r="GI147" s="183"/>
      <c r="GJ147" s="183"/>
      <c r="GK147" s="183"/>
      <c r="GL147" s="183"/>
    </row>
    <row r="148" spans="1:194" s="175" customFormat="1" ht="60" customHeight="1" x14ac:dyDescent="0.3">
      <c r="A148" s="364"/>
      <c r="B148" s="365"/>
      <c r="C148" s="392" t="s">
        <v>27</v>
      </c>
      <c r="D148" s="641"/>
      <c r="E148" s="641"/>
      <c r="F148" s="641"/>
      <c r="G148" s="641"/>
      <c r="H148" s="641"/>
      <c r="I148" s="641"/>
      <c r="J148" s="642"/>
      <c r="K148" s="642"/>
      <c r="L148" s="622">
        <f>J148*K148*M148</f>
        <v>0</v>
      </c>
      <c r="M148" s="623"/>
      <c r="N148" s="620">
        <f>IFERROR(AL148,"")</f>
        <v>1.0765546639999999</v>
      </c>
      <c r="O148" s="621">
        <f>IFERROR(N148*M148,"")</f>
        <v>0</v>
      </c>
      <c r="P148" s="192"/>
      <c r="Q148" s="193">
        <f>Q149+BF148+($R$350*Q149)</f>
        <v>0</v>
      </c>
      <c r="R148" s="193">
        <f>IFERROR(R149+($R$348*R149),"")</f>
        <v>0</v>
      </c>
      <c r="S148" s="194">
        <f>+IF(R150="SI",((W152*'BD GN'!$AB$2)+S149)*1,COTIZACIÓN!S149*1)+(P149*S149)</f>
        <v>0</v>
      </c>
      <c r="T148" s="195">
        <f>IFERROR(R148*IF(K148&lt;=3,$T$13,15%),"")</f>
        <v>0</v>
      </c>
      <c r="U148" s="196">
        <f>BH148+BG148</f>
        <v>0</v>
      </c>
      <c r="V148" s="197" t="str">
        <f>IFERROR(BN148,0)</f>
        <v/>
      </c>
      <c r="W148" s="198" t="str">
        <f>IFERROR(IF(X150="SI",W151*J148*K148,IF(BE148=3,BE150,IF(BE148=4,BE151,IF(BE148=5,BE152,IF(BE148&gt;5,BE152+(BE153*(BE148-5)),"")))))*0,"")</f>
        <v/>
      </c>
      <c r="X148" s="198" t="str">
        <f>IFERROR(IF(X149="NO",(VLOOKUP(D148,'BD M.O'!C:E,3,FALSE))*W152,((VLOOKUP(D148,'BD M.O'!C:E,3,FALSE))+7500)*W152),"")</f>
        <v/>
      </c>
      <c r="Y148" s="198">
        <f>IFERROR($Y$13*AK148,"")</f>
        <v>4.2084457416288003E-2</v>
      </c>
      <c r="Z148" s="332" t="str">
        <f>IFERROR(($Z$13*AK148)+X148,"")</f>
        <v/>
      </c>
      <c r="AA148" s="199" t="str">
        <f>IFERROR(Y148+Z148,"")</f>
        <v/>
      </c>
      <c r="AB148" s="200">
        <f>IFERROR((SUM(Q148:X148)-T148+T150)*$AB$13,"")</f>
        <v>0</v>
      </c>
      <c r="AC148" s="201">
        <f>IFERROR(((SUM(Q148:V148,IF(X153&gt;AA148,AVERAGE(X153,AA148),AA148))-T148+T150))*$AB$13,"")</f>
        <v>0</v>
      </c>
      <c r="AD148" s="202" t="str">
        <f>IFERROR((J148*K148*$BV$14),"")</f>
        <v/>
      </c>
      <c r="AE148" s="202">
        <f>IFERROR($AE$13*AK148,"")</f>
        <v>6.4010592649919984E-2</v>
      </c>
      <c r="AF148" s="203" t="str">
        <f>IFERROR(($CI$11+$CI$13)*W152,"")</f>
        <v/>
      </c>
      <c r="AG148" s="202">
        <f>IFERROR((SUM(Q148:X148,AB148,AD148,AF148)-T148+T150)*$AG$13,"")</f>
        <v>0</v>
      </c>
      <c r="AH148" s="202">
        <f>IFERROR((SUM(Q148:V148,(IF(X153&gt;AA148,AVERAGE(X153,AA148),AA148)),AC148,AE148,AF148)-T148+T150)*$AG$13,"")</f>
        <v>3.2005296324959992E-2</v>
      </c>
      <c r="AI148" s="204">
        <f>IFERROR(AL148*$AI$13,"")</f>
        <v>2.1531093279999997E-2</v>
      </c>
      <c r="AJ148" s="204">
        <f>IFERROR($AJ$13*AL148,"")</f>
        <v>6.007175025119999E-3</v>
      </c>
      <c r="AK148" s="205">
        <f>IFERROR(SUM(Q148:X148,AB148,AD148,AG148,AF148)/(1-$AI$13)+(1-$AJ$13)-T148+T150,"")</f>
        <v>0.99441999999999997</v>
      </c>
      <c r="AL148" s="205">
        <f>IFERROR(SUM(Q148:V148,AC148,(IF(AD148&gt;AE148,AVERAGE(AD148,AE148),AE148)),AF148,,AH148,(IF(SUM(X153)&gt;AA148,AVERAGE(AA148,X153),AA148)))/(1-$AJ$13)+(1-$AI$13)-T148+T150,"")</f>
        <v>1.0765546639999999</v>
      </c>
      <c r="AM148" s="206">
        <f>$M$15*Q148</f>
        <v>0</v>
      </c>
      <c r="AN148" s="207">
        <f>$M$15*R148</f>
        <v>0</v>
      </c>
      <c r="AO148" s="208">
        <f>$M$15*S148</f>
        <v>0</v>
      </c>
      <c r="AP148" s="207">
        <f>$M$15*T148</f>
        <v>0</v>
      </c>
      <c r="AQ148" s="207" t="e">
        <f>$M$15*#REF!</f>
        <v>#REF!</v>
      </c>
      <c r="AR148" s="207">
        <f>$M$15*U148</f>
        <v>0</v>
      </c>
      <c r="AS148" s="208" t="e">
        <f>$M$15*V148</f>
        <v>#VALUE!</v>
      </c>
      <c r="AT148" s="207" t="e">
        <f>$M$15*W148</f>
        <v>#VALUE!</v>
      </c>
      <c r="AU148" s="208" t="e">
        <f>$M$15*X148</f>
        <v>#VALUE!</v>
      </c>
      <c r="AV148" s="207">
        <f>$M$15*AB148</f>
        <v>0</v>
      </c>
      <c r="AW148" s="208">
        <f>$M$15*AE148</f>
        <v>0</v>
      </c>
      <c r="AX148" s="207">
        <f>$M$15*AG148</f>
        <v>0</v>
      </c>
      <c r="AY148" s="209">
        <f>$M$15*AI148</f>
        <v>0</v>
      </c>
      <c r="AZ148" s="207">
        <f>$M$15*AK148</f>
        <v>0</v>
      </c>
      <c r="BA148" s="210"/>
      <c r="BB148" s="175" t="s">
        <v>23</v>
      </c>
      <c r="BC148" s="211" t="s">
        <v>113</v>
      </c>
      <c r="BD148" s="210"/>
      <c r="BE148" s="212"/>
      <c r="BF148" s="213">
        <f>IF(BH149="NO",((2*J148)+(2*K148))*'BD GN'!$AU$3,((3*J148)+(2*K148))*'BD GN'!$AU$3)</f>
        <v>0</v>
      </c>
      <c r="BG148" s="213">
        <f>'BD GN'!$BB$3*J148*K148</f>
        <v>0</v>
      </c>
      <c r="BH148" s="214">
        <f>((J148*2*BE148)+(K148*2*BE148))*'BD GN'!$AN$4</f>
        <v>0</v>
      </c>
      <c r="BI148" s="210"/>
      <c r="BJ148" s="212"/>
      <c r="BK148" s="212"/>
      <c r="BL148" s="215">
        <f>J148*K148*2.5*BJ148</f>
        <v>0</v>
      </c>
      <c r="BM148" s="215">
        <f>BK148+BL148</f>
        <v>0</v>
      </c>
      <c r="BN148" s="216" t="str">
        <f>IFERROR((VLOOKUP($C$12,'BD GN'!BD:BM,10,FALSE)*BM148)+$BR$338,"")</f>
        <v/>
      </c>
      <c r="BO148" s="210"/>
      <c r="BW148" s="210"/>
      <c r="CD148" s="184"/>
      <c r="CF148" s="185"/>
      <c r="CI148" s="184"/>
      <c r="CJ148" s="210"/>
      <c r="CK148" s="565"/>
      <c r="CL148" s="256"/>
      <c r="CM148" s="596"/>
      <c r="CN148" s="626"/>
      <c r="CO148" s="629"/>
      <c r="CP148" s="629"/>
      <c r="CQ148" s="629"/>
      <c r="CR148" s="629"/>
      <c r="CS148" s="629"/>
      <c r="CT148" s="632"/>
      <c r="CU148" s="565"/>
      <c r="CV148" s="560">
        <f>IFERROR(N148*CU148,"")</f>
        <v>0</v>
      </c>
      <c r="CW148" s="565"/>
      <c r="CX148" s="560">
        <f>IFERROR(P148*CW148,"")</f>
        <v>0</v>
      </c>
      <c r="CY148" s="565"/>
      <c r="CZ148" s="560">
        <f>IFERROR(R148*CY148,"")</f>
        <v>0</v>
      </c>
      <c r="DA148" s="565">
        <f t="shared" ref="DA148" si="516">CU148+CW148+CY148</f>
        <v>0</v>
      </c>
      <c r="DB148" s="560">
        <f t="shared" ref="DB148" si="517">IFERROR(CV148+CX148+CZ148,"")</f>
        <v>0</v>
      </c>
      <c r="DC148" s="565">
        <f>M148-(CU148+CW148+CY148)</f>
        <v>0</v>
      </c>
      <c r="DD148" s="560">
        <f>IFERROR(O148-(CV148+CX148+CZ148),"")</f>
        <v>0</v>
      </c>
      <c r="DG148" s="575"/>
      <c r="DH148" s="575"/>
      <c r="DI148" s="569">
        <f t="shared" ref="DI148" si="518">IFERROR(IF(DG148&gt;0,(((N148)/(1+10%+19%*5%)+((N148)/(1+10%+19%*5%))*10%)*DH148),0),0)</f>
        <v>0</v>
      </c>
      <c r="DJ148" s="569">
        <f t="shared" ref="DJ148" si="519">IFERROR(IF(DG148&gt;0,(N148*DH148),0),0)</f>
        <v>0</v>
      </c>
      <c r="DK148" s="569">
        <f t="shared" ref="DK148" si="520">IF(DG148&gt;0,((R148+T148)*DH148),0)</f>
        <v>0</v>
      </c>
      <c r="DL148" s="569">
        <f t="shared" ref="DL148" si="521">IF(DG148&gt;0,(Q148*DH148),0)</f>
        <v>0</v>
      </c>
      <c r="DM148" s="572">
        <f t="shared" ref="DM148" si="522">IF(DG148&gt;0,(S148*DH148),0)</f>
        <v>0</v>
      </c>
      <c r="DN148" s="569">
        <f t="shared" ref="DN148" si="523">IF(DG148&gt;0,(BN148*DH148),0)</f>
        <v>0</v>
      </c>
      <c r="DO148" s="569">
        <f t="shared" ref="DO148" si="524">IF(DG148&gt;0,(AF148*DH148),0)</f>
        <v>0</v>
      </c>
      <c r="DP148" s="569">
        <f>IF(DG148&gt;0,((DI148)*('BD P&amp;G'!$E$16+'BD P&amp;G'!$E$17+'BD P&amp;G'!$E$18+'BD P&amp;G'!$E$19+'BD P&amp;G'!$E$20+'BD P&amp;G'!$E$21+'BD P&amp;G'!$E$22+'BD P&amp;G'!$E$23)*DH148),0)</f>
        <v>0</v>
      </c>
      <c r="DQ148" s="569">
        <f>IFERROR(IF(DG148&gt;0,((DI148*'BD P&amp;G'!$E$7)+(DI148*'BD P&amp;G'!$E$9)+AI148),0),0)</f>
        <v>0</v>
      </c>
      <c r="DR148" s="569">
        <f t="shared" ref="DR148" si="525">IFERROR(IF(DG148&gt;0,((DI148*1%)),0),0)</f>
        <v>0</v>
      </c>
      <c r="DS148" s="569">
        <f>IFERROR(IF(DG148&gt;0,(((DI148*'BD P&amp;G'!$E$32+DI148*'BD P&amp;G'!$E$33+DI148*'BD P&amp;G'!$E$35+DI148*'BD P&amp;G'!$E$36+DI148*'BD P&amp;G'!$E$37))),0),0)</f>
        <v>0</v>
      </c>
      <c r="DT148" s="569">
        <f t="shared" ref="DT148" si="526">IF(DG148&gt;0,(Y148*DH148),0)</f>
        <v>0</v>
      </c>
      <c r="DU148" s="569">
        <f t="shared" ref="DU148" si="527">IF(DG148&gt;0,(Z148*DH148),0)</f>
        <v>0</v>
      </c>
      <c r="DV148" s="575">
        <f t="shared" ref="DV148" si="528">IF(DG148&gt;0,(Y152*DH148),0)</f>
        <v>0</v>
      </c>
      <c r="DW148" s="575">
        <f t="shared" ref="DW148" si="529">IF(DG148&gt;0,(Z152*DH148),0)</f>
        <v>0</v>
      </c>
      <c r="DX148" s="569">
        <f t="shared" ref="DX148" si="530">IF(DV148&gt;0,DJ148,0)</f>
        <v>0</v>
      </c>
      <c r="DY148" s="569">
        <f t="shared" ref="DY148" si="531">IF(DW148&gt;0,DJ148,0)</f>
        <v>0</v>
      </c>
    </row>
    <row r="149" spans="1:194" s="175" customFormat="1" ht="60" customHeight="1" x14ac:dyDescent="0.25">
      <c r="A149" s="366"/>
      <c r="B149" s="367"/>
      <c r="C149" s="393" t="s">
        <v>28</v>
      </c>
      <c r="D149" s="598"/>
      <c r="E149" s="598"/>
      <c r="F149" s="598"/>
      <c r="G149" s="598"/>
      <c r="H149" s="598"/>
      <c r="I149" s="598"/>
      <c r="J149" s="604"/>
      <c r="K149" s="604"/>
      <c r="L149" s="607"/>
      <c r="M149" s="559"/>
      <c r="N149" s="610"/>
      <c r="O149" s="613"/>
      <c r="P149" s="192"/>
      <c r="Q149" s="217"/>
      <c r="R149" s="217"/>
      <c r="S149" s="218"/>
      <c r="T149" s="219">
        <f>IFERROR(T148/$R$353,"")</f>
        <v>0</v>
      </c>
      <c r="U149" s="206"/>
      <c r="V149" s="220"/>
      <c r="W149" s="221" t="s">
        <v>239</v>
      </c>
      <c r="X149" s="222" t="s">
        <v>204</v>
      </c>
      <c r="Y149" s="223"/>
      <c r="Z149" s="224"/>
      <c r="AA149" s="225"/>
      <c r="AB149" s="226"/>
      <c r="AC149" s="206"/>
      <c r="AD149" s="206"/>
      <c r="AE149" s="206"/>
      <c r="AF149" s="227"/>
      <c r="AG149" s="206"/>
      <c r="AH149" s="206"/>
      <c r="AI149" s="206"/>
      <c r="AJ149" s="206"/>
      <c r="AK149" s="227"/>
      <c r="AL149" s="210"/>
      <c r="AM149" s="206"/>
      <c r="AN149" s="206"/>
      <c r="AO149" s="228"/>
      <c r="AP149" s="229"/>
      <c r="AQ149" s="206"/>
      <c r="AR149" s="206"/>
      <c r="AS149" s="228"/>
      <c r="AT149" s="229"/>
      <c r="AU149" s="228"/>
      <c r="AV149" s="229"/>
      <c r="AW149" s="228"/>
      <c r="AX149" s="229"/>
      <c r="AY149" s="206"/>
      <c r="AZ149" s="229"/>
      <c r="BA149" s="210"/>
      <c r="BB149" s="175" t="s">
        <v>24</v>
      </c>
      <c r="BC149" s="175" t="s">
        <v>114</v>
      </c>
      <c r="BD149" s="210"/>
      <c r="BE149" s="176" t="s">
        <v>206</v>
      </c>
      <c r="BF149" s="230" t="s">
        <v>204</v>
      </c>
      <c r="BG149" s="176" t="s">
        <v>290</v>
      </c>
      <c r="BH149" s="231" t="s">
        <v>204</v>
      </c>
      <c r="BI149" s="210"/>
      <c r="BN149" s="232"/>
      <c r="BO149" s="210"/>
      <c r="BV149" s="184"/>
      <c r="BW149" s="210"/>
      <c r="CD149" s="184"/>
      <c r="CF149" s="185"/>
      <c r="CI149" s="184"/>
      <c r="CJ149" s="210"/>
      <c r="CK149" s="563"/>
      <c r="CM149" s="559"/>
      <c r="CN149" s="627"/>
      <c r="CO149" s="630"/>
      <c r="CP149" s="630"/>
      <c r="CQ149" s="630"/>
      <c r="CR149" s="630"/>
      <c r="CS149" s="630"/>
      <c r="CT149" s="633"/>
      <c r="CU149" s="563"/>
      <c r="CV149" s="561"/>
      <c r="CW149" s="563"/>
      <c r="CX149" s="561"/>
      <c r="CY149" s="563"/>
      <c r="CZ149" s="561"/>
      <c r="DA149" s="563"/>
      <c r="DB149" s="561"/>
      <c r="DC149" s="563"/>
      <c r="DD149" s="561"/>
      <c r="DG149" s="576"/>
      <c r="DH149" s="576"/>
      <c r="DI149" s="570"/>
      <c r="DJ149" s="570"/>
      <c r="DK149" s="570"/>
      <c r="DL149" s="570"/>
      <c r="DM149" s="573"/>
      <c r="DN149" s="570"/>
      <c r="DO149" s="570"/>
      <c r="DP149" s="570"/>
      <c r="DQ149" s="570"/>
      <c r="DR149" s="570"/>
      <c r="DS149" s="570"/>
      <c r="DT149" s="570"/>
      <c r="DU149" s="570"/>
      <c r="DV149" s="576"/>
      <c r="DW149" s="576"/>
      <c r="DX149" s="570"/>
      <c r="DY149" s="570"/>
    </row>
    <row r="150" spans="1:194" s="175" customFormat="1" ht="60" customHeight="1" x14ac:dyDescent="0.3">
      <c r="A150" s="366"/>
      <c r="B150" s="367"/>
      <c r="C150" s="393" t="s">
        <v>30</v>
      </c>
      <c r="D150" s="599"/>
      <c r="E150" s="599"/>
      <c r="F150" s="599"/>
      <c r="G150" s="599"/>
      <c r="H150" s="599"/>
      <c r="I150" s="599"/>
      <c r="J150" s="604"/>
      <c r="K150" s="604"/>
      <c r="L150" s="607"/>
      <c r="M150" s="559"/>
      <c r="N150" s="610"/>
      <c r="O150" s="613"/>
      <c r="P150" s="192"/>
      <c r="Q150" s="176" t="s">
        <v>205</v>
      </c>
      <c r="R150" s="233" t="s">
        <v>204</v>
      </c>
      <c r="S150" s="234"/>
      <c r="T150" s="235">
        <f>IFERROR(($R$353-8000)*T149,"")</f>
        <v>0</v>
      </c>
      <c r="U150" s="206"/>
      <c r="V150" s="220"/>
      <c r="W150" s="221" t="s">
        <v>258</v>
      </c>
      <c r="X150" s="222" t="s">
        <v>204</v>
      </c>
      <c r="Y150" s="236"/>
      <c r="Z150" s="237"/>
      <c r="AA150" s="225"/>
      <c r="AB150" s="226"/>
      <c r="AC150" s="206"/>
      <c r="AD150" s="206"/>
      <c r="AE150" s="206"/>
      <c r="AF150" s="227"/>
      <c r="AG150" s="206"/>
      <c r="AH150" s="206"/>
      <c r="AI150" s="206"/>
      <c r="AJ150" s="206"/>
      <c r="AK150" s="227"/>
      <c r="AL150" s="238"/>
      <c r="AM150" s="206"/>
      <c r="AN150" s="206"/>
      <c r="AO150" s="228"/>
      <c r="AP150" s="229"/>
      <c r="AQ150" s="206"/>
      <c r="AR150" s="206"/>
      <c r="AS150" s="228"/>
      <c r="AT150" s="229"/>
      <c r="AU150" s="228"/>
      <c r="AV150" s="229"/>
      <c r="AW150" s="228"/>
      <c r="AX150" s="229"/>
      <c r="AY150" s="206"/>
      <c r="AZ150" s="229"/>
      <c r="BA150" s="210"/>
      <c r="BB150" s="175" t="s">
        <v>26</v>
      </c>
      <c r="BC150" s="211" t="s">
        <v>115</v>
      </c>
      <c r="BD150" s="210"/>
      <c r="BE150" s="177" t="str">
        <f>IFERROR(VLOOKUP(D148,'BD M.O'!C:H,4,FALSE),"")</f>
        <v/>
      </c>
      <c r="BF150" s="177" t="s">
        <v>259</v>
      </c>
      <c r="BI150" s="210"/>
      <c r="BO150" s="210"/>
      <c r="BV150" s="184"/>
      <c r="BW150" s="210"/>
      <c r="CD150" s="184"/>
      <c r="CF150" s="185"/>
      <c r="CI150" s="184"/>
      <c r="CJ150" s="210"/>
      <c r="CK150" s="563"/>
      <c r="CM150" s="559"/>
      <c r="CN150" s="627"/>
      <c r="CO150" s="630"/>
      <c r="CP150" s="630"/>
      <c r="CQ150" s="630"/>
      <c r="CR150" s="630"/>
      <c r="CS150" s="630"/>
      <c r="CT150" s="633"/>
      <c r="CU150" s="563"/>
      <c r="CV150" s="561"/>
      <c r="CW150" s="563"/>
      <c r="CX150" s="561"/>
      <c r="CY150" s="563"/>
      <c r="CZ150" s="561"/>
      <c r="DA150" s="563"/>
      <c r="DB150" s="561"/>
      <c r="DC150" s="563"/>
      <c r="DD150" s="561"/>
      <c r="DG150" s="577"/>
      <c r="DH150" s="577"/>
      <c r="DI150" s="571"/>
      <c r="DJ150" s="571"/>
      <c r="DK150" s="571"/>
      <c r="DL150" s="571"/>
      <c r="DM150" s="574"/>
      <c r="DN150" s="571"/>
      <c r="DO150" s="571"/>
      <c r="DP150" s="571"/>
      <c r="DQ150" s="571"/>
      <c r="DR150" s="571"/>
      <c r="DS150" s="571"/>
      <c r="DT150" s="571"/>
      <c r="DU150" s="571"/>
      <c r="DV150" s="577"/>
      <c r="DW150" s="577"/>
      <c r="DX150" s="571"/>
      <c r="DY150" s="571"/>
    </row>
    <row r="151" spans="1:194" s="175" customFormat="1" ht="60" customHeight="1" x14ac:dyDescent="0.25">
      <c r="A151" s="366"/>
      <c r="B151" s="367"/>
      <c r="C151" s="395" t="s">
        <v>180</v>
      </c>
      <c r="D151" s="599" t="s">
        <v>31</v>
      </c>
      <c r="E151" s="599"/>
      <c r="F151" s="394" t="s">
        <v>9</v>
      </c>
      <c r="G151" s="599" t="s">
        <v>33</v>
      </c>
      <c r="H151" s="599"/>
      <c r="I151" s="394" t="str">
        <f>+IF($BG$9="SI","","X")</f>
        <v>X</v>
      </c>
      <c r="J151" s="604"/>
      <c r="K151" s="604"/>
      <c r="L151" s="607"/>
      <c r="M151" s="559"/>
      <c r="N151" s="610"/>
      <c r="O151" s="613"/>
      <c r="P151" s="192"/>
      <c r="Q151" s="239"/>
      <c r="R151" s="221" t="s">
        <v>209</v>
      </c>
      <c r="S151" s="234" t="str">
        <f>IF(S149="","",S149/(J148*K148))</f>
        <v/>
      </c>
      <c r="T151" s="226"/>
      <c r="U151" s="206"/>
      <c r="V151" s="220"/>
      <c r="W151" s="239" t="str">
        <f>IFERROR(IF(X150="SI",VLOOKUP(D148,'BD M.O'!C:F,4,FALSE),""),"")</f>
        <v/>
      </c>
      <c r="X151" s="221" t="s">
        <v>258</v>
      </c>
      <c r="Y151" s="221" t="s">
        <v>507</v>
      </c>
      <c r="Z151" s="221" t="s">
        <v>508</v>
      </c>
      <c r="AA151" s="225"/>
      <c r="AB151" s="226"/>
      <c r="AC151" s="206"/>
      <c r="AD151" s="206"/>
      <c r="AE151" s="206"/>
      <c r="AF151" s="227"/>
      <c r="AG151" s="206"/>
      <c r="AH151" s="206"/>
      <c r="AI151" s="206"/>
      <c r="AJ151" s="206"/>
      <c r="AK151" s="227"/>
      <c r="AL151" s="240"/>
      <c r="AM151" s="206"/>
      <c r="AN151" s="206"/>
      <c r="AO151" s="228"/>
      <c r="AP151" s="229"/>
      <c r="AQ151" s="206"/>
      <c r="AR151" s="206"/>
      <c r="AS151" s="228"/>
      <c r="AT151" s="229"/>
      <c r="AU151" s="228"/>
      <c r="AV151" s="229"/>
      <c r="AW151" s="228"/>
      <c r="AX151" s="229"/>
      <c r="AY151" s="206"/>
      <c r="AZ151" s="229"/>
      <c r="BA151" s="210"/>
      <c r="BC151" s="175" t="s">
        <v>116</v>
      </c>
      <c r="BD151" s="210"/>
      <c r="BE151" s="177" t="str">
        <f>IFERROR(VLOOKUP(COTIZACIÓN!D148,'BD M.O'!C:I,5,FALSE),"")</f>
        <v/>
      </c>
      <c r="BF151" s="177" t="s">
        <v>260</v>
      </c>
      <c r="BI151" s="210"/>
      <c r="BO151" s="210"/>
      <c r="BP151" s="183"/>
      <c r="BQ151" s="183"/>
      <c r="BR151" s="183"/>
      <c r="BS151" s="183"/>
      <c r="BT151" s="183"/>
      <c r="BU151" s="183"/>
      <c r="BV151" s="182"/>
      <c r="BW151" s="210"/>
      <c r="BX151" s="183"/>
      <c r="BY151" s="183"/>
      <c r="BZ151" s="183"/>
      <c r="CA151" s="183"/>
      <c r="CB151" s="183"/>
      <c r="CC151" s="183"/>
      <c r="CD151" s="182"/>
      <c r="CE151" s="183"/>
      <c r="CF151" s="241"/>
      <c r="CG151" s="183"/>
      <c r="CH151" s="183"/>
      <c r="CI151" s="182"/>
      <c r="CJ151" s="210"/>
      <c r="CK151" s="563"/>
      <c r="CM151" s="559"/>
      <c r="CN151" s="627"/>
      <c r="CO151" s="630"/>
      <c r="CP151" s="630"/>
      <c r="CQ151" s="630"/>
      <c r="CR151" s="630"/>
      <c r="CS151" s="630"/>
      <c r="CT151" s="633"/>
      <c r="CU151" s="563"/>
      <c r="CV151" s="561"/>
      <c r="CW151" s="563"/>
      <c r="CX151" s="561"/>
      <c r="CY151" s="563"/>
      <c r="CZ151" s="561"/>
      <c r="DA151" s="563"/>
      <c r="DB151" s="561"/>
      <c r="DC151" s="563"/>
      <c r="DD151" s="561"/>
      <c r="DG151" s="575"/>
      <c r="DH151" s="575"/>
      <c r="DI151" s="569">
        <f t="shared" ref="DI151" si="532">IFERROR(IF(DG151&gt;0,(((N148)/(1+10%+19%*5%)+((N148)/(1+10%+19%*5%))*10%)*DH151),0),0)</f>
        <v>0</v>
      </c>
      <c r="DJ151" s="569">
        <f t="shared" ref="DJ151" si="533">IFERROR(IF(DG151&gt;0,(N148*DH151),0),0)</f>
        <v>0</v>
      </c>
      <c r="DK151" s="569">
        <f t="shared" ref="DK151" si="534">IF(DG151&gt;0,((R148+T148)*DH151),0)</f>
        <v>0</v>
      </c>
      <c r="DL151" s="569">
        <f t="shared" ref="DL151" si="535">IF(DG151&gt;0,(Q148*DH151),0)</f>
        <v>0</v>
      </c>
      <c r="DM151" s="572">
        <f t="shared" ref="DM151" si="536">IF(DG151&gt;0,(S148*DH151),0)</f>
        <v>0</v>
      </c>
      <c r="DN151" s="569">
        <f t="shared" ref="DN151" si="537">IF(DG151&gt;0,(BN148*DH151),0)</f>
        <v>0</v>
      </c>
      <c r="DO151" s="569">
        <f t="shared" ref="DO151" si="538">IF(DG151&gt;0,(AF148*DH151),0)</f>
        <v>0</v>
      </c>
      <c r="DP151" s="569">
        <f>IF(DG151&gt;0,((DI151)*('BD P&amp;G'!$E$16+'BD P&amp;G'!$E$17+'BD P&amp;G'!$E$18+'BD P&amp;G'!$E$19+'BD P&amp;G'!$E$20+'BD P&amp;G'!$E$21+'BD P&amp;G'!$E$22+'BD P&amp;G'!$E$23)*DH151),0)</f>
        <v>0</v>
      </c>
      <c r="DQ151" s="569">
        <f>IFERROR(IF(DG151&gt;0,((DI151*'BD P&amp;G'!$E$7)+(DI151*'BD P&amp;G'!$E$9)+AI148),0),0)</f>
        <v>0</v>
      </c>
      <c r="DR151" s="569">
        <f t="shared" ref="DR151" si="539">IFERROR(IF(DG151&gt;0,((DI151*1%)),0),0)</f>
        <v>0</v>
      </c>
      <c r="DS151" s="569">
        <f>IFERROR(IF(DG151&gt;0,(((DI151*'BD P&amp;G'!$E$32+DI151*'BD P&amp;G'!$E$33+DI151*'BD P&amp;G'!$E$35+DI151*'BD P&amp;G'!$E$36+DI151*'BD P&amp;G'!$E$37))),0),0)</f>
        <v>0</v>
      </c>
      <c r="DT151" s="569">
        <f t="shared" ref="DT151" si="540">IF(DG151&gt;0,(Y148*DH151),0)</f>
        <v>0</v>
      </c>
      <c r="DU151" s="569">
        <f t="shared" ref="DU151" si="541">IF(DG151&gt;0,(Z148*DH151),0)</f>
        <v>0</v>
      </c>
      <c r="DV151" s="575">
        <f t="shared" ref="DV151" si="542">IF(DG151&gt;0,(Y152*DH151),0)</f>
        <v>0</v>
      </c>
      <c r="DW151" s="575">
        <f t="shared" ref="DW151" si="543">IF(DG151&gt;0,(Z152*DH151),0)</f>
        <v>0</v>
      </c>
      <c r="DX151" s="569">
        <f t="shared" ref="DX151" si="544">IF(DV151&gt;0,DJ151,0)</f>
        <v>0</v>
      </c>
      <c r="DY151" s="569">
        <f t="shared" ref="DY151" si="545">IF(DW151&gt;0,DJ151,0)</f>
        <v>0</v>
      </c>
    </row>
    <row r="152" spans="1:194" s="175" customFormat="1" ht="60" customHeight="1" x14ac:dyDescent="0.3">
      <c r="A152" s="366"/>
      <c r="B152" s="367"/>
      <c r="C152" s="393" t="s">
        <v>35</v>
      </c>
      <c r="D152" s="599" t="str">
        <f>IFERROR(VLOOKUP(D148,'BD GN'!C:E,3,),"")</f>
        <v/>
      </c>
      <c r="E152" s="599"/>
      <c r="F152" s="599"/>
      <c r="G152" s="599"/>
      <c r="H152" s="599"/>
      <c r="I152" s="599"/>
      <c r="J152" s="604"/>
      <c r="K152" s="604"/>
      <c r="L152" s="607"/>
      <c r="M152" s="559"/>
      <c r="N152" s="610"/>
      <c r="O152" s="613"/>
      <c r="P152" s="192"/>
      <c r="Q152" s="239"/>
      <c r="R152" s="221" t="s">
        <v>210</v>
      </c>
      <c r="S152" s="234" t="str">
        <f>IFERROR(IF(N148="","",N148/W152),"")</f>
        <v/>
      </c>
      <c r="T152" s="226"/>
      <c r="U152" s="206"/>
      <c r="V152" s="220"/>
      <c r="W152" s="242" t="str">
        <f>+IF(J148*K148&gt;=1,J148*K148,IF(AND(J148*K148&gt;0,J148*K148&lt;1),1,""))</f>
        <v/>
      </c>
      <c r="X152" s="221" t="s">
        <v>298</v>
      </c>
      <c r="Y152" s="461">
        <f>IFERROR(IF(D148='BD GN'!$C$25,COTIZACIÓN!W152,IF(D148='BD GN'!$C$26,COTIZACIÓN!W152,IF(D148='BD GN'!$C$27,COTIZACIÓN!W152,IF(COTIZACIÓN!D148='BD GN'!$C$28,COTIZACIÓN!W152,IF(COTIZACIÓN!D148='BD GN'!$C$29,COTIZACIÓN!W152,IF(COTIZACIÓN!D148='BD GN'!$C$35,COTIZACIÓN!W152,IF(COTIZACIÓN!D148='BD GN'!$C$36,COTIZACIÓN!W152,IF(COTIZACIÓN!D148='BD GN'!$C$37,COTIZACIÓN!W152,IF(COTIZACIÓN!D148='BD GN'!$C$38,COTIZACIÓN!W152,IF(COTIZACIÓN!D148='BD GN'!$C$39,COTIZACIÓN!W152,IF(COTIZACIÓN!D148='BD GN'!$C$40,COTIZACIÓN!W152,IF(COTIZACIÓN!D148='BD GN'!$C$41,COTIZACIÓN!W152,IF(COTIZACIÓN!D148='BD GN'!$C$42,COTIZACIÓN!W152,IF(COTIZACIÓN!D148='BD GN'!$C$49,COTIZACIÓN!W152,IF(COTIZACIÓN!D148='BD GN'!$C$50,COTIZACIÓN!W152,IF(COTIZACIÓN!D148='BD GN'!$C$51,COTIZACIÓN!W152,IF(COTIZACIÓN!D148='BD GN'!$C$67,COTIZACIÓN!W152,0))))))))))))))))),0)</f>
        <v>0</v>
      </c>
      <c r="Z152" s="461">
        <f>IFERROR(W152-Y152,0)</f>
        <v>0</v>
      </c>
      <c r="AA152" s="225"/>
      <c r="AB152" s="226"/>
      <c r="AC152" s="206"/>
      <c r="AD152" s="206"/>
      <c r="AE152" s="206"/>
      <c r="AF152" s="227"/>
      <c r="AG152" s="206"/>
      <c r="AH152" s="206"/>
      <c r="AI152" s="206"/>
      <c r="AJ152" s="206"/>
      <c r="AK152" s="227"/>
      <c r="AL152" s="210"/>
      <c r="AM152" s="206"/>
      <c r="AN152" s="206"/>
      <c r="AO152" s="228"/>
      <c r="AP152" s="229"/>
      <c r="AQ152" s="206"/>
      <c r="AR152" s="206"/>
      <c r="AS152" s="228"/>
      <c r="AT152" s="229"/>
      <c r="AU152" s="228"/>
      <c r="AV152" s="229"/>
      <c r="AW152" s="228"/>
      <c r="AX152" s="229"/>
      <c r="AY152" s="206"/>
      <c r="AZ152" s="229"/>
      <c r="BA152" s="210"/>
      <c r="BC152" s="211" t="s">
        <v>117</v>
      </c>
      <c r="BD152" s="210"/>
      <c r="BE152" s="177" t="str">
        <f>IFERROR(VLOOKUP(D148,'BD M.O'!C:I,6,FALSE),"")</f>
        <v/>
      </c>
      <c r="BF152" s="177" t="s">
        <v>261</v>
      </c>
      <c r="BI152" s="210"/>
      <c r="BO152" s="210"/>
      <c r="BP152" s="183"/>
      <c r="BQ152" s="183"/>
      <c r="BR152" s="183"/>
      <c r="BW152" s="210"/>
      <c r="CD152" s="184"/>
      <c r="CF152" s="185"/>
      <c r="CI152" s="184"/>
      <c r="CJ152" s="210"/>
      <c r="CK152" s="563"/>
      <c r="CM152" s="559"/>
      <c r="CN152" s="627"/>
      <c r="CO152" s="630"/>
      <c r="CP152" s="630"/>
      <c r="CQ152" s="630"/>
      <c r="CR152" s="630"/>
      <c r="CS152" s="630"/>
      <c r="CT152" s="633"/>
      <c r="CU152" s="563"/>
      <c r="CV152" s="561"/>
      <c r="CW152" s="563"/>
      <c r="CX152" s="561"/>
      <c r="CY152" s="563"/>
      <c r="CZ152" s="561"/>
      <c r="DA152" s="563"/>
      <c r="DB152" s="561"/>
      <c r="DC152" s="563"/>
      <c r="DD152" s="561"/>
      <c r="DG152" s="576"/>
      <c r="DH152" s="576"/>
      <c r="DI152" s="570"/>
      <c r="DJ152" s="570"/>
      <c r="DK152" s="570"/>
      <c r="DL152" s="570"/>
      <c r="DM152" s="573"/>
      <c r="DN152" s="570"/>
      <c r="DO152" s="570"/>
      <c r="DP152" s="570"/>
      <c r="DQ152" s="570"/>
      <c r="DR152" s="570"/>
      <c r="DS152" s="570"/>
      <c r="DT152" s="570"/>
      <c r="DU152" s="570"/>
      <c r="DV152" s="576"/>
      <c r="DW152" s="576"/>
      <c r="DX152" s="570"/>
      <c r="DY152" s="570"/>
    </row>
    <row r="153" spans="1:194" s="252" customFormat="1" ht="60" customHeight="1" x14ac:dyDescent="0.25">
      <c r="A153" s="368"/>
      <c r="B153" s="369"/>
      <c r="C153" s="396" t="s">
        <v>10</v>
      </c>
      <c r="D153" s="645" t="s">
        <v>32</v>
      </c>
      <c r="E153" s="645"/>
      <c r="F153" s="645"/>
      <c r="G153" s="645"/>
      <c r="H153" s="645"/>
      <c r="I153" s="645"/>
      <c r="J153" s="643"/>
      <c r="K153" s="643"/>
      <c r="L153" s="646"/>
      <c r="M153" s="648"/>
      <c r="N153" s="649"/>
      <c r="O153" s="644"/>
      <c r="P153" s="192"/>
      <c r="Q153" s="239"/>
      <c r="R153" s="334" t="s">
        <v>475</v>
      </c>
      <c r="S153" s="234" t="str">
        <f>IFERROR(IF($C$12='BD GN'!$CC$1,VLOOKUP(COTIZACIÓN!D148,'BD GN'!CB:CG,2,FALSE),IF(COTIZACIÓN!$C$12='BD GN'!$CD$1,VLOOKUP(COTIZACIÓN!D148,'BD GN'!CB:CG,3,FALSE),IF($C$12='BD GN'!$CE$1,VLOOKUP(COTIZACIÓN!D148,'BD GN'!CB:CG,4,FALSE),IF(COTIZACIÓN!$C$12='BD GN'!$CF$1,VLOOKUP(COTIZACIÓN!D148,'BD GN'!CB:CG,5,FALSE),IF(COTIZACIÓN!$C$12='BD GN'!$CG$1,VLOOKUP(COTIZACIÓN!D148,'BD GN'!CB:CG,6,FALSE),""))))),"-")</f>
        <v/>
      </c>
      <c r="T153" s="243"/>
      <c r="U153" s="244"/>
      <c r="V153" s="245"/>
      <c r="W153" s="177" t="s">
        <v>394</v>
      </c>
      <c r="X153" s="246">
        <f>IFERROR(SUM(W148:X148),"")</f>
        <v>0</v>
      </c>
      <c r="Y153" s="166" t="s">
        <v>404</v>
      </c>
      <c r="Z153" s="199" t="str">
        <f>IFERROR(Y148+Z148,"")</f>
        <v/>
      </c>
      <c r="AA153" s="247"/>
      <c r="AB153" s="243"/>
      <c r="AC153" s="244"/>
      <c r="AD153" s="244"/>
      <c r="AE153" s="244"/>
      <c r="AF153" s="227"/>
      <c r="AG153" s="206"/>
      <c r="AH153" s="206"/>
      <c r="AI153" s="206"/>
      <c r="AJ153" s="206"/>
      <c r="AK153" s="227"/>
      <c r="AL153" s="227"/>
      <c r="AM153" s="248"/>
      <c r="AN153" s="248"/>
      <c r="AO153" s="249"/>
      <c r="AP153" s="250"/>
      <c r="AQ153" s="248"/>
      <c r="AR153" s="248"/>
      <c r="AS153" s="249"/>
      <c r="AT153" s="250"/>
      <c r="AU153" s="249"/>
      <c r="AV153" s="250"/>
      <c r="AW153" s="249"/>
      <c r="AX153" s="250"/>
      <c r="AY153" s="248"/>
      <c r="AZ153" s="250"/>
      <c r="BA153" s="210"/>
      <c r="BB153" s="175"/>
      <c r="BC153" s="175" t="s">
        <v>118</v>
      </c>
      <c r="BD153" s="210"/>
      <c r="BE153" s="251" t="str">
        <f>IFERROR(VLOOKUP(D148,'BD M.O'!C:I,7,FALSE),"")</f>
        <v/>
      </c>
      <c r="BF153" s="251" t="s">
        <v>262</v>
      </c>
      <c r="BG153" s="175"/>
      <c r="BH153" s="175"/>
      <c r="BI153" s="210"/>
      <c r="BJ153" s="175"/>
      <c r="BK153" s="175"/>
      <c r="BL153" s="175"/>
      <c r="BM153" s="175"/>
      <c r="BN153" s="175"/>
      <c r="BO153" s="210"/>
      <c r="BP153" s="175"/>
      <c r="BQ153" s="175"/>
      <c r="BR153" s="175"/>
      <c r="BS153" s="183"/>
      <c r="BT153" s="183"/>
      <c r="BU153" s="183"/>
      <c r="BV153" s="183"/>
      <c r="BW153" s="210"/>
      <c r="BX153" s="175"/>
      <c r="BY153" s="175"/>
      <c r="BZ153" s="175"/>
      <c r="CA153" s="175"/>
      <c r="CB153" s="175"/>
      <c r="CC153" s="175"/>
      <c r="CD153" s="184"/>
      <c r="CE153" s="175"/>
      <c r="CF153" s="185"/>
      <c r="CG153" s="175"/>
      <c r="CH153" s="175"/>
      <c r="CI153" s="184"/>
      <c r="CJ153" s="210"/>
      <c r="CK153" s="564"/>
      <c r="CL153" s="257"/>
      <c r="CM153" s="597"/>
      <c r="CN153" s="628"/>
      <c r="CO153" s="631"/>
      <c r="CP153" s="631"/>
      <c r="CQ153" s="631"/>
      <c r="CR153" s="631"/>
      <c r="CS153" s="631"/>
      <c r="CT153" s="634"/>
      <c r="CU153" s="564"/>
      <c r="CV153" s="562"/>
      <c r="CW153" s="564"/>
      <c r="CX153" s="562"/>
      <c r="CY153" s="564"/>
      <c r="CZ153" s="562"/>
      <c r="DA153" s="564"/>
      <c r="DB153" s="562"/>
      <c r="DC153" s="564"/>
      <c r="DD153" s="562"/>
      <c r="DE153" s="175"/>
      <c r="DF153" s="175"/>
      <c r="DG153" s="577"/>
      <c r="DH153" s="577"/>
      <c r="DI153" s="571"/>
      <c r="DJ153" s="571"/>
      <c r="DK153" s="571"/>
      <c r="DL153" s="571"/>
      <c r="DM153" s="574"/>
      <c r="DN153" s="571"/>
      <c r="DO153" s="571"/>
      <c r="DP153" s="571"/>
      <c r="DQ153" s="571"/>
      <c r="DR153" s="571"/>
      <c r="DS153" s="571"/>
      <c r="DT153" s="571"/>
      <c r="DU153" s="571"/>
      <c r="DV153" s="577"/>
      <c r="DW153" s="577"/>
      <c r="DX153" s="571"/>
      <c r="DY153" s="571"/>
      <c r="DZ153" s="175"/>
      <c r="EA153" s="175"/>
      <c r="EB153" s="175"/>
      <c r="EC153" s="175"/>
      <c r="ED153" s="175"/>
      <c r="EE153" s="175"/>
      <c r="EF153" s="175"/>
      <c r="EG153" s="175"/>
      <c r="EH153" s="175"/>
      <c r="EI153" s="175"/>
      <c r="EJ153" s="175"/>
      <c r="EK153" s="175"/>
      <c r="EL153" s="175"/>
      <c r="EM153" s="175"/>
      <c r="EN153" s="175"/>
      <c r="EO153" s="175"/>
      <c r="EP153" s="175"/>
      <c r="EQ153" s="175"/>
      <c r="ER153" s="175"/>
      <c r="ES153" s="175"/>
      <c r="ET153" s="175"/>
      <c r="EU153" s="175"/>
      <c r="EV153" s="175"/>
      <c r="EW153" s="175"/>
      <c r="EX153" s="175"/>
      <c r="EY153" s="175"/>
      <c r="EZ153" s="175"/>
      <c r="FA153" s="175"/>
      <c r="FB153" s="175"/>
      <c r="FC153" s="175"/>
      <c r="FD153" s="175"/>
      <c r="FE153" s="175"/>
      <c r="FF153" s="175"/>
      <c r="FG153" s="175"/>
      <c r="FH153" s="175"/>
      <c r="FI153" s="175"/>
      <c r="FJ153" s="175"/>
      <c r="FK153" s="175"/>
      <c r="FL153" s="175"/>
      <c r="FM153" s="175"/>
      <c r="FN153" s="175"/>
      <c r="FO153" s="175"/>
      <c r="FP153" s="175"/>
      <c r="FQ153" s="175"/>
      <c r="FR153" s="175"/>
      <c r="FS153" s="175"/>
      <c r="FT153" s="175"/>
      <c r="FU153" s="175"/>
      <c r="FV153" s="175"/>
      <c r="FW153" s="175"/>
      <c r="FX153" s="175"/>
      <c r="FY153" s="175"/>
      <c r="FZ153" s="175"/>
      <c r="GA153" s="175"/>
      <c r="GB153" s="175"/>
      <c r="GC153" s="175"/>
      <c r="GD153" s="175"/>
      <c r="GE153" s="175"/>
      <c r="GF153" s="175"/>
      <c r="GG153" s="175"/>
      <c r="GH153" s="175"/>
      <c r="GI153" s="175"/>
      <c r="GJ153" s="175"/>
      <c r="GK153" s="175"/>
      <c r="GL153" s="175"/>
    </row>
    <row r="154" spans="1:194" s="255" customFormat="1" ht="60" customHeight="1" x14ac:dyDescent="0.3">
      <c r="A154" s="362" t="s">
        <v>193</v>
      </c>
      <c r="B154" s="363" t="s">
        <v>25</v>
      </c>
      <c r="C154" s="391" t="s">
        <v>174</v>
      </c>
      <c r="D154" s="640" t="s">
        <v>173</v>
      </c>
      <c r="E154" s="640"/>
      <c r="F154" s="640"/>
      <c r="G154" s="640"/>
      <c r="H154" s="640"/>
      <c r="I154" s="640"/>
      <c r="J154" s="418" t="s">
        <v>443</v>
      </c>
      <c r="K154" s="418" t="s">
        <v>444</v>
      </c>
      <c r="L154" s="418" t="s">
        <v>171</v>
      </c>
      <c r="M154" s="363" t="s">
        <v>2</v>
      </c>
      <c r="N154" s="419" t="s">
        <v>7</v>
      </c>
      <c r="O154" s="420" t="s">
        <v>8</v>
      </c>
      <c r="P154" s="159"/>
      <c r="Q154" s="164" t="s">
        <v>93</v>
      </c>
      <c r="R154" s="164" t="s">
        <v>34</v>
      </c>
      <c r="S154" s="164" t="s">
        <v>28</v>
      </c>
      <c r="T154" s="164" t="s">
        <v>95</v>
      </c>
      <c r="U154" s="164" t="s">
        <v>96</v>
      </c>
      <c r="V154" s="164" t="s">
        <v>97</v>
      </c>
      <c r="W154" s="164" t="s">
        <v>4</v>
      </c>
      <c r="X154" s="164" t="s">
        <v>103</v>
      </c>
      <c r="Y154" s="160" t="s">
        <v>402</v>
      </c>
      <c r="Z154" s="165" t="s">
        <v>403</v>
      </c>
      <c r="AA154" s="166" t="s">
        <v>404</v>
      </c>
      <c r="AB154" s="164" t="s">
        <v>99</v>
      </c>
      <c r="AC154" s="164" t="s">
        <v>395</v>
      </c>
      <c r="AD154" s="253" t="s">
        <v>36</v>
      </c>
      <c r="AE154" s="164" t="s">
        <v>389</v>
      </c>
      <c r="AF154" s="164" t="s">
        <v>390</v>
      </c>
      <c r="AG154" s="164" t="s">
        <v>164</v>
      </c>
      <c r="AH154" s="253" t="s">
        <v>396</v>
      </c>
      <c r="AI154" s="164" t="s">
        <v>190</v>
      </c>
      <c r="AJ154" s="164" t="s">
        <v>339</v>
      </c>
      <c r="AK154" s="253" t="s">
        <v>391</v>
      </c>
      <c r="AL154" s="253" t="s">
        <v>393</v>
      </c>
      <c r="AM154" s="167" t="s">
        <v>93</v>
      </c>
      <c r="AN154" s="168" t="s">
        <v>34</v>
      </c>
      <c r="AO154" s="169" t="s">
        <v>28</v>
      </c>
      <c r="AP154" s="170" t="s">
        <v>95</v>
      </c>
      <c r="AQ154" s="167" t="s">
        <v>3</v>
      </c>
      <c r="AR154" s="167" t="s">
        <v>96</v>
      </c>
      <c r="AS154" s="169" t="s">
        <v>97</v>
      </c>
      <c r="AT154" s="170" t="s">
        <v>4</v>
      </c>
      <c r="AU154" s="169" t="s">
        <v>103</v>
      </c>
      <c r="AV154" s="170" t="s">
        <v>99</v>
      </c>
      <c r="AW154" s="169" t="s">
        <v>36</v>
      </c>
      <c r="AX154" s="171" t="s">
        <v>29</v>
      </c>
      <c r="AY154" s="172" t="s">
        <v>190</v>
      </c>
      <c r="AZ154" s="173" t="s">
        <v>102</v>
      </c>
      <c r="BA154" s="174"/>
      <c r="BB154" s="183"/>
      <c r="BC154" s="211" t="s">
        <v>119</v>
      </c>
      <c r="BD154" s="174"/>
      <c r="BE154" s="176" t="s">
        <v>189</v>
      </c>
      <c r="BF154" s="177" t="str">
        <f>$BF$13</f>
        <v xml:space="preserve">VR SILICONA </v>
      </c>
      <c r="BG154" s="177" t="str">
        <f>$BG$13</f>
        <v xml:space="preserve">VR PELÍCULA </v>
      </c>
      <c r="BH154" s="254" t="str">
        <f>$BH$13</f>
        <v>VR EMBALAJE</v>
      </c>
      <c r="BI154" s="174"/>
      <c r="BJ154" s="176" t="str">
        <f>$BJ$13</f>
        <v>ESP. CRISTAL</v>
      </c>
      <c r="BK154" s="176" t="s">
        <v>130</v>
      </c>
      <c r="BL154" s="177" t="s">
        <v>28</v>
      </c>
      <c r="BM154" s="177" t="str">
        <f>BM147</f>
        <v>TOTAL</v>
      </c>
      <c r="BN154" s="177" t="s">
        <v>133</v>
      </c>
      <c r="BO154" s="174"/>
      <c r="BP154" s="175"/>
      <c r="BQ154" s="175"/>
      <c r="BR154" s="175"/>
      <c r="BS154" s="175"/>
      <c r="BT154" s="175"/>
      <c r="BU154" s="175"/>
      <c r="BV154" s="175"/>
      <c r="BW154" s="174"/>
      <c r="BX154" s="175"/>
      <c r="BY154" s="175"/>
      <c r="BZ154" s="175"/>
      <c r="CA154" s="175"/>
      <c r="CB154" s="175"/>
      <c r="CC154" s="175"/>
      <c r="CD154" s="184"/>
      <c r="CE154" s="175"/>
      <c r="CF154" s="185"/>
      <c r="CG154" s="175"/>
      <c r="CH154" s="175"/>
      <c r="CI154" s="184"/>
      <c r="CJ154" s="174"/>
      <c r="CK154" s="186" t="s">
        <v>415</v>
      </c>
      <c r="CL154" s="187" t="s">
        <v>417</v>
      </c>
      <c r="CM154" s="187" t="s">
        <v>416</v>
      </c>
      <c r="CN154" s="188" t="s">
        <v>418</v>
      </c>
      <c r="CO154" s="187" t="s">
        <v>417</v>
      </c>
      <c r="CP154" s="187" t="s">
        <v>409</v>
      </c>
      <c r="CQ154" s="187" t="s">
        <v>410</v>
      </c>
      <c r="CR154" s="187" t="s">
        <v>411</v>
      </c>
      <c r="CS154" s="187" t="s">
        <v>412</v>
      </c>
      <c r="CT154" s="187" t="s">
        <v>413</v>
      </c>
      <c r="CU154" s="189" t="s">
        <v>2</v>
      </c>
      <c r="CV154" s="190" t="s">
        <v>159</v>
      </c>
      <c r="CW154" s="189" t="s">
        <v>2</v>
      </c>
      <c r="CX154" s="190" t="s">
        <v>159</v>
      </c>
      <c r="CY154" s="189" t="s">
        <v>2</v>
      </c>
      <c r="CZ154" s="190" t="s">
        <v>159</v>
      </c>
      <c r="DA154" s="189" t="s">
        <v>2</v>
      </c>
      <c r="DB154" s="190" t="s">
        <v>159</v>
      </c>
      <c r="DC154" s="189" t="s">
        <v>2</v>
      </c>
      <c r="DD154" s="190" t="s">
        <v>159</v>
      </c>
      <c r="DE154" s="183"/>
      <c r="DF154" s="183"/>
      <c r="DG154" s="177" t="s">
        <v>505</v>
      </c>
      <c r="DH154" s="472" t="s">
        <v>509</v>
      </c>
      <c r="DI154" s="457" t="s">
        <v>506</v>
      </c>
      <c r="DJ154" s="457" t="s">
        <v>134</v>
      </c>
      <c r="DK154" s="457" t="s">
        <v>498</v>
      </c>
      <c r="DL154" s="457" t="s">
        <v>499</v>
      </c>
      <c r="DM154" s="457" t="s">
        <v>500</v>
      </c>
      <c r="DN154" s="457" t="s">
        <v>131</v>
      </c>
      <c r="DO154" s="457" t="s">
        <v>390</v>
      </c>
      <c r="DP154" s="457" t="s">
        <v>36</v>
      </c>
      <c r="DQ154" s="457" t="s">
        <v>501</v>
      </c>
      <c r="DR154" s="457" t="s">
        <v>502</v>
      </c>
      <c r="DS154" s="457" t="s">
        <v>503</v>
      </c>
      <c r="DT154" s="457" t="s">
        <v>4</v>
      </c>
      <c r="DU154" s="457" t="s">
        <v>504</v>
      </c>
      <c r="DV154" s="466" t="s">
        <v>507</v>
      </c>
      <c r="DW154" s="466" t="s">
        <v>508</v>
      </c>
      <c r="DX154" s="457" t="s">
        <v>510</v>
      </c>
      <c r="DY154" s="457" t="s">
        <v>511</v>
      </c>
      <c r="DZ154" s="183"/>
      <c r="EA154" s="183"/>
      <c r="EB154" s="183"/>
      <c r="EC154" s="183"/>
      <c r="ED154" s="183"/>
      <c r="EE154" s="183"/>
      <c r="EF154" s="183"/>
      <c r="EG154" s="183"/>
      <c r="EH154" s="183"/>
      <c r="EI154" s="183"/>
      <c r="EJ154" s="183"/>
      <c r="EK154" s="183"/>
      <c r="EL154" s="183"/>
      <c r="EM154" s="183"/>
      <c r="EN154" s="183"/>
      <c r="EO154" s="183"/>
      <c r="EP154" s="183"/>
      <c r="EQ154" s="183"/>
      <c r="ER154" s="183"/>
      <c r="ES154" s="183"/>
      <c r="ET154" s="183"/>
      <c r="EU154" s="183"/>
      <c r="EV154" s="183"/>
      <c r="EW154" s="183"/>
      <c r="EX154" s="183"/>
      <c r="EY154" s="183"/>
      <c r="EZ154" s="183"/>
      <c r="FA154" s="183"/>
      <c r="FB154" s="183"/>
      <c r="FC154" s="183"/>
      <c r="FD154" s="183"/>
      <c r="FE154" s="183"/>
      <c r="FF154" s="183"/>
      <c r="FG154" s="183"/>
      <c r="FH154" s="183"/>
      <c r="FI154" s="183"/>
      <c r="FJ154" s="183"/>
      <c r="FK154" s="183"/>
      <c r="FL154" s="183"/>
      <c r="FM154" s="183"/>
      <c r="FN154" s="183"/>
      <c r="FO154" s="183"/>
      <c r="FP154" s="183"/>
      <c r="FQ154" s="183"/>
      <c r="FR154" s="183"/>
      <c r="FS154" s="183"/>
      <c r="FT154" s="183"/>
      <c r="FU154" s="183"/>
      <c r="FV154" s="183"/>
      <c r="FW154" s="183"/>
      <c r="FX154" s="183"/>
      <c r="FY154" s="183"/>
      <c r="FZ154" s="183"/>
      <c r="GA154" s="183"/>
      <c r="GB154" s="183"/>
      <c r="GC154" s="183"/>
      <c r="GD154" s="183"/>
      <c r="GE154" s="183"/>
      <c r="GF154" s="183"/>
      <c r="GG154" s="183"/>
      <c r="GH154" s="183"/>
      <c r="GI154" s="183"/>
      <c r="GJ154" s="183"/>
      <c r="GK154" s="183"/>
      <c r="GL154" s="183"/>
    </row>
    <row r="155" spans="1:194" s="175" customFormat="1" ht="60" customHeight="1" x14ac:dyDescent="0.3">
      <c r="A155" s="364"/>
      <c r="B155" s="365"/>
      <c r="C155" s="392" t="s">
        <v>27</v>
      </c>
      <c r="D155" s="641"/>
      <c r="E155" s="641"/>
      <c r="F155" s="641"/>
      <c r="G155" s="641"/>
      <c r="H155" s="641"/>
      <c r="I155" s="641"/>
      <c r="J155" s="642"/>
      <c r="K155" s="642"/>
      <c r="L155" s="622">
        <f>J155*K155*M155</f>
        <v>0</v>
      </c>
      <c r="M155" s="623"/>
      <c r="N155" s="620">
        <f>IFERROR(AL155,"")</f>
        <v>1.0765546639999999</v>
      </c>
      <c r="O155" s="621">
        <f>IFERROR(N155*M155,"")</f>
        <v>0</v>
      </c>
      <c r="P155" s="192"/>
      <c r="Q155" s="193">
        <f>Q156+BF155+($R$350*Q156)</f>
        <v>0</v>
      </c>
      <c r="R155" s="193">
        <f>IFERROR(R156+($R$348*R156),"")</f>
        <v>0</v>
      </c>
      <c r="S155" s="194">
        <f>+IF(R157="SI",((W159*'BD GN'!$AB$2)+S156)*1,COTIZACIÓN!S156*1)+(P156*S156)</f>
        <v>0</v>
      </c>
      <c r="T155" s="195">
        <f>IFERROR(R155*IF(K155&lt;=3,$T$13,15%),"")</f>
        <v>0</v>
      </c>
      <c r="U155" s="196">
        <f>BH155+BG155</f>
        <v>0</v>
      </c>
      <c r="V155" s="197" t="str">
        <f>IFERROR(BN155,0)</f>
        <v/>
      </c>
      <c r="W155" s="198" t="str">
        <f>IFERROR(IF(X157="SI",W158*J155*K155,IF(BE155=3,BE157,IF(BE155=4,BE158,IF(BE155=5,BE159,IF(BE155&gt;5,BE159+(BE160*(BE155-5)),"")))))*0,"")</f>
        <v/>
      </c>
      <c r="X155" s="198" t="str">
        <f>IFERROR(IF(X156="NO",(VLOOKUP(D155,'BD M.O'!C:E,3,FALSE))*W159,((VLOOKUP(D155,'BD M.O'!C:E,3,FALSE))+7500)*W159),"")</f>
        <v/>
      </c>
      <c r="Y155" s="198">
        <f>IFERROR($Y$13*AK155,"")</f>
        <v>4.2084457416288003E-2</v>
      </c>
      <c r="Z155" s="332" t="str">
        <f>IFERROR(($Z$13*AK155)+X155,"")</f>
        <v/>
      </c>
      <c r="AA155" s="199" t="str">
        <f>IFERROR(Y155+Z155,"")</f>
        <v/>
      </c>
      <c r="AB155" s="200">
        <f>IFERROR((SUM(Q155:X155)-T155+T157)*$AB$13,"")</f>
        <v>0</v>
      </c>
      <c r="AC155" s="201">
        <f>IFERROR(((SUM(Q155:V155,IF(X160&gt;AA155,AVERAGE(X160,AA155),AA155))-T155+T157))*$AB$13,"")</f>
        <v>0</v>
      </c>
      <c r="AD155" s="202" t="str">
        <f>IFERROR((J155*K155*$BV$14),"")</f>
        <v/>
      </c>
      <c r="AE155" s="202">
        <f>IFERROR($AE$13*AK155,"")</f>
        <v>6.4010592649919984E-2</v>
      </c>
      <c r="AF155" s="203" t="str">
        <f>IFERROR(($CI$11+$CI$13)*W159,"")</f>
        <v/>
      </c>
      <c r="AG155" s="202">
        <f>IFERROR((SUM(Q155:X155,AB155,AD155,AF155)-T155+T157)*$AG$13,"")</f>
        <v>0</v>
      </c>
      <c r="AH155" s="202">
        <f>IFERROR((SUM(Q155:V155,(IF(X160&gt;AA155,AVERAGE(X160,AA155),AA155)),AC155,AE155,AF155)-T155+T157)*$AG$13,"")</f>
        <v>3.2005296324959992E-2</v>
      </c>
      <c r="AI155" s="204">
        <f>IFERROR(AL155*$AI$13,"")</f>
        <v>2.1531093279999997E-2</v>
      </c>
      <c r="AJ155" s="204">
        <f>IFERROR($AJ$13*AL155,"")</f>
        <v>6.007175025119999E-3</v>
      </c>
      <c r="AK155" s="205">
        <f>IFERROR(SUM(Q155:X155,AB155,AD155,AG155,AF155)/(1-$AI$13)+(1-$AJ$13)-T155+T157,"")</f>
        <v>0.99441999999999997</v>
      </c>
      <c r="AL155" s="205">
        <f>IFERROR(SUM(Q155:V155,AC155,(IF(AD155&gt;AE155,AVERAGE(AD155,AE155),AE155)),AF155,,AH155,(IF(SUM(X160)&gt;AA155,AVERAGE(AA155,X160),AA155)))/(1-$AJ$13)+(1-$AI$13)-T155+T157,"")</f>
        <v>1.0765546639999999</v>
      </c>
      <c r="AM155" s="206">
        <f>$M$15*Q155</f>
        <v>0</v>
      </c>
      <c r="AN155" s="207">
        <f>$M$15*R155</f>
        <v>0</v>
      </c>
      <c r="AO155" s="208">
        <f>$M$15*S155</f>
        <v>0</v>
      </c>
      <c r="AP155" s="207">
        <f>$M$15*T155</f>
        <v>0</v>
      </c>
      <c r="AQ155" s="207" t="e">
        <f>$M$15*#REF!</f>
        <v>#REF!</v>
      </c>
      <c r="AR155" s="207">
        <f>$M$15*U155</f>
        <v>0</v>
      </c>
      <c r="AS155" s="208" t="e">
        <f>$M$15*V155</f>
        <v>#VALUE!</v>
      </c>
      <c r="AT155" s="207" t="e">
        <f>$M$15*W155</f>
        <v>#VALUE!</v>
      </c>
      <c r="AU155" s="208" t="e">
        <f>$M$15*X155</f>
        <v>#VALUE!</v>
      </c>
      <c r="AV155" s="207">
        <f>$M$15*AB155</f>
        <v>0</v>
      </c>
      <c r="AW155" s="208">
        <f>$M$15*AE155</f>
        <v>0</v>
      </c>
      <c r="AX155" s="207">
        <f>$M$15*AG155</f>
        <v>0</v>
      </c>
      <c r="AY155" s="209">
        <f>$M$15*AI155</f>
        <v>0</v>
      </c>
      <c r="AZ155" s="207">
        <f>$M$15*AK155</f>
        <v>0</v>
      </c>
      <c r="BA155" s="210"/>
      <c r="BB155" s="175" t="s">
        <v>23</v>
      </c>
      <c r="BC155" s="211" t="s">
        <v>113</v>
      </c>
      <c r="BD155" s="210"/>
      <c r="BE155" s="212"/>
      <c r="BF155" s="213">
        <f>IF(BH156="NO",((2*J155)+(2*K155))*'BD GN'!$AU$3,((3*J155)+(2*K155))*'BD GN'!$AU$3)</f>
        <v>0</v>
      </c>
      <c r="BG155" s="213">
        <f>'BD GN'!$BB$3*J155*K155</f>
        <v>0</v>
      </c>
      <c r="BH155" s="214">
        <f>((J155*2*BE155)+(K155*2*BE155))*'BD GN'!$AN$4</f>
        <v>0</v>
      </c>
      <c r="BI155" s="210"/>
      <c r="BJ155" s="212"/>
      <c r="BK155" s="212"/>
      <c r="BL155" s="215">
        <f>J155*K155*2.5*BJ155</f>
        <v>0</v>
      </c>
      <c r="BM155" s="215">
        <f>BK155+BL155</f>
        <v>0</v>
      </c>
      <c r="BN155" s="216" t="str">
        <f>IFERROR((VLOOKUP($C$12,'BD GN'!BD:BM,10,FALSE)*BM155)+$BR$338,"")</f>
        <v/>
      </c>
      <c r="BO155" s="210"/>
      <c r="BW155" s="210"/>
      <c r="CD155" s="184"/>
      <c r="CF155" s="185"/>
      <c r="CI155" s="184"/>
      <c r="CJ155" s="210"/>
      <c r="CK155" s="565"/>
      <c r="CL155" s="256"/>
      <c r="CM155" s="596"/>
      <c r="CN155" s="626"/>
      <c r="CO155" s="629"/>
      <c r="CP155" s="629"/>
      <c r="CQ155" s="629"/>
      <c r="CR155" s="629"/>
      <c r="CS155" s="629"/>
      <c r="CT155" s="632"/>
      <c r="CU155" s="565"/>
      <c r="CV155" s="560">
        <f>IFERROR(N155*CU155,"")</f>
        <v>0</v>
      </c>
      <c r="CW155" s="565"/>
      <c r="CX155" s="560">
        <f>IFERROR(P155*CW155,"")</f>
        <v>0</v>
      </c>
      <c r="CY155" s="565"/>
      <c r="CZ155" s="560">
        <f>IFERROR(R155*CY155,"")</f>
        <v>0</v>
      </c>
      <c r="DA155" s="565">
        <f t="shared" ref="DA155" si="546">CU155+CW155+CY155</f>
        <v>0</v>
      </c>
      <c r="DB155" s="560">
        <f t="shared" ref="DB155" si="547">IFERROR(CV155+CX155+CZ155,"")</f>
        <v>0</v>
      </c>
      <c r="DC155" s="565">
        <f>M155-(CU155+CW155+CY155)</f>
        <v>0</v>
      </c>
      <c r="DD155" s="560">
        <f>IFERROR(O155-(CV155+CX155+CZ155),"")</f>
        <v>0</v>
      </c>
      <c r="DG155" s="575"/>
      <c r="DH155" s="575"/>
      <c r="DI155" s="569">
        <f t="shared" ref="DI155" si="548">IFERROR(IF(DG155&gt;0,(((N155)/(1+10%+19%*5%)+((N155)/(1+10%+19%*5%))*10%)*DH155),0),0)</f>
        <v>0</v>
      </c>
      <c r="DJ155" s="569">
        <f t="shared" ref="DJ155" si="549">IFERROR(IF(DG155&gt;0,(N155*DH155),0),0)</f>
        <v>0</v>
      </c>
      <c r="DK155" s="569">
        <f t="shared" ref="DK155" si="550">IF(DG155&gt;0,((R155+T155)*DH155),0)</f>
        <v>0</v>
      </c>
      <c r="DL155" s="569">
        <f t="shared" ref="DL155" si="551">IF(DG155&gt;0,(Q155*DH155),0)</f>
        <v>0</v>
      </c>
      <c r="DM155" s="572">
        <f t="shared" ref="DM155" si="552">IF(DG155&gt;0,(S155*DH155),0)</f>
        <v>0</v>
      </c>
      <c r="DN155" s="569">
        <f t="shared" ref="DN155" si="553">IF(DG155&gt;0,(BN155*DH155),0)</f>
        <v>0</v>
      </c>
      <c r="DO155" s="569">
        <f t="shared" ref="DO155" si="554">IF(DG155&gt;0,(AF155*DH155),0)</f>
        <v>0</v>
      </c>
      <c r="DP155" s="569">
        <f>IF(DG155&gt;0,((DI155)*('BD P&amp;G'!$E$16+'BD P&amp;G'!$E$17+'BD P&amp;G'!$E$18+'BD P&amp;G'!$E$19+'BD P&amp;G'!$E$20+'BD P&amp;G'!$E$21+'BD P&amp;G'!$E$22+'BD P&amp;G'!$E$23)*DH155),0)</f>
        <v>0</v>
      </c>
      <c r="DQ155" s="569">
        <f>IFERROR(IF(DG155&gt;0,((DI155*'BD P&amp;G'!$E$7)+(DI155*'BD P&amp;G'!$E$9)+AI155),0),0)</f>
        <v>0</v>
      </c>
      <c r="DR155" s="569">
        <f t="shared" ref="DR155" si="555">IFERROR(IF(DG155&gt;0,((DI155*1%)),0),0)</f>
        <v>0</v>
      </c>
      <c r="DS155" s="569">
        <f>IFERROR(IF(DG155&gt;0,(((DI155*'BD P&amp;G'!$E$32+DI155*'BD P&amp;G'!$E$33+DI155*'BD P&amp;G'!$E$35+DI155*'BD P&amp;G'!$E$36+DI155*'BD P&amp;G'!$E$37))),0),0)</f>
        <v>0</v>
      </c>
      <c r="DT155" s="569">
        <f t="shared" ref="DT155" si="556">IF(DG155&gt;0,(Y155*DH155),0)</f>
        <v>0</v>
      </c>
      <c r="DU155" s="569">
        <f t="shared" ref="DU155" si="557">IF(DG155&gt;0,(Z155*DH155),0)</f>
        <v>0</v>
      </c>
      <c r="DV155" s="575">
        <f t="shared" ref="DV155" si="558">IF(DG155&gt;0,(Y159*DH155),0)</f>
        <v>0</v>
      </c>
      <c r="DW155" s="575">
        <f t="shared" ref="DW155" si="559">IF(DG155&gt;0,(Z159*DH155),0)</f>
        <v>0</v>
      </c>
      <c r="DX155" s="569">
        <f t="shared" ref="DX155" si="560">IF(DV155&gt;0,DJ155,0)</f>
        <v>0</v>
      </c>
      <c r="DY155" s="569">
        <f t="shared" ref="DY155" si="561">IF(DW155&gt;0,DJ155,0)</f>
        <v>0</v>
      </c>
    </row>
    <row r="156" spans="1:194" s="175" customFormat="1" ht="60" customHeight="1" x14ac:dyDescent="0.25">
      <c r="A156" s="366"/>
      <c r="B156" s="367"/>
      <c r="C156" s="393" t="s">
        <v>28</v>
      </c>
      <c r="D156" s="598"/>
      <c r="E156" s="598"/>
      <c r="F156" s="598"/>
      <c r="G156" s="598"/>
      <c r="H156" s="598"/>
      <c r="I156" s="598"/>
      <c r="J156" s="604"/>
      <c r="K156" s="604"/>
      <c r="L156" s="607"/>
      <c r="M156" s="559"/>
      <c r="N156" s="610"/>
      <c r="O156" s="613"/>
      <c r="P156" s="192"/>
      <c r="Q156" s="217"/>
      <c r="R156" s="217"/>
      <c r="S156" s="218"/>
      <c r="T156" s="219">
        <f>IFERROR(T155/$R$353,"")</f>
        <v>0</v>
      </c>
      <c r="U156" s="206"/>
      <c r="V156" s="220"/>
      <c r="W156" s="221" t="s">
        <v>239</v>
      </c>
      <c r="X156" s="222" t="s">
        <v>204</v>
      </c>
      <c r="Y156" s="223"/>
      <c r="Z156" s="224"/>
      <c r="AA156" s="225"/>
      <c r="AB156" s="226"/>
      <c r="AC156" s="206"/>
      <c r="AD156" s="206"/>
      <c r="AE156" s="206"/>
      <c r="AF156" s="227"/>
      <c r="AG156" s="206"/>
      <c r="AH156" s="206"/>
      <c r="AI156" s="206"/>
      <c r="AJ156" s="206"/>
      <c r="AK156" s="227"/>
      <c r="AL156" s="210"/>
      <c r="AM156" s="206"/>
      <c r="AN156" s="206"/>
      <c r="AO156" s="228"/>
      <c r="AP156" s="229"/>
      <c r="AQ156" s="206"/>
      <c r="AR156" s="206"/>
      <c r="AS156" s="228"/>
      <c r="AT156" s="229"/>
      <c r="AU156" s="228"/>
      <c r="AV156" s="229"/>
      <c r="AW156" s="228"/>
      <c r="AX156" s="229"/>
      <c r="AY156" s="206"/>
      <c r="AZ156" s="229"/>
      <c r="BA156" s="210"/>
      <c r="BB156" s="175" t="s">
        <v>24</v>
      </c>
      <c r="BC156" s="175" t="s">
        <v>114</v>
      </c>
      <c r="BD156" s="210"/>
      <c r="BE156" s="176" t="s">
        <v>206</v>
      </c>
      <c r="BF156" s="230" t="s">
        <v>204</v>
      </c>
      <c r="BG156" s="176" t="s">
        <v>290</v>
      </c>
      <c r="BH156" s="231" t="s">
        <v>204</v>
      </c>
      <c r="BI156" s="210"/>
      <c r="BN156" s="232"/>
      <c r="BO156" s="210"/>
      <c r="BV156" s="184"/>
      <c r="BW156" s="210"/>
      <c r="CD156" s="184"/>
      <c r="CF156" s="185"/>
      <c r="CI156" s="184"/>
      <c r="CJ156" s="210"/>
      <c r="CK156" s="563"/>
      <c r="CM156" s="559"/>
      <c r="CN156" s="627"/>
      <c r="CO156" s="630"/>
      <c r="CP156" s="630"/>
      <c r="CQ156" s="630"/>
      <c r="CR156" s="630"/>
      <c r="CS156" s="630"/>
      <c r="CT156" s="633"/>
      <c r="CU156" s="563"/>
      <c r="CV156" s="561"/>
      <c r="CW156" s="563"/>
      <c r="CX156" s="561"/>
      <c r="CY156" s="563"/>
      <c r="CZ156" s="561"/>
      <c r="DA156" s="563"/>
      <c r="DB156" s="561"/>
      <c r="DC156" s="563"/>
      <c r="DD156" s="561"/>
      <c r="DG156" s="576"/>
      <c r="DH156" s="576"/>
      <c r="DI156" s="570"/>
      <c r="DJ156" s="570"/>
      <c r="DK156" s="570"/>
      <c r="DL156" s="570"/>
      <c r="DM156" s="573"/>
      <c r="DN156" s="570"/>
      <c r="DO156" s="570"/>
      <c r="DP156" s="570"/>
      <c r="DQ156" s="570"/>
      <c r="DR156" s="570"/>
      <c r="DS156" s="570"/>
      <c r="DT156" s="570"/>
      <c r="DU156" s="570"/>
      <c r="DV156" s="576"/>
      <c r="DW156" s="576"/>
      <c r="DX156" s="570"/>
      <c r="DY156" s="570"/>
    </row>
    <row r="157" spans="1:194" s="175" customFormat="1" ht="60" customHeight="1" x14ac:dyDescent="0.3">
      <c r="A157" s="366"/>
      <c r="B157" s="367"/>
      <c r="C157" s="393" t="s">
        <v>30</v>
      </c>
      <c r="D157" s="599"/>
      <c r="E157" s="599"/>
      <c r="F157" s="599"/>
      <c r="G157" s="599"/>
      <c r="H157" s="599"/>
      <c r="I157" s="599"/>
      <c r="J157" s="604"/>
      <c r="K157" s="604"/>
      <c r="L157" s="607"/>
      <c r="M157" s="559"/>
      <c r="N157" s="610"/>
      <c r="O157" s="613"/>
      <c r="P157" s="192"/>
      <c r="Q157" s="176" t="s">
        <v>205</v>
      </c>
      <c r="R157" s="233" t="s">
        <v>204</v>
      </c>
      <c r="S157" s="234"/>
      <c r="T157" s="235">
        <f>IFERROR(($R$353-8000)*T156,"")</f>
        <v>0</v>
      </c>
      <c r="U157" s="206"/>
      <c r="V157" s="220"/>
      <c r="W157" s="221" t="s">
        <v>258</v>
      </c>
      <c r="X157" s="222" t="s">
        <v>204</v>
      </c>
      <c r="Y157" s="236"/>
      <c r="Z157" s="237"/>
      <c r="AA157" s="225"/>
      <c r="AB157" s="226"/>
      <c r="AC157" s="206"/>
      <c r="AD157" s="206"/>
      <c r="AE157" s="206"/>
      <c r="AF157" s="227"/>
      <c r="AG157" s="206"/>
      <c r="AH157" s="206"/>
      <c r="AI157" s="206"/>
      <c r="AJ157" s="206"/>
      <c r="AK157" s="227"/>
      <c r="AL157" s="238"/>
      <c r="AM157" s="206"/>
      <c r="AN157" s="206"/>
      <c r="AO157" s="228"/>
      <c r="AP157" s="229"/>
      <c r="AQ157" s="206"/>
      <c r="AR157" s="206"/>
      <c r="AS157" s="228"/>
      <c r="AT157" s="229"/>
      <c r="AU157" s="228"/>
      <c r="AV157" s="229"/>
      <c r="AW157" s="228"/>
      <c r="AX157" s="229"/>
      <c r="AY157" s="206"/>
      <c r="AZ157" s="229"/>
      <c r="BA157" s="210"/>
      <c r="BB157" s="175" t="s">
        <v>26</v>
      </c>
      <c r="BC157" s="211" t="s">
        <v>115</v>
      </c>
      <c r="BD157" s="210"/>
      <c r="BE157" s="177" t="str">
        <f>IFERROR(VLOOKUP(D155,'BD M.O'!C:H,4,FALSE),"")</f>
        <v/>
      </c>
      <c r="BF157" s="177" t="s">
        <v>259</v>
      </c>
      <c r="BI157" s="210"/>
      <c r="BO157" s="210"/>
      <c r="BV157" s="184"/>
      <c r="BW157" s="210"/>
      <c r="CD157" s="184"/>
      <c r="CF157" s="185"/>
      <c r="CI157" s="184"/>
      <c r="CJ157" s="210"/>
      <c r="CK157" s="563"/>
      <c r="CM157" s="559"/>
      <c r="CN157" s="627"/>
      <c r="CO157" s="630"/>
      <c r="CP157" s="630"/>
      <c r="CQ157" s="630"/>
      <c r="CR157" s="630"/>
      <c r="CS157" s="630"/>
      <c r="CT157" s="633"/>
      <c r="CU157" s="563"/>
      <c r="CV157" s="561"/>
      <c r="CW157" s="563"/>
      <c r="CX157" s="561"/>
      <c r="CY157" s="563"/>
      <c r="CZ157" s="561"/>
      <c r="DA157" s="563"/>
      <c r="DB157" s="561"/>
      <c r="DC157" s="563"/>
      <c r="DD157" s="561"/>
      <c r="DG157" s="577"/>
      <c r="DH157" s="577"/>
      <c r="DI157" s="571"/>
      <c r="DJ157" s="571"/>
      <c r="DK157" s="571"/>
      <c r="DL157" s="571"/>
      <c r="DM157" s="574"/>
      <c r="DN157" s="571"/>
      <c r="DO157" s="571"/>
      <c r="DP157" s="571"/>
      <c r="DQ157" s="571"/>
      <c r="DR157" s="571"/>
      <c r="DS157" s="571"/>
      <c r="DT157" s="571"/>
      <c r="DU157" s="571"/>
      <c r="DV157" s="577"/>
      <c r="DW157" s="577"/>
      <c r="DX157" s="571"/>
      <c r="DY157" s="571"/>
    </row>
    <row r="158" spans="1:194" s="175" customFormat="1" ht="60" customHeight="1" x14ac:dyDescent="0.25">
      <c r="A158" s="366"/>
      <c r="B158" s="367"/>
      <c r="C158" s="395" t="s">
        <v>180</v>
      </c>
      <c r="D158" s="599" t="s">
        <v>31</v>
      </c>
      <c r="E158" s="599"/>
      <c r="F158" s="394" t="s">
        <v>9</v>
      </c>
      <c r="G158" s="599" t="s">
        <v>33</v>
      </c>
      <c r="H158" s="599"/>
      <c r="I158" s="394" t="str">
        <f>+IF($BG$9="SI","","X")</f>
        <v>X</v>
      </c>
      <c r="J158" s="604"/>
      <c r="K158" s="604"/>
      <c r="L158" s="607"/>
      <c r="M158" s="559"/>
      <c r="N158" s="610"/>
      <c r="O158" s="613"/>
      <c r="P158" s="192"/>
      <c r="Q158" s="239"/>
      <c r="R158" s="221" t="s">
        <v>209</v>
      </c>
      <c r="S158" s="234" t="str">
        <f>IF(S156="","",S156/(J155*K155))</f>
        <v/>
      </c>
      <c r="T158" s="226"/>
      <c r="U158" s="206"/>
      <c r="V158" s="220"/>
      <c r="W158" s="239" t="str">
        <f>IFERROR(IF(X157="SI",VLOOKUP(D155,'BD M.O'!C:F,4,FALSE),""),"")</f>
        <v/>
      </c>
      <c r="X158" s="221" t="s">
        <v>258</v>
      </c>
      <c r="Y158" s="221" t="s">
        <v>507</v>
      </c>
      <c r="Z158" s="221" t="s">
        <v>508</v>
      </c>
      <c r="AA158" s="225"/>
      <c r="AB158" s="226"/>
      <c r="AC158" s="206"/>
      <c r="AD158" s="206"/>
      <c r="AE158" s="206"/>
      <c r="AF158" s="227"/>
      <c r="AG158" s="206"/>
      <c r="AH158" s="206"/>
      <c r="AI158" s="206"/>
      <c r="AJ158" s="206"/>
      <c r="AK158" s="227"/>
      <c r="AL158" s="240"/>
      <c r="AM158" s="206"/>
      <c r="AN158" s="206"/>
      <c r="AO158" s="228"/>
      <c r="AP158" s="229"/>
      <c r="AQ158" s="206"/>
      <c r="AR158" s="206"/>
      <c r="AS158" s="228"/>
      <c r="AT158" s="229"/>
      <c r="AU158" s="228"/>
      <c r="AV158" s="229"/>
      <c r="AW158" s="228"/>
      <c r="AX158" s="229"/>
      <c r="AY158" s="206"/>
      <c r="AZ158" s="229"/>
      <c r="BA158" s="210"/>
      <c r="BC158" s="175" t="s">
        <v>116</v>
      </c>
      <c r="BD158" s="210"/>
      <c r="BE158" s="177" t="str">
        <f>IFERROR(VLOOKUP(COTIZACIÓN!D155,'BD M.O'!C:I,5,FALSE),"")</f>
        <v/>
      </c>
      <c r="BF158" s="177" t="s">
        <v>260</v>
      </c>
      <c r="BI158" s="210"/>
      <c r="BO158" s="210"/>
      <c r="BP158" s="183"/>
      <c r="BQ158" s="183"/>
      <c r="BR158" s="183"/>
      <c r="BS158" s="183"/>
      <c r="BT158" s="183"/>
      <c r="BU158" s="183"/>
      <c r="BV158" s="182"/>
      <c r="BW158" s="210"/>
      <c r="BX158" s="183"/>
      <c r="BY158" s="183"/>
      <c r="BZ158" s="183"/>
      <c r="CA158" s="183"/>
      <c r="CB158" s="183"/>
      <c r="CC158" s="183"/>
      <c r="CD158" s="182"/>
      <c r="CE158" s="183"/>
      <c r="CF158" s="241"/>
      <c r="CG158" s="183"/>
      <c r="CH158" s="183"/>
      <c r="CI158" s="182"/>
      <c r="CJ158" s="210"/>
      <c r="CK158" s="563"/>
      <c r="CM158" s="559"/>
      <c r="CN158" s="627"/>
      <c r="CO158" s="630"/>
      <c r="CP158" s="630"/>
      <c r="CQ158" s="630"/>
      <c r="CR158" s="630"/>
      <c r="CS158" s="630"/>
      <c r="CT158" s="633"/>
      <c r="CU158" s="563"/>
      <c r="CV158" s="561"/>
      <c r="CW158" s="563"/>
      <c r="CX158" s="561"/>
      <c r="CY158" s="563"/>
      <c r="CZ158" s="561"/>
      <c r="DA158" s="563"/>
      <c r="DB158" s="561"/>
      <c r="DC158" s="563"/>
      <c r="DD158" s="561"/>
      <c r="DG158" s="575"/>
      <c r="DH158" s="575"/>
      <c r="DI158" s="569">
        <f t="shared" ref="DI158" si="562">IFERROR(IF(DG158&gt;0,(((N155)/(1+10%+19%*5%)+((N155)/(1+10%+19%*5%))*10%)*DH158),0),0)</f>
        <v>0</v>
      </c>
      <c r="DJ158" s="569">
        <f t="shared" ref="DJ158" si="563">IFERROR(IF(DG158&gt;0,(N155*DH158),0),0)</f>
        <v>0</v>
      </c>
      <c r="DK158" s="569">
        <f t="shared" ref="DK158" si="564">IF(DG158&gt;0,((R155+T155)*DH158),0)</f>
        <v>0</v>
      </c>
      <c r="DL158" s="569">
        <f t="shared" ref="DL158" si="565">IF(DG158&gt;0,(Q155*DH158),0)</f>
        <v>0</v>
      </c>
      <c r="DM158" s="572">
        <f t="shared" ref="DM158" si="566">IF(DG158&gt;0,(S155*DH158),0)</f>
        <v>0</v>
      </c>
      <c r="DN158" s="569">
        <f t="shared" ref="DN158" si="567">IF(DG158&gt;0,(BN155*DH158),0)</f>
        <v>0</v>
      </c>
      <c r="DO158" s="569">
        <f t="shared" ref="DO158" si="568">IF(DG158&gt;0,(AF155*DH158),0)</f>
        <v>0</v>
      </c>
      <c r="DP158" s="569">
        <f>IF(DG158&gt;0,((DI158)*('BD P&amp;G'!$E$16+'BD P&amp;G'!$E$17+'BD P&amp;G'!$E$18+'BD P&amp;G'!$E$19+'BD P&amp;G'!$E$20+'BD P&amp;G'!$E$21+'BD P&amp;G'!$E$22+'BD P&amp;G'!$E$23)*DH158),0)</f>
        <v>0</v>
      </c>
      <c r="DQ158" s="569">
        <f>IFERROR(IF(DG158&gt;0,((DI158*'BD P&amp;G'!$E$7)+(DI158*'BD P&amp;G'!$E$9)+AI155),0),0)</f>
        <v>0</v>
      </c>
      <c r="DR158" s="569">
        <f t="shared" ref="DR158" si="569">IFERROR(IF(DG158&gt;0,((DI158*1%)),0),0)</f>
        <v>0</v>
      </c>
      <c r="DS158" s="569">
        <f>IFERROR(IF(DG158&gt;0,(((DI158*'BD P&amp;G'!$E$32+DI158*'BD P&amp;G'!$E$33+DI158*'BD P&amp;G'!$E$35+DI158*'BD P&amp;G'!$E$36+DI158*'BD P&amp;G'!$E$37))),0),0)</f>
        <v>0</v>
      </c>
      <c r="DT158" s="569">
        <f t="shared" ref="DT158" si="570">IF(DG158&gt;0,(Y155*DH158),0)</f>
        <v>0</v>
      </c>
      <c r="DU158" s="569">
        <f t="shared" ref="DU158" si="571">IF(DG158&gt;0,(Z155*DH158),0)</f>
        <v>0</v>
      </c>
      <c r="DV158" s="575">
        <f t="shared" ref="DV158" si="572">IF(DG158&gt;0,(Y159*DH158),0)</f>
        <v>0</v>
      </c>
      <c r="DW158" s="575">
        <f t="shared" ref="DW158" si="573">IF(DG158&gt;0,(Z159*DH158),0)</f>
        <v>0</v>
      </c>
      <c r="DX158" s="569">
        <f t="shared" ref="DX158" si="574">IF(DV158&gt;0,DJ158,0)</f>
        <v>0</v>
      </c>
      <c r="DY158" s="569">
        <f t="shared" ref="DY158" si="575">IF(DW158&gt;0,DJ158,0)</f>
        <v>0</v>
      </c>
    </row>
    <row r="159" spans="1:194" s="175" customFormat="1" ht="60" customHeight="1" x14ac:dyDescent="0.3">
      <c r="A159" s="366"/>
      <c r="B159" s="367"/>
      <c r="C159" s="393" t="s">
        <v>35</v>
      </c>
      <c r="D159" s="599" t="str">
        <f>IFERROR(VLOOKUP(D155,'BD GN'!C:E,3,),"")</f>
        <v/>
      </c>
      <c r="E159" s="599"/>
      <c r="F159" s="599"/>
      <c r="G159" s="599"/>
      <c r="H159" s="599"/>
      <c r="I159" s="599"/>
      <c r="J159" s="604"/>
      <c r="K159" s="604"/>
      <c r="L159" s="607"/>
      <c r="M159" s="559"/>
      <c r="N159" s="610"/>
      <c r="O159" s="613"/>
      <c r="P159" s="192"/>
      <c r="Q159" s="239"/>
      <c r="R159" s="221" t="s">
        <v>210</v>
      </c>
      <c r="S159" s="234" t="str">
        <f>IFERROR(IF(N155="","",N155/W159),"")</f>
        <v/>
      </c>
      <c r="T159" s="226"/>
      <c r="U159" s="206"/>
      <c r="V159" s="220"/>
      <c r="W159" s="242" t="str">
        <f>+IF(J155*K155&gt;=1,J155*K155,IF(AND(J155*K155&gt;0,J155*K155&lt;1),1,""))</f>
        <v/>
      </c>
      <c r="X159" s="221" t="s">
        <v>298</v>
      </c>
      <c r="Y159" s="461">
        <f>IFERROR(IF(D155='BD GN'!$C$25,COTIZACIÓN!W159,IF(D155='BD GN'!$C$26,COTIZACIÓN!W159,IF(D155='BD GN'!$C$27,COTIZACIÓN!W159,IF(COTIZACIÓN!D155='BD GN'!$C$28,COTIZACIÓN!W159,IF(COTIZACIÓN!D155='BD GN'!$C$29,COTIZACIÓN!W159,IF(COTIZACIÓN!D155='BD GN'!$C$35,COTIZACIÓN!W159,IF(COTIZACIÓN!D155='BD GN'!$C$36,COTIZACIÓN!W159,IF(COTIZACIÓN!D155='BD GN'!$C$37,COTIZACIÓN!W159,IF(COTIZACIÓN!D155='BD GN'!$C$38,COTIZACIÓN!W159,IF(COTIZACIÓN!D155='BD GN'!$C$39,COTIZACIÓN!W159,IF(COTIZACIÓN!D155='BD GN'!$C$40,COTIZACIÓN!W159,IF(COTIZACIÓN!D155='BD GN'!$C$41,COTIZACIÓN!W159,IF(COTIZACIÓN!D155='BD GN'!$C$42,COTIZACIÓN!W159,IF(COTIZACIÓN!D155='BD GN'!$C$49,COTIZACIÓN!W159,IF(COTIZACIÓN!D155='BD GN'!$C$50,COTIZACIÓN!W159,IF(COTIZACIÓN!D155='BD GN'!$C$51,COTIZACIÓN!W159,IF(COTIZACIÓN!D155='BD GN'!$C$67,COTIZACIÓN!W159,0))))))))))))))))),0)</f>
        <v>0</v>
      </c>
      <c r="Z159" s="461">
        <f>IFERROR(W159-Y159,0)</f>
        <v>0</v>
      </c>
      <c r="AA159" s="225"/>
      <c r="AB159" s="226"/>
      <c r="AC159" s="206"/>
      <c r="AD159" s="206"/>
      <c r="AE159" s="206"/>
      <c r="AF159" s="227"/>
      <c r="AG159" s="206"/>
      <c r="AH159" s="206"/>
      <c r="AI159" s="206"/>
      <c r="AJ159" s="206"/>
      <c r="AK159" s="227"/>
      <c r="AL159" s="210"/>
      <c r="AM159" s="206"/>
      <c r="AN159" s="206"/>
      <c r="AO159" s="228"/>
      <c r="AP159" s="229"/>
      <c r="AQ159" s="206"/>
      <c r="AR159" s="206"/>
      <c r="AS159" s="228"/>
      <c r="AT159" s="229"/>
      <c r="AU159" s="228"/>
      <c r="AV159" s="229"/>
      <c r="AW159" s="228"/>
      <c r="AX159" s="229"/>
      <c r="AY159" s="206"/>
      <c r="AZ159" s="229"/>
      <c r="BA159" s="210"/>
      <c r="BC159" s="211" t="s">
        <v>117</v>
      </c>
      <c r="BD159" s="210"/>
      <c r="BE159" s="177" t="str">
        <f>IFERROR(VLOOKUP(D155,'BD M.O'!C:I,6,FALSE),"")</f>
        <v/>
      </c>
      <c r="BF159" s="177" t="s">
        <v>261</v>
      </c>
      <c r="BI159" s="210"/>
      <c r="BO159" s="210"/>
      <c r="BP159" s="183"/>
      <c r="BQ159" s="183"/>
      <c r="BR159" s="183"/>
      <c r="BW159" s="210"/>
      <c r="CD159" s="184"/>
      <c r="CF159" s="185"/>
      <c r="CI159" s="184"/>
      <c r="CJ159" s="210"/>
      <c r="CK159" s="563"/>
      <c r="CM159" s="559"/>
      <c r="CN159" s="627"/>
      <c r="CO159" s="630"/>
      <c r="CP159" s="630"/>
      <c r="CQ159" s="630"/>
      <c r="CR159" s="630"/>
      <c r="CS159" s="630"/>
      <c r="CT159" s="633"/>
      <c r="CU159" s="563"/>
      <c r="CV159" s="561"/>
      <c r="CW159" s="563"/>
      <c r="CX159" s="561"/>
      <c r="CY159" s="563"/>
      <c r="CZ159" s="561"/>
      <c r="DA159" s="563"/>
      <c r="DB159" s="561"/>
      <c r="DC159" s="563"/>
      <c r="DD159" s="561"/>
      <c r="DG159" s="576"/>
      <c r="DH159" s="576"/>
      <c r="DI159" s="570"/>
      <c r="DJ159" s="570"/>
      <c r="DK159" s="570"/>
      <c r="DL159" s="570"/>
      <c r="DM159" s="573"/>
      <c r="DN159" s="570"/>
      <c r="DO159" s="570"/>
      <c r="DP159" s="570"/>
      <c r="DQ159" s="570"/>
      <c r="DR159" s="570"/>
      <c r="DS159" s="570"/>
      <c r="DT159" s="570"/>
      <c r="DU159" s="570"/>
      <c r="DV159" s="576"/>
      <c r="DW159" s="576"/>
      <c r="DX159" s="570"/>
      <c r="DY159" s="570"/>
    </row>
    <row r="160" spans="1:194" s="252" customFormat="1" ht="60" customHeight="1" x14ac:dyDescent="0.25">
      <c r="A160" s="368"/>
      <c r="B160" s="369"/>
      <c r="C160" s="396" t="s">
        <v>10</v>
      </c>
      <c r="D160" s="645" t="s">
        <v>32</v>
      </c>
      <c r="E160" s="645"/>
      <c r="F160" s="645"/>
      <c r="G160" s="645"/>
      <c r="H160" s="645"/>
      <c r="I160" s="645"/>
      <c r="J160" s="643"/>
      <c r="K160" s="643"/>
      <c r="L160" s="646"/>
      <c r="M160" s="648"/>
      <c r="N160" s="649"/>
      <c r="O160" s="644"/>
      <c r="P160" s="192"/>
      <c r="Q160" s="239"/>
      <c r="R160" s="334" t="s">
        <v>475</v>
      </c>
      <c r="S160" s="234" t="str">
        <f>IFERROR(IF($C$12='BD GN'!$CC$1,VLOOKUP(COTIZACIÓN!D155,'BD GN'!CB:CG,2,FALSE),IF(COTIZACIÓN!$C$12='BD GN'!$CD$1,VLOOKUP(COTIZACIÓN!D155,'BD GN'!CB:CG,3,FALSE),IF($C$12='BD GN'!$CE$1,VLOOKUP(COTIZACIÓN!D155,'BD GN'!CB:CG,4,FALSE),IF(COTIZACIÓN!$C$12='BD GN'!$CF$1,VLOOKUP(COTIZACIÓN!D155,'BD GN'!CB:CG,5,FALSE),IF(COTIZACIÓN!$C$12='BD GN'!$CG$1,VLOOKUP(COTIZACIÓN!D155,'BD GN'!CB:CG,6,FALSE),""))))),"-")</f>
        <v/>
      </c>
      <c r="T160" s="243"/>
      <c r="U160" s="244"/>
      <c r="V160" s="245"/>
      <c r="W160" s="177" t="s">
        <v>394</v>
      </c>
      <c r="X160" s="246">
        <f>IFERROR(SUM(W155:X155),"")</f>
        <v>0</v>
      </c>
      <c r="Y160" s="166" t="s">
        <v>404</v>
      </c>
      <c r="Z160" s="199" t="str">
        <f>IFERROR(Y155+Z155,"")</f>
        <v/>
      </c>
      <c r="AA160" s="247"/>
      <c r="AB160" s="243"/>
      <c r="AC160" s="244"/>
      <c r="AD160" s="244"/>
      <c r="AE160" s="244"/>
      <c r="AF160" s="227"/>
      <c r="AG160" s="206"/>
      <c r="AH160" s="206"/>
      <c r="AI160" s="206"/>
      <c r="AJ160" s="206"/>
      <c r="AK160" s="227"/>
      <c r="AL160" s="227"/>
      <c r="AM160" s="248"/>
      <c r="AN160" s="248"/>
      <c r="AO160" s="249"/>
      <c r="AP160" s="250"/>
      <c r="AQ160" s="248"/>
      <c r="AR160" s="248"/>
      <c r="AS160" s="249"/>
      <c r="AT160" s="250"/>
      <c r="AU160" s="249"/>
      <c r="AV160" s="250"/>
      <c r="AW160" s="249"/>
      <c r="AX160" s="250"/>
      <c r="AY160" s="248"/>
      <c r="AZ160" s="250"/>
      <c r="BA160" s="210"/>
      <c r="BB160" s="175"/>
      <c r="BC160" s="175" t="s">
        <v>118</v>
      </c>
      <c r="BD160" s="210"/>
      <c r="BE160" s="251" t="str">
        <f>IFERROR(VLOOKUP(D155,'BD M.O'!C:I,7,FALSE),"")</f>
        <v/>
      </c>
      <c r="BF160" s="251" t="s">
        <v>262</v>
      </c>
      <c r="BG160" s="175"/>
      <c r="BH160" s="175"/>
      <c r="BI160" s="210"/>
      <c r="BJ160" s="175"/>
      <c r="BK160" s="175"/>
      <c r="BL160" s="175"/>
      <c r="BM160" s="175"/>
      <c r="BN160" s="175"/>
      <c r="BO160" s="210"/>
      <c r="BP160" s="175"/>
      <c r="BQ160" s="175"/>
      <c r="BR160" s="175"/>
      <c r="BS160" s="183"/>
      <c r="BT160" s="183"/>
      <c r="BU160" s="183"/>
      <c r="BV160" s="183"/>
      <c r="BW160" s="210"/>
      <c r="BX160" s="175"/>
      <c r="BY160" s="175"/>
      <c r="BZ160" s="175"/>
      <c r="CA160" s="175"/>
      <c r="CB160" s="175"/>
      <c r="CC160" s="175"/>
      <c r="CD160" s="184"/>
      <c r="CE160" s="175"/>
      <c r="CF160" s="185"/>
      <c r="CG160" s="175"/>
      <c r="CH160" s="175"/>
      <c r="CI160" s="184"/>
      <c r="CJ160" s="210"/>
      <c r="CK160" s="564"/>
      <c r="CL160" s="257"/>
      <c r="CM160" s="597"/>
      <c r="CN160" s="628"/>
      <c r="CO160" s="631"/>
      <c r="CP160" s="631"/>
      <c r="CQ160" s="631"/>
      <c r="CR160" s="631"/>
      <c r="CS160" s="631"/>
      <c r="CT160" s="634"/>
      <c r="CU160" s="564"/>
      <c r="CV160" s="562"/>
      <c r="CW160" s="564"/>
      <c r="CX160" s="562"/>
      <c r="CY160" s="564"/>
      <c r="CZ160" s="562"/>
      <c r="DA160" s="564"/>
      <c r="DB160" s="562"/>
      <c r="DC160" s="564"/>
      <c r="DD160" s="562"/>
      <c r="DE160" s="175"/>
      <c r="DF160" s="175"/>
      <c r="DG160" s="577"/>
      <c r="DH160" s="577"/>
      <c r="DI160" s="571"/>
      <c r="DJ160" s="571"/>
      <c r="DK160" s="571"/>
      <c r="DL160" s="571"/>
      <c r="DM160" s="574"/>
      <c r="DN160" s="571"/>
      <c r="DO160" s="571"/>
      <c r="DP160" s="571"/>
      <c r="DQ160" s="571"/>
      <c r="DR160" s="571"/>
      <c r="DS160" s="571"/>
      <c r="DT160" s="571"/>
      <c r="DU160" s="571"/>
      <c r="DV160" s="577"/>
      <c r="DW160" s="577"/>
      <c r="DX160" s="571"/>
      <c r="DY160" s="571"/>
      <c r="DZ160" s="175"/>
      <c r="EA160" s="175"/>
      <c r="EB160" s="175"/>
      <c r="EC160" s="175"/>
      <c r="ED160" s="175"/>
      <c r="EE160" s="175"/>
      <c r="EF160" s="175"/>
      <c r="EG160" s="175"/>
      <c r="EH160" s="175"/>
      <c r="EI160" s="175"/>
      <c r="EJ160" s="175"/>
      <c r="EK160" s="175"/>
      <c r="EL160" s="175"/>
      <c r="EM160" s="175"/>
      <c r="EN160" s="175"/>
      <c r="EO160" s="175"/>
      <c r="EP160" s="175"/>
      <c r="EQ160" s="175"/>
      <c r="ER160" s="175"/>
      <c r="ES160" s="175"/>
      <c r="ET160" s="175"/>
      <c r="EU160" s="175"/>
      <c r="EV160" s="175"/>
      <c r="EW160" s="175"/>
      <c r="EX160" s="175"/>
      <c r="EY160" s="175"/>
      <c r="EZ160" s="175"/>
      <c r="FA160" s="175"/>
      <c r="FB160" s="175"/>
      <c r="FC160" s="175"/>
      <c r="FD160" s="175"/>
      <c r="FE160" s="175"/>
      <c r="FF160" s="175"/>
      <c r="FG160" s="175"/>
      <c r="FH160" s="175"/>
      <c r="FI160" s="175"/>
      <c r="FJ160" s="175"/>
      <c r="FK160" s="175"/>
      <c r="FL160" s="175"/>
      <c r="FM160" s="175"/>
      <c r="FN160" s="175"/>
      <c r="FO160" s="175"/>
      <c r="FP160" s="175"/>
      <c r="FQ160" s="175"/>
      <c r="FR160" s="175"/>
      <c r="FS160" s="175"/>
      <c r="FT160" s="175"/>
      <c r="FU160" s="175"/>
      <c r="FV160" s="175"/>
      <c r="FW160" s="175"/>
      <c r="FX160" s="175"/>
      <c r="FY160" s="175"/>
      <c r="FZ160" s="175"/>
      <c r="GA160" s="175"/>
      <c r="GB160" s="175"/>
      <c r="GC160" s="175"/>
      <c r="GD160" s="175"/>
      <c r="GE160" s="175"/>
      <c r="GF160" s="175"/>
      <c r="GG160" s="175"/>
      <c r="GH160" s="175"/>
      <c r="GI160" s="175"/>
      <c r="GJ160" s="175"/>
      <c r="GK160" s="175"/>
      <c r="GL160" s="175"/>
    </row>
    <row r="161" spans="1:194" s="255" customFormat="1" ht="60" customHeight="1" x14ac:dyDescent="0.3">
      <c r="A161" s="362" t="s">
        <v>193</v>
      </c>
      <c r="B161" s="363" t="s">
        <v>25</v>
      </c>
      <c r="C161" s="391" t="s">
        <v>174</v>
      </c>
      <c r="D161" s="640" t="s">
        <v>173</v>
      </c>
      <c r="E161" s="640"/>
      <c r="F161" s="640"/>
      <c r="G161" s="640"/>
      <c r="H161" s="640"/>
      <c r="I161" s="640"/>
      <c r="J161" s="418" t="s">
        <v>443</v>
      </c>
      <c r="K161" s="418" t="s">
        <v>444</v>
      </c>
      <c r="L161" s="418" t="s">
        <v>171</v>
      </c>
      <c r="M161" s="363" t="s">
        <v>2</v>
      </c>
      <c r="N161" s="419" t="s">
        <v>7</v>
      </c>
      <c r="O161" s="420" t="s">
        <v>8</v>
      </c>
      <c r="P161" s="159"/>
      <c r="Q161" s="164" t="s">
        <v>93</v>
      </c>
      <c r="R161" s="164" t="s">
        <v>34</v>
      </c>
      <c r="S161" s="164" t="s">
        <v>28</v>
      </c>
      <c r="T161" s="164" t="s">
        <v>95</v>
      </c>
      <c r="U161" s="164" t="s">
        <v>96</v>
      </c>
      <c r="V161" s="164" t="s">
        <v>97</v>
      </c>
      <c r="W161" s="164" t="s">
        <v>4</v>
      </c>
      <c r="X161" s="164" t="s">
        <v>103</v>
      </c>
      <c r="Y161" s="160" t="s">
        <v>402</v>
      </c>
      <c r="Z161" s="165" t="s">
        <v>403</v>
      </c>
      <c r="AA161" s="166" t="s">
        <v>404</v>
      </c>
      <c r="AB161" s="164" t="s">
        <v>99</v>
      </c>
      <c r="AC161" s="164" t="s">
        <v>395</v>
      </c>
      <c r="AD161" s="253" t="s">
        <v>36</v>
      </c>
      <c r="AE161" s="164" t="s">
        <v>389</v>
      </c>
      <c r="AF161" s="164" t="s">
        <v>390</v>
      </c>
      <c r="AG161" s="164" t="s">
        <v>164</v>
      </c>
      <c r="AH161" s="253" t="s">
        <v>396</v>
      </c>
      <c r="AI161" s="164" t="s">
        <v>190</v>
      </c>
      <c r="AJ161" s="164" t="s">
        <v>339</v>
      </c>
      <c r="AK161" s="253" t="s">
        <v>391</v>
      </c>
      <c r="AL161" s="253" t="s">
        <v>393</v>
      </c>
      <c r="AM161" s="167" t="s">
        <v>93</v>
      </c>
      <c r="AN161" s="168" t="s">
        <v>34</v>
      </c>
      <c r="AO161" s="169" t="s">
        <v>28</v>
      </c>
      <c r="AP161" s="170" t="s">
        <v>95</v>
      </c>
      <c r="AQ161" s="167" t="s">
        <v>3</v>
      </c>
      <c r="AR161" s="167" t="s">
        <v>96</v>
      </c>
      <c r="AS161" s="169" t="s">
        <v>97</v>
      </c>
      <c r="AT161" s="170" t="s">
        <v>4</v>
      </c>
      <c r="AU161" s="169" t="s">
        <v>103</v>
      </c>
      <c r="AV161" s="170" t="s">
        <v>99</v>
      </c>
      <c r="AW161" s="169" t="s">
        <v>36</v>
      </c>
      <c r="AX161" s="171" t="s">
        <v>29</v>
      </c>
      <c r="AY161" s="172" t="s">
        <v>190</v>
      </c>
      <c r="AZ161" s="173" t="s">
        <v>102</v>
      </c>
      <c r="BA161" s="174"/>
      <c r="BB161" s="183"/>
      <c r="BC161" s="211" t="s">
        <v>119</v>
      </c>
      <c r="BD161" s="174"/>
      <c r="BE161" s="176" t="s">
        <v>189</v>
      </c>
      <c r="BF161" s="177" t="str">
        <f>$BF$13</f>
        <v xml:space="preserve">VR SILICONA </v>
      </c>
      <c r="BG161" s="177" t="str">
        <f>$BG$13</f>
        <v xml:space="preserve">VR PELÍCULA </v>
      </c>
      <c r="BH161" s="254" t="str">
        <f>$BH$13</f>
        <v>VR EMBALAJE</v>
      </c>
      <c r="BI161" s="174"/>
      <c r="BJ161" s="176" t="str">
        <f>$BJ$13</f>
        <v>ESP. CRISTAL</v>
      </c>
      <c r="BK161" s="176" t="s">
        <v>130</v>
      </c>
      <c r="BL161" s="177" t="s">
        <v>28</v>
      </c>
      <c r="BM161" s="177" t="str">
        <f>BM154</f>
        <v>TOTAL</v>
      </c>
      <c r="BN161" s="177" t="s">
        <v>133</v>
      </c>
      <c r="BO161" s="174"/>
      <c r="BP161" s="175"/>
      <c r="BQ161" s="175"/>
      <c r="BR161" s="175"/>
      <c r="BS161" s="175"/>
      <c r="BT161" s="175"/>
      <c r="BU161" s="175"/>
      <c r="BV161" s="175"/>
      <c r="BW161" s="174"/>
      <c r="BX161" s="175"/>
      <c r="BY161" s="175"/>
      <c r="BZ161" s="175"/>
      <c r="CA161" s="175"/>
      <c r="CB161" s="175"/>
      <c r="CC161" s="175"/>
      <c r="CD161" s="184"/>
      <c r="CE161" s="175"/>
      <c r="CF161" s="185"/>
      <c r="CG161" s="175"/>
      <c r="CH161" s="175"/>
      <c r="CI161" s="184"/>
      <c r="CJ161" s="174"/>
      <c r="CK161" s="186" t="s">
        <v>415</v>
      </c>
      <c r="CL161" s="187" t="s">
        <v>417</v>
      </c>
      <c r="CM161" s="187" t="s">
        <v>416</v>
      </c>
      <c r="CN161" s="188" t="s">
        <v>418</v>
      </c>
      <c r="CO161" s="187" t="s">
        <v>417</v>
      </c>
      <c r="CP161" s="187" t="s">
        <v>409</v>
      </c>
      <c r="CQ161" s="187" t="s">
        <v>410</v>
      </c>
      <c r="CR161" s="187" t="s">
        <v>411</v>
      </c>
      <c r="CS161" s="187" t="s">
        <v>412</v>
      </c>
      <c r="CT161" s="187" t="s">
        <v>413</v>
      </c>
      <c r="CU161" s="189" t="s">
        <v>2</v>
      </c>
      <c r="CV161" s="190" t="s">
        <v>159</v>
      </c>
      <c r="CW161" s="189" t="s">
        <v>2</v>
      </c>
      <c r="CX161" s="190" t="s">
        <v>159</v>
      </c>
      <c r="CY161" s="189" t="s">
        <v>2</v>
      </c>
      <c r="CZ161" s="190" t="s">
        <v>159</v>
      </c>
      <c r="DA161" s="189" t="s">
        <v>2</v>
      </c>
      <c r="DB161" s="190" t="s">
        <v>159</v>
      </c>
      <c r="DC161" s="189" t="s">
        <v>2</v>
      </c>
      <c r="DD161" s="190" t="s">
        <v>159</v>
      </c>
      <c r="DE161" s="183"/>
      <c r="DF161" s="183"/>
      <c r="DG161" s="177" t="s">
        <v>505</v>
      </c>
      <c r="DH161" s="472" t="s">
        <v>509</v>
      </c>
      <c r="DI161" s="457" t="s">
        <v>506</v>
      </c>
      <c r="DJ161" s="457" t="s">
        <v>134</v>
      </c>
      <c r="DK161" s="457" t="s">
        <v>498</v>
      </c>
      <c r="DL161" s="457" t="s">
        <v>499</v>
      </c>
      <c r="DM161" s="457" t="s">
        <v>500</v>
      </c>
      <c r="DN161" s="457" t="s">
        <v>131</v>
      </c>
      <c r="DO161" s="457" t="s">
        <v>390</v>
      </c>
      <c r="DP161" s="457" t="s">
        <v>36</v>
      </c>
      <c r="DQ161" s="457" t="s">
        <v>501</v>
      </c>
      <c r="DR161" s="457" t="s">
        <v>502</v>
      </c>
      <c r="DS161" s="457" t="s">
        <v>503</v>
      </c>
      <c r="DT161" s="457" t="s">
        <v>4</v>
      </c>
      <c r="DU161" s="457" t="s">
        <v>504</v>
      </c>
      <c r="DV161" s="466" t="s">
        <v>507</v>
      </c>
      <c r="DW161" s="466" t="s">
        <v>508</v>
      </c>
      <c r="DX161" s="457" t="s">
        <v>510</v>
      </c>
      <c r="DY161" s="457" t="s">
        <v>511</v>
      </c>
      <c r="DZ161" s="183"/>
      <c r="EA161" s="183"/>
      <c r="EB161" s="183"/>
      <c r="EC161" s="183"/>
      <c r="ED161" s="183"/>
      <c r="EE161" s="183"/>
      <c r="EF161" s="183"/>
      <c r="EG161" s="183"/>
      <c r="EH161" s="183"/>
      <c r="EI161" s="183"/>
      <c r="EJ161" s="183"/>
      <c r="EK161" s="183"/>
      <c r="EL161" s="183"/>
      <c r="EM161" s="183"/>
      <c r="EN161" s="183"/>
      <c r="EO161" s="183"/>
      <c r="EP161" s="183"/>
      <c r="EQ161" s="183"/>
      <c r="ER161" s="183"/>
      <c r="ES161" s="183"/>
      <c r="ET161" s="183"/>
      <c r="EU161" s="183"/>
      <c r="EV161" s="183"/>
      <c r="EW161" s="183"/>
      <c r="EX161" s="183"/>
      <c r="EY161" s="183"/>
      <c r="EZ161" s="183"/>
      <c r="FA161" s="183"/>
      <c r="FB161" s="183"/>
      <c r="FC161" s="183"/>
      <c r="FD161" s="183"/>
      <c r="FE161" s="183"/>
      <c r="FF161" s="183"/>
      <c r="FG161" s="183"/>
      <c r="FH161" s="183"/>
      <c r="FI161" s="183"/>
      <c r="FJ161" s="183"/>
      <c r="FK161" s="183"/>
      <c r="FL161" s="183"/>
      <c r="FM161" s="183"/>
      <c r="FN161" s="183"/>
      <c r="FO161" s="183"/>
      <c r="FP161" s="183"/>
      <c r="FQ161" s="183"/>
      <c r="FR161" s="183"/>
      <c r="FS161" s="183"/>
      <c r="FT161" s="183"/>
      <c r="FU161" s="183"/>
      <c r="FV161" s="183"/>
      <c r="FW161" s="183"/>
      <c r="FX161" s="183"/>
      <c r="FY161" s="183"/>
      <c r="FZ161" s="183"/>
      <c r="GA161" s="183"/>
      <c r="GB161" s="183"/>
      <c r="GC161" s="183"/>
      <c r="GD161" s="183"/>
      <c r="GE161" s="183"/>
      <c r="GF161" s="183"/>
      <c r="GG161" s="183"/>
      <c r="GH161" s="183"/>
      <c r="GI161" s="183"/>
      <c r="GJ161" s="183"/>
      <c r="GK161" s="183"/>
      <c r="GL161" s="183"/>
    </row>
    <row r="162" spans="1:194" s="175" customFormat="1" ht="60" customHeight="1" x14ac:dyDescent="0.3">
      <c r="A162" s="364"/>
      <c r="B162" s="365"/>
      <c r="C162" s="392" t="s">
        <v>27</v>
      </c>
      <c r="D162" s="641"/>
      <c r="E162" s="641"/>
      <c r="F162" s="641"/>
      <c r="G162" s="641"/>
      <c r="H162" s="641"/>
      <c r="I162" s="641"/>
      <c r="J162" s="642"/>
      <c r="K162" s="642"/>
      <c r="L162" s="622">
        <f>J162*K162*M162</f>
        <v>0</v>
      </c>
      <c r="M162" s="623"/>
      <c r="N162" s="620">
        <f>IFERROR(AL162,"")</f>
        <v>1.0765546639999999</v>
      </c>
      <c r="O162" s="621">
        <f>IFERROR(N162*M162,"")</f>
        <v>0</v>
      </c>
      <c r="P162" s="192"/>
      <c r="Q162" s="193">
        <f>Q163+BF162+($R$350*Q163)</f>
        <v>0</v>
      </c>
      <c r="R162" s="193">
        <f>IFERROR(R163+($R$348*R163),"")</f>
        <v>0</v>
      </c>
      <c r="S162" s="194">
        <f>+IF(R164="SI",((W166*'BD GN'!$AB$2)+S163)*1,COTIZACIÓN!S163*1)+(P163*S163)</f>
        <v>0</v>
      </c>
      <c r="T162" s="195">
        <f>IFERROR(R162*IF(K162&lt;=3,$T$13,15%),"")</f>
        <v>0</v>
      </c>
      <c r="U162" s="196">
        <f>BH162+BG162</f>
        <v>0</v>
      </c>
      <c r="V162" s="197" t="str">
        <f>IFERROR(BN162,0)</f>
        <v/>
      </c>
      <c r="W162" s="198" t="str">
        <f>IFERROR(IF(X164="SI",W165*J162*K162,IF(BE162=3,BE164,IF(BE162=4,BE165,IF(BE162=5,BE166,IF(BE162&gt;5,BE166+(BE167*(BE162-5)),"")))))*0,"")</f>
        <v/>
      </c>
      <c r="X162" s="198" t="str">
        <f>IFERROR(IF(X163="NO",(VLOOKUP(D162,'BD M.O'!C:E,3,FALSE))*W166,((VLOOKUP(D162,'BD M.O'!C:E,3,FALSE))+7500)*W166),"")</f>
        <v/>
      </c>
      <c r="Y162" s="198">
        <f>IFERROR($Y$13*AK162,"")</f>
        <v>4.2084457416288003E-2</v>
      </c>
      <c r="Z162" s="332" t="str">
        <f>IFERROR(($Z$13*AK162)+X162,"")</f>
        <v/>
      </c>
      <c r="AA162" s="199" t="str">
        <f>IFERROR(Y162+Z162,"")</f>
        <v/>
      </c>
      <c r="AB162" s="200">
        <f>IFERROR((SUM(Q162:X162)-T162+T164)*$AB$13,"")</f>
        <v>0</v>
      </c>
      <c r="AC162" s="201">
        <f>IFERROR(((SUM(Q162:V162,IF(X167&gt;AA162,AVERAGE(X167,AA162),AA162))-T162+T164))*$AB$13,"")</f>
        <v>0</v>
      </c>
      <c r="AD162" s="202" t="str">
        <f>IFERROR((J162*K162*$BV$14),"")</f>
        <v/>
      </c>
      <c r="AE162" s="202">
        <f>IFERROR($AE$13*AK162,"")</f>
        <v>6.4010592649919984E-2</v>
      </c>
      <c r="AF162" s="203" t="str">
        <f>IFERROR(($CI$11+$CI$13)*W166,"")</f>
        <v/>
      </c>
      <c r="AG162" s="202">
        <f>IFERROR((SUM(Q162:X162,AB162,AD162,AF162)-T162+T164)*$AG$13,"")</f>
        <v>0</v>
      </c>
      <c r="AH162" s="202">
        <f>IFERROR((SUM(Q162:V162,(IF(X167&gt;AA162,AVERAGE(X167,AA162),AA162)),AC162,AE162,AF162)-T162+T164)*$AG$13,"")</f>
        <v>3.2005296324959992E-2</v>
      </c>
      <c r="AI162" s="204">
        <f>IFERROR(AL162*$AI$13,"")</f>
        <v>2.1531093279999997E-2</v>
      </c>
      <c r="AJ162" s="204">
        <f>IFERROR($AJ$13*AL162,"")</f>
        <v>6.007175025119999E-3</v>
      </c>
      <c r="AK162" s="205">
        <f>IFERROR(SUM(Q162:X162,AB162,AD162,AG162,AF162)/(1-$AI$13)+(1-$AJ$13)-T162+T164,"")</f>
        <v>0.99441999999999997</v>
      </c>
      <c r="AL162" s="205">
        <f>IFERROR(SUM(Q162:V162,AC162,(IF(AD162&gt;AE162,AVERAGE(AD162,AE162),AE162)),AF162,,AH162,(IF(SUM(X167)&gt;AA162,AVERAGE(AA162,X167),AA162)))/(1-$AJ$13)+(1-$AI$13)-T162+T164,"")</f>
        <v>1.0765546639999999</v>
      </c>
      <c r="AM162" s="206">
        <f>$M$15*Q162</f>
        <v>0</v>
      </c>
      <c r="AN162" s="207">
        <f>$M$15*R162</f>
        <v>0</v>
      </c>
      <c r="AO162" s="208">
        <f>$M$15*S162</f>
        <v>0</v>
      </c>
      <c r="AP162" s="207">
        <f>$M$15*T162</f>
        <v>0</v>
      </c>
      <c r="AQ162" s="207" t="e">
        <f>$M$15*#REF!</f>
        <v>#REF!</v>
      </c>
      <c r="AR162" s="207">
        <f>$M$15*U162</f>
        <v>0</v>
      </c>
      <c r="AS162" s="208" t="e">
        <f>$M$15*V162</f>
        <v>#VALUE!</v>
      </c>
      <c r="AT162" s="207" t="e">
        <f>$M$15*W162</f>
        <v>#VALUE!</v>
      </c>
      <c r="AU162" s="208" t="e">
        <f>$M$15*X162</f>
        <v>#VALUE!</v>
      </c>
      <c r="AV162" s="207">
        <f>$M$15*AB162</f>
        <v>0</v>
      </c>
      <c r="AW162" s="208">
        <f>$M$15*AE162</f>
        <v>0</v>
      </c>
      <c r="AX162" s="207">
        <f>$M$15*AG162</f>
        <v>0</v>
      </c>
      <c r="AY162" s="209">
        <f>$M$15*AI162</f>
        <v>0</v>
      </c>
      <c r="AZ162" s="207">
        <f>$M$15*AK162</f>
        <v>0</v>
      </c>
      <c r="BA162" s="210"/>
      <c r="BB162" s="175" t="s">
        <v>23</v>
      </c>
      <c r="BC162" s="211" t="s">
        <v>113</v>
      </c>
      <c r="BD162" s="210"/>
      <c r="BE162" s="212"/>
      <c r="BF162" s="213">
        <f>IF(BH163="NO",((2*J162)+(2*K162))*'BD GN'!$AU$3,((3*J162)+(2*K162))*'BD GN'!$AU$3)</f>
        <v>0</v>
      </c>
      <c r="BG162" s="213">
        <f>'BD GN'!$BB$3*J162*K162</f>
        <v>0</v>
      </c>
      <c r="BH162" s="214">
        <f>((J162*2*BE162)+(K162*2*BE162))*'BD GN'!$AN$4</f>
        <v>0</v>
      </c>
      <c r="BI162" s="210"/>
      <c r="BJ162" s="212"/>
      <c r="BK162" s="212"/>
      <c r="BL162" s="215">
        <f>J162*K162*2.5*BJ162</f>
        <v>0</v>
      </c>
      <c r="BM162" s="215">
        <f>BK162+BL162</f>
        <v>0</v>
      </c>
      <c r="BN162" s="216" t="str">
        <f>IFERROR((VLOOKUP($C$12,'BD GN'!BD:BM,10,FALSE)*BM162)+$BR$338,"")</f>
        <v/>
      </c>
      <c r="BO162" s="210"/>
      <c r="BW162" s="210"/>
      <c r="CD162" s="184"/>
      <c r="CF162" s="185"/>
      <c r="CI162" s="184"/>
      <c r="CJ162" s="210"/>
      <c r="CK162" s="565"/>
      <c r="CL162" s="256"/>
      <c r="CM162" s="596"/>
      <c r="CN162" s="626"/>
      <c r="CO162" s="629"/>
      <c r="CP162" s="629"/>
      <c r="CQ162" s="629"/>
      <c r="CR162" s="629"/>
      <c r="CS162" s="629"/>
      <c r="CT162" s="632"/>
      <c r="CU162" s="565"/>
      <c r="CV162" s="560">
        <f>IFERROR(N162*CU162,"")</f>
        <v>0</v>
      </c>
      <c r="CW162" s="565"/>
      <c r="CX162" s="560">
        <f>IFERROR(P162*CW162,"")</f>
        <v>0</v>
      </c>
      <c r="CY162" s="565"/>
      <c r="CZ162" s="560">
        <f>IFERROR(R162*CY162,"")</f>
        <v>0</v>
      </c>
      <c r="DA162" s="565">
        <f t="shared" ref="DA162" si="576">CU162+CW162+CY162</f>
        <v>0</v>
      </c>
      <c r="DB162" s="560">
        <f t="shared" ref="DB162" si="577">IFERROR(CV162+CX162+CZ162,"")</f>
        <v>0</v>
      </c>
      <c r="DC162" s="565">
        <f>M162-(CU162+CW162+CY162)</f>
        <v>0</v>
      </c>
      <c r="DD162" s="560">
        <f>IFERROR(O162-(CV162+CX162+CZ162),"")</f>
        <v>0</v>
      </c>
      <c r="DG162" s="575"/>
      <c r="DH162" s="575"/>
      <c r="DI162" s="569">
        <f t="shared" ref="DI162" si="578">IFERROR(IF(DG162&gt;0,(((N162)/(1+10%+19%*5%)+((N162)/(1+10%+19%*5%))*10%)*DH162),0),0)</f>
        <v>0</v>
      </c>
      <c r="DJ162" s="569">
        <f t="shared" ref="DJ162" si="579">IFERROR(IF(DG162&gt;0,(N162*DH162),0),0)</f>
        <v>0</v>
      </c>
      <c r="DK162" s="569">
        <f t="shared" ref="DK162" si="580">IF(DG162&gt;0,((R162+T162)*DH162),0)</f>
        <v>0</v>
      </c>
      <c r="DL162" s="569">
        <f t="shared" ref="DL162" si="581">IF(DG162&gt;0,(Q162*DH162),0)</f>
        <v>0</v>
      </c>
      <c r="DM162" s="572">
        <f t="shared" ref="DM162" si="582">IF(DG162&gt;0,(S162*DH162),0)</f>
        <v>0</v>
      </c>
      <c r="DN162" s="569">
        <f t="shared" ref="DN162" si="583">IF(DG162&gt;0,(BN162*DH162),0)</f>
        <v>0</v>
      </c>
      <c r="DO162" s="569">
        <f t="shared" ref="DO162" si="584">IF(DG162&gt;0,(AF162*DH162),0)</f>
        <v>0</v>
      </c>
      <c r="DP162" s="569">
        <f>IF(DG162&gt;0,((DI162)*('BD P&amp;G'!$E$16+'BD P&amp;G'!$E$17+'BD P&amp;G'!$E$18+'BD P&amp;G'!$E$19+'BD P&amp;G'!$E$20+'BD P&amp;G'!$E$21+'BD P&amp;G'!$E$22+'BD P&amp;G'!$E$23)*DH162),0)</f>
        <v>0</v>
      </c>
      <c r="DQ162" s="569">
        <f>IFERROR(IF(DG162&gt;0,((DI162*'BD P&amp;G'!$E$7)+(DI162*'BD P&amp;G'!$E$9)+AI162),0),0)</f>
        <v>0</v>
      </c>
      <c r="DR162" s="569">
        <f t="shared" ref="DR162" si="585">IFERROR(IF(DG162&gt;0,((DI162*1%)),0),0)</f>
        <v>0</v>
      </c>
      <c r="DS162" s="569">
        <f>IFERROR(IF(DG162&gt;0,(((DI162*'BD P&amp;G'!$E$32+DI162*'BD P&amp;G'!$E$33+DI162*'BD P&amp;G'!$E$35+DI162*'BD P&amp;G'!$E$36+DI162*'BD P&amp;G'!$E$37))),0),0)</f>
        <v>0</v>
      </c>
      <c r="DT162" s="569">
        <f t="shared" ref="DT162" si="586">IF(DG162&gt;0,(Y162*DH162),0)</f>
        <v>0</v>
      </c>
      <c r="DU162" s="569">
        <f t="shared" ref="DU162" si="587">IF(DG162&gt;0,(Z162*DH162),0)</f>
        <v>0</v>
      </c>
      <c r="DV162" s="575">
        <f t="shared" ref="DV162" si="588">IF(DG162&gt;0,(Y166*DH162),0)</f>
        <v>0</v>
      </c>
      <c r="DW162" s="575">
        <f t="shared" ref="DW162" si="589">IF(DG162&gt;0,(Z166*DH162),0)</f>
        <v>0</v>
      </c>
      <c r="DX162" s="569">
        <f t="shared" ref="DX162" si="590">IF(DV162&gt;0,DJ162,0)</f>
        <v>0</v>
      </c>
      <c r="DY162" s="569">
        <f t="shared" ref="DY162" si="591">IF(DW162&gt;0,DJ162,0)</f>
        <v>0</v>
      </c>
    </row>
    <row r="163" spans="1:194" s="175" customFormat="1" ht="60" customHeight="1" x14ac:dyDescent="0.25">
      <c r="A163" s="366"/>
      <c r="B163" s="367"/>
      <c r="C163" s="393" t="s">
        <v>28</v>
      </c>
      <c r="D163" s="598"/>
      <c r="E163" s="598"/>
      <c r="F163" s="598"/>
      <c r="G163" s="598"/>
      <c r="H163" s="598"/>
      <c r="I163" s="598"/>
      <c r="J163" s="604"/>
      <c r="K163" s="604"/>
      <c r="L163" s="607"/>
      <c r="M163" s="559"/>
      <c r="N163" s="610"/>
      <c r="O163" s="613"/>
      <c r="P163" s="192"/>
      <c r="Q163" s="217"/>
      <c r="R163" s="217"/>
      <c r="S163" s="218"/>
      <c r="T163" s="219">
        <f>IFERROR(T162/$R$353,"")</f>
        <v>0</v>
      </c>
      <c r="U163" s="206"/>
      <c r="V163" s="220"/>
      <c r="W163" s="221" t="s">
        <v>239</v>
      </c>
      <c r="X163" s="222" t="s">
        <v>204</v>
      </c>
      <c r="Y163" s="223"/>
      <c r="Z163" s="224"/>
      <c r="AA163" s="225"/>
      <c r="AB163" s="226"/>
      <c r="AC163" s="206"/>
      <c r="AD163" s="206"/>
      <c r="AE163" s="206"/>
      <c r="AF163" s="227"/>
      <c r="AG163" s="206"/>
      <c r="AH163" s="206"/>
      <c r="AI163" s="206"/>
      <c r="AJ163" s="206"/>
      <c r="AK163" s="227"/>
      <c r="AL163" s="210"/>
      <c r="AM163" s="206"/>
      <c r="AN163" s="206"/>
      <c r="AO163" s="228"/>
      <c r="AP163" s="229"/>
      <c r="AQ163" s="206"/>
      <c r="AR163" s="206"/>
      <c r="AS163" s="228"/>
      <c r="AT163" s="229"/>
      <c r="AU163" s="228"/>
      <c r="AV163" s="229"/>
      <c r="AW163" s="228"/>
      <c r="AX163" s="229"/>
      <c r="AY163" s="206"/>
      <c r="AZ163" s="229"/>
      <c r="BA163" s="210"/>
      <c r="BB163" s="175" t="s">
        <v>24</v>
      </c>
      <c r="BC163" s="175" t="s">
        <v>114</v>
      </c>
      <c r="BD163" s="210"/>
      <c r="BE163" s="176" t="s">
        <v>206</v>
      </c>
      <c r="BF163" s="230" t="s">
        <v>204</v>
      </c>
      <c r="BG163" s="176" t="s">
        <v>290</v>
      </c>
      <c r="BH163" s="231" t="s">
        <v>204</v>
      </c>
      <c r="BI163" s="210"/>
      <c r="BN163" s="232"/>
      <c r="BO163" s="210"/>
      <c r="BV163" s="184"/>
      <c r="BW163" s="210"/>
      <c r="CD163" s="184"/>
      <c r="CF163" s="185"/>
      <c r="CI163" s="184"/>
      <c r="CJ163" s="210"/>
      <c r="CK163" s="563"/>
      <c r="CM163" s="559"/>
      <c r="CN163" s="627"/>
      <c r="CO163" s="630"/>
      <c r="CP163" s="630"/>
      <c r="CQ163" s="630"/>
      <c r="CR163" s="630"/>
      <c r="CS163" s="630"/>
      <c r="CT163" s="633"/>
      <c r="CU163" s="563"/>
      <c r="CV163" s="561"/>
      <c r="CW163" s="563"/>
      <c r="CX163" s="561"/>
      <c r="CY163" s="563"/>
      <c r="CZ163" s="561"/>
      <c r="DA163" s="563"/>
      <c r="DB163" s="561"/>
      <c r="DC163" s="563"/>
      <c r="DD163" s="561"/>
      <c r="DG163" s="576"/>
      <c r="DH163" s="576"/>
      <c r="DI163" s="570"/>
      <c r="DJ163" s="570"/>
      <c r="DK163" s="570"/>
      <c r="DL163" s="570"/>
      <c r="DM163" s="573"/>
      <c r="DN163" s="570"/>
      <c r="DO163" s="570"/>
      <c r="DP163" s="570"/>
      <c r="DQ163" s="570"/>
      <c r="DR163" s="570"/>
      <c r="DS163" s="570"/>
      <c r="DT163" s="570"/>
      <c r="DU163" s="570"/>
      <c r="DV163" s="576"/>
      <c r="DW163" s="576"/>
      <c r="DX163" s="570"/>
      <c r="DY163" s="570"/>
    </row>
    <row r="164" spans="1:194" s="175" customFormat="1" ht="60" customHeight="1" x14ac:dyDescent="0.3">
      <c r="A164" s="366"/>
      <c r="B164" s="367"/>
      <c r="C164" s="393" t="s">
        <v>30</v>
      </c>
      <c r="D164" s="599"/>
      <c r="E164" s="599"/>
      <c r="F164" s="599"/>
      <c r="G164" s="599"/>
      <c r="H164" s="599"/>
      <c r="I164" s="599"/>
      <c r="J164" s="604"/>
      <c r="K164" s="604"/>
      <c r="L164" s="607"/>
      <c r="M164" s="559"/>
      <c r="N164" s="610"/>
      <c r="O164" s="613"/>
      <c r="P164" s="192"/>
      <c r="Q164" s="176" t="s">
        <v>205</v>
      </c>
      <c r="R164" s="233" t="s">
        <v>204</v>
      </c>
      <c r="S164" s="234"/>
      <c r="T164" s="235">
        <f>IFERROR(($R$353-8000)*T163,"")</f>
        <v>0</v>
      </c>
      <c r="U164" s="206"/>
      <c r="V164" s="220"/>
      <c r="W164" s="221" t="s">
        <v>258</v>
      </c>
      <c r="X164" s="222" t="s">
        <v>204</v>
      </c>
      <c r="Y164" s="236"/>
      <c r="Z164" s="237"/>
      <c r="AA164" s="225"/>
      <c r="AB164" s="226"/>
      <c r="AC164" s="206"/>
      <c r="AD164" s="206"/>
      <c r="AE164" s="206"/>
      <c r="AF164" s="227"/>
      <c r="AG164" s="206"/>
      <c r="AH164" s="206"/>
      <c r="AI164" s="206"/>
      <c r="AJ164" s="206"/>
      <c r="AK164" s="227"/>
      <c r="AL164" s="238"/>
      <c r="AM164" s="206"/>
      <c r="AN164" s="206"/>
      <c r="AO164" s="228"/>
      <c r="AP164" s="229"/>
      <c r="AQ164" s="206"/>
      <c r="AR164" s="206"/>
      <c r="AS164" s="228"/>
      <c r="AT164" s="229"/>
      <c r="AU164" s="228"/>
      <c r="AV164" s="229"/>
      <c r="AW164" s="228"/>
      <c r="AX164" s="229"/>
      <c r="AY164" s="206"/>
      <c r="AZ164" s="229"/>
      <c r="BA164" s="210"/>
      <c r="BB164" s="175" t="s">
        <v>26</v>
      </c>
      <c r="BC164" s="211" t="s">
        <v>115</v>
      </c>
      <c r="BD164" s="210"/>
      <c r="BE164" s="177" t="str">
        <f>IFERROR(VLOOKUP(D162,'BD M.O'!C:H,4,FALSE),"")</f>
        <v/>
      </c>
      <c r="BF164" s="177" t="s">
        <v>259</v>
      </c>
      <c r="BI164" s="210"/>
      <c r="BO164" s="210"/>
      <c r="BV164" s="184"/>
      <c r="BW164" s="210"/>
      <c r="CD164" s="184"/>
      <c r="CF164" s="185"/>
      <c r="CI164" s="184"/>
      <c r="CJ164" s="210"/>
      <c r="CK164" s="563"/>
      <c r="CM164" s="559"/>
      <c r="CN164" s="627"/>
      <c r="CO164" s="630"/>
      <c r="CP164" s="630"/>
      <c r="CQ164" s="630"/>
      <c r="CR164" s="630"/>
      <c r="CS164" s="630"/>
      <c r="CT164" s="633"/>
      <c r="CU164" s="563"/>
      <c r="CV164" s="561"/>
      <c r="CW164" s="563"/>
      <c r="CX164" s="561"/>
      <c r="CY164" s="563"/>
      <c r="CZ164" s="561"/>
      <c r="DA164" s="563"/>
      <c r="DB164" s="561"/>
      <c r="DC164" s="563"/>
      <c r="DD164" s="561"/>
      <c r="DG164" s="577"/>
      <c r="DH164" s="577"/>
      <c r="DI164" s="571"/>
      <c r="DJ164" s="571"/>
      <c r="DK164" s="571"/>
      <c r="DL164" s="571"/>
      <c r="DM164" s="574"/>
      <c r="DN164" s="571"/>
      <c r="DO164" s="571"/>
      <c r="DP164" s="571"/>
      <c r="DQ164" s="571"/>
      <c r="DR164" s="571"/>
      <c r="DS164" s="571"/>
      <c r="DT164" s="571"/>
      <c r="DU164" s="571"/>
      <c r="DV164" s="577"/>
      <c r="DW164" s="577"/>
      <c r="DX164" s="571"/>
      <c r="DY164" s="571"/>
    </row>
    <row r="165" spans="1:194" s="175" customFormat="1" ht="60" customHeight="1" x14ac:dyDescent="0.25">
      <c r="A165" s="366"/>
      <c r="B165" s="367"/>
      <c r="C165" s="395" t="s">
        <v>180</v>
      </c>
      <c r="D165" s="599" t="s">
        <v>31</v>
      </c>
      <c r="E165" s="599"/>
      <c r="F165" s="394" t="s">
        <v>9</v>
      </c>
      <c r="G165" s="599" t="s">
        <v>33</v>
      </c>
      <c r="H165" s="599"/>
      <c r="I165" s="394" t="str">
        <f>+IF($BG$9="SI","","X")</f>
        <v>X</v>
      </c>
      <c r="J165" s="604"/>
      <c r="K165" s="604"/>
      <c r="L165" s="607"/>
      <c r="M165" s="559"/>
      <c r="N165" s="610"/>
      <c r="O165" s="613"/>
      <c r="P165" s="192"/>
      <c r="Q165" s="239"/>
      <c r="R165" s="221" t="s">
        <v>209</v>
      </c>
      <c r="S165" s="234" t="str">
        <f>IF(S163="","",S163/(J162*K162))</f>
        <v/>
      </c>
      <c r="T165" s="226"/>
      <c r="U165" s="206"/>
      <c r="V165" s="220"/>
      <c r="W165" s="239" t="str">
        <f>IFERROR(IF(X164="SI",VLOOKUP(D162,'BD M.O'!C:F,4,FALSE),""),"")</f>
        <v/>
      </c>
      <c r="X165" s="221" t="s">
        <v>258</v>
      </c>
      <c r="Y165" s="221" t="s">
        <v>507</v>
      </c>
      <c r="Z165" s="221" t="s">
        <v>508</v>
      </c>
      <c r="AA165" s="225"/>
      <c r="AB165" s="226"/>
      <c r="AC165" s="206"/>
      <c r="AD165" s="206"/>
      <c r="AE165" s="206"/>
      <c r="AF165" s="227"/>
      <c r="AG165" s="206"/>
      <c r="AH165" s="206"/>
      <c r="AI165" s="206"/>
      <c r="AJ165" s="206"/>
      <c r="AK165" s="227"/>
      <c r="AL165" s="240"/>
      <c r="AM165" s="206"/>
      <c r="AN165" s="206"/>
      <c r="AO165" s="228"/>
      <c r="AP165" s="229"/>
      <c r="AQ165" s="206"/>
      <c r="AR165" s="206"/>
      <c r="AS165" s="228"/>
      <c r="AT165" s="229"/>
      <c r="AU165" s="228"/>
      <c r="AV165" s="229"/>
      <c r="AW165" s="228"/>
      <c r="AX165" s="229"/>
      <c r="AY165" s="206"/>
      <c r="AZ165" s="229"/>
      <c r="BA165" s="210"/>
      <c r="BC165" s="175" t="s">
        <v>116</v>
      </c>
      <c r="BD165" s="210"/>
      <c r="BE165" s="177" t="str">
        <f>IFERROR(VLOOKUP(COTIZACIÓN!D162,'BD M.O'!C:I,5,FALSE),"")</f>
        <v/>
      </c>
      <c r="BF165" s="177" t="s">
        <v>260</v>
      </c>
      <c r="BI165" s="210"/>
      <c r="BO165" s="210"/>
      <c r="BP165" s="183"/>
      <c r="BQ165" s="183"/>
      <c r="BR165" s="183"/>
      <c r="BS165" s="183"/>
      <c r="BT165" s="183"/>
      <c r="BU165" s="183"/>
      <c r="BV165" s="182"/>
      <c r="BW165" s="210"/>
      <c r="BX165" s="183"/>
      <c r="BY165" s="183"/>
      <c r="BZ165" s="183"/>
      <c r="CA165" s="183"/>
      <c r="CB165" s="183"/>
      <c r="CC165" s="183"/>
      <c r="CD165" s="182"/>
      <c r="CE165" s="183"/>
      <c r="CF165" s="241"/>
      <c r="CG165" s="183"/>
      <c r="CH165" s="183"/>
      <c r="CI165" s="182"/>
      <c r="CJ165" s="210"/>
      <c r="CK165" s="563"/>
      <c r="CM165" s="559"/>
      <c r="CN165" s="627"/>
      <c r="CO165" s="630"/>
      <c r="CP165" s="630"/>
      <c r="CQ165" s="630"/>
      <c r="CR165" s="630"/>
      <c r="CS165" s="630"/>
      <c r="CT165" s="633"/>
      <c r="CU165" s="563"/>
      <c r="CV165" s="561"/>
      <c r="CW165" s="563"/>
      <c r="CX165" s="561"/>
      <c r="CY165" s="563"/>
      <c r="CZ165" s="561"/>
      <c r="DA165" s="563"/>
      <c r="DB165" s="561"/>
      <c r="DC165" s="563"/>
      <c r="DD165" s="561"/>
      <c r="DG165" s="575"/>
      <c r="DH165" s="575"/>
      <c r="DI165" s="569">
        <f t="shared" ref="DI165" si="592">IFERROR(IF(DG165&gt;0,(((N162)/(1+10%+19%*5%)+((N162)/(1+10%+19%*5%))*10%)*DH165),0),0)</f>
        <v>0</v>
      </c>
      <c r="DJ165" s="569">
        <f t="shared" ref="DJ165" si="593">IFERROR(IF(DG165&gt;0,(N162*DH165),0),0)</f>
        <v>0</v>
      </c>
      <c r="DK165" s="569">
        <f t="shared" ref="DK165" si="594">IF(DG165&gt;0,((R162+T162)*DH165),0)</f>
        <v>0</v>
      </c>
      <c r="DL165" s="569">
        <f t="shared" ref="DL165" si="595">IF(DG165&gt;0,(Q162*DH165),0)</f>
        <v>0</v>
      </c>
      <c r="DM165" s="572">
        <f t="shared" ref="DM165" si="596">IF(DG165&gt;0,(S162*DH165),0)</f>
        <v>0</v>
      </c>
      <c r="DN165" s="569">
        <f t="shared" ref="DN165" si="597">IF(DG165&gt;0,(BN162*DH165),0)</f>
        <v>0</v>
      </c>
      <c r="DO165" s="569">
        <f t="shared" ref="DO165" si="598">IF(DG165&gt;0,(AF162*DH165),0)</f>
        <v>0</v>
      </c>
      <c r="DP165" s="569">
        <f>IF(DG165&gt;0,((DI165)*('BD P&amp;G'!$E$16+'BD P&amp;G'!$E$17+'BD P&amp;G'!$E$18+'BD P&amp;G'!$E$19+'BD P&amp;G'!$E$20+'BD P&amp;G'!$E$21+'BD P&amp;G'!$E$22+'BD P&amp;G'!$E$23)*DH165),0)</f>
        <v>0</v>
      </c>
      <c r="DQ165" s="569">
        <f>IFERROR(IF(DG165&gt;0,((DI165*'BD P&amp;G'!$E$7)+(DI165*'BD P&amp;G'!$E$9)+AI162),0),0)</f>
        <v>0</v>
      </c>
      <c r="DR165" s="569">
        <f t="shared" ref="DR165" si="599">IFERROR(IF(DG165&gt;0,((DI165*1%)),0),0)</f>
        <v>0</v>
      </c>
      <c r="DS165" s="569">
        <f>IFERROR(IF(DG165&gt;0,(((DI165*'BD P&amp;G'!$E$32+DI165*'BD P&amp;G'!$E$33+DI165*'BD P&amp;G'!$E$35+DI165*'BD P&amp;G'!$E$36+DI165*'BD P&amp;G'!$E$37))),0),0)</f>
        <v>0</v>
      </c>
      <c r="DT165" s="569">
        <f t="shared" ref="DT165" si="600">IF(DG165&gt;0,(Y162*DH165),0)</f>
        <v>0</v>
      </c>
      <c r="DU165" s="569">
        <f t="shared" ref="DU165" si="601">IF(DG165&gt;0,(Z162*DH165),0)</f>
        <v>0</v>
      </c>
      <c r="DV165" s="575">
        <f t="shared" ref="DV165" si="602">IF(DG165&gt;0,(Y166*DH165),0)</f>
        <v>0</v>
      </c>
      <c r="DW165" s="575">
        <f t="shared" ref="DW165" si="603">IF(DG165&gt;0,(Z166*DH165),0)</f>
        <v>0</v>
      </c>
      <c r="DX165" s="569">
        <f t="shared" ref="DX165" si="604">IF(DV165&gt;0,DJ165,0)</f>
        <v>0</v>
      </c>
      <c r="DY165" s="569">
        <f t="shared" ref="DY165" si="605">IF(DW165&gt;0,DJ165,0)</f>
        <v>0</v>
      </c>
    </row>
    <row r="166" spans="1:194" s="175" customFormat="1" ht="60" customHeight="1" x14ac:dyDescent="0.3">
      <c r="A166" s="366"/>
      <c r="B166" s="367"/>
      <c r="C166" s="393" t="s">
        <v>35</v>
      </c>
      <c r="D166" s="599" t="str">
        <f>IFERROR(VLOOKUP(D162,'BD GN'!C:E,3,),"")</f>
        <v/>
      </c>
      <c r="E166" s="599"/>
      <c r="F166" s="599"/>
      <c r="G166" s="599"/>
      <c r="H166" s="599"/>
      <c r="I166" s="599"/>
      <c r="J166" s="604"/>
      <c r="K166" s="604"/>
      <c r="L166" s="607"/>
      <c r="M166" s="559"/>
      <c r="N166" s="610"/>
      <c r="O166" s="613"/>
      <c r="P166" s="192"/>
      <c r="Q166" s="239"/>
      <c r="R166" s="221" t="s">
        <v>210</v>
      </c>
      <c r="S166" s="234" t="str">
        <f>IFERROR(IF(N162="","",N162/W166),"")</f>
        <v/>
      </c>
      <c r="T166" s="226"/>
      <c r="U166" s="206"/>
      <c r="V166" s="220"/>
      <c r="W166" s="242" t="str">
        <f>+IF(J162*K162&gt;=1,J162*K162,IF(AND(J162*K162&gt;0,J162*K162&lt;1),1,""))</f>
        <v/>
      </c>
      <c r="X166" s="221" t="s">
        <v>298</v>
      </c>
      <c r="Y166" s="461">
        <f>IFERROR(IF(D162='BD GN'!$C$25,COTIZACIÓN!W166,IF(D162='BD GN'!$C$26,COTIZACIÓN!W166,IF(D162='BD GN'!$C$27,COTIZACIÓN!W166,IF(COTIZACIÓN!D162='BD GN'!$C$28,COTIZACIÓN!W166,IF(COTIZACIÓN!D162='BD GN'!$C$29,COTIZACIÓN!W166,IF(COTIZACIÓN!D162='BD GN'!$C$35,COTIZACIÓN!W166,IF(COTIZACIÓN!D162='BD GN'!$C$36,COTIZACIÓN!W166,IF(COTIZACIÓN!D162='BD GN'!$C$37,COTIZACIÓN!W166,IF(COTIZACIÓN!D162='BD GN'!$C$38,COTIZACIÓN!W166,IF(COTIZACIÓN!D162='BD GN'!$C$39,COTIZACIÓN!W166,IF(COTIZACIÓN!D162='BD GN'!$C$40,COTIZACIÓN!W166,IF(COTIZACIÓN!D162='BD GN'!$C$41,COTIZACIÓN!W166,IF(COTIZACIÓN!D162='BD GN'!$C$42,COTIZACIÓN!W166,IF(COTIZACIÓN!D162='BD GN'!$C$49,COTIZACIÓN!W166,IF(COTIZACIÓN!D162='BD GN'!$C$50,COTIZACIÓN!W166,IF(COTIZACIÓN!D162='BD GN'!$C$51,COTIZACIÓN!W166,IF(COTIZACIÓN!D162='BD GN'!$C$67,COTIZACIÓN!W166,0))))))))))))))))),0)</f>
        <v>0</v>
      </c>
      <c r="Z166" s="461">
        <f>IFERROR(W166-Y166,0)</f>
        <v>0</v>
      </c>
      <c r="AA166" s="225"/>
      <c r="AB166" s="226"/>
      <c r="AC166" s="206"/>
      <c r="AD166" s="206"/>
      <c r="AE166" s="206"/>
      <c r="AF166" s="227"/>
      <c r="AG166" s="206"/>
      <c r="AH166" s="206"/>
      <c r="AI166" s="206"/>
      <c r="AJ166" s="206"/>
      <c r="AK166" s="227"/>
      <c r="AL166" s="210"/>
      <c r="AM166" s="206"/>
      <c r="AN166" s="206"/>
      <c r="AO166" s="228"/>
      <c r="AP166" s="229"/>
      <c r="AQ166" s="206"/>
      <c r="AR166" s="206"/>
      <c r="AS166" s="228"/>
      <c r="AT166" s="229"/>
      <c r="AU166" s="228"/>
      <c r="AV166" s="229"/>
      <c r="AW166" s="228"/>
      <c r="AX166" s="229"/>
      <c r="AY166" s="206"/>
      <c r="AZ166" s="229"/>
      <c r="BA166" s="210"/>
      <c r="BC166" s="211" t="s">
        <v>117</v>
      </c>
      <c r="BD166" s="210"/>
      <c r="BE166" s="177" t="str">
        <f>IFERROR(VLOOKUP(D162,'BD M.O'!C:I,6,FALSE),"")</f>
        <v/>
      </c>
      <c r="BF166" s="177" t="s">
        <v>261</v>
      </c>
      <c r="BI166" s="210"/>
      <c r="BO166" s="210"/>
      <c r="BP166" s="183"/>
      <c r="BQ166" s="183"/>
      <c r="BR166" s="183"/>
      <c r="BW166" s="210"/>
      <c r="CD166" s="184"/>
      <c r="CF166" s="185"/>
      <c r="CI166" s="184"/>
      <c r="CJ166" s="210"/>
      <c r="CK166" s="563"/>
      <c r="CM166" s="559"/>
      <c r="CN166" s="627"/>
      <c r="CO166" s="630"/>
      <c r="CP166" s="630"/>
      <c r="CQ166" s="630"/>
      <c r="CR166" s="630"/>
      <c r="CS166" s="630"/>
      <c r="CT166" s="633"/>
      <c r="CU166" s="563"/>
      <c r="CV166" s="561"/>
      <c r="CW166" s="563"/>
      <c r="CX166" s="561"/>
      <c r="CY166" s="563"/>
      <c r="CZ166" s="561"/>
      <c r="DA166" s="563"/>
      <c r="DB166" s="561"/>
      <c r="DC166" s="563"/>
      <c r="DD166" s="561"/>
      <c r="DG166" s="576"/>
      <c r="DH166" s="576"/>
      <c r="DI166" s="570"/>
      <c r="DJ166" s="570"/>
      <c r="DK166" s="570"/>
      <c r="DL166" s="570"/>
      <c r="DM166" s="573"/>
      <c r="DN166" s="570"/>
      <c r="DO166" s="570"/>
      <c r="DP166" s="570"/>
      <c r="DQ166" s="570"/>
      <c r="DR166" s="570"/>
      <c r="DS166" s="570"/>
      <c r="DT166" s="570"/>
      <c r="DU166" s="570"/>
      <c r="DV166" s="576"/>
      <c r="DW166" s="576"/>
      <c r="DX166" s="570"/>
      <c r="DY166" s="570"/>
    </row>
    <row r="167" spans="1:194" s="252" customFormat="1" ht="60" customHeight="1" x14ac:dyDescent="0.25">
      <c r="A167" s="368"/>
      <c r="B167" s="369"/>
      <c r="C167" s="396" t="s">
        <v>10</v>
      </c>
      <c r="D167" s="645" t="s">
        <v>32</v>
      </c>
      <c r="E167" s="645"/>
      <c r="F167" s="645"/>
      <c r="G167" s="645"/>
      <c r="H167" s="645"/>
      <c r="I167" s="645"/>
      <c r="J167" s="643"/>
      <c r="K167" s="643"/>
      <c r="L167" s="646"/>
      <c r="M167" s="648"/>
      <c r="N167" s="649"/>
      <c r="O167" s="644"/>
      <c r="P167" s="192"/>
      <c r="Q167" s="239"/>
      <c r="R167" s="334" t="s">
        <v>475</v>
      </c>
      <c r="S167" s="234" t="str">
        <f>IFERROR(IF($C$12='BD GN'!$CC$1,VLOOKUP(COTIZACIÓN!D162,'BD GN'!CB:CG,2,FALSE),IF(COTIZACIÓN!$C$12='BD GN'!$CD$1,VLOOKUP(COTIZACIÓN!D162,'BD GN'!CB:CG,3,FALSE),IF($C$12='BD GN'!$CE$1,VLOOKUP(COTIZACIÓN!D162,'BD GN'!CB:CG,4,FALSE),IF(COTIZACIÓN!$C$12='BD GN'!$CF$1,VLOOKUP(COTIZACIÓN!D162,'BD GN'!CB:CG,5,FALSE),IF(COTIZACIÓN!$C$12='BD GN'!$CG$1,VLOOKUP(COTIZACIÓN!D162,'BD GN'!CB:CG,6,FALSE),""))))),"-")</f>
        <v/>
      </c>
      <c r="T167" s="243"/>
      <c r="U167" s="244"/>
      <c r="V167" s="245"/>
      <c r="W167" s="177" t="s">
        <v>394</v>
      </c>
      <c r="X167" s="246">
        <f>IFERROR(SUM(W162:X162),"")</f>
        <v>0</v>
      </c>
      <c r="Y167" s="166" t="s">
        <v>404</v>
      </c>
      <c r="Z167" s="199" t="str">
        <f>IFERROR(Y162+Z162,"")</f>
        <v/>
      </c>
      <c r="AA167" s="247"/>
      <c r="AB167" s="243"/>
      <c r="AC167" s="244"/>
      <c r="AD167" s="244"/>
      <c r="AE167" s="244"/>
      <c r="AF167" s="227"/>
      <c r="AG167" s="206"/>
      <c r="AH167" s="206"/>
      <c r="AI167" s="206"/>
      <c r="AJ167" s="206"/>
      <c r="AK167" s="227"/>
      <c r="AL167" s="227"/>
      <c r="AM167" s="248"/>
      <c r="AN167" s="248"/>
      <c r="AO167" s="249"/>
      <c r="AP167" s="250"/>
      <c r="AQ167" s="248"/>
      <c r="AR167" s="248"/>
      <c r="AS167" s="249"/>
      <c r="AT167" s="250"/>
      <c r="AU167" s="249"/>
      <c r="AV167" s="250"/>
      <c r="AW167" s="249"/>
      <c r="AX167" s="250"/>
      <c r="AY167" s="248"/>
      <c r="AZ167" s="250"/>
      <c r="BA167" s="210"/>
      <c r="BB167" s="175"/>
      <c r="BC167" s="175" t="s">
        <v>118</v>
      </c>
      <c r="BD167" s="210"/>
      <c r="BE167" s="251" t="str">
        <f>IFERROR(VLOOKUP(D162,'BD M.O'!C:I,7,FALSE),"")</f>
        <v/>
      </c>
      <c r="BF167" s="251" t="s">
        <v>262</v>
      </c>
      <c r="BG167" s="175"/>
      <c r="BH167" s="175"/>
      <c r="BI167" s="210"/>
      <c r="BJ167" s="175"/>
      <c r="BK167" s="175"/>
      <c r="BL167" s="175"/>
      <c r="BM167" s="175"/>
      <c r="BN167" s="175"/>
      <c r="BO167" s="210"/>
      <c r="BP167" s="175"/>
      <c r="BQ167" s="175"/>
      <c r="BR167" s="175"/>
      <c r="BS167" s="183"/>
      <c r="BT167" s="183"/>
      <c r="BU167" s="183"/>
      <c r="BV167" s="183"/>
      <c r="BW167" s="210"/>
      <c r="BX167" s="175"/>
      <c r="BY167" s="175"/>
      <c r="BZ167" s="175"/>
      <c r="CA167" s="175"/>
      <c r="CB167" s="175"/>
      <c r="CC167" s="175"/>
      <c r="CD167" s="184"/>
      <c r="CE167" s="175"/>
      <c r="CF167" s="185"/>
      <c r="CG167" s="175"/>
      <c r="CH167" s="175"/>
      <c r="CI167" s="184"/>
      <c r="CJ167" s="210"/>
      <c r="CK167" s="564"/>
      <c r="CL167" s="257"/>
      <c r="CM167" s="597"/>
      <c r="CN167" s="628"/>
      <c r="CO167" s="631"/>
      <c r="CP167" s="631"/>
      <c r="CQ167" s="631"/>
      <c r="CR167" s="631"/>
      <c r="CS167" s="631"/>
      <c r="CT167" s="634"/>
      <c r="CU167" s="564"/>
      <c r="CV167" s="562"/>
      <c r="CW167" s="564"/>
      <c r="CX167" s="562"/>
      <c r="CY167" s="564"/>
      <c r="CZ167" s="562"/>
      <c r="DA167" s="564"/>
      <c r="DB167" s="562"/>
      <c r="DC167" s="564"/>
      <c r="DD167" s="562"/>
      <c r="DE167" s="175"/>
      <c r="DF167" s="175"/>
      <c r="DG167" s="577"/>
      <c r="DH167" s="577"/>
      <c r="DI167" s="571"/>
      <c r="DJ167" s="571"/>
      <c r="DK167" s="571"/>
      <c r="DL167" s="571"/>
      <c r="DM167" s="574"/>
      <c r="DN167" s="571"/>
      <c r="DO167" s="571"/>
      <c r="DP167" s="571"/>
      <c r="DQ167" s="571"/>
      <c r="DR167" s="571"/>
      <c r="DS167" s="571"/>
      <c r="DT167" s="571"/>
      <c r="DU167" s="571"/>
      <c r="DV167" s="577"/>
      <c r="DW167" s="577"/>
      <c r="DX167" s="571"/>
      <c r="DY167" s="571"/>
      <c r="DZ167" s="175"/>
      <c r="EA167" s="175"/>
      <c r="EB167" s="175"/>
      <c r="EC167" s="175"/>
      <c r="ED167" s="175"/>
      <c r="EE167" s="175"/>
      <c r="EF167" s="175"/>
      <c r="EG167" s="175"/>
      <c r="EH167" s="175"/>
      <c r="EI167" s="175"/>
      <c r="EJ167" s="175"/>
      <c r="EK167" s="175"/>
      <c r="EL167" s="175"/>
      <c r="EM167" s="175"/>
      <c r="EN167" s="175"/>
      <c r="EO167" s="175"/>
      <c r="EP167" s="175"/>
      <c r="EQ167" s="175"/>
      <c r="ER167" s="175"/>
      <c r="ES167" s="175"/>
      <c r="ET167" s="175"/>
      <c r="EU167" s="175"/>
      <c r="EV167" s="175"/>
      <c r="EW167" s="175"/>
      <c r="EX167" s="175"/>
      <c r="EY167" s="175"/>
      <c r="EZ167" s="175"/>
      <c r="FA167" s="175"/>
      <c r="FB167" s="175"/>
      <c r="FC167" s="175"/>
      <c r="FD167" s="175"/>
      <c r="FE167" s="175"/>
      <c r="FF167" s="175"/>
      <c r="FG167" s="175"/>
      <c r="FH167" s="175"/>
      <c r="FI167" s="175"/>
      <c r="FJ167" s="175"/>
      <c r="FK167" s="175"/>
      <c r="FL167" s="175"/>
      <c r="FM167" s="175"/>
      <c r="FN167" s="175"/>
      <c r="FO167" s="175"/>
      <c r="FP167" s="175"/>
      <c r="FQ167" s="175"/>
      <c r="FR167" s="175"/>
      <c r="FS167" s="175"/>
      <c r="FT167" s="175"/>
      <c r="FU167" s="175"/>
      <c r="FV167" s="175"/>
      <c r="FW167" s="175"/>
      <c r="FX167" s="175"/>
      <c r="FY167" s="175"/>
      <c r="FZ167" s="175"/>
      <c r="GA167" s="175"/>
      <c r="GB167" s="175"/>
      <c r="GC167" s="175"/>
      <c r="GD167" s="175"/>
      <c r="GE167" s="175"/>
      <c r="GF167" s="175"/>
      <c r="GG167" s="175"/>
      <c r="GH167" s="175"/>
      <c r="GI167" s="175"/>
      <c r="GJ167" s="175"/>
      <c r="GK167" s="175"/>
      <c r="GL167" s="175"/>
    </row>
    <row r="168" spans="1:194" s="255" customFormat="1" ht="60" customHeight="1" x14ac:dyDescent="0.3">
      <c r="A168" s="362" t="s">
        <v>193</v>
      </c>
      <c r="B168" s="363" t="s">
        <v>25</v>
      </c>
      <c r="C168" s="391" t="s">
        <v>174</v>
      </c>
      <c r="D168" s="640" t="s">
        <v>173</v>
      </c>
      <c r="E168" s="640"/>
      <c r="F168" s="640"/>
      <c r="G168" s="640"/>
      <c r="H168" s="640"/>
      <c r="I168" s="640"/>
      <c r="J168" s="418" t="s">
        <v>443</v>
      </c>
      <c r="K168" s="418" t="s">
        <v>444</v>
      </c>
      <c r="L168" s="418" t="s">
        <v>171</v>
      </c>
      <c r="M168" s="363" t="s">
        <v>2</v>
      </c>
      <c r="N168" s="419" t="s">
        <v>7</v>
      </c>
      <c r="O168" s="420" t="s">
        <v>8</v>
      </c>
      <c r="P168" s="159"/>
      <c r="Q168" s="164" t="s">
        <v>93</v>
      </c>
      <c r="R168" s="164" t="s">
        <v>34</v>
      </c>
      <c r="S168" s="164" t="s">
        <v>28</v>
      </c>
      <c r="T168" s="164" t="s">
        <v>95</v>
      </c>
      <c r="U168" s="164" t="s">
        <v>96</v>
      </c>
      <c r="V168" s="164" t="s">
        <v>97</v>
      </c>
      <c r="W168" s="164" t="s">
        <v>4</v>
      </c>
      <c r="X168" s="164" t="s">
        <v>103</v>
      </c>
      <c r="Y168" s="160" t="s">
        <v>402</v>
      </c>
      <c r="Z168" s="165" t="s">
        <v>403</v>
      </c>
      <c r="AA168" s="166" t="s">
        <v>404</v>
      </c>
      <c r="AB168" s="164" t="s">
        <v>99</v>
      </c>
      <c r="AC168" s="164" t="s">
        <v>395</v>
      </c>
      <c r="AD168" s="253" t="s">
        <v>36</v>
      </c>
      <c r="AE168" s="164" t="s">
        <v>389</v>
      </c>
      <c r="AF168" s="164" t="s">
        <v>390</v>
      </c>
      <c r="AG168" s="164" t="s">
        <v>164</v>
      </c>
      <c r="AH168" s="253" t="s">
        <v>396</v>
      </c>
      <c r="AI168" s="164" t="s">
        <v>190</v>
      </c>
      <c r="AJ168" s="164" t="s">
        <v>339</v>
      </c>
      <c r="AK168" s="253" t="s">
        <v>391</v>
      </c>
      <c r="AL168" s="253" t="s">
        <v>393</v>
      </c>
      <c r="AM168" s="167" t="s">
        <v>93</v>
      </c>
      <c r="AN168" s="168" t="s">
        <v>34</v>
      </c>
      <c r="AO168" s="169" t="s">
        <v>28</v>
      </c>
      <c r="AP168" s="170" t="s">
        <v>95</v>
      </c>
      <c r="AQ168" s="167" t="s">
        <v>3</v>
      </c>
      <c r="AR168" s="167" t="s">
        <v>96</v>
      </c>
      <c r="AS168" s="169" t="s">
        <v>97</v>
      </c>
      <c r="AT168" s="170" t="s">
        <v>4</v>
      </c>
      <c r="AU168" s="169" t="s">
        <v>103</v>
      </c>
      <c r="AV168" s="170" t="s">
        <v>99</v>
      </c>
      <c r="AW168" s="169" t="s">
        <v>36</v>
      </c>
      <c r="AX168" s="171" t="s">
        <v>29</v>
      </c>
      <c r="AY168" s="172" t="s">
        <v>190</v>
      </c>
      <c r="AZ168" s="173" t="s">
        <v>102</v>
      </c>
      <c r="BA168" s="174"/>
      <c r="BB168" s="183"/>
      <c r="BC168" s="211" t="s">
        <v>119</v>
      </c>
      <c r="BD168" s="174"/>
      <c r="BE168" s="176" t="s">
        <v>189</v>
      </c>
      <c r="BF168" s="177" t="str">
        <f>$BF$13</f>
        <v xml:space="preserve">VR SILICONA </v>
      </c>
      <c r="BG168" s="177" t="str">
        <f>$BG$13</f>
        <v xml:space="preserve">VR PELÍCULA </v>
      </c>
      <c r="BH168" s="254" t="str">
        <f>$BH$13</f>
        <v>VR EMBALAJE</v>
      </c>
      <c r="BI168" s="174"/>
      <c r="BJ168" s="176" t="str">
        <f>$BJ$13</f>
        <v>ESP. CRISTAL</v>
      </c>
      <c r="BK168" s="176" t="s">
        <v>130</v>
      </c>
      <c r="BL168" s="177" t="s">
        <v>28</v>
      </c>
      <c r="BM168" s="177" t="str">
        <f>BM161</f>
        <v>TOTAL</v>
      </c>
      <c r="BN168" s="177" t="s">
        <v>133</v>
      </c>
      <c r="BO168" s="174"/>
      <c r="BP168" s="175"/>
      <c r="BQ168" s="175"/>
      <c r="BR168" s="175"/>
      <c r="BS168" s="175"/>
      <c r="BT168" s="175"/>
      <c r="BU168" s="175"/>
      <c r="BV168" s="175"/>
      <c r="BW168" s="174"/>
      <c r="BX168" s="175"/>
      <c r="BY168" s="175"/>
      <c r="BZ168" s="175"/>
      <c r="CA168" s="175"/>
      <c r="CB168" s="175"/>
      <c r="CC168" s="175"/>
      <c r="CD168" s="184"/>
      <c r="CE168" s="175"/>
      <c r="CF168" s="185"/>
      <c r="CG168" s="175"/>
      <c r="CH168" s="175"/>
      <c r="CI168" s="184"/>
      <c r="CJ168" s="174"/>
      <c r="CK168" s="186" t="s">
        <v>415</v>
      </c>
      <c r="CL168" s="187" t="s">
        <v>417</v>
      </c>
      <c r="CM168" s="187" t="s">
        <v>416</v>
      </c>
      <c r="CN168" s="188" t="s">
        <v>418</v>
      </c>
      <c r="CO168" s="187" t="s">
        <v>417</v>
      </c>
      <c r="CP168" s="187" t="s">
        <v>409</v>
      </c>
      <c r="CQ168" s="187" t="s">
        <v>410</v>
      </c>
      <c r="CR168" s="187" t="s">
        <v>411</v>
      </c>
      <c r="CS168" s="187" t="s">
        <v>412</v>
      </c>
      <c r="CT168" s="187" t="s">
        <v>413</v>
      </c>
      <c r="CU168" s="189" t="s">
        <v>2</v>
      </c>
      <c r="CV168" s="190" t="s">
        <v>159</v>
      </c>
      <c r="CW168" s="189" t="s">
        <v>2</v>
      </c>
      <c r="CX168" s="190" t="s">
        <v>159</v>
      </c>
      <c r="CY168" s="189" t="s">
        <v>2</v>
      </c>
      <c r="CZ168" s="190" t="s">
        <v>159</v>
      </c>
      <c r="DA168" s="189" t="s">
        <v>2</v>
      </c>
      <c r="DB168" s="190" t="s">
        <v>159</v>
      </c>
      <c r="DC168" s="189" t="s">
        <v>2</v>
      </c>
      <c r="DD168" s="190" t="s">
        <v>159</v>
      </c>
      <c r="DE168" s="183"/>
      <c r="DF168" s="183"/>
      <c r="DG168" s="177" t="s">
        <v>505</v>
      </c>
      <c r="DH168" s="472" t="s">
        <v>509</v>
      </c>
      <c r="DI168" s="457" t="s">
        <v>506</v>
      </c>
      <c r="DJ168" s="457" t="s">
        <v>134</v>
      </c>
      <c r="DK168" s="457" t="s">
        <v>498</v>
      </c>
      <c r="DL168" s="457" t="s">
        <v>499</v>
      </c>
      <c r="DM168" s="457" t="s">
        <v>500</v>
      </c>
      <c r="DN168" s="457" t="s">
        <v>131</v>
      </c>
      <c r="DO168" s="457" t="s">
        <v>390</v>
      </c>
      <c r="DP168" s="457" t="s">
        <v>36</v>
      </c>
      <c r="DQ168" s="457" t="s">
        <v>501</v>
      </c>
      <c r="DR168" s="457" t="s">
        <v>502</v>
      </c>
      <c r="DS168" s="457" t="s">
        <v>503</v>
      </c>
      <c r="DT168" s="457" t="s">
        <v>4</v>
      </c>
      <c r="DU168" s="457" t="s">
        <v>504</v>
      </c>
      <c r="DV168" s="466" t="s">
        <v>507</v>
      </c>
      <c r="DW168" s="466" t="s">
        <v>508</v>
      </c>
      <c r="DX168" s="457" t="s">
        <v>510</v>
      </c>
      <c r="DY168" s="457" t="s">
        <v>511</v>
      </c>
      <c r="DZ168" s="183"/>
      <c r="EA168" s="183"/>
      <c r="EB168" s="183"/>
      <c r="EC168" s="183"/>
      <c r="ED168" s="183"/>
      <c r="EE168" s="183"/>
      <c r="EF168" s="183"/>
      <c r="EG168" s="183"/>
      <c r="EH168" s="183"/>
      <c r="EI168" s="183"/>
      <c r="EJ168" s="183"/>
      <c r="EK168" s="183"/>
      <c r="EL168" s="183"/>
      <c r="EM168" s="183"/>
      <c r="EN168" s="183"/>
      <c r="EO168" s="183"/>
      <c r="EP168" s="183"/>
      <c r="EQ168" s="183"/>
      <c r="ER168" s="183"/>
      <c r="ES168" s="183"/>
      <c r="ET168" s="183"/>
      <c r="EU168" s="183"/>
      <c r="EV168" s="183"/>
      <c r="EW168" s="183"/>
      <c r="EX168" s="183"/>
      <c r="EY168" s="183"/>
      <c r="EZ168" s="183"/>
      <c r="FA168" s="183"/>
      <c r="FB168" s="183"/>
      <c r="FC168" s="183"/>
      <c r="FD168" s="183"/>
      <c r="FE168" s="183"/>
      <c r="FF168" s="183"/>
      <c r="FG168" s="183"/>
      <c r="FH168" s="183"/>
      <c r="FI168" s="183"/>
      <c r="FJ168" s="183"/>
      <c r="FK168" s="183"/>
      <c r="FL168" s="183"/>
      <c r="FM168" s="183"/>
      <c r="FN168" s="183"/>
      <c r="FO168" s="183"/>
      <c r="FP168" s="183"/>
      <c r="FQ168" s="183"/>
      <c r="FR168" s="183"/>
      <c r="FS168" s="183"/>
      <c r="FT168" s="183"/>
      <c r="FU168" s="183"/>
      <c r="FV168" s="183"/>
      <c r="FW168" s="183"/>
      <c r="FX168" s="183"/>
      <c r="FY168" s="183"/>
      <c r="FZ168" s="183"/>
      <c r="GA168" s="183"/>
      <c r="GB168" s="183"/>
      <c r="GC168" s="183"/>
      <c r="GD168" s="183"/>
      <c r="GE168" s="183"/>
      <c r="GF168" s="183"/>
      <c r="GG168" s="183"/>
      <c r="GH168" s="183"/>
      <c r="GI168" s="183"/>
      <c r="GJ168" s="183"/>
      <c r="GK168" s="183"/>
      <c r="GL168" s="183"/>
    </row>
    <row r="169" spans="1:194" s="175" customFormat="1" ht="60" customHeight="1" x14ac:dyDescent="0.3">
      <c r="A169" s="364"/>
      <c r="B169" s="365"/>
      <c r="C169" s="392" t="s">
        <v>27</v>
      </c>
      <c r="D169" s="641"/>
      <c r="E169" s="641"/>
      <c r="F169" s="641"/>
      <c r="G169" s="641"/>
      <c r="H169" s="641"/>
      <c r="I169" s="641"/>
      <c r="J169" s="642"/>
      <c r="K169" s="642"/>
      <c r="L169" s="622">
        <f>J169*K169*M169</f>
        <v>0</v>
      </c>
      <c r="M169" s="623"/>
      <c r="N169" s="620">
        <f>IFERROR(AL169,"")</f>
        <v>1.0765546639999999</v>
      </c>
      <c r="O169" s="621">
        <f>IFERROR(N169*M169,"")</f>
        <v>0</v>
      </c>
      <c r="P169" s="192"/>
      <c r="Q169" s="193">
        <f>Q170+BF169+($R$350*Q170)</f>
        <v>0</v>
      </c>
      <c r="R169" s="193">
        <f>IFERROR(R170+($R$348*R170),"")</f>
        <v>0</v>
      </c>
      <c r="S169" s="194">
        <f>+IF(R171="SI",((W173*'BD GN'!$AB$2)+S170)*1,COTIZACIÓN!S170*1)+(P170*S170)</f>
        <v>0</v>
      </c>
      <c r="T169" s="195">
        <f>IFERROR(R169*IF(K169&lt;=3,$T$13,15%),"")</f>
        <v>0</v>
      </c>
      <c r="U169" s="196">
        <f>BH169+BG169</f>
        <v>0</v>
      </c>
      <c r="V169" s="197" t="str">
        <f>IFERROR(BN169,0)</f>
        <v/>
      </c>
      <c r="W169" s="198" t="str">
        <f>IFERROR(IF(X171="SI",W172*J169*K169,IF(BE169=3,BE171,IF(BE169=4,BE172,IF(BE169=5,BE173,IF(BE169&gt;5,BE173+(BE174*(BE169-5)),"")))))*0,"")</f>
        <v/>
      </c>
      <c r="X169" s="198" t="str">
        <f>IFERROR(IF(X170="NO",(VLOOKUP(D169,'BD M.O'!C:E,3,FALSE))*W173,((VLOOKUP(D169,'BD M.O'!C:E,3,FALSE))+7500)*W173),"")</f>
        <v/>
      </c>
      <c r="Y169" s="198">
        <f>IFERROR($Y$13*AK169,"")</f>
        <v>4.2084457416288003E-2</v>
      </c>
      <c r="Z169" s="332" t="str">
        <f>IFERROR(($Z$13*AK169)+X169,"")</f>
        <v/>
      </c>
      <c r="AA169" s="199" t="str">
        <f>IFERROR(Y169+Z169,"")</f>
        <v/>
      </c>
      <c r="AB169" s="200">
        <f>IFERROR((SUM(Q169:X169)-T169+T171)*$AB$13,"")</f>
        <v>0</v>
      </c>
      <c r="AC169" s="201">
        <f>IFERROR(((SUM(Q169:V169,IF(X174&gt;AA169,AVERAGE(X174,AA169),AA169))-T169+T171))*$AB$13,"")</f>
        <v>0</v>
      </c>
      <c r="AD169" s="202" t="str">
        <f>IFERROR((J169*K169*$BV$14),"")</f>
        <v/>
      </c>
      <c r="AE169" s="202">
        <f>IFERROR($AE$13*AK169,"")</f>
        <v>6.4010592649919984E-2</v>
      </c>
      <c r="AF169" s="203" t="str">
        <f>IFERROR(($CI$11+$CI$13)*W173,"")</f>
        <v/>
      </c>
      <c r="AG169" s="202">
        <f>IFERROR((SUM(Q169:X169,AB169,AD169,AF169)-T169+T171)*$AG$13,"")</f>
        <v>0</v>
      </c>
      <c r="AH169" s="202">
        <f>IFERROR((SUM(Q169:V169,(IF(X174&gt;AA169,AVERAGE(X174,AA169),AA169)),AC169,AE169,AF169)-T169+T171)*$AG$13,"")</f>
        <v>3.2005296324959992E-2</v>
      </c>
      <c r="AI169" s="204">
        <f>IFERROR(AL169*$AI$13,"")</f>
        <v>2.1531093279999997E-2</v>
      </c>
      <c r="AJ169" s="204">
        <f>IFERROR($AJ$13*AL169,"")</f>
        <v>6.007175025119999E-3</v>
      </c>
      <c r="AK169" s="205">
        <f>IFERROR(SUM(Q169:X169,AB169,AD169,AG169,AF169)/(1-$AI$13)+(1-$AJ$13)-T169+T171,"")</f>
        <v>0.99441999999999997</v>
      </c>
      <c r="AL169" s="205">
        <f>IFERROR(SUM(Q169:V169,AC169,(IF(AD169&gt;AE169,AVERAGE(AD169,AE169),AE169)),AF169,,AH169,(IF(SUM(X174)&gt;AA169,AVERAGE(AA169,X174),AA169)))/(1-$AJ$13)+(1-$AI$13)-T169+T171,"")</f>
        <v>1.0765546639999999</v>
      </c>
      <c r="AM169" s="206">
        <f>$M$15*Q169</f>
        <v>0</v>
      </c>
      <c r="AN169" s="207">
        <f>$M$15*R169</f>
        <v>0</v>
      </c>
      <c r="AO169" s="208">
        <f>$M$15*S169</f>
        <v>0</v>
      </c>
      <c r="AP169" s="207">
        <f>$M$15*T169</f>
        <v>0</v>
      </c>
      <c r="AQ169" s="207" t="e">
        <f>$M$15*#REF!</f>
        <v>#REF!</v>
      </c>
      <c r="AR169" s="207">
        <f>$M$15*U169</f>
        <v>0</v>
      </c>
      <c r="AS169" s="208" t="e">
        <f>$M$15*V169</f>
        <v>#VALUE!</v>
      </c>
      <c r="AT169" s="207" t="e">
        <f>$M$15*W169</f>
        <v>#VALUE!</v>
      </c>
      <c r="AU169" s="208" t="e">
        <f>$M$15*X169</f>
        <v>#VALUE!</v>
      </c>
      <c r="AV169" s="207">
        <f>$M$15*AB169</f>
        <v>0</v>
      </c>
      <c r="AW169" s="208">
        <f>$M$15*AE169</f>
        <v>0</v>
      </c>
      <c r="AX169" s="207">
        <f>$M$15*AG169</f>
        <v>0</v>
      </c>
      <c r="AY169" s="209">
        <f>$M$15*AI169</f>
        <v>0</v>
      </c>
      <c r="AZ169" s="207">
        <f>$M$15*AK169</f>
        <v>0</v>
      </c>
      <c r="BA169" s="210"/>
      <c r="BB169" s="175" t="s">
        <v>23</v>
      </c>
      <c r="BC169" s="211" t="s">
        <v>113</v>
      </c>
      <c r="BD169" s="210"/>
      <c r="BE169" s="212"/>
      <c r="BF169" s="213">
        <f>IF(BH170="NO",((2*J169)+(2*K169))*'BD GN'!$AU$3,((3*J169)+(2*K169))*'BD GN'!$AU$3)</f>
        <v>0</v>
      </c>
      <c r="BG169" s="213">
        <f>'BD GN'!$BB$3*J169*K169</f>
        <v>0</v>
      </c>
      <c r="BH169" s="214">
        <f>((J169*2*BE169)+(K169*2*BE169))*'BD GN'!$AN$4</f>
        <v>0</v>
      </c>
      <c r="BI169" s="210"/>
      <c r="BJ169" s="212"/>
      <c r="BK169" s="212"/>
      <c r="BL169" s="215">
        <f>J169*K169*2.5*BJ169</f>
        <v>0</v>
      </c>
      <c r="BM169" s="215">
        <f>BK169+BL169</f>
        <v>0</v>
      </c>
      <c r="BN169" s="216" t="str">
        <f>IFERROR((VLOOKUP($C$12,'BD GN'!BD:BM,10,FALSE)*BM169)+$BR$338,"")</f>
        <v/>
      </c>
      <c r="BO169" s="210"/>
      <c r="BW169" s="210"/>
      <c r="CD169" s="184"/>
      <c r="CF169" s="185"/>
      <c r="CI169" s="184"/>
      <c r="CJ169" s="210"/>
      <c r="CK169" s="565"/>
      <c r="CL169" s="256"/>
      <c r="CM169" s="596"/>
      <c r="CN169" s="626"/>
      <c r="CO169" s="629"/>
      <c r="CP169" s="629"/>
      <c r="CQ169" s="629"/>
      <c r="CR169" s="629"/>
      <c r="CS169" s="629"/>
      <c r="CT169" s="632"/>
      <c r="CU169" s="565"/>
      <c r="CV169" s="560">
        <f>IFERROR(N169*CU169,"")</f>
        <v>0</v>
      </c>
      <c r="CW169" s="565"/>
      <c r="CX169" s="560">
        <f>IFERROR(P169*CW169,"")</f>
        <v>0</v>
      </c>
      <c r="CY169" s="565"/>
      <c r="CZ169" s="560">
        <f>IFERROR(R169*CY169,"")</f>
        <v>0</v>
      </c>
      <c r="DA169" s="565">
        <f t="shared" ref="DA169" si="606">CU169+CW169+CY169</f>
        <v>0</v>
      </c>
      <c r="DB169" s="560">
        <f t="shared" ref="DB169" si="607">IFERROR(CV169+CX169+CZ169,"")</f>
        <v>0</v>
      </c>
      <c r="DC169" s="565">
        <f>M169-(CU169+CW169+CY169)</f>
        <v>0</v>
      </c>
      <c r="DD169" s="560">
        <f>IFERROR(O169-(CV169+CX169+CZ169),"")</f>
        <v>0</v>
      </c>
      <c r="DG169" s="575"/>
      <c r="DH169" s="575"/>
      <c r="DI169" s="569">
        <f t="shared" ref="DI169" si="608">IFERROR(IF(DG169&gt;0,(((N169)/(1+10%+19%*5%)+((N169)/(1+10%+19%*5%))*10%)*DH169),0),0)</f>
        <v>0</v>
      </c>
      <c r="DJ169" s="569">
        <f t="shared" ref="DJ169" si="609">IFERROR(IF(DG169&gt;0,(N169*DH169),0),0)</f>
        <v>0</v>
      </c>
      <c r="DK169" s="569">
        <f t="shared" ref="DK169" si="610">IF(DG169&gt;0,((R169+T169)*DH169),0)</f>
        <v>0</v>
      </c>
      <c r="DL169" s="569">
        <f t="shared" ref="DL169" si="611">IF(DG169&gt;0,(Q169*DH169),0)</f>
        <v>0</v>
      </c>
      <c r="DM169" s="572">
        <f t="shared" ref="DM169" si="612">IF(DG169&gt;0,(S169*DH169),0)</f>
        <v>0</v>
      </c>
      <c r="DN169" s="569">
        <f t="shared" ref="DN169" si="613">IF(DG169&gt;0,(BN169*DH169),0)</f>
        <v>0</v>
      </c>
      <c r="DO169" s="569">
        <f t="shared" ref="DO169" si="614">IF(DG169&gt;0,(AF169*DH169),0)</f>
        <v>0</v>
      </c>
      <c r="DP169" s="569">
        <f>IF(DG169&gt;0,((DI169)*('BD P&amp;G'!$E$16+'BD P&amp;G'!$E$17+'BD P&amp;G'!$E$18+'BD P&amp;G'!$E$19+'BD P&amp;G'!$E$20+'BD P&amp;G'!$E$21+'BD P&amp;G'!$E$22+'BD P&amp;G'!$E$23)*DH169),0)</f>
        <v>0</v>
      </c>
      <c r="DQ169" s="569">
        <f>IFERROR(IF(DG169&gt;0,((DI169*'BD P&amp;G'!$E$7)+(DI169*'BD P&amp;G'!$E$9)+AI169),0),0)</f>
        <v>0</v>
      </c>
      <c r="DR169" s="569">
        <f t="shared" ref="DR169" si="615">IFERROR(IF(DG169&gt;0,((DI169*1%)),0),0)</f>
        <v>0</v>
      </c>
      <c r="DS169" s="569">
        <f>IFERROR(IF(DG169&gt;0,(((DI169*'BD P&amp;G'!$E$32+DI169*'BD P&amp;G'!$E$33+DI169*'BD P&amp;G'!$E$35+DI169*'BD P&amp;G'!$E$36+DI169*'BD P&amp;G'!$E$37))),0),0)</f>
        <v>0</v>
      </c>
      <c r="DT169" s="569">
        <f t="shared" ref="DT169" si="616">IF(DG169&gt;0,(Y169*DH169),0)</f>
        <v>0</v>
      </c>
      <c r="DU169" s="569">
        <f t="shared" ref="DU169" si="617">IF(DG169&gt;0,(Z169*DH169),0)</f>
        <v>0</v>
      </c>
      <c r="DV169" s="575">
        <f t="shared" ref="DV169" si="618">IF(DG169&gt;0,(Y173*DH169),0)</f>
        <v>0</v>
      </c>
      <c r="DW169" s="575">
        <f t="shared" ref="DW169" si="619">IF(DG169&gt;0,(Z173*DH169),0)</f>
        <v>0</v>
      </c>
      <c r="DX169" s="569">
        <f t="shared" ref="DX169" si="620">IF(DV169&gt;0,DJ169,0)</f>
        <v>0</v>
      </c>
      <c r="DY169" s="569">
        <f t="shared" ref="DY169" si="621">IF(DW169&gt;0,DJ169,0)</f>
        <v>0</v>
      </c>
    </row>
    <row r="170" spans="1:194" s="175" customFormat="1" ht="60" customHeight="1" x14ac:dyDescent="0.25">
      <c r="A170" s="366"/>
      <c r="B170" s="367"/>
      <c r="C170" s="393" t="s">
        <v>28</v>
      </c>
      <c r="D170" s="598"/>
      <c r="E170" s="598"/>
      <c r="F170" s="598"/>
      <c r="G170" s="598"/>
      <c r="H170" s="598"/>
      <c r="I170" s="598"/>
      <c r="J170" s="604"/>
      <c r="K170" s="604"/>
      <c r="L170" s="607"/>
      <c r="M170" s="559"/>
      <c r="N170" s="610"/>
      <c r="O170" s="613"/>
      <c r="P170" s="192"/>
      <c r="Q170" s="217"/>
      <c r="R170" s="217"/>
      <c r="S170" s="218"/>
      <c r="T170" s="219">
        <f>IFERROR(T169/$R$353,"")</f>
        <v>0</v>
      </c>
      <c r="U170" s="206"/>
      <c r="V170" s="220"/>
      <c r="W170" s="221" t="s">
        <v>239</v>
      </c>
      <c r="X170" s="222" t="s">
        <v>204</v>
      </c>
      <c r="Y170" s="223"/>
      <c r="Z170" s="224"/>
      <c r="AA170" s="225"/>
      <c r="AB170" s="226"/>
      <c r="AC170" s="206"/>
      <c r="AD170" s="206"/>
      <c r="AE170" s="206"/>
      <c r="AF170" s="227"/>
      <c r="AG170" s="206"/>
      <c r="AH170" s="206"/>
      <c r="AI170" s="206"/>
      <c r="AJ170" s="206"/>
      <c r="AK170" s="227"/>
      <c r="AL170" s="210"/>
      <c r="AM170" s="206"/>
      <c r="AN170" s="206"/>
      <c r="AO170" s="228"/>
      <c r="AP170" s="229"/>
      <c r="AQ170" s="206"/>
      <c r="AR170" s="206"/>
      <c r="AS170" s="228"/>
      <c r="AT170" s="229"/>
      <c r="AU170" s="228"/>
      <c r="AV170" s="229"/>
      <c r="AW170" s="228"/>
      <c r="AX170" s="229"/>
      <c r="AY170" s="206"/>
      <c r="AZ170" s="229"/>
      <c r="BA170" s="210"/>
      <c r="BB170" s="175" t="s">
        <v>24</v>
      </c>
      <c r="BC170" s="175" t="s">
        <v>114</v>
      </c>
      <c r="BD170" s="210"/>
      <c r="BE170" s="176" t="s">
        <v>206</v>
      </c>
      <c r="BF170" s="230" t="s">
        <v>204</v>
      </c>
      <c r="BG170" s="176" t="s">
        <v>290</v>
      </c>
      <c r="BH170" s="231" t="s">
        <v>204</v>
      </c>
      <c r="BI170" s="210"/>
      <c r="BN170" s="232"/>
      <c r="BO170" s="210"/>
      <c r="BV170" s="184"/>
      <c r="BW170" s="210"/>
      <c r="CD170" s="184"/>
      <c r="CF170" s="185"/>
      <c r="CI170" s="184"/>
      <c r="CJ170" s="210"/>
      <c r="CK170" s="563"/>
      <c r="CM170" s="559"/>
      <c r="CN170" s="627"/>
      <c r="CO170" s="630"/>
      <c r="CP170" s="630"/>
      <c r="CQ170" s="630"/>
      <c r="CR170" s="630"/>
      <c r="CS170" s="630"/>
      <c r="CT170" s="633"/>
      <c r="CU170" s="563"/>
      <c r="CV170" s="561"/>
      <c r="CW170" s="563"/>
      <c r="CX170" s="561"/>
      <c r="CY170" s="563"/>
      <c r="CZ170" s="561"/>
      <c r="DA170" s="563"/>
      <c r="DB170" s="561"/>
      <c r="DC170" s="563"/>
      <c r="DD170" s="561"/>
      <c r="DG170" s="576"/>
      <c r="DH170" s="576"/>
      <c r="DI170" s="570"/>
      <c r="DJ170" s="570"/>
      <c r="DK170" s="570"/>
      <c r="DL170" s="570"/>
      <c r="DM170" s="573"/>
      <c r="DN170" s="570"/>
      <c r="DO170" s="570"/>
      <c r="DP170" s="570"/>
      <c r="DQ170" s="570"/>
      <c r="DR170" s="570"/>
      <c r="DS170" s="570"/>
      <c r="DT170" s="570"/>
      <c r="DU170" s="570"/>
      <c r="DV170" s="576"/>
      <c r="DW170" s="576"/>
      <c r="DX170" s="570"/>
      <c r="DY170" s="570"/>
    </row>
    <row r="171" spans="1:194" s="175" customFormat="1" ht="60" customHeight="1" x14ac:dyDescent="0.3">
      <c r="A171" s="366"/>
      <c r="B171" s="367"/>
      <c r="C171" s="393" t="s">
        <v>30</v>
      </c>
      <c r="D171" s="599"/>
      <c r="E171" s="599"/>
      <c r="F171" s="599"/>
      <c r="G171" s="599"/>
      <c r="H171" s="599"/>
      <c r="I171" s="599"/>
      <c r="J171" s="604"/>
      <c r="K171" s="604"/>
      <c r="L171" s="607"/>
      <c r="M171" s="559"/>
      <c r="N171" s="610"/>
      <c r="O171" s="613"/>
      <c r="P171" s="192"/>
      <c r="Q171" s="176" t="s">
        <v>205</v>
      </c>
      <c r="R171" s="233" t="s">
        <v>204</v>
      </c>
      <c r="S171" s="234"/>
      <c r="T171" s="235">
        <f>IFERROR(($R$353-8000)*T170,"")</f>
        <v>0</v>
      </c>
      <c r="U171" s="206"/>
      <c r="V171" s="220"/>
      <c r="W171" s="221" t="s">
        <v>258</v>
      </c>
      <c r="X171" s="222" t="s">
        <v>204</v>
      </c>
      <c r="Y171" s="236"/>
      <c r="Z171" s="237"/>
      <c r="AA171" s="225"/>
      <c r="AB171" s="226"/>
      <c r="AC171" s="206"/>
      <c r="AD171" s="206"/>
      <c r="AE171" s="206"/>
      <c r="AF171" s="227"/>
      <c r="AG171" s="206"/>
      <c r="AH171" s="206"/>
      <c r="AI171" s="206"/>
      <c r="AJ171" s="206"/>
      <c r="AK171" s="227"/>
      <c r="AL171" s="238"/>
      <c r="AM171" s="206"/>
      <c r="AN171" s="206"/>
      <c r="AO171" s="228"/>
      <c r="AP171" s="229"/>
      <c r="AQ171" s="206"/>
      <c r="AR171" s="206"/>
      <c r="AS171" s="228"/>
      <c r="AT171" s="229"/>
      <c r="AU171" s="228"/>
      <c r="AV171" s="229"/>
      <c r="AW171" s="228"/>
      <c r="AX171" s="229"/>
      <c r="AY171" s="206"/>
      <c r="AZ171" s="229"/>
      <c r="BA171" s="210"/>
      <c r="BB171" s="175" t="s">
        <v>26</v>
      </c>
      <c r="BC171" s="211" t="s">
        <v>115</v>
      </c>
      <c r="BD171" s="210"/>
      <c r="BE171" s="177" t="str">
        <f>IFERROR(VLOOKUP(D169,'BD M.O'!C:H,4,FALSE),"")</f>
        <v/>
      </c>
      <c r="BF171" s="177" t="s">
        <v>259</v>
      </c>
      <c r="BI171" s="210"/>
      <c r="BO171" s="210"/>
      <c r="BV171" s="184"/>
      <c r="BW171" s="210"/>
      <c r="CD171" s="184"/>
      <c r="CF171" s="185"/>
      <c r="CI171" s="184"/>
      <c r="CJ171" s="210"/>
      <c r="CK171" s="563"/>
      <c r="CM171" s="559"/>
      <c r="CN171" s="627"/>
      <c r="CO171" s="630"/>
      <c r="CP171" s="630"/>
      <c r="CQ171" s="630"/>
      <c r="CR171" s="630"/>
      <c r="CS171" s="630"/>
      <c r="CT171" s="633"/>
      <c r="CU171" s="563"/>
      <c r="CV171" s="561"/>
      <c r="CW171" s="563"/>
      <c r="CX171" s="561"/>
      <c r="CY171" s="563"/>
      <c r="CZ171" s="561"/>
      <c r="DA171" s="563"/>
      <c r="DB171" s="561"/>
      <c r="DC171" s="563"/>
      <c r="DD171" s="561"/>
      <c r="DG171" s="577"/>
      <c r="DH171" s="577"/>
      <c r="DI171" s="571"/>
      <c r="DJ171" s="571"/>
      <c r="DK171" s="571"/>
      <c r="DL171" s="571"/>
      <c r="DM171" s="574"/>
      <c r="DN171" s="571"/>
      <c r="DO171" s="571"/>
      <c r="DP171" s="571"/>
      <c r="DQ171" s="571"/>
      <c r="DR171" s="571"/>
      <c r="DS171" s="571"/>
      <c r="DT171" s="571"/>
      <c r="DU171" s="571"/>
      <c r="DV171" s="577"/>
      <c r="DW171" s="577"/>
      <c r="DX171" s="571"/>
      <c r="DY171" s="571"/>
    </row>
    <row r="172" spans="1:194" s="175" customFormat="1" ht="60" customHeight="1" x14ac:dyDescent="0.25">
      <c r="A172" s="366"/>
      <c r="B172" s="367"/>
      <c r="C172" s="395" t="s">
        <v>180</v>
      </c>
      <c r="D172" s="599" t="s">
        <v>31</v>
      </c>
      <c r="E172" s="599"/>
      <c r="F172" s="394" t="s">
        <v>9</v>
      </c>
      <c r="G172" s="599" t="s">
        <v>33</v>
      </c>
      <c r="H172" s="599"/>
      <c r="I172" s="394" t="str">
        <f>+IF($BG$9="SI","","X")</f>
        <v>X</v>
      </c>
      <c r="J172" s="604"/>
      <c r="K172" s="604"/>
      <c r="L172" s="607"/>
      <c r="M172" s="559"/>
      <c r="N172" s="610"/>
      <c r="O172" s="613"/>
      <c r="P172" s="192"/>
      <c r="Q172" s="239"/>
      <c r="R172" s="221" t="s">
        <v>209</v>
      </c>
      <c r="S172" s="234" t="str">
        <f>IF(S170="","",S170/(J169*K169))</f>
        <v/>
      </c>
      <c r="T172" s="226"/>
      <c r="U172" s="206"/>
      <c r="V172" s="220"/>
      <c r="W172" s="239" t="str">
        <f>IFERROR(IF(X171="SI",VLOOKUP(D169,'BD M.O'!C:F,4,FALSE),""),"")</f>
        <v/>
      </c>
      <c r="X172" s="221" t="s">
        <v>258</v>
      </c>
      <c r="Y172" s="221" t="s">
        <v>507</v>
      </c>
      <c r="Z172" s="221" t="s">
        <v>508</v>
      </c>
      <c r="AA172" s="225"/>
      <c r="AB172" s="226"/>
      <c r="AC172" s="206"/>
      <c r="AD172" s="206"/>
      <c r="AE172" s="206"/>
      <c r="AF172" s="227"/>
      <c r="AG172" s="206"/>
      <c r="AH172" s="206"/>
      <c r="AI172" s="206"/>
      <c r="AJ172" s="206"/>
      <c r="AK172" s="227"/>
      <c r="AL172" s="240"/>
      <c r="AM172" s="206"/>
      <c r="AN172" s="206"/>
      <c r="AO172" s="228"/>
      <c r="AP172" s="229"/>
      <c r="AQ172" s="206"/>
      <c r="AR172" s="206"/>
      <c r="AS172" s="228"/>
      <c r="AT172" s="229"/>
      <c r="AU172" s="228"/>
      <c r="AV172" s="229"/>
      <c r="AW172" s="228"/>
      <c r="AX172" s="229"/>
      <c r="AY172" s="206"/>
      <c r="AZ172" s="229"/>
      <c r="BA172" s="210"/>
      <c r="BC172" s="175" t="s">
        <v>116</v>
      </c>
      <c r="BD172" s="210"/>
      <c r="BE172" s="177" t="str">
        <f>IFERROR(VLOOKUP(COTIZACIÓN!D169,'BD M.O'!C:I,5,FALSE),"")</f>
        <v/>
      </c>
      <c r="BF172" s="177" t="s">
        <v>260</v>
      </c>
      <c r="BI172" s="210"/>
      <c r="BO172" s="210"/>
      <c r="BP172" s="183"/>
      <c r="BQ172" s="183"/>
      <c r="BR172" s="183"/>
      <c r="BS172" s="183"/>
      <c r="BT172" s="183"/>
      <c r="BU172" s="183"/>
      <c r="BV172" s="182"/>
      <c r="BW172" s="210"/>
      <c r="BX172" s="183"/>
      <c r="BY172" s="183"/>
      <c r="BZ172" s="183"/>
      <c r="CA172" s="183"/>
      <c r="CB172" s="183"/>
      <c r="CC172" s="183"/>
      <c r="CD172" s="182"/>
      <c r="CE172" s="183"/>
      <c r="CF172" s="241"/>
      <c r="CG172" s="183"/>
      <c r="CH172" s="183"/>
      <c r="CI172" s="182"/>
      <c r="CJ172" s="210"/>
      <c r="CK172" s="563"/>
      <c r="CM172" s="559"/>
      <c r="CN172" s="627"/>
      <c r="CO172" s="630"/>
      <c r="CP172" s="630"/>
      <c r="CQ172" s="630"/>
      <c r="CR172" s="630"/>
      <c r="CS172" s="630"/>
      <c r="CT172" s="633"/>
      <c r="CU172" s="563"/>
      <c r="CV172" s="561"/>
      <c r="CW172" s="563"/>
      <c r="CX172" s="561"/>
      <c r="CY172" s="563"/>
      <c r="CZ172" s="561"/>
      <c r="DA172" s="563"/>
      <c r="DB172" s="561"/>
      <c r="DC172" s="563"/>
      <c r="DD172" s="561"/>
      <c r="DG172" s="575"/>
      <c r="DH172" s="575"/>
      <c r="DI172" s="569">
        <f t="shared" ref="DI172" si="622">IFERROR(IF(DG172&gt;0,(((N169)/(1+10%+19%*5%)+((N169)/(1+10%+19%*5%))*10%)*DH172),0),0)</f>
        <v>0</v>
      </c>
      <c r="DJ172" s="569">
        <f t="shared" ref="DJ172" si="623">IFERROR(IF(DG172&gt;0,(N169*DH172),0),0)</f>
        <v>0</v>
      </c>
      <c r="DK172" s="569">
        <f t="shared" ref="DK172" si="624">IF(DG172&gt;0,((R169+T169)*DH172),0)</f>
        <v>0</v>
      </c>
      <c r="DL172" s="569">
        <f t="shared" ref="DL172" si="625">IF(DG172&gt;0,(Q169*DH172),0)</f>
        <v>0</v>
      </c>
      <c r="DM172" s="572">
        <f t="shared" ref="DM172" si="626">IF(DG172&gt;0,(S169*DH172),0)</f>
        <v>0</v>
      </c>
      <c r="DN172" s="569">
        <f t="shared" ref="DN172" si="627">IF(DG172&gt;0,(BN169*DH172),0)</f>
        <v>0</v>
      </c>
      <c r="DO172" s="569">
        <f t="shared" ref="DO172" si="628">IF(DG172&gt;0,(AF169*DH172),0)</f>
        <v>0</v>
      </c>
      <c r="DP172" s="569">
        <f>IF(DG172&gt;0,((DI172)*('BD P&amp;G'!$E$16+'BD P&amp;G'!$E$17+'BD P&amp;G'!$E$18+'BD P&amp;G'!$E$19+'BD P&amp;G'!$E$20+'BD P&amp;G'!$E$21+'BD P&amp;G'!$E$22+'BD P&amp;G'!$E$23)*DH172),0)</f>
        <v>0</v>
      </c>
      <c r="DQ172" s="569">
        <f>IFERROR(IF(DG172&gt;0,((DI172*'BD P&amp;G'!$E$7)+(DI172*'BD P&amp;G'!$E$9)+AI169),0),0)</f>
        <v>0</v>
      </c>
      <c r="DR172" s="569">
        <f t="shared" ref="DR172" si="629">IFERROR(IF(DG172&gt;0,((DI172*1%)),0),0)</f>
        <v>0</v>
      </c>
      <c r="DS172" s="569">
        <f>IFERROR(IF(DG172&gt;0,(((DI172*'BD P&amp;G'!$E$32+DI172*'BD P&amp;G'!$E$33+DI172*'BD P&amp;G'!$E$35+DI172*'BD P&amp;G'!$E$36+DI172*'BD P&amp;G'!$E$37))),0),0)</f>
        <v>0</v>
      </c>
      <c r="DT172" s="569">
        <f t="shared" ref="DT172" si="630">IF(DG172&gt;0,(Y169*DH172),0)</f>
        <v>0</v>
      </c>
      <c r="DU172" s="569">
        <f t="shared" ref="DU172" si="631">IF(DG172&gt;0,(Z169*DH172),0)</f>
        <v>0</v>
      </c>
      <c r="DV172" s="575">
        <f t="shared" ref="DV172" si="632">IF(DG172&gt;0,(Y173*DH172),0)</f>
        <v>0</v>
      </c>
      <c r="DW172" s="575">
        <f t="shared" ref="DW172" si="633">IF(DG172&gt;0,(Z173*DH172),0)</f>
        <v>0</v>
      </c>
      <c r="DX172" s="569">
        <f t="shared" ref="DX172" si="634">IF(DV172&gt;0,DJ172,0)</f>
        <v>0</v>
      </c>
      <c r="DY172" s="569">
        <f t="shared" ref="DY172" si="635">IF(DW172&gt;0,DJ172,0)</f>
        <v>0</v>
      </c>
    </row>
    <row r="173" spans="1:194" s="175" customFormat="1" ht="60" customHeight="1" x14ac:dyDescent="0.3">
      <c r="A173" s="366"/>
      <c r="B173" s="367"/>
      <c r="C173" s="393" t="s">
        <v>35</v>
      </c>
      <c r="D173" s="599" t="str">
        <f>IFERROR(VLOOKUP(D169,'BD GN'!C:E,3,),"")</f>
        <v/>
      </c>
      <c r="E173" s="599"/>
      <c r="F173" s="599"/>
      <c r="G173" s="599"/>
      <c r="H173" s="599"/>
      <c r="I173" s="599"/>
      <c r="J173" s="604"/>
      <c r="K173" s="604"/>
      <c r="L173" s="607"/>
      <c r="M173" s="559"/>
      <c r="N173" s="610"/>
      <c r="O173" s="613"/>
      <c r="P173" s="192"/>
      <c r="Q173" s="239"/>
      <c r="R173" s="221" t="s">
        <v>210</v>
      </c>
      <c r="S173" s="234" t="str">
        <f>IFERROR(IF(N169="","",N169/W173),"")</f>
        <v/>
      </c>
      <c r="T173" s="226"/>
      <c r="U173" s="206"/>
      <c r="V173" s="220"/>
      <c r="W173" s="242" t="str">
        <f>+IF(J169*K169&gt;=1,J169*K169,IF(AND(J169*K169&gt;0,J169*K169&lt;1),1,""))</f>
        <v/>
      </c>
      <c r="X173" s="221" t="s">
        <v>298</v>
      </c>
      <c r="Y173" s="461">
        <f>IFERROR(IF(D169='BD GN'!$C$25,COTIZACIÓN!W173,IF(D169='BD GN'!$C$26,COTIZACIÓN!W173,IF(D169='BD GN'!$C$27,COTIZACIÓN!W173,IF(COTIZACIÓN!D169='BD GN'!$C$28,COTIZACIÓN!W173,IF(COTIZACIÓN!D169='BD GN'!$C$29,COTIZACIÓN!W173,IF(COTIZACIÓN!D169='BD GN'!$C$35,COTIZACIÓN!W173,IF(COTIZACIÓN!D169='BD GN'!$C$36,COTIZACIÓN!W173,IF(COTIZACIÓN!D169='BD GN'!$C$37,COTIZACIÓN!W173,IF(COTIZACIÓN!D169='BD GN'!$C$38,COTIZACIÓN!W173,IF(COTIZACIÓN!D169='BD GN'!$C$39,COTIZACIÓN!W173,IF(COTIZACIÓN!D169='BD GN'!$C$40,COTIZACIÓN!W173,IF(COTIZACIÓN!D169='BD GN'!$C$41,COTIZACIÓN!W173,IF(COTIZACIÓN!D169='BD GN'!$C$42,COTIZACIÓN!W173,IF(COTIZACIÓN!D169='BD GN'!$C$49,COTIZACIÓN!W173,IF(COTIZACIÓN!D169='BD GN'!$C$50,COTIZACIÓN!W173,IF(COTIZACIÓN!D169='BD GN'!$C$51,COTIZACIÓN!W173,IF(COTIZACIÓN!D169='BD GN'!$C$67,COTIZACIÓN!W173,0))))))))))))))))),0)</f>
        <v>0</v>
      </c>
      <c r="Z173" s="461">
        <f>IFERROR(W173-Y173,0)</f>
        <v>0</v>
      </c>
      <c r="AA173" s="225"/>
      <c r="AB173" s="226"/>
      <c r="AC173" s="206"/>
      <c r="AD173" s="206"/>
      <c r="AE173" s="206"/>
      <c r="AF173" s="227"/>
      <c r="AG173" s="206"/>
      <c r="AH173" s="206"/>
      <c r="AI173" s="206"/>
      <c r="AJ173" s="206"/>
      <c r="AK173" s="227"/>
      <c r="AL173" s="210"/>
      <c r="AM173" s="206"/>
      <c r="AN173" s="206"/>
      <c r="AO173" s="228"/>
      <c r="AP173" s="229"/>
      <c r="AQ173" s="206"/>
      <c r="AR173" s="206"/>
      <c r="AS173" s="228"/>
      <c r="AT173" s="229"/>
      <c r="AU173" s="228"/>
      <c r="AV173" s="229"/>
      <c r="AW173" s="228"/>
      <c r="AX173" s="229"/>
      <c r="AY173" s="206"/>
      <c r="AZ173" s="229"/>
      <c r="BA173" s="210"/>
      <c r="BC173" s="211" t="s">
        <v>117</v>
      </c>
      <c r="BD173" s="210"/>
      <c r="BE173" s="177" t="str">
        <f>IFERROR(VLOOKUP(D169,'BD M.O'!C:I,6,FALSE),"")</f>
        <v/>
      </c>
      <c r="BF173" s="177" t="s">
        <v>261</v>
      </c>
      <c r="BI173" s="210"/>
      <c r="BO173" s="210"/>
      <c r="BP173" s="183"/>
      <c r="BQ173" s="183"/>
      <c r="BR173" s="183"/>
      <c r="BW173" s="210"/>
      <c r="CD173" s="184"/>
      <c r="CF173" s="185"/>
      <c r="CI173" s="184"/>
      <c r="CJ173" s="210"/>
      <c r="CK173" s="563"/>
      <c r="CM173" s="559"/>
      <c r="CN173" s="627"/>
      <c r="CO173" s="630"/>
      <c r="CP173" s="630"/>
      <c r="CQ173" s="630"/>
      <c r="CR173" s="630"/>
      <c r="CS173" s="630"/>
      <c r="CT173" s="633"/>
      <c r="CU173" s="563"/>
      <c r="CV173" s="561"/>
      <c r="CW173" s="563"/>
      <c r="CX173" s="561"/>
      <c r="CY173" s="563"/>
      <c r="CZ173" s="561"/>
      <c r="DA173" s="563"/>
      <c r="DB173" s="561"/>
      <c r="DC173" s="563"/>
      <c r="DD173" s="561"/>
      <c r="DG173" s="576"/>
      <c r="DH173" s="576"/>
      <c r="DI173" s="570"/>
      <c r="DJ173" s="570"/>
      <c r="DK173" s="570"/>
      <c r="DL173" s="570"/>
      <c r="DM173" s="573"/>
      <c r="DN173" s="570"/>
      <c r="DO173" s="570"/>
      <c r="DP173" s="570"/>
      <c r="DQ173" s="570"/>
      <c r="DR173" s="570"/>
      <c r="DS173" s="570"/>
      <c r="DT173" s="570"/>
      <c r="DU173" s="570"/>
      <c r="DV173" s="576"/>
      <c r="DW173" s="576"/>
      <c r="DX173" s="570"/>
      <c r="DY173" s="570"/>
    </row>
    <row r="174" spans="1:194" s="252" customFormat="1" ht="60" customHeight="1" x14ac:dyDescent="0.25">
      <c r="A174" s="368"/>
      <c r="B174" s="369"/>
      <c r="C174" s="396" t="s">
        <v>10</v>
      </c>
      <c r="D174" s="645" t="s">
        <v>32</v>
      </c>
      <c r="E174" s="645"/>
      <c r="F174" s="645"/>
      <c r="G174" s="645"/>
      <c r="H174" s="645"/>
      <c r="I174" s="645"/>
      <c r="J174" s="643"/>
      <c r="K174" s="643"/>
      <c r="L174" s="646"/>
      <c r="M174" s="648"/>
      <c r="N174" s="649"/>
      <c r="O174" s="644"/>
      <c r="P174" s="192"/>
      <c r="Q174" s="239"/>
      <c r="R174" s="334" t="s">
        <v>475</v>
      </c>
      <c r="S174" s="234" t="str">
        <f>IFERROR(IF($C$12='BD GN'!$CC$1,VLOOKUP(COTIZACIÓN!D169,'BD GN'!CB:CG,2,FALSE),IF(COTIZACIÓN!$C$12='BD GN'!$CD$1,VLOOKUP(COTIZACIÓN!D169,'BD GN'!CB:CG,3,FALSE),IF($C$12='BD GN'!$CE$1,VLOOKUP(COTIZACIÓN!D169,'BD GN'!CB:CG,4,FALSE),IF(COTIZACIÓN!$C$12='BD GN'!$CF$1,VLOOKUP(COTIZACIÓN!D169,'BD GN'!CB:CG,5,FALSE),IF(COTIZACIÓN!$C$12='BD GN'!$CG$1,VLOOKUP(COTIZACIÓN!D169,'BD GN'!CB:CG,6,FALSE),""))))),"-")</f>
        <v/>
      </c>
      <c r="T174" s="243"/>
      <c r="U174" s="244"/>
      <c r="V174" s="245"/>
      <c r="W174" s="177" t="s">
        <v>394</v>
      </c>
      <c r="X174" s="246">
        <f>IFERROR(SUM(W169:X169),"")</f>
        <v>0</v>
      </c>
      <c r="Y174" s="166" t="s">
        <v>404</v>
      </c>
      <c r="Z174" s="199" t="str">
        <f>IFERROR(Y169+Z169,"")</f>
        <v/>
      </c>
      <c r="AA174" s="247"/>
      <c r="AB174" s="243"/>
      <c r="AC174" s="244"/>
      <c r="AD174" s="244"/>
      <c r="AE174" s="244"/>
      <c r="AF174" s="227"/>
      <c r="AG174" s="206"/>
      <c r="AH174" s="206"/>
      <c r="AI174" s="206"/>
      <c r="AJ174" s="206"/>
      <c r="AK174" s="227"/>
      <c r="AL174" s="227"/>
      <c r="AM174" s="248"/>
      <c r="AN174" s="248"/>
      <c r="AO174" s="249"/>
      <c r="AP174" s="250"/>
      <c r="AQ174" s="248"/>
      <c r="AR174" s="248"/>
      <c r="AS174" s="249"/>
      <c r="AT174" s="250"/>
      <c r="AU174" s="249"/>
      <c r="AV174" s="250"/>
      <c r="AW174" s="249"/>
      <c r="AX174" s="250"/>
      <c r="AY174" s="248"/>
      <c r="AZ174" s="250"/>
      <c r="BA174" s="210"/>
      <c r="BB174" s="175"/>
      <c r="BC174" s="175" t="s">
        <v>118</v>
      </c>
      <c r="BD174" s="210"/>
      <c r="BE174" s="251" t="str">
        <f>IFERROR(VLOOKUP(D169,'BD M.O'!C:I,7,FALSE),"")</f>
        <v/>
      </c>
      <c r="BF174" s="251" t="s">
        <v>262</v>
      </c>
      <c r="BG174" s="175"/>
      <c r="BH174" s="175"/>
      <c r="BI174" s="210"/>
      <c r="BJ174" s="175"/>
      <c r="BK174" s="175"/>
      <c r="BL174" s="175"/>
      <c r="BM174" s="175"/>
      <c r="BN174" s="175"/>
      <c r="BO174" s="210"/>
      <c r="BP174" s="175"/>
      <c r="BQ174" s="175"/>
      <c r="BR174" s="175"/>
      <c r="BS174" s="183"/>
      <c r="BT174" s="183"/>
      <c r="BU174" s="183"/>
      <c r="BV174" s="183"/>
      <c r="BW174" s="210"/>
      <c r="BX174" s="175"/>
      <c r="BY174" s="175"/>
      <c r="BZ174" s="175"/>
      <c r="CA174" s="175"/>
      <c r="CB174" s="175"/>
      <c r="CC174" s="175"/>
      <c r="CD174" s="184"/>
      <c r="CE174" s="175"/>
      <c r="CF174" s="185"/>
      <c r="CG174" s="175"/>
      <c r="CH174" s="175"/>
      <c r="CI174" s="184"/>
      <c r="CJ174" s="210"/>
      <c r="CK174" s="564"/>
      <c r="CL174" s="257"/>
      <c r="CM174" s="597"/>
      <c r="CN174" s="628"/>
      <c r="CO174" s="631"/>
      <c r="CP174" s="631"/>
      <c r="CQ174" s="631"/>
      <c r="CR174" s="631"/>
      <c r="CS174" s="631"/>
      <c r="CT174" s="634"/>
      <c r="CU174" s="564"/>
      <c r="CV174" s="562"/>
      <c r="CW174" s="564"/>
      <c r="CX174" s="562"/>
      <c r="CY174" s="564"/>
      <c r="CZ174" s="562"/>
      <c r="DA174" s="564"/>
      <c r="DB174" s="562"/>
      <c r="DC174" s="564"/>
      <c r="DD174" s="562"/>
      <c r="DE174" s="175"/>
      <c r="DF174" s="175"/>
      <c r="DG174" s="577"/>
      <c r="DH174" s="577"/>
      <c r="DI174" s="571"/>
      <c r="DJ174" s="571"/>
      <c r="DK174" s="571"/>
      <c r="DL174" s="571"/>
      <c r="DM174" s="574"/>
      <c r="DN174" s="571"/>
      <c r="DO174" s="571"/>
      <c r="DP174" s="571"/>
      <c r="DQ174" s="571"/>
      <c r="DR174" s="571"/>
      <c r="DS174" s="571"/>
      <c r="DT174" s="571"/>
      <c r="DU174" s="571"/>
      <c r="DV174" s="577"/>
      <c r="DW174" s="577"/>
      <c r="DX174" s="571"/>
      <c r="DY174" s="571"/>
      <c r="DZ174" s="175"/>
      <c r="EA174" s="175"/>
      <c r="EB174" s="175"/>
      <c r="EC174" s="175"/>
      <c r="ED174" s="175"/>
      <c r="EE174" s="175"/>
      <c r="EF174" s="175"/>
      <c r="EG174" s="175"/>
      <c r="EH174" s="175"/>
      <c r="EI174" s="175"/>
      <c r="EJ174" s="175"/>
      <c r="EK174" s="175"/>
      <c r="EL174" s="175"/>
      <c r="EM174" s="175"/>
      <c r="EN174" s="175"/>
      <c r="EO174" s="175"/>
      <c r="EP174" s="175"/>
      <c r="EQ174" s="175"/>
      <c r="ER174" s="175"/>
      <c r="ES174" s="175"/>
      <c r="ET174" s="175"/>
      <c r="EU174" s="175"/>
      <c r="EV174" s="175"/>
      <c r="EW174" s="175"/>
      <c r="EX174" s="175"/>
      <c r="EY174" s="175"/>
      <c r="EZ174" s="175"/>
      <c r="FA174" s="175"/>
      <c r="FB174" s="175"/>
      <c r="FC174" s="175"/>
      <c r="FD174" s="175"/>
      <c r="FE174" s="175"/>
      <c r="FF174" s="175"/>
      <c r="FG174" s="175"/>
      <c r="FH174" s="175"/>
      <c r="FI174" s="175"/>
      <c r="FJ174" s="175"/>
      <c r="FK174" s="175"/>
      <c r="FL174" s="175"/>
      <c r="FM174" s="175"/>
      <c r="FN174" s="175"/>
      <c r="FO174" s="175"/>
      <c r="FP174" s="175"/>
      <c r="FQ174" s="175"/>
      <c r="FR174" s="175"/>
      <c r="FS174" s="175"/>
      <c r="FT174" s="175"/>
      <c r="FU174" s="175"/>
      <c r="FV174" s="175"/>
      <c r="FW174" s="175"/>
      <c r="FX174" s="175"/>
      <c r="FY174" s="175"/>
      <c r="FZ174" s="175"/>
      <c r="GA174" s="175"/>
      <c r="GB174" s="175"/>
      <c r="GC174" s="175"/>
      <c r="GD174" s="175"/>
      <c r="GE174" s="175"/>
      <c r="GF174" s="175"/>
      <c r="GG174" s="175"/>
      <c r="GH174" s="175"/>
      <c r="GI174" s="175"/>
      <c r="GJ174" s="175"/>
      <c r="GK174" s="175"/>
      <c r="GL174" s="175"/>
    </row>
    <row r="175" spans="1:194" s="255" customFormat="1" ht="60" customHeight="1" x14ac:dyDescent="0.3">
      <c r="A175" s="362" t="s">
        <v>193</v>
      </c>
      <c r="B175" s="363" t="s">
        <v>25</v>
      </c>
      <c r="C175" s="391" t="s">
        <v>174</v>
      </c>
      <c r="D175" s="640" t="s">
        <v>173</v>
      </c>
      <c r="E175" s="640"/>
      <c r="F175" s="640"/>
      <c r="G175" s="640"/>
      <c r="H175" s="640"/>
      <c r="I175" s="640"/>
      <c r="J175" s="418" t="s">
        <v>443</v>
      </c>
      <c r="K175" s="418" t="s">
        <v>444</v>
      </c>
      <c r="L175" s="418" t="s">
        <v>171</v>
      </c>
      <c r="M175" s="363" t="s">
        <v>2</v>
      </c>
      <c r="N175" s="419" t="s">
        <v>7</v>
      </c>
      <c r="O175" s="420" t="s">
        <v>8</v>
      </c>
      <c r="P175" s="159"/>
      <c r="Q175" s="164" t="s">
        <v>93</v>
      </c>
      <c r="R175" s="164" t="s">
        <v>34</v>
      </c>
      <c r="S175" s="164" t="s">
        <v>28</v>
      </c>
      <c r="T175" s="164" t="s">
        <v>95</v>
      </c>
      <c r="U175" s="164" t="s">
        <v>96</v>
      </c>
      <c r="V175" s="164" t="s">
        <v>97</v>
      </c>
      <c r="W175" s="164" t="s">
        <v>4</v>
      </c>
      <c r="X175" s="164" t="s">
        <v>103</v>
      </c>
      <c r="Y175" s="160" t="s">
        <v>402</v>
      </c>
      <c r="Z175" s="165" t="s">
        <v>403</v>
      </c>
      <c r="AA175" s="166" t="s">
        <v>404</v>
      </c>
      <c r="AB175" s="164" t="s">
        <v>99</v>
      </c>
      <c r="AC175" s="164" t="s">
        <v>395</v>
      </c>
      <c r="AD175" s="253" t="s">
        <v>36</v>
      </c>
      <c r="AE175" s="164" t="s">
        <v>389</v>
      </c>
      <c r="AF175" s="164" t="s">
        <v>390</v>
      </c>
      <c r="AG175" s="164" t="s">
        <v>164</v>
      </c>
      <c r="AH175" s="253" t="s">
        <v>396</v>
      </c>
      <c r="AI175" s="164" t="s">
        <v>190</v>
      </c>
      <c r="AJ175" s="164" t="s">
        <v>339</v>
      </c>
      <c r="AK175" s="253" t="s">
        <v>391</v>
      </c>
      <c r="AL175" s="253" t="s">
        <v>393</v>
      </c>
      <c r="AM175" s="167" t="s">
        <v>93</v>
      </c>
      <c r="AN175" s="168" t="s">
        <v>34</v>
      </c>
      <c r="AO175" s="169" t="s">
        <v>28</v>
      </c>
      <c r="AP175" s="170" t="s">
        <v>95</v>
      </c>
      <c r="AQ175" s="167" t="s">
        <v>3</v>
      </c>
      <c r="AR175" s="167" t="s">
        <v>96</v>
      </c>
      <c r="AS175" s="169" t="s">
        <v>97</v>
      </c>
      <c r="AT175" s="170" t="s">
        <v>4</v>
      </c>
      <c r="AU175" s="169" t="s">
        <v>103</v>
      </c>
      <c r="AV175" s="170" t="s">
        <v>99</v>
      </c>
      <c r="AW175" s="169" t="s">
        <v>36</v>
      </c>
      <c r="AX175" s="171" t="s">
        <v>29</v>
      </c>
      <c r="AY175" s="172" t="s">
        <v>190</v>
      </c>
      <c r="AZ175" s="173" t="s">
        <v>102</v>
      </c>
      <c r="BA175" s="174"/>
      <c r="BB175" s="183"/>
      <c r="BC175" s="211" t="s">
        <v>119</v>
      </c>
      <c r="BD175" s="174"/>
      <c r="BE175" s="176" t="s">
        <v>189</v>
      </c>
      <c r="BF175" s="177" t="str">
        <f>$BF$13</f>
        <v xml:space="preserve">VR SILICONA </v>
      </c>
      <c r="BG175" s="177" t="str">
        <f>$BG$13</f>
        <v xml:space="preserve">VR PELÍCULA </v>
      </c>
      <c r="BH175" s="254" t="str">
        <f>$BH$13</f>
        <v>VR EMBALAJE</v>
      </c>
      <c r="BI175" s="174"/>
      <c r="BJ175" s="176" t="str">
        <f>$BJ$13</f>
        <v>ESP. CRISTAL</v>
      </c>
      <c r="BK175" s="176" t="s">
        <v>130</v>
      </c>
      <c r="BL175" s="177" t="s">
        <v>28</v>
      </c>
      <c r="BM175" s="177" t="str">
        <f>BM168</f>
        <v>TOTAL</v>
      </c>
      <c r="BN175" s="177" t="s">
        <v>133</v>
      </c>
      <c r="BO175" s="174"/>
      <c r="BP175" s="175"/>
      <c r="BQ175" s="175"/>
      <c r="BR175" s="175"/>
      <c r="BS175" s="175"/>
      <c r="BT175" s="175"/>
      <c r="BU175" s="175"/>
      <c r="BV175" s="175"/>
      <c r="BW175" s="174"/>
      <c r="BX175" s="175"/>
      <c r="BY175" s="175"/>
      <c r="BZ175" s="175"/>
      <c r="CA175" s="175"/>
      <c r="CB175" s="175"/>
      <c r="CC175" s="175"/>
      <c r="CD175" s="184"/>
      <c r="CE175" s="175"/>
      <c r="CF175" s="185"/>
      <c r="CG175" s="175"/>
      <c r="CH175" s="175"/>
      <c r="CI175" s="184"/>
      <c r="CJ175" s="174"/>
      <c r="CK175" s="186" t="s">
        <v>415</v>
      </c>
      <c r="CL175" s="187" t="s">
        <v>417</v>
      </c>
      <c r="CM175" s="187" t="s">
        <v>416</v>
      </c>
      <c r="CN175" s="188" t="s">
        <v>418</v>
      </c>
      <c r="CO175" s="187" t="s">
        <v>417</v>
      </c>
      <c r="CP175" s="187" t="s">
        <v>409</v>
      </c>
      <c r="CQ175" s="187" t="s">
        <v>410</v>
      </c>
      <c r="CR175" s="187" t="s">
        <v>411</v>
      </c>
      <c r="CS175" s="187" t="s">
        <v>412</v>
      </c>
      <c r="CT175" s="187" t="s">
        <v>413</v>
      </c>
      <c r="CU175" s="189" t="s">
        <v>2</v>
      </c>
      <c r="CV175" s="190" t="s">
        <v>159</v>
      </c>
      <c r="CW175" s="189" t="s">
        <v>2</v>
      </c>
      <c r="CX175" s="190" t="s">
        <v>159</v>
      </c>
      <c r="CY175" s="189" t="s">
        <v>2</v>
      </c>
      <c r="CZ175" s="190" t="s">
        <v>159</v>
      </c>
      <c r="DA175" s="189" t="s">
        <v>2</v>
      </c>
      <c r="DB175" s="190" t="s">
        <v>159</v>
      </c>
      <c r="DC175" s="189" t="s">
        <v>2</v>
      </c>
      <c r="DD175" s="190" t="s">
        <v>159</v>
      </c>
      <c r="DE175" s="183"/>
      <c r="DF175" s="183"/>
      <c r="DG175" s="177" t="s">
        <v>505</v>
      </c>
      <c r="DH175" s="472" t="s">
        <v>509</v>
      </c>
      <c r="DI175" s="457" t="s">
        <v>506</v>
      </c>
      <c r="DJ175" s="457" t="s">
        <v>134</v>
      </c>
      <c r="DK175" s="457" t="s">
        <v>498</v>
      </c>
      <c r="DL175" s="457" t="s">
        <v>499</v>
      </c>
      <c r="DM175" s="457" t="s">
        <v>500</v>
      </c>
      <c r="DN175" s="457" t="s">
        <v>131</v>
      </c>
      <c r="DO175" s="457" t="s">
        <v>390</v>
      </c>
      <c r="DP175" s="457" t="s">
        <v>36</v>
      </c>
      <c r="DQ175" s="457" t="s">
        <v>501</v>
      </c>
      <c r="DR175" s="457" t="s">
        <v>502</v>
      </c>
      <c r="DS175" s="457" t="s">
        <v>503</v>
      </c>
      <c r="DT175" s="457" t="s">
        <v>4</v>
      </c>
      <c r="DU175" s="457" t="s">
        <v>504</v>
      </c>
      <c r="DV175" s="466" t="s">
        <v>507</v>
      </c>
      <c r="DW175" s="466" t="s">
        <v>508</v>
      </c>
      <c r="DX175" s="457" t="s">
        <v>510</v>
      </c>
      <c r="DY175" s="457" t="s">
        <v>511</v>
      </c>
      <c r="DZ175" s="183"/>
      <c r="EA175" s="183"/>
      <c r="EB175" s="183"/>
      <c r="EC175" s="183"/>
      <c r="ED175" s="183"/>
      <c r="EE175" s="183"/>
      <c r="EF175" s="183"/>
      <c r="EG175" s="183"/>
      <c r="EH175" s="183"/>
      <c r="EI175" s="183"/>
      <c r="EJ175" s="183"/>
      <c r="EK175" s="183"/>
      <c r="EL175" s="183"/>
      <c r="EM175" s="183"/>
      <c r="EN175" s="183"/>
      <c r="EO175" s="183"/>
      <c r="EP175" s="183"/>
      <c r="EQ175" s="183"/>
      <c r="ER175" s="183"/>
      <c r="ES175" s="183"/>
      <c r="ET175" s="183"/>
      <c r="EU175" s="183"/>
      <c r="EV175" s="183"/>
      <c r="EW175" s="183"/>
      <c r="EX175" s="183"/>
      <c r="EY175" s="183"/>
      <c r="EZ175" s="183"/>
      <c r="FA175" s="183"/>
      <c r="FB175" s="183"/>
      <c r="FC175" s="183"/>
      <c r="FD175" s="183"/>
      <c r="FE175" s="183"/>
      <c r="FF175" s="183"/>
      <c r="FG175" s="183"/>
      <c r="FH175" s="183"/>
      <c r="FI175" s="183"/>
      <c r="FJ175" s="183"/>
      <c r="FK175" s="183"/>
      <c r="FL175" s="183"/>
      <c r="FM175" s="183"/>
      <c r="FN175" s="183"/>
      <c r="FO175" s="183"/>
      <c r="FP175" s="183"/>
      <c r="FQ175" s="183"/>
      <c r="FR175" s="183"/>
      <c r="FS175" s="183"/>
      <c r="FT175" s="183"/>
      <c r="FU175" s="183"/>
      <c r="FV175" s="183"/>
      <c r="FW175" s="183"/>
      <c r="FX175" s="183"/>
      <c r="FY175" s="183"/>
      <c r="FZ175" s="183"/>
      <c r="GA175" s="183"/>
      <c r="GB175" s="183"/>
      <c r="GC175" s="183"/>
      <c r="GD175" s="183"/>
      <c r="GE175" s="183"/>
      <c r="GF175" s="183"/>
      <c r="GG175" s="183"/>
      <c r="GH175" s="183"/>
      <c r="GI175" s="183"/>
      <c r="GJ175" s="183"/>
      <c r="GK175" s="183"/>
      <c r="GL175" s="183"/>
    </row>
    <row r="176" spans="1:194" s="175" customFormat="1" ht="60" customHeight="1" x14ac:dyDescent="0.3">
      <c r="A176" s="364"/>
      <c r="B176" s="365"/>
      <c r="C176" s="392" t="s">
        <v>27</v>
      </c>
      <c r="D176" s="641"/>
      <c r="E176" s="641"/>
      <c r="F176" s="641"/>
      <c r="G176" s="641"/>
      <c r="H176" s="641"/>
      <c r="I176" s="641"/>
      <c r="J176" s="642"/>
      <c r="K176" s="642"/>
      <c r="L176" s="622">
        <f>J176*K176*M176</f>
        <v>0</v>
      </c>
      <c r="M176" s="623"/>
      <c r="N176" s="620">
        <f>IFERROR(AL176,"")</f>
        <v>1.0765546639999999</v>
      </c>
      <c r="O176" s="621">
        <f>IFERROR(N176*M176,"")</f>
        <v>0</v>
      </c>
      <c r="P176" s="192"/>
      <c r="Q176" s="193">
        <f>Q177+BF176+($R$350*Q177)</f>
        <v>0</v>
      </c>
      <c r="R176" s="193">
        <f>IFERROR(R177+($R$348*R177),"")</f>
        <v>0</v>
      </c>
      <c r="S176" s="194">
        <f>+IF(R178="SI",((W180*'BD GN'!$AB$2)+S177)*1,COTIZACIÓN!S177*1)+(P177*S177)</f>
        <v>0</v>
      </c>
      <c r="T176" s="195">
        <f>IFERROR(R176*IF(K176&lt;=3,$T$13,15%),"")</f>
        <v>0</v>
      </c>
      <c r="U176" s="196">
        <f>BH176+BG176</f>
        <v>0</v>
      </c>
      <c r="V176" s="197" t="str">
        <f>IFERROR(BN176,0)</f>
        <v/>
      </c>
      <c r="W176" s="198" t="str">
        <f>IFERROR(IF(X178="SI",W179*J176*K176,IF(BE176=3,BE178,IF(BE176=4,BE179,IF(BE176=5,BE180,IF(BE176&gt;5,BE180+(BE181*(BE176-5)),"")))))*0,"")</f>
        <v/>
      </c>
      <c r="X176" s="198" t="str">
        <f>IFERROR(IF(X177="NO",(VLOOKUP(D176,'BD M.O'!C:E,3,FALSE))*W180,((VLOOKUP(D176,'BD M.O'!C:E,3,FALSE))+7500)*W180),"")</f>
        <v/>
      </c>
      <c r="Y176" s="198">
        <f>IFERROR($Y$13*AK176,"")</f>
        <v>4.2084457416288003E-2</v>
      </c>
      <c r="Z176" s="332" t="str">
        <f>IFERROR(($Z$13*AK176)+X176,"")</f>
        <v/>
      </c>
      <c r="AA176" s="199" t="str">
        <f>IFERROR(Y176+Z176,"")</f>
        <v/>
      </c>
      <c r="AB176" s="200">
        <f>IFERROR((SUM(Q176:X176)-T176+T178)*$AB$13,"")</f>
        <v>0</v>
      </c>
      <c r="AC176" s="201">
        <f>IFERROR(((SUM(Q176:V176,IF(X181&gt;AA176,AVERAGE(X181,AA176),AA176))-T176+T178))*$AB$13,"")</f>
        <v>0</v>
      </c>
      <c r="AD176" s="202" t="str">
        <f>IFERROR((J176*K176*$BV$14),"")</f>
        <v/>
      </c>
      <c r="AE176" s="202">
        <f>IFERROR($AE$13*AK176,"")</f>
        <v>6.4010592649919984E-2</v>
      </c>
      <c r="AF176" s="203" t="str">
        <f>IFERROR(($CI$11+$CI$13)*W180,"")</f>
        <v/>
      </c>
      <c r="AG176" s="202">
        <f>IFERROR((SUM(Q176:X176,AB176,AD176,AF176)-T176+T178)*$AG$13,"")</f>
        <v>0</v>
      </c>
      <c r="AH176" s="202">
        <f>IFERROR((SUM(Q176:V176,(IF(X181&gt;AA176,AVERAGE(X181,AA176),AA176)),AC176,AE176,AF176)-T176+T178)*$AG$13,"")</f>
        <v>3.2005296324959992E-2</v>
      </c>
      <c r="AI176" s="204">
        <f>IFERROR(AL176*$AI$13,"")</f>
        <v>2.1531093279999997E-2</v>
      </c>
      <c r="AJ176" s="204">
        <f>IFERROR($AJ$13*AL176,"")</f>
        <v>6.007175025119999E-3</v>
      </c>
      <c r="AK176" s="205">
        <f>IFERROR(SUM(Q176:X176,AB176,AD176,AG176,AF176)/(1-$AI$13)+(1-$AJ$13)-T176+T178,"")</f>
        <v>0.99441999999999997</v>
      </c>
      <c r="AL176" s="205">
        <f>IFERROR(SUM(Q176:V176,AC176,(IF(AD176&gt;AE176,AVERAGE(AD176,AE176),AE176)),AF176,,AH176,(IF(SUM(X181)&gt;AA176,AVERAGE(AA176,X181),AA176)))/(1-$AJ$13)+(1-$AI$13)-T176+T178,"")</f>
        <v>1.0765546639999999</v>
      </c>
      <c r="AM176" s="206">
        <f>$M$15*Q176</f>
        <v>0</v>
      </c>
      <c r="AN176" s="207">
        <f>$M$15*R176</f>
        <v>0</v>
      </c>
      <c r="AO176" s="208">
        <f>$M$15*S176</f>
        <v>0</v>
      </c>
      <c r="AP176" s="207">
        <f>$M$15*T176</f>
        <v>0</v>
      </c>
      <c r="AQ176" s="207" t="e">
        <f>$M$15*#REF!</f>
        <v>#REF!</v>
      </c>
      <c r="AR176" s="207">
        <f>$M$15*U176</f>
        <v>0</v>
      </c>
      <c r="AS176" s="208" t="e">
        <f>$M$15*V176</f>
        <v>#VALUE!</v>
      </c>
      <c r="AT176" s="207" t="e">
        <f>$M$15*W176</f>
        <v>#VALUE!</v>
      </c>
      <c r="AU176" s="208" t="e">
        <f>$M$15*X176</f>
        <v>#VALUE!</v>
      </c>
      <c r="AV176" s="207">
        <f>$M$15*AB176</f>
        <v>0</v>
      </c>
      <c r="AW176" s="208">
        <f>$M$15*AE176</f>
        <v>0</v>
      </c>
      <c r="AX176" s="207">
        <f>$M$15*AG176</f>
        <v>0</v>
      </c>
      <c r="AY176" s="209">
        <f>$M$15*AI176</f>
        <v>0</v>
      </c>
      <c r="AZ176" s="207">
        <f>$M$15*AK176</f>
        <v>0</v>
      </c>
      <c r="BA176" s="210"/>
      <c r="BB176" s="175" t="s">
        <v>23</v>
      </c>
      <c r="BC176" s="211" t="s">
        <v>113</v>
      </c>
      <c r="BD176" s="210"/>
      <c r="BE176" s="212"/>
      <c r="BF176" s="213">
        <f>IF(BH177="NO",((2*J176)+(2*K176))*'BD GN'!$AU$3,((3*J176)+(2*K176))*'BD GN'!$AU$3)</f>
        <v>0</v>
      </c>
      <c r="BG176" s="213">
        <f>'BD GN'!$BB$3*J176*K176</f>
        <v>0</v>
      </c>
      <c r="BH176" s="214">
        <f>((J176*2*BE176)+(K176*2*BE176))*'BD GN'!$AN$4</f>
        <v>0</v>
      </c>
      <c r="BI176" s="210"/>
      <c r="BJ176" s="212"/>
      <c r="BK176" s="212"/>
      <c r="BL176" s="215">
        <f>J176*K176*2.5*BJ176</f>
        <v>0</v>
      </c>
      <c r="BM176" s="215">
        <f>BK176+BL176</f>
        <v>0</v>
      </c>
      <c r="BN176" s="216" t="str">
        <f>IFERROR((VLOOKUP($C$12,'BD GN'!BD:BM,10,FALSE)*BM176)+$BR$338,"")</f>
        <v/>
      </c>
      <c r="BO176" s="210"/>
      <c r="BW176" s="210"/>
      <c r="CD176" s="184"/>
      <c r="CF176" s="185"/>
      <c r="CI176" s="184"/>
      <c r="CJ176" s="210"/>
      <c r="CK176" s="565"/>
      <c r="CL176" s="256"/>
      <c r="CM176" s="596"/>
      <c r="CN176" s="626"/>
      <c r="CO176" s="629"/>
      <c r="CP176" s="629"/>
      <c r="CQ176" s="629"/>
      <c r="CR176" s="629"/>
      <c r="CS176" s="629"/>
      <c r="CT176" s="632"/>
      <c r="CU176" s="565"/>
      <c r="CV176" s="560">
        <f>IFERROR(N176*CU176,"")</f>
        <v>0</v>
      </c>
      <c r="CW176" s="565"/>
      <c r="CX176" s="560">
        <f>IFERROR(P176*CW176,"")</f>
        <v>0</v>
      </c>
      <c r="CY176" s="565"/>
      <c r="CZ176" s="560">
        <f>IFERROR(R176*CY176,"")</f>
        <v>0</v>
      </c>
      <c r="DA176" s="565">
        <f t="shared" ref="DA176" si="636">CU176+CW176+CY176</f>
        <v>0</v>
      </c>
      <c r="DB176" s="560">
        <f t="shared" ref="DB176" si="637">IFERROR(CV176+CX176+CZ176,"")</f>
        <v>0</v>
      </c>
      <c r="DC176" s="565">
        <f>M176-(CU176+CW176+CY176)</f>
        <v>0</v>
      </c>
      <c r="DD176" s="560">
        <f>IFERROR(O176-(CV176+CX176+CZ176),"")</f>
        <v>0</v>
      </c>
      <c r="DG176" s="575"/>
      <c r="DH176" s="575"/>
      <c r="DI176" s="569">
        <f t="shared" ref="DI176" si="638">IFERROR(IF(DG176&gt;0,(((N176)/(1+10%+19%*5%)+((N176)/(1+10%+19%*5%))*10%)*DH176),0),0)</f>
        <v>0</v>
      </c>
      <c r="DJ176" s="569">
        <f t="shared" ref="DJ176" si="639">IFERROR(IF(DG176&gt;0,(N176*DH176),0),0)</f>
        <v>0</v>
      </c>
      <c r="DK176" s="569">
        <f t="shared" ref="DK176" si="640">IF(DG176&gt;0,((R176+T176)*DH176),0)</f>
        <v>0</v>
      </c>
      <c r="DL176" s="569">
        <f t="shared" ref="DL176" si="641">IF(DG176&gt;0,(Q176*DH176),0)</f>
        <v>0</v>
      </c>
      <c r="DM176" s="572">
        <f t="shared" ref="DM176" si="642">IF(DG176&gt;0,(S176*DH176),0)</f>
        <v>0</v>
      </c>
      <c r="DN176" s="569">
        <f t="shared" ref="DN176" si="643">IF(DG176&gt;0,(BN176*DH176),0)</f>
        <v>0</v>
      </c>
      <c r="DO176" s="569">
        <f t="shared" ref="DO176" si="644">IF(DG176&gt;0,(AF176*DH176),0)</f>
        <v>0</v>
      </c>
      <c r="DP176" s="569">
        <f>IF(DG176&gt;0,((DI176)*('BD P&amp;G'!$E$16+'BD P&amp;G'!$E$17+'BD P&amp;G'!$E$18+'BD P&amp;G'!$E$19+'BD P&amp;G'!$E$20+'BD P&amp;G'!$E$21+'BD P&amp;G'!$E$22+'BD P&amp;G'!$E$23)*DH176),0)</f>
        <v>0</v>
      </c>
      <c r="DQ176" s="569">
        <f>IFERROR(IF(DG176&gt;0,((DI176*'BD P&amp;G'!$E$7)+(DI176*'BD P&amp;G'!$E$9)+AI176),0),0)</f>
        <v>0</v>
      </c>
      <c r="DR176" s="569">
        <f t="shared" ref="DR176" si="645">IFERROR(IF(DG176&gt;0,((DI176*1%)),0),0)</f>
        <v>0</v>
      </c>
      <c r="DS176" s="569">
        <f>IFERROR(IF(DG176&gt;0,(((DI176*'BD P&amp;G'!$E$32+DI176*'BD P&amp;G'!$E$33+DI176*'BD P&amp;G'!$E$35+DI176*'BD P&amp;G'!$E$36+DI176*'BD P&amp;G'!$E$37))),0),0)</f>
        <v>0</v>
      </c>
      <c r="DT176" s="569">
        <f t="shared" ref="DT176" si="646">IF(DG176&gt;0,(Y176*DH176),0)</f>
        <v>0</v>
      </c>
      <c r="DU176" s="569">
        <f t="shared" ref="DU176" si="647">IF(DG176&gt;0,(Z176*DH176),0)</f>
        <v>0</v>
      </c>
      <c r="DV176" s="575">
        <f t="shared" ref="DV176" si="648">IF(DG176&gt;0,(Y180*DH176),0)</f>
        <v>0</v>
      </c>
      <c r="DW176" s="575">
        <f t="shared" ref="DW176" si="649">IF(DG176&gt;0,(Z180*DH176),0)</f>
        <v>0</v>
      </c>
      <c r="DX176" s="569">
        <f t="shared" ref="DX176" si="650">IF(DV176&gt;0,DJ176,0)</f>
        <v>0</v>
      </c>
      <c r="DY176" s="569">
        <f t="shared" ref="DY176" si="651">IF(DW176&gt;0,DJ176,0)</f>
        <v>0</v>
      </c>
    </row>
    <row r="177" spans="1:194" s="175" customFormat="1" ht="60" customHeight="1" x14ac:dyDescent="0.25">
      <c r="A177" s="366"/>
      <c r="B177" s="367"/>
      <c r="C177" s="393" t="s">
        <v>28</v>
      </c>
      <c r="D177" s="598"/>
      <c r="E177" s="598"/>
      <c r="F177" s="598"/>
      <c r="G177" s="598"/>
      <c r="H177" s="598"/>
      <c r="I177" s="598"/>
      <c r="J177" s="604"/>
      <c r="K177" s="604"/>
      <c r="L177" s="607"/>
      <c r="M177" s="559"/>
      <c r="N177" s="610"/>
      <c r="O177" s="613"/>
      <c r="P177" s="192"/>
      <c r="Q177" s="217"/>
      <c r="R177" s="217"/>
      <c r="S177" s="218"/>
      <c r="T177" s="219">
        <f>IFERROR(T176/$R$353,"")</f>
        <v>0</v>
      </c>
      <c r="U177" s="206"/>
      <c r="V177" s="220"/>
      <c r="W177" s="221" t="s">
        <v>239</v>
      </c>
      <c r="X177" s="222" t="s">
        <v>204</v>
      </c>
      <c r="Y177" s="223"/>
      <c r="Z177" s="224"/>
      <c r="AA177" s="225"/>
      <c r="AB177" s="226"/>
      <c r="AC177" s="206"/>
      <c r="AD177" s="206"/>
      <c r="AE177" s="206"/>
      <c r="AF177" s="227"/>
      <c r="AG177" s="206"/>
      <c r="AH177" s="206"/>
      <c r="AI177" s="206"/>
      <c r="AJ177" s="206"/>
      <c r="AK177" s="227"/>
      <c r="AL177" s="210"/>
      <c r="AM177" s="206"/>
      <c r="AN177" s="206"/>
      <c r="AO177" s="228"/>
      <c r="AP177" s="229"/>
      <c r="AQ177" s="206"/>
      <c r="AR177" s="206"/>
      <c r="AS177" s="228"/>
      <c r="AT177" s="229"/>
      <c r="AU177" s="228"/>
      <c r="AV177" s="229"/>
      <c r="AW177" s="228"/>
      <c r="AX177" s="229"/>
      <c r="AY177" s="206"/>
      <c r="AZ177" s="229"/>
      <c r="BA177" s="210"/>
      <c r="BB177" s="175" t="s">
        <v>24</v>
      </c>
      <c r="BC177" s="175" t="s">
        <v>114</v>
      </c>
      <c r="BD177" s="210"/>
      <c r="BE177" s="176" t="s">
        <v>206</v>
      </c>
      <c r="BF177" s="230" t="s">
        <v>204</v>
      </c>
      <c r="BG177" s="176" t="s">
        <v>290</v>
      </c>
      <c r="BH177" s="231" t="s">
        <v>204</v>
      </c>
      <c r="BI177" s="210"/>
      <c r="BN177" s="232"/>
      <c r="BO177" s="210"/>
      <c r="BV177" s="184"/>
      <c r="BW177" s="210"/>
      <c r="CD177" s="184"/>
      <c r="CF177" s="185"/>
      <c r="CI177" s="184"/>
      <c r="CJ177" s="210"/>
      <c r="CK177" s="563"/>
      <c r="CM177" s="559"/>
      <c r="CN177" s="627"/>
      <c r="CO177" s="630"/>
      <c r="CP177" s="630"/>
      <c r="CQ177" s="630"/>
      <c r="CR177" s="630"/>
      <c r="CS177" s="630"/>
      <c r="CT177" s="633"/>
      <c r="CU177" s="563"/>
      <c r="CV177" s="561"/>
      <c r="CW177" s="563"/>
      <c r="CX177" s="561"/>
      <c r="CY177" s="563"/>
      <c r="CZ177" s="561"/>
      <c r="DA177" s="563"/>
      <c r="DB177" s="561"/>
      <c r="DC177" s="563"/>
      <c r="DD177" s="561"/>
      <c r="DG177" s="576"/>
      <c r="DH177" s="576"/>
      <c r="DI177" s="570"/>
      <c r="DJ177" s="570"/>
      <c r="DK177" s="570"/>
      <c r="DL177" s="570"/>
      <c r="DM177" s="573"/>
      <c r="DN177" s="570"/>
      <c r="DO177" s="570"/>
      <c r="DP177" s="570"/>
      <c r="DQ177" s="570"/>
      <c r="DR177" s="570"/>
      <c r="DS177" s="570"/>
      <c r="DT177" s="570"/>
      <c r="DU177" s="570"/>
      <c r="DV177" s="576"/>
      <c r="DW177" s="576"/>
      <c r="DX177" s="570"/>
      <c r="DY177" s="570"/>
    </row>
    <row r="178" spans="1:194" s="175" customFormat="1" ht="60" customHeight="1" x14ac:dyDescent="0.3">
      <c r="A178" s="366"/>
      <c r="B178" s="367"/>
      <c r="C178" s="393" t="s">
        <v>30</v>
      </c>
      <c r="D178" s="599"/>
      <c r="E178" s="599"/>
      <c r="F178" s="599"/>
      <c r="G178" s="599"/>
      <c r="H178" s="599"/>
      <c r="I178" s="599"/>
      <c r="J178" s="604"/>
      <c r="K178" s="604"/>
      <c r="L178" s="607"/>
      <c r="M178" s="559"/>
      <c r="N178" s="610"/>
      <c r="O178" s="613"/>
      <c r="P178" s="192"/>
      <c r="Q178" s="176" t="s">
        <v>205</v>
      </c>
      <c r="R178" s="233" t="s">
        <v>204</v>
      </c>
      <c r="S178" s="234"/>
      <c r="T178" s="235">
        <f>IFERROR(($R$353-8000)*T177,"")</f>
        <v>0</v>
      </c>
      <c r="U178" s="206"/>
      <c r="V178" s="220"/>
      <c r="W178" s="221" t="s">
        <v>258</v>
      </c>
      <c r="X178" s="222" t="s">
        <v>204</v>
      </c>
      <c r="Y178" s="236"/>
      <c r="Z178" s="237"/>
      <c r="AA178" s="225"/>
      <c r="AB178" s="226"/>
      <c r="AC178" s="206"/>
      <c r="AD178" s="206"/>
      <c r="AE178" s="206"/>
      <c r="AF178" s="227"/>
      <c r="AG178" s="206"/>
      <c r="AH178" s="206"/>
      <c r="AI178" s="206"/>
      <c r="AJ178" s="206"/>
      <c r="AK178" s="227"/>
      <c r="AL178" s="238"/>
      <c r="AM178" s="206"/>
      <c r="AN178" s="206"/>
      <c r="AO178" s="228"/>
      <c r="AP178" s="229"/>
      <c r="AQ178" s="206"/>
      <c r="AR178" s="206"/>
      <c r="AS178" s="228"/>
      <c r="AT178" s="229"/>
      <c r="AU178" s="228"/>
      <c r="AV178" s="229"/>
      <c r="AW178" s="228"/>
      <c r="AX178" s="229"/>
      <c r="AY178" s="206"/>
      <c r="AZ178" s="229"/>
      <c r="BA178" s="210"/>
      <c r="BB178" s="175" t="s">
        <v>26</v>
      </c>
      <c r="BC178" s="211" t="s">
        <v>115</v>
      </c>
      <c r="BD178" s="210"/>
      <c r="BE178" s="177" t="str">
        <f>IFERROR(VLOOKUP(D176,'BD M.O'!C:H,4,FALSE),"")</f>
        <v/>
      </c>
      <c r="BF178" s="177" t="s">
        <v>259</v>
      </c>
      <c r="BI178" s="210"/>
      <c r="BO178" s="210"/>
      <c r="BV178" s="184"/>
      <c r="BW178" s="210"/>
      <c r="CD178" s="184"/>
      <c r="CF178" s="185"/>
      <c r="CI178" s="184"/>
      <c r="CJ178" s="210"/>
      <c r="CK178" s="563"/>
      <c r="CM178" s="559"/>
      <c r="CN178" s="627"/>
      <c r="CO178" s="630"/>
      <c r="CP178" s="630"/>
      <c r="CQ178" s="630"/>
      <c r="CR178" s="630"/>
      <c r="CS178" s="630"/>
      <c r="CT178" s="633"/>
      <c r="CU178" s="563"/>
      <c r="CV178" s="561"/>
      <c r="CW178" s="563"/>
      <c r="CX178" s="561"/>
      <c r="CY178" s="563"/>
      <c r="CZ178" s="561"/>
      <c r="DA178" s="563"/>
      <c r="DB178" s="561"/>
      <c r="DC178" s="563"/>
      <c r="DD178" s="561"/>
      <c r="DG178" s="577"/>
      <c r="DH178" s="577"/>
      <c r="DI178" s="571"/>
      <c r="DJ178" s="571"/>
      <c r="DK178" s="571"/>
      <c r="DL178" s="571"/>
      <c r="DM178" s="574"/>
      <c r="DN178" s="571"/>
      <c r="DO178" s="571"/>
      <c r="DP178" s="571"/>
      <c r="DQ178" s="571"/>
      <c r="DR178" s="571"/>
      <c r="DS178" s="571"/>
      <c r="DT178" s="571"/>
      <c r="DU178" s="571"/>
      <c r="DV178" s="577"/>
      <c r="DW178" s="577"/>
      <c r="DX178" s="571"/>
      <c r="DY178" s="571"/>
    </row>
    <row r="179" spans="1:194" s="175" customFormat="1" ht="60" customHeight="1" x14ac:dyDescent="0.25">
      <c r="A179" s="366"/>
      <c r="B179" s="367"/>
      <c r="C179" s="395" t="s">
        <v>180</v>
      </c>
      <c r="D179" s="599" t="s">
        <v>31</v>
      </c>
      <c r="E179" s="599"/>
      <c r="F179" s="394" t="s">
        <v>9</v>
      </c>
      <c r="G179" s="599" t="s">
        <v>33</v>
      </c>
      <c r="H179" s="599"/>
      <c r="I179" s="394" t="str">
        <f>+IF($BG$9="SI","","X")</f>
        <v>X</v>
      </c>
      <c r="J179" s="604"/>
      <c r="K179" s="604"/>
      <c r="L179" s="607"/>
      <c r="M179" s="559"/>
      <c r="N179" s="610"/>
      <c r="O179" s="613"/>
      <c r="P179" s="192"/>
      <c r="Q179" s="239"/>
      <c r="R179" s="221" t="s">
        <v>209</v>
      </c>
      <c r="S179" s="234" t="str">
        <f>IF(S177="","",S177/(J176*K176))</f>
        <v/>
      </c>
      <c r="T179" s="226"/>
      <c r="U179" s="206"/>
      <c r="V179" s="220"/>
      <c r="W179" s="239" t="str">
        <f>IFERROR(IF(X178="SI",VLOOKUP(D176,'BD M.O'!C:F,4,FALSE),""),"")</f>
        <v/>
      </c>
      <c r="X179" s="221" t="s">
        <v>258</v>
      </c>
      <c r="Y179" s="221" t="s">
        <v>507</v>
      </c>
      <c r="Z179" s="221" t="s">
        <v>508</v>
      </c>
      <c r="AA179" s="225"/>
      <c r="AB179" s="226"/>
      <c r="AC179" s="206"/>
      <c r="AD179" s="206"/>
      <c r="AE179" s="206"/>
      <c r="AF179" s="227"/>
      <c r="AG179" s="206"/>
      <c r="AH179" s="206"/>
      <c r="AI179" s="206"/>
      <c r="AJ179" s="206"/>
      <c r="AK179" s="227"/>
      <c r="AL179" s="240"/>
      <c r="AM179" s="206"/>
      <c r="AN179" s="206"/>
      <c r="AO179" s="228"/>
      <c r="AP179" s="229"/>
      <c r="AQ179" s="206"/>
      <c r="AR179" s="206"/>
      <c r="AS179" s="228"/>
      <c r="AT179" s="229"/>
      <c r="AU179" s="228"/>
      <c r="AV179" s="229"/>
      <c r="AW179" s="228"/>
      <c r="AX179" s="229"/>
      <c r="AY179" s="206"/>
      <c r="AZ179" s="229"/>
      <c r="BA179" s="210"/>
      <c r="BC179" s="175" t="s">
        <v>116</v>
      </c>
      <c r="BD179" s="210"/>
      <c r="BE179" s="177" t="str">
        <f>IFERROR(VLOOKUP(COTIZACIÓN!D176,'BD M.O'!C:I,5,FALSE),"")</f>
        <v/>
      </c>
      <c r="BF179" s="177" t="s">
        <v>260</v>
      </c>
      <c r="BI179" s="210"/>
      <c r="BO179" s="210"/>
      <c r="BP179" s="183"/>
      <c r="BQ179" s="183"/>
      <c r="BR179" s="183"/>
      <c r="BS179" s="183"/>
      <c r="BT179" s="183"/>
      <c r="BU179" s="183"/>
      <c r="BV179" s="182"/>
      <c r="BW179" s="210"/>
      <c r="BX179" s="183"/>
      <c r="BY179" s="183"/>
      <c r="BZ179" s="183"/>
      <c r="CA179" s="183"/>
      <c r="CB179" s="183"/>
      <c r="CC179" s="183"/>
      <c r="CD179" s="182"/>
      <c r="CE179" s="183"/>
      <c r="CF179" s="241"/>
      <c r="CG179" s="183"/>
      <c r="CH179" s="183"/>
      <c r="CI179" s="182"/>
      <c r="CJ179" s="210"/>
      <c r="CK179" s="563"/>
      <c r="CM179" s="559"/>
      <c r="CN179" s="627"/>
      <c r="CO179" s="630"/>
      <c r="CP179" s="630"/>
      <c r="CQ179" s="630"/>
      <c r="CR179" s="630"/>
      <c r="CS179" s="630"/>
      <c r="CT179" s="633"/>
      <c r="CU179" s="563"/>
      <c r="CV179" s="561"/>
      <c r="CW179" s="563"/>
      <c r="CX179" s="561"/>
      <c r="CY179" s="563"/>
      <c r="CZ179" s="561"/>
      <c r="DA179" s="563"/>
      <c r="DB179" s="561"/>
      <c r="DC179" s="563"/>
      <c r="DD179" s="561"/>
      <c r="DG179" s="575"/>
      <c r="DH179" s="575"/>
      <c r="DI179" s="569">
        <f t="shared" ref="DI179" si="652">IFERROR(IF(DG179&gt;0,(((N176)/(1+10%+19%*5%)+((N176)/(1+10%+19%*5%))*10%)*DH179),0),0)</f>
        <v>0</v>
      </c>
      <c r="DJ179" s="569">
        <f t="shared" ref="DJ179" si="653">IFERROR(IF(DG179&gt;0,(N176*DH179),0),0)</f>
        <v>0</v>
      </c>
      <c r="DK179" s="569">
        <f t="shared" ref="DK179" si="654">IF(DG179&gt;0,((R176+T176)*DH179),0)</f>
        <v>0</v>
      </c>
      <c r="DL179" s="569">
        <f t="shared" ref="DL179" si="655">IF(DG179&gt;0,(Q176*DH179),0)</f>
        <v>0</v>
      </c>
      <c r="DM179" s="572">
        <f t="shared" ref="DM179" si="656">IF(DG179&gt;0,(S176*DH179),0)</f>
        <v>0</v>
      </c>
      <c r="DN179" s="569">
        <f t="shared" ref="DN179" si="657">IF(DG179&gt;0,(BN176*DH179),0)</f>
        <v>0</v>
      </c>
      <c r="DO179" s="569">
        <f t="shared" ref="DO179" si="658">IF(DG179&gt;0,(AF176*DH179),0)</f>
        <v>0</v>
      </c>
      <c r="DP179" s="569">
        <f>IF(DG179&gt;0,((DI179)*('BD P&amp;G'!$E$16+'BD P&amp;G'!$E$17+'BD P&amp;G'!$E$18+'BD P&amp;G'!$E$19+'BD P&amp;G'!$E$20+'BD P&amp;G'!$E$21+'BD P&amp;G'!$E$22+'BD P&amp;G'!$E$23)*DH179),0)</f>
        <v>0</v>
      </c>
      <c r="DQ179" s="569">
        <f>IFERROR(IF(DG179&gt;0,((DI179*'BD P&amp;G'!$E$7)+(DI179*'BD P&amp;G'!$E$9)+AI176),0),0)</f>
        <v>0</v>
      </c>
      <c r="DR179" s="569">
        <f t="shared" ref="DR179" si="659">IFERROR(IF(DG179&gt;0,((DI179*1%)),0),0)</f>
        <v>0</v>
      </c>
      <c r="DS179" s="569">
        <f>IFERROR(IF(DG179&gt;0,(((DI179*'BD P&amp;G'!$E$32+DI179*'BD P&amp;G'!$E$33+DI179*'BD P&amp;G'!$E$35+DI179*'BD P&amp;G'!$E$36+DI179*'BD P&amp;G'!$E$37))),0),0)</f>
        <v>0</v>
      </c>
      <c r="DT179" s="569">
        <f t="shared" ref="DT179" si="660">IF(DG179&gt;0,(Y176*DH179),0)</f>
        <v>0</v>
      </c>
      <c r="DU179" s="569">
        <f t="shared" ref="DU179" si="661">IF(DG179&gt;0,(Z176*DH179),0)</f>
        <v>0</v>
      </c>
      <c r="DV179" s="575">
        <f t="shared" ref="DV179" si="662">IF(DG179&gt;0,(Y180*DH179),0)</f>
        <v>0</v>
      </c>
      <c r="DW179" s="575">
        <f t="shared" ref="DW179" si="663">IF(DG179&gt;0,(Z180*DH179),0)</f>
        <v>0</v>
      </c>
      <c r="DX179" s="569">
        <f t="shared" ref="DX179" si="664">IF(DV179&gt;0,DJ179,0)</f>
        <v>0</v>
      </c>
      <c r="DY179" s="569">
        <f t="shared" ref="DY179" si="665">IF(DW179&gt;0,DJ179,0)</f>
        <v>0</v>
      </c>
    </row>
    <row r="180" spans="1:194" s="175" customFormat="1" ht="60" customHeight="1" x14ac:dyDescent="0.3">
      <c r="A180" s="366"/>
      <c r="B180" s="367"/>
      <c r="C180" s="393" t="s">
        <v>35</v>
      </c>
      <c r="D180" s="599" t="str">
        <f>IFERROR(VLOOKUP(D176,'BD GN'!C:E,3,),"")</f>
        <v/>
      </c>
      <c r="E180" s="599"/>
      <c r="F180" s="599"/>
      <c r="G180" s="599"/>
      <c r="H180" s="599"/>
      <c r="I180" s="599"/>
      <c r="J180" s="604"/>
      <c r="K180" s="604"/>
      <c r="L180" s="607"/>
      <c r="M180" s="559"/>
      <c r="N180" s="610"/>
      <c r="O180" s="613"/>
      <c r="P180" s="192"/>
      <c r="Q180" s="239"/>
      <c r="R180" s="221" t="s">
        <v>210</v>
      </c>
      <c r="S180" s="234" t="str">
        <f>IFERROR(IF(N176="","",N176/W180),"")</f>
        <v/>
      </c>
      <c r="T180" s="226"/>
      <c r="U180" s="206"/>
      <c r="V180" s="220"/>
      <c r="W180" s="242" t="str">
        <f>+IF(J176*K176&gt;=1,J176*K176,IF(AND(J176*K176&gt;0,J176*K176&lt;1),1,""))</f>
        <v/>
      </c>
      <c r="X180" s="221" t="s">
        <v>298</v>
      </c>
      <c r="Y180" s="461">
        <f>IFERROR(IF(D176='BD GN'!$C$25,COTIZACIÓN!W180,IF(D176='BD GN'!$C$26,COTIZACIÓN!W180,IF(D176='BD GN'!$C$27,COTIZACIÓN!W180,IF(COTIZACIÓN!D176='BD GN'!$C$28,COTIZACIÓN!W180,IF(COTIZACIÓN!D176='BD GN'!$C$29,COTIZACIÓN!W180,IF(COTIZACIÓN!D176='BD GN'!$C$35,COTIZACIÓN!W180,IF(COTIZACIÓN!D176='BD GN'!$C$36,COTIZACIÓN!W180,IF(COTIZACIÓN!D176='BD GN'!$C$37,COTIZACIÓN!W180,IF(COTIZACIÓN!D176='BD GN'!$C$38,COTIZACIÓN!W180,IF(COTIZACIÓN!D176='BD GN'!$C$39,COTIZACIÓN!W180,IF(COTIZACIÓN!D176='BD GN'!$C$40,COTIZACIÓN!W180,IF(COTIZACIÓN!D176='BD GN'!$C$41,COTIZACIÓN!W180,IF(COTIZACIÓN!D176='BD GN'!$C$42,COTIZACIÓN!W180,IF(COTIZACIÓN!D176='BD GN'!$C$49,COTIZACIÓN!W180,IF(COTIZACIÓN!D176='BD GN'!$C$50,COTIZACIÓN!W180,IF(COTIZACIÓN!D176='BD GN'!$C$51,COTIZACIÓN!W180,IF(COTIZACIÓN!D176='BD GN'!$C$67,COTIZACIÓN!W180,0))))))))))))))))),0)</f>
        <v>0</v>
      </c>
      <c r="Z180" s="461">
        <f>IFERROR(W180-Y180,0)</f>
        <v>0</v>
      </c>
      <c r="AA180" s="225"/>
      <c r="AB180" s="226"/>
      <c r="AC180" s="206"/>
      <c r="AD180" s="206"/>
      <c r="AE180" s="206"/>
      <c r="AF180" s="227"/>
      <c r="AG180" s="206"/>
      <c r="AH180" s="206"/>
      <c r="AI180" s="206"/>
      <c r="AJ180" s="206"/>
      <c r="AK180" s="227"/>
      <c r="AL180" s="210"/>
      <c r="AM180" s="206"/>
      <c r="AN180" s="206"/>
      <c r="AO180" s="228"/>
      <c r="AP180" s="229"/>
      <c r="AQ180" s="206"/>
      <c r="AR180" s="206"/>
      <c r="AS180" s="228"/>
      <c r="AT180" s="229"/>
      <c r="AU180" s="228"/>
      <c r="AV180" s="229"/>
      <c r="AW180" s="228"/>
      <c r="AX180" s="229"/>
      <c r="AY180" s="206"/>
      <c r="AZ180" s="229"/>
      <c r="BA180" s="210"/>
      <c r="BC180" s="211" t="s">
        <v>117</v>
      </c>
      <c r="BD180" s="210"/>
      <c r="BE180" s="177" t="str">
        <f>IFERROR(VLOOKUP(D176,'BD M.O'!C:I,6,FALSE),"")</f>
        <v/>
      </c>
      <c r="BF180" s="177" t="s">
        <v>261</v>
      </c>
      <c r="BI180" s="210"/>
      <c r="BO180" s="210"/>
      <c r="BP180" s="183"/>
      <c r="BQ180" s="183"/>
      <c r="BR180" s="183"/>
      <c r="BW180" s="210"/>
      <c r="CD180" s="184"/>
      <c r="CF180" s="185"/>
      <c r="CI180" s="184"/>
      <c r="CJ180" s="210"/>
      <c r="CK180" s="563"/>
      <c r="CM180" s="559"/>
      <c r="CN180" s="627"/>
      <c r="CO180" s="630"/>
      <c r="CP180" s="630"/>
      <c r="CQ180" s="630"/>
      <c r="CR180" s="630"/>
      <c r="CS180" s="630"/>
      <c r="CT180" s="633"/>
      <c r="CU180" s="563"/>
      <c r="CV180" s="561"/>
      <c r="CW180" s="563"/>
      <c r="CX180" s="561"/>
      <c r="CY180" s="563"/>
      <c r="CZ180" s="561"/>
      <c r="DA180" s="563"/>
      <c r="DB180" s="561"/>
      <c r="DC180" s="563"/>
      <c r="DD180" s="561"/>
      <c r="DG180" s="576"/>
      <c r="DH180" s="576"/>
      <c r="DI180" s="570"/>
      <c r="DJ180" s="570"/>
      <c r="DK180" s="570"/>
      <c r="DL180" s="570"/>
      <c r="DM180" s="573"/>
      <c r="DN180" s="570"/>
      <c r="DO180" s="570"/>
      <c r="DP180" s="570"/>
      <c r="DQ180" s="570"/>
      <c r="DR180" s="570"/>
      <c r="DS180" s="570"/>
      <c r="DT180" s="570"/>
      <c r="DU180" s="570"/>
      <c r="DV180" s="576"/>
      <c r="DW180" s="576"/>
      <c r="DX180" s="570"/>
      <c r="DY180" s="570"/>
    </row>
    <row r="181" spans="1:194" s="252" customFormat="1" ht="60" customHeight="1" x14ac:dyDescent="0.25">
      <c r="A181" s="368"/>
      <c r="B181" s="369"/>
      <c r="C181" s="396" t="s">
        <v>10</v>
      </c>
      <c r="D181" s="645" t="s">
        <v>32</v>
      </c>
      <c r="E181" s="645"/>
      <c r="F181" s="645"/>
      <c r="G181" s="645"/>
      <c r="H181" s="645"/>
      <c r="I181" s="645"/>
      <c r="J181" s="643"/>
      <c r="K181" s="643"/>
      <c r="L181" s="646"/>
      <c r="M181" s="648"/>
      <c r="N181" s="649"/>
      <c r="O181" s="644"/>
      <c r="P181" s="192"/>
      <c r="Q181" s="239"/>
      <c r="R181" s="334" t="s">
        <v>475</v>
      </c>
      <c r="S181" s="234" t="str">
        <f>IFERROR(IF($C$12='BD GN'!$CC$1,VLOOKUP(COTIZACIÓN!D176,'BD GN'!CB:CG,2,FALSE),IF(COTIZACIÓN!$C$12='BD GN'!$CD$1,VLOOKUP(COTIZACIÓN!D176,'BD GN'!CB:CG,3,FALSE),IF($C$12='BD GN'!$CE$1,VLOOKUP(COTIZACIÓN!D176,'BD GN'!CB:CG,4,FALSE),IF(COTIZACIÓN!$C$12='BD GN'!$CF$1,VLOOKUP(COTIZACIÓN!D176,'BD GN'!CB:CG,5,FALSE),IF(COTIZACIÓN!$C$12='BD GN'!$CG$1,VLOOKUP(COTIZACIÓN!D176,'BD GN'!CB:CG,6,FALSE),""))))),"-")</f>
        <v/>
      </c>
      <c r="T181" s="243"/>
      <c r="U181" s="244"/>
      <c r="V181" s="245"/>
      <c r="W181" s="177" t="s">
        <v>394</v>
      </c>
      <c r="X181" s="246">
        <f>IFERROR(SUM(W176:X176),"")</f>
        <v>0</v>
      </c>
      <c r="Y181" s="166" t="s">
        <v>404</v>
      </c>
      <c r="Z181" s="199" t="str">
        <f>IFERROR(Y176+Z176,"")</f>
        <v/>
      </c>
      <c r="AA181" s="247"/>
      <c r="AB181" s="243"/>
      <c r="AC181" s="244"/>
      <c r="AD181" s="244"/>
      <c r="AE181" s="244"/>
      <c r="AF181" s="227"/>
      <c r="AG181" s="206"/>
      <c r="AH181" s="206"/>
      <c r="AI181" s="206"/>
      <c r="AJ181" s="206"/>
      <c r="AK181" s="227"/>
      <c r="AL181" s="227"/>
      <c r="AM181" s="248"/>
      <c r="AN181" s="248"/>
      <c r="AO181" s="249"/>
      <c r="AP181" s="250"/>
      <c r="AQ181" s="248"/>
      <c r="AR181" s="248"/>
      <c r="AS181" s="249"/>
      <c r="AT181" s="250"/>
      <c r="AU181" s="249"/>
      <c r="AV181" s="250"/>
      <c r="AW181" s="249"/>
      <c r="AX181" s="250"/>
      <c r="AY181" s="248"/>
      <c r="AZ181" s="250"/>
      <c r="BA181" s="210"/>
      <c r="BB181" s="175"/>
      <c r="BC181" s="175" t="s">
        <v>118</v>
      </c>
      <c r="BD181" s="210"/>
      <c r="BE181" s="251" t="str">
        <f>IFERROR(VLOOKUP(D176,'BD M.O'!C:I,7,FALSE),"")</f>
        <v/>
      </c>
      <c r="BF181" s="251" t="s">
        <v>262</v>
      </c>
      <c r="BG181" s="175"/>
      <c r="BH181" s="175"/>
      <c r="BI181" s="210"/>
      <c r="BJ181" s="175"/>
      <c r="BK181" s="175"/>
      <c r="BL181" s="175"/>
      <c r="BM181" s="175"/>
      <c r="BN181" s="175"/>
      <c r="BO181" s="210"/>
      <c r="BP181" s="175"/>
      <c r="BQ181" s="175"/>
      <c r="BR181" s="175"/>
      <c r="BS181" s="183"/>
      <c r="BT181" s="183"/>
      <c r="BU181" s="183"/>
      <c r="BV181" s="183"/>
      <c r="BW181" s="210"/>
      <c r="BX181" s="175"/>
      <c r="BY181" s="175"/>
      <c r="BZ181" s="175"/>
      <c r="CA181" s="175"/>
      <c r="CB181" s="175"/>
      <c r="CC181" s="175"/>
      <c r="CD181" s="184"/>
      <c r="CE181" s="175"/>
      <c r="CF181" s="185"/>
      <c r="CG181" s="175"/>
      <c r="CH181" s="175"/>
      <c r="CI181" s="184"/>
      <c r="CJ181" s="210"/>
      <c r="CK181" s="564"/>
      <c r="CL181" s="257"/>
      <c r="CM181" s="597"/>
      <c r="CN181" s="628"/>
      <c r="CO181" s="631"/>
      <c r="CP181" s="631"/>
      <c r="CQ181" s="631"/>
      <c r="CR181" s="631"/>
      <c r="CS181" s="631"/>
      <c r="CT181" s="634"/>
      <c r="CU181" s="564"/>
      <c r="CV181" s="562"/>
      <c r="CW181" s="564"/>
      <c r="CX181" s="562"/>
      <c r="CY181" s="564"/>
      <c r="CZ181" s="562"/>
      <c r="DA181" s="564"/>
      <c r="DB181" s="562"/>
      <c r="DC181" s="564"/>
      <c r="DD181" s="562"/>
      <c r="DE181" s="175"/>
      <c r="DF181" s="175"/>
      <c r="DG181" s="577"/>
      <c r="DH181" s="577"/>
      <c r="DI181" s="571"/>
      <c r="DJ181" s="571"/>
      <c r="DK181" s="571"/>
      <c r="DL181" s="571"/>
      <c r="DM181" s="574"/>
      <c r="DN181" s="571"/>
      <c r="DO181" s="571"/>
      <c r="DP181" s="571"/>
      <c r="DQ181" s="571"/>
      <c r="DR181" s="571"/>
      <c r="DS181" s="571"/>
      <c r="DT181" s="571"/>
      <c r="DU181" s="571"/>
      <c r="DV181" s="577"/>
      <c r="DW181" s="577"/>
      <c r="DX181" s="571"/>
      <c r="DY181" s="571"/>
      <c r="DZ181" s="175"/>
      <c r="EA181" s="175"/>
      <c r="EB181" s="175"/>
      <c r="EC181" s="175"/>
      <c r="ED181" s="175"/>
      <c r="EE181" s="175"/>
      <c r="EF181" s="175"/>
      <c r="EG181" s="175"/>
      <c r="EH181" s="175"/>
      <c r="EI181" s="175"/>
      <c r="EJ181" s="175"/>
      <c r="EK181" s="175"/>
      <c r="EL181" s="175"/>
      <c r="EM181" s="175"/>
      <c r="EN181" s="175"/>
      <c r="EO181" s="175"/>
      <c r="EP181" s="175"/>
      <c r="EQ181" s="175"/>
      <c r="ER181" s="175"/>
      <c r="ES181" s="175"/>
      <c r="ET181" s="175"/>
      <c r="EU181" s="175"/>
      <c r="EV181" s="175"/>
      <c r="EW181" s="175"/>
      <c r="EX181" s="175"/>
      <c r="EY181" s="175"/>
      <c r="EZ181" s="175"/>
      <c r="FA181" s="175"/>
      <c r="FB181" s="175"/>
      <c r="FC181" s="175"/>
      <c r="FD181" s="175"/>
      <c r="FE181" s="175"/>
      <c r="FF181" s="175"/>
      <c r="FG181" s="175"/>
      <c r="FH181" s="175"/>
      <c r="FI181" s="175"/>
      <c r="FJ181" s="175"/>
      <c r="FK181" s="175"/>
      <c r="FL181" s="175"/>
      <c r="FM181" s="175"/>
      <c r="FN181" s="175"/>
      <c r="FO181" s="175"/>
      <c r="FP181" s="175"/>
      <c r="FQ181" s="175"/>
      <c r="FR181" s="175"/>
      <c r="FS181" s="175"/>
      <c r="FT181" s="175"/>
      <c r="FU181" s="175"/>
      <c r="FV181" s="175"/>
      <c r="FW181" s="175"/>
      <c r="FX181" s="175"/>
      <c r="FY181" s="175"/>
      <c r="FZ181" s="175"/>
      <c r="GA181" s="175"/>
      <c r="GB181" s="175"/>
      <c r="GC181" s="175"/>
      <c r="GD181" s="175"/>
      <c r="GE181" s="175"/>
      <c r="GF181" s="175"/>
      <c r="GG181" s="175"/>
      <c r="GH181" s="175"/>
      <c r="GI181" s="175"/>
      <c r="GJ181" s="175"/>
      <c r="GK181" s="175"/>
      <c r="GL181" s="175"/>
    </row>
    <row r="182" spans="1:194" s="255" customFormat="1" ht="60" customHeight="1" x14ac:dyDescent="0.3">
      <c r="A182" s="362" t="s">
        <v>193</v>
      </c>
      <c r="B182" s="363" t="s">
        <v>25</v>
      </c>
      <c r="C182" s="391" t="s">
        <v>174</v>
      </c>
      <c r="D182" s="640" t="s">
        <v>173</v>
      </c>
      <c r="E182" s="640"/>
      <c r="F182" s="640"/>
      <c r="G182" s="640"/>
      <c r="H182" s="640"/>
      <c r="I182" s="640"/>
      <c r="J182" s="418" t="s">
        <v>443</v>
      </c>
      <c r="K182" s="418" t="s">
        <v>444</v>
      </c>
      <c r="L182" s="418" t="s">
        <v>171</v>
      </c>
      <c r="M182" s="363" t="s">
        <v>2</v>
      </c>
      <c r="N182" s="419" t="s">
        <v>7</v>
      </c>
      <c r="O182" s="420" t="s">
        <v>8</v>
      </c>
      <c r="P182" s="159"/>
      <c r="Q182" s="164" t="s">
        <v>93</v>
      </c>
      <c r="R182" s="164" t="s">
        <v>34</v>
      </c>
      <c r="S182" s="164" t="s">
        <v>28</v>
      </c>
      <c r="T182" s="164" t="s">
        <v>95</v>
      </c>
      <c r="U182" s="164" t="s">
        <v>96</v>
      </c>
      <c r="V182" s="164" t="s">
        <v>97</v>
      </c>
      <c r="W182" s="164" t="s">
        <v>4</v>
      </c>
      <c r="X182" s="164" t="s">
        <v>103</v>
      </c>
      <c r="Y182" s="160" t="s">
        <v>402</v>
      </c>
      <c r="Z182" s="165" t="s">
        <v>403</v>
      </c>
      <c r="AA182" s="166" t="s">
        <v>404</v>
      </c>
      <c r="AB182" s="164" t="s">
        <v>99</v>
      </c>
      <c r="AC182" s="164" t="s">
        <v>395</v>
      </c>
      <c r="AD182" s="253" t="s">
        <v>36</v>
      </c>
      <c r="AE182" s="164" t="s">
        <v>389</v>
      </c>
      <c r="AF182" s="164" t="s">
        <v>390</v>
      </c>
      <c r="AG182" s="164" t="s">
        <v>164</v>
      </c>
      <c r="AH182" s="253" t="s">
        <v>396</v>
      </c>
      <c r="AI182" s="164" t="s">
        <v>190</v>
      </c>
      <c r="AJ182" s="164" t="s">
        <v>339</v>
      </c>
      <c r="AK182" s="253" t="s">
        <v>391</v>
      </c>
      <c r="AL182" s="253" t="s">
        <v>393</v>
      </c>
      <c r="AM182" s="167" t="s">
        <v>93</v>
      </c>
      <c r="AN182" s="168" t="s">
        <v>34</v>
      </c>
      <c r="AO182" s="169" t="s">
        <v>28</v>
      </c>
      <c r="AP182" s="170" t="s">
        <v>95</v>
      </c>
      <c r="AQ182" s="167" t="s">
        <v>3</v>
      </c>
      <c r="AR182" s="167" t="s">
        <v>96</v>
      </c>
      <c r="AS182" s="169" t="s">
        <v>97</v>
      </c>
      <c r="AT182" s="170" t="s">
        <v>4</v>
      </c>
      <c r="AU182" s="169" t="s">
        <v>103</v>
      </c>
      <c r="AV182" s="170" t="s">
        <v>99</v>
      </c>
      <c r="AW182" s="169" t="s">
        <v>36</v>
      </c>
      <c r="AX182" s="171" t="s">
        <v>29</v>
      </c>
      <c r="AY182" s="172" t="s">
        <v>190</v>
      </c>
      <c r="AZ182" s="173" t="s">
        <v>102</v>
      </c>
      <c r="BA182" s="174"/>
      <c r="BB182" s="183"/>
      <c r="BC182" s="211" t="s">
        <v>119</v>
      </c>
      <c r="BD182" s="174"/>
      <c r="BE182" s="176" t="s">
        <v>189</v>
      </c>
      <c r="BF182" s="177" t="str">
        <f>$BF$13</f>
        <v xml:space="preserve">VR SILICONA </v>
      </c>
      <c r="BG182" s="177" t="str">
        <f>$BG$13</f>
        <v xml:space="preserve">VR PELÍCULA </v>
      </c>
      <c r="BH182" s="254" t="str">
        <f>$BH$13</f>
        <v>VR EMBALAJE</v>
      </c>
      <c r="BI182" s="174"/>
      <c r="BJ182" s="176" t="str">
        <f>$BJ$13</f>
        <v>ESP. CRISTAL</v>
      </c>
      <c r="BK182" s="176" t="s">
        <v>130</v>
      </c>
      <c r="BL182" s="177" t="s">
        <v>28</v>
      </c>
      <c r="BM182" s="177" t="str">
        <f>BM175</f>
        <v>TOTAL</v>
      </c>
      <c r="BN182" s="177" t="s">
        <v>133</v>
      </c>
      <c r="BO182" s="174"/>
      <c r="BP182" s="175"/>
      <c r="BQ182" s="175"/>
      <c r="BR182" s="175"/>
      <c r="BS182" s="175"/>
      <c r="BT182" s="175"/>
      <c r="BU182" s="175"/>
      <c r="BV182" s="175"/>
      <c r="BW182" s="174"/>
      <c r="BX182" s="175"/>
      <c r="BY182" s="175"/>
      <c r="BZ182" s="175"/>
      <c r="CA182" s="175"/>
      <c r="CB182" s="175"/>
      <c r="CC182" s="175"/>
      <c r="CD182" s="184"/>
      <c r="CE182" s="175"/>
      <c r="CF182" s="185"/>
      <c r="CG182" s="175"/>
      <c r="CH182" s="175"/>
      <c r="CI182" s="184"/>
      <c r="CJ182" s="174"/>
      <c r="CK182" s="186" t="s">
        <v>415</v>
      </c>
      <c r="CL182" s="187" t="s">
        <v>417</v>
      </c>
      <c r="CM182" s="187" t="s">
        <v>416</v>
      </c>
      <c r="CN182" s="188" t="s">
        <v>418</v>
      </c>
      <c r="CO182" s="187" t="s">
        <v>417</v>
      </c>
      <c r="CP182" s="187" t="s">
        <v>409</v>
      </c>
      <c r="CQ182" s="187" t="s">
        <v>410</v>
      </c>
      <c r="CR182" s="187" t="s">
        <v>411</v>
      </c>
      <c r="CS182" s="187" t="s">
        <v>412</v>
      </c>
      <c r="CT182" s="187" t="s">
        <v>413</v>
      </c>
      <c r="CU182" s="189" t="s">
        <v>2</v>
      </c>
      <c r="CV182" s="190" t="s">
        <v>159</v>
      </c>
      <c r="CW182" s="189" t="s">
        <v>2</v>
      </c>
      <c r="CX182" s="190" t="s">
        <v>159</v>
      </c>
      <c r="CY182" s="189" t="s">
        <v>2</v>
      </c>
      <c r="CZ182" s="190" t="s">
        <v>159</v>
      </c>
      <c r="DA182" s="189" t="s">
        <v>2</v>
      </c>
      <c r="DB182" s="190" t="s">
        <v>159</v>
      </c>
      <c r="DC182" s="189" t="s">
        <v>2</v>
      </c>
      <c r="DD182" s="190" t="s">
        <v>159</v>
      </c>
      <c r="DE182" s="183"/>
      <c r="DF182" s="183"/>
      <c r="DG182" s="177" t="s">
        <v>505</v>
      </c>
      <c r="DH182" s="472" t="s">
        <v>509</v>
      </c>
      <c r="DI182" s="457" t="s">
        <v>506</v>
      </c>
      <c r="DJ182" s="457" t="s">
        <v>134</v>
      </c>
      <c r="DK182" s="457" t="s">
        <v>498</v>
      </c>
      <c r="DL182" s="457" t="s">
        <v>499</v>
      </c>
      <c r="DM182" s="457" t="s">
        <v>500</v>
      </c>
      <c r="DN182" s="457" t="s">
        <v>131</v>
      </c>
      <c r="DO182" s="457" t="s">
        <v>390</v>
      </c>
      <c r="DP182" s="457" t="s">
        <v>36</v>
      </c>
      <c r="DQ182" s="457" t="s">
        <v>501</v>
      </c>
      <c r="DR182" s="457" t="s">
        <v>502</v>
      </c>
      <c r="DS182" s="457" t="s">
        <v>503</v>
      </c>
      <c r="DT182" s="457" t="s">
        <v>4</v>
      </c>
      <c r="DU182" s="457" t="s">
        <v>504</v>
      </c>
      <c r="DV182" s="466" t="s">
        <v>507</v>
      </c>
      <c r="DW182" s="466" t="s">
        <v>508</v>
      </c>
      <c r="DX182" s="457" t="s">
        <v>510</v>
      </c>
      <c r="DY182" s="457" t="s">
        <v>511</v>
      </c>
      <c r="DZ182" s="183"/>
      <c r="EA182" s="183"/>
      <c r="EB182" s="183"/>
      <c r="EC182" s="183"/>
      <c r="ED182" s="183"/>
      <c r="EE182" s="183"/>
      <c r="EF182" s="183"/>
      <c r="EG182" s="183"/>
      <c r="EH182" s="183"/>
      <c r="EI182" s="183"/>
      <c r="EJ182" s="183"/>
      <c r="EK182" s="183"/>
      <c r="EL182" s="183"/>
      <c r="EM182" s="183"/>
      <c r="EN182" s="183"/>
      <c r="EO182" s="183"/>
      <c r="EP182" s="183"/>
      <c r="EQ182" s="183"/>
      <c r="ER182" s="183"/>
      <c r="ES182" s="183"/>
      <c r="ET182" s="183"/>
      <c r="EU182" s="183"/>
      <c r="EV182" s="183"/>
      <c r="EW182" s="183"/>
      <c r="EX182" s="183"/>
      <c r="EY182" s="183"/>
      <c r="EZ182" s="183"/>
      <c r="FA182" s="183"/>
      <c r="FB182" s="183"/>
      <c r="FC182" s="183"/>
      <c r="FD182" s="183"/>
      <c r="FE182" s="183"/>
      <c r="FF182" s="183"/>
      <c r="FG182" s="183"/>
      <c r="FH182" s="183"/>
      <c r="FI182" s="183"/>
      <c r="FJ182" s="183"/>
      <c r="FK182" s="183"/>
      <c r="FL182" s="183"/>
      <c r="FM182" s="183"/>
      <c r="FN182" s="183"/>
      <c r="FO182" s="183"/>
      <c r="FP182" s="183"/>
      <c r="FQ182" s="183"/>
      <c r="FR182" s="183"/>
      <c r="FS182" s="183"/>
      <c r="FT182" s="183"/>
      <c r="FU182" s="183"/>
      <c r="FV182" s="183"/>
      <c r="FW182" s="183"/>
      <c r="FX182" s="183"/>
      <c r="FY182" s="183"/>
      <c r="FZ182" s="183"/>
      <c r="GA182" s="183"/>
      <c r="GB182" s="183"/>
      <c r="GC182" s="183"/>
      <c r="GD182" s="183"/>
      <c r="GE182" s="183"/>
      <c r="GF182" s="183"/>
      <c r="GG182" s="183"/>
      <c r="GH182" s="183"/>
      <c r="GI182" s="183"/>
      <c r="GJ182" s="183"/>
      <c r="GK182" s="183"/>
      <c r="GL182" s="183"/>
    </row>
    <row r="183" spans="1:194" s="175" customFormat="1" ht="60" customHeight="1" x14ac:dyDescent="0.3">
      <c r="A183" s="364"/>
      <c r="B183" s="365"/>
      <c r="C183" s="392" t="s">
        <v>27</v>
      </c>
      <c r="D183" s="641"/>
      <c r="E183" s="641"/>
      <c r="F183" s="641"/>
      <c r="G183" s="641"/>
      <c r="H183" s="641"/>
      <c r="I183" s="641"/>
      <c r="J183" s="642"/>
      <c r="K183" s="642"/>
      <c r="L183" s="622">
        <f>J183*K183*M183</f>
        <v>0</v>
      </c>
      <c r="M183" s="623"/>
      <c r="N183" s="620">
        <f>IFERROR(AL183,"")</f>
        <v>1.0765546639999999</v>
      </c>
      <c r="O183" s="621">
        <f>IFERROR(N183*M183,"")</f>
        <v>0</v>
      </c>
      <c r="P183" s="192"/>
      <c r="Q183" s="193">
        <f>Q184+BF183+($R$350*Q184)</f>
        <v>0</v>
      </c>
      <c r="R183" s="193">
        <f>IFERROR(R184+($R$348*R184),"")</f>
        <v>0</v>
      </c>
      <c r="S183" s="194">
        <f>+IF(R185="SI",((W187*'BD GN'!$AB$2)+S184)*1,COTIZACIÓN!S184*1)+(P184*S184)</f>
        <v>0</v>
      </c>
      <c r="T183" s="195">
        <f>IFERROR(R183*IF(K183&lt;=3,$T$13,15%),"")</f>
        <v>0</v>
      </c>
      <c r="U183" s="196">
        <f>BH183+BG183</f>
        <v>0</v>
      </c>
      <c r="V183" s="197" t="str">
        <f>IFERROR(BN183,0)</f>
        <v/>
      </c>
      <c r="W183" s="198" t="str">
        <f>IFERROR(IF(X185="SI",W186*J183*K183,IF(BE183=3,BE185,IF(BE183=4,BE186,IF(BE183=5,BE187,IF(BE183&gt;5,BE187+(BE188*(BE183-5)),"")))))*0,"")</f>
        <v/>
      </c>
      <c r="X183" s="198" t="str">
        <f>IFERROR(IF(X184="NO",(VLOOKUP(D183,'BD M.O'!C:E,3,FALSE))*W187,((VLOOKUP(D183,'BD M.O'!C:E,3,FALSE))+7500)*W187),"")</f>
        <v/>
      </c>
      <c r="Y183" s="198">
        <f>IFERROR($Y$13*AK183,"")</f>
        <v>4.2084457416288003E-2</v>
      </c>
      <c r="Z183" s="332" t="str">
        <f>IFERROR(($Z$13*AK183)+X183,"")</f>
        <v/>
      </c>
      <c r="AA183" s="199" t="str">
        <f>IFERROR(Y183+Z183,"")</f>
        <v/>
      </c>
      <c r="AB183" s="200">
        <f>IFERROR((SUM(Q183:X183)-T183+T185)*$AB$13,"")</f>
        <v>0</v>
      </c>
      <c r="AC183" s="201">
        <f>IFERROR(((SUM(Q183:V183,IF(X188&gt;AA183,AVERAGE(X188,AA183),AA183))-T183+T185))*$AB$13,"")</f>
        <v>0</v>
      </c>
      <c r="AD183" s="202" t="str">
        <f>IFERROR((J183*K183*$BV$14),"")</f>
        <v/>
      </c>
      <c r="AE183" s="202">
        <f>IFERROR($AE$13*AK183,"")</f>
        <v>6.4010592649919984E-2</v>
      </c>
      <c r="AF183" s="203" t="str">
        <f>IFERROR(($CI$11+$CI$13)*W187,"")</f>
        <v/>
      </c>
      <c r="AG183" s="202">
        <f>IFERROR((SUM(Q183:X183,AB183,AD183,AF183)-T183+T185)*$AG$13,"")</f>
        <v>0</v>
      </c>
      <c r="AH183" s="202">
        <f>IFERROR((SUM(Q183:V183,(IF(X188&gt;AA183,AVERAGE(X188,AA183),AA183)),AC183,AE183,AF183)-T183+T185)*$AG$13,"")</f>
        <v>3.2005296324959992E-2</v>
      </c>
      <c r="AI183" s="204">
        <f>IFERROR(AL183*$AI$13,"")</f>
        <v>2.1531093279999997E-2</v>
      </c>
      <c r="AJ183" s="204">
        <f>IFERROR($AJ$13*AL183,"")</f>
        <v>6.007175025119999E-3</v>
      </c>
      <c r="AK183" s="205">
        <f>IFERROR(SUM(Q183:X183,AB183,AD183,AG183,AF183)/(1-$AI$13)+(1-$AJ$13)-T183+T185,"")</f>
        <v>0.99441999999999997</v>
      </c>
      <c r="AL183" s="205">
        <f>IFERROR(SUM(Q183:V183,AC183,(IF(AD183&gt;AE183,AVERAGE(AD183,AE183),AE183)),AF183,,AH183,(IF(SUM(X188)&gt;AA183,AVERAGE(AA183,X188),AA183)))/(1-$AJ$13)+(1-$AI$13)-T183+T185,"")</f>
        <v>1.0765546639999999</v>
      </c>
      <c r="AM183" s="206">
        <f>$M$15*Q183</f>
        <v>0</v>
      </c>
      <c r="AN183" s="207">
        <f>$M$15*R183</f>
        <v>0</v>
      </c>
      <c r="AO183" s="208">
        <f>$M$15*S183</f>
        <v>0</v>
      </c>
      <c r="AP183" s="207">
        <f>$M$15*T183</f>
        <v>0</v>
      </c>
      <c r="AQ183" s="207" t="e">
        <f>$M$15*#REF!</f>
        <v>#REF!</v>
      </c>
      <c r="AR183" s="207">
        <f>$M$15*U183</f>
        <v>0</v>
      </c>
      <c r="AS183" s="208" t="e">
        <f>$M$15*V183</f>
        <v>#VALUE!</v>
      </c>
      <c r="AT183" s="207" t="e">
        <f>$M$15*W183</f>
        <v>#VALUE!</v>
      </c>
      <c r="AU183" s="208" t="e">
        <f>$M$15*X183</f>
        <v>#VALUE!</v>
      </c>
      <c r="AV183" s="207">
        <f>$M$15*AB183</f>
        <v>0</v>
      </c>
      <c r="AW183" s="208">
        <f>$M$15*AE183</f>
        <v>0</v>
      </c>
      <c r="AX183" s="207">
        <f>$M$15*AG183</f>
        <v>0</v>
      </c>
      <c r="AY183" s="209">
        <f>$M$15*AI183</f>
        <v>0</v>
      </c>
      <c r="AZ183" s="207">
        <f>$M$15*AK183</f>
        <v>0</v>
      </c>
      <c r="BA183" s="210"/>
      <c r="BB183" s="175" t="s">
        <v>23</v>
      </c>
      <c r="BC183" s="211" t="s">
        <v>113</v>
      </c>
      <c r="BD183" s="210"/>
      <c r="BE183" s="212"/>
      <c r="BF183" s="213">
        <f>IF(BH184="NO",((2*J183)+(2*K183))*'BD GN'!$AU$3,((3*J183)+(2*K183))*'BD GN'!$AU$3)</f>
        <v>0</v>
      </c>
      <c r="BG183" s="213">
        <f>'BD GN'!$BB$3*J183*K183</f>
        <v>0</v>
      </c>
      <c r="BH183" s="214">
        <f>((J183*2*BE183)+(K183*2*BE183))*'BD GN'!$AN$4</f>
        <v>0</v>
      </c>
      <c r="BI183" s="210"/>
      <c r="BJ183" s="212"/>
      <c r="BK183" s="212"/>
      <c r="BL183" s="215">
        <f>J183*K183*2.5*BJ183</f>
        <v>0</v>
      </c>
      <c r="BM183" s="215">
        <f>BK183+BL183</f>
        <v>0</v>
      </c>
      <c r="BN183" s="216" t="str">
        <f>IFERROR((VLOOKUP($C$12,'BD GN'!BD:BM,10,FALSE)*BM183)+$BR$338,"")</f>
        <v/>
      </c>
      <c r="BO183" s="210"/>
      <c r="BW183" s="210"/>
      <c r="CD183" s="184"/>
      <c r="CF183" s="185"/>
      <c r="CI183" s="184"/>
      <c r="CJ183" s="210"/>
      <c r="CK183" s="565"/>
      <c r="CL183" s="256"/>
      <c r="CM183" s="596"/>
      <c r="CN183" s="626"/>
      <c r="CO183" s="629"/>
      <c r="CP183" s="629"/>
      <c r="CQ183" s="629"/>
      <c r="CR183" s="629"/>
      <c r="CS183" s="629"/>
      <c r="CT183" s="632"/>
      <c r="CU183" s="565"/>
      <c r="CV183" s="560">
        <f>IFERROR(N183*CU183,"")</f>
        <v>0</v>
      </c>
      <c r="CW183" s="565"/>
      <c r="CX183" s="560">
        <f>IFERROR(P183*CW183,"")</f>
        <v>0</v>
      </c>
      <c r="CY183" s="565"/>
      <c r="CZ183" s="560">
        <f>IFERROR(R183*CY183,"")</f>
        <v>0</v>
      </c>
      <c r="DA183" s="565">
        <f t="shared" ref="DA183" si="666">CU183+CW183+CY183</f>
        <v>0</v>
      </c>
      <c r="DB183" s="560">
        <f t="shared" ref="DB183" si="667">IFERROR(CV183+CX183+CZ183,"")</f>
        <v>0</v>
      </c>
      <c r="DC183" s="565">
        <f>M183-(CU183+CW183+CY183)</f>
        <v>0</v>
      </c>
      <c r="DD183" s="560">
        <f>IFERROR(O183-(CV183+CX183+CZ183),"")</f>
        <v>0</v>
      </c>
      <c r="DG183" s="575"/>
      <c r="DH183" s="575"/>
      <c r="DI183" s="569">
        <f t="shared" ref="DI183" si="668">IFERROR(IF(DG183&gt;0,(((N183)/(1+10%+19%*5%)+((N183)/(1+10%+19%*5%))*10%)*DH183),0),0)</f>
        <v>0</v>
      </c>
      <c r="DJ183" s="569">
        <f t="shared" ref="DJ183" si="669">IFERROR(IF(DG183&gt;0,(N183*DH183),0),0)</f>
        <v>0</v>
      </c>
      <c r="DK183" s="569">
        <f t="shared" ref="DK183" si="670">IF(DG183&gt;0,((R183+T183)*DH183),0)</f>
        <v>0</v>
      </c>
      <c r="DL183" s="569">
        <f t="shared" ref="DL183" si="671">IF(DG183&gt;0,(Q183*DH183),0)</f>
        <v>0</v>
      </c>
      <c r="DM183" s="572">
        <f t="shared" ref="DM183" si="672">IF(DG183&gt;0,(S183*DH183),0)</f>
        <v>0</v>
      </c>
      <c r="DN183" s="569">
        <f t="shared" ref="DN183" si="673">IF(DG183&gt;0,(BN183*DH183),0)</f>
        <v>0</v>
      </c>
      <c r="DO183" s="569">
        <f t="shared" ref="DO183" si="674">IF(DG183&gt;0,(AF183*DH183),0)</f>
        <v>0</v>
      </c>
      <c r="DP183" s="569">
        <f>IF(DG183&gt;0,((DI183)*('BD P&amp;G'!$E$16+'BD P&amp;G'!$E$17+'BD P&amp;G'!$E$18+'BD P&amp;G'!$E$19+'BD P&amp;G'!$E$20+'BD P&amp;G'!$E$21+'BD P&amp;G'!$E$22+'BD P&amp;G'!$E$23)*DH183),0)</f>
        <v>0</v>
      </c>
      <c r="DQ183" s="569">
        <f>IFERROR(IF(DG183&gt;0,((DI183*'BD P&amp;G'!$E$7)+(DI183*'BD P&amp;G'!$E$9)+AI183),0),0)</f>
        <v>0</v>
      </c>
      <c r="DR183" s="569">
        <f t="shared" ref="DR183" si="675">IFERROR(IF(DG183&gt;0,((DI183*1%)),0),0)</f>
        <v>0</v>
      </c>
      <c r="DS183" s="569">
        <f>IFERROR(IF(DG183&gt;0,(((DI183*'BD P&amp;G'!$E$32+DI183*'BD P&amp;G'!$E$33+DI183*'BD P&amp;G'!$E$35+DI183*'BD P&amp;G'!$E$36+DI183*'BD P&amp;G'!$E$37))),0),0)</f>
        <v>0</v>
      </c>
      <c r="DT183" s="569">
        <f t="shared" ref="DT183" si="676">IF(DG183&gt;0,(Y183*DH183),0)</f>
        <v>0</v>
      </c>
      <c r="DU183" s="569">
        <f t="shared" ref="DU183" si="677">IF(DG183&gt;0,(Z183*DH183),0)</f>
        <v>0</v>
      </c>
      <c r="DV183" s="575">
        <f t="shared" ref="DV183" si="678">IF(DG183&gt;0,(Y187*DH183),0)</f>
        <v>0</v>
      </c>
      <c r="DW183" s="575">
        <f t="shared" ref="DW183" si="679">IF(DG183&gt;0,(Z187*DH183),0)</f>
        <v>0</v>
      </c>
      <c r="DX183" s="569">
        <f t="shared" ref="DX183" si="680">IF(DV183&gt;0,DJ183,0)</f>
        <v>0</v>
      </c>
      <c r="DY183" s="569">
        <f t="shared" ref="DY183" si="681">IF(DW183&gt;0,DJ183,0)</f>
        <v>0</v>
      </c>
    </row>
    <row r="184" spans="1:194" s="175" customFormat="1" ht="60" customHeight="1" x14ac:dyDescent="0.25">
      <c r="A184" s="366"/>
      <c r="B184" s="367"/>
      <c r="C184" s="393" t="s">
        <v>28</v>
      </c>
      <c r="D184" s="598"/>
      <c r="E184" s="598"/>
      <c r="F184" s="598"/>
      <c r="G184" s="598"/>
      <c r="H184" s="598"/>
      <c r="I184" s="598"/>
      <c r="J184" s="604"/>
      <c r="K184" s="604"/>
      <c r="L184" s="607"/>
      <c r="M184" s="559"/>
      <c r="N184" s="610"/>
      <c r="O184" s="613"/>
      <c r="P184" s="192"/>
      <c r="Q184" s="217"/>
      <c r="R184" s="217"/>
      <c r="S184" s="218"/>
      <c r="T184" s="219">
        <f>IFERROR(T183/$R$353,"")</f>
        <v>0</v>
      </c>
      <c r="U184" s="206"/>
      <c r="V184" s="220"/>
      <c r="W184" s="221" t="s">
        <v>239</v>
      </c>
      <c r="X184" s="222" t="s">
        <v>204</v>
      </c>
      <c r="Y184" s="223"/>
      <c r="Z184" s="224"/>
      <c r="AA184" s="225"/>
      <c r="AB184" s="226"/>
      <c r="AC184" s="206"/>
      <c r="AD184" s="206"/>
      <c r="AE184" s="206"/>
      <c r="AF184" s="227"/>
      <c r="AG184" s="206"/>
      <c r="AH184" s="206"/>
      <c r="AI184" s="206"/>
      <c r="AJ184" s="206"/>
      <c r="AK184" s="227"/>
      <c r="AL184" s="210"/>
      <c r="AM184" s="206"/>
      <c r="AN184" s="206"/>
      <c r="AO184" s="228"/>
      <c r="AP184" s="229"/>
      <c r="AQ184" s="206"/>
      <c r="AR184" s="206"/>
      <c r="AS184" s="228"/>
      <c r="AT184" s="229"/>
      <c r="AU184" s="228"/>
      <c r="AV184" s="229"/>
      <c r="AW184" s="228"/>
      <c r="AX184" s="229"/>
      <c r="AY184" s="206"/>
      <c r="AZ184" s="229"/>
      <c r="BA184" s="210"/>
      <c r="BB184" s="175" t="s">
        <v>24</v>
      </c>
      <c r="BC184" s="175" t="s">
        <v>114</v>
      </c>
      <c r="BD184" s="210"/>
      <c r="BE184" s="176" t="s">
        <v>206</v>
      </c>
      <c r="BF184" s="230" t="s">
        <v>204</v>
      </c>
      <c r="BG184" s="176" t="s">
        <v>290</v>
      </c>
      <c r="BH184" s="231" t="s">
        <v>204</v>
      </c>
      <c r="BI184" s="210"/>
      <c r="BN184" s="232"/>
      <c r="BO184" s="210"/>
      <c r="BV184" s="184"/>
      <c r="BW184" s="210"/>
      <c r="CD184" s="184"/>
      <c r="CF184" s="185"/>
      <c r="CI184" s="184"/>
      <c r="CJ184" s="210"/>
      <c r="CK184" s="563"/>
      <c r="CM184" s="559"/>
      <c r="CN184" s="627"/>
      <c r="CO184" s="630"/>
      <c r="CP184" s="630"/>
      <c r="CQ184" s="630"/>
      <c r="CR184" s="630"/>
      <c r="CS184" s="630"/>
      <c r="CT184" s="633"/>
      <c r="CU184" s="563"/>
      <c r="CV184" s="561"/>
      <c r="CW184" s="563"/>
      <c r="CX184" s="561"/>
      <c r="CY184" s="563"/>
      <c r="CZ184" s="561"/>
      <c r="DA184" s="563"/>
      <c r="DB184" s="561"/>
      <c r="DC184" s="563"/>
      <c r="DD184" s="561"/>
      <c r="DG184" s="576"/>
      <c r="DH184" s="576"/>
      <c r="DI184" s="570"/>
      <c r="DJ184" s="570"/>
      <c r="DK184" s="570"/>
      <c r="DL184" s="570"/>
      <c r="DM184" s="573"/>
      <c r="DN184" s="570"/>
      <c r="DO184" s="570"/>
      <c r="DP184" s="570"/>
      <c r="DQ184" s="570"/>
      <c r="DR184" s="570"/>
      <c r="DS184" s="570"/>
      <c r="DT184" s="570"/>
      <c r="DU184" s="570"/>
      <c r="DV184" s="576"/>
      <c r="DW184" s="576"/>
      <c r="DX184" s="570"/>
      <c r="DY184" s="570"/>
    </row>
    <row r="185" spans="1:194" s="175" customFormat="1" ht="60" customHeight="1" x14ac:dyDescent="0.3">
      <c r="A185" s="366"/>
      <c r="B185" s="367"/>
      <c r="C185" s="393" t="s">
        <v>30</v>
      </c>
      <c r="D185" s="599"/>
      <c r="E185" s="599"/>
      <c r="F185" s="599"/>
      <c r="G185" s="599"/>
      <c r="H185" s="599"/>
      <c r="I185" s="599"/>
      <c r="J185" s="604"/>
      <c r="K185" s="604"/>
      <c r="L185" s="607"/>
      <c r="M185" s="559"/>
      <c r="N185" s="610"/>
      <c r="O185" s="613"/>
      <c r="P185" s="192"/>
      <c r="Q185" s="176" t="s">
        <v>205</v>
      </c>
      <c r="R185" s="233" t="s">
        <v>204</v>
      </c>
      <c r="S185" s="234"/>
      <c r="T185" s="235">
        <f>IFERROR(($R$353-8000)*T184,"")</f>
        <v>0</v>
      </c>
      <c r="U185" s="206"/>
      <c r="V185" s="220"/>
      <c r="W185" s="221" t="s">
        <v>258</v>
      </c>
      <c r="X185" s="222" t="s">
        <v>204</v>
      </c>
      <c r="Y185" s="236"/>
      <c r="Z185" s="237"/>
      <c r="AA185" s="225"/>
      <c r="AB185" s="226"/>
      <c r="AC185" s="206"/>
      <c r="AD185" s="206"/>
      <c r="AE185" s="206"/>
      <c r="AF185" s="227"/>
      <c r="AG185" s="206"/>
      <c r="AH185" s="206"/>
      <c r="AI185" s="206"/>
      <c r="AJ185" s="206"/>
      <c r="AK185" s="227"/>
      <c r="AL185" s="238"/>
      <c r="AM185" s="206"/>
      <c r="AN185" s="206"/>
      <c r="AO185" s="228"/>
      <c r="AP185" s="229"/>
      <c r="AQ185" s="206"/>
      <c r="AR185" s="206"/>
      <c r="AS185" s="228"/>
      <c r="AT185" s="229"/>
      <c r="AU185" s="228"/>
      <c r="AV185" s="229"/>
      <c r="AW185" s="228"/>
      <c r="AX185" s="229"/>
      <c r="AY185" s="206"/>
      <c r="AZ185" s="229"/>
      <c r="BA185" s="210"/>
      <c r="BB185" s="175" t="s">
        <v>26</v>
      </c>
      <c r="BC185" s="211" t="s">
        <v>115</v>
      </c>
      <c r="BD185" s="210"/>
      <c r="BE185" s="177" t="str">
        <f>IFERROR(VLOOKUP(D183,'BD M.O'!C:H,4,FALSE),"")</f>
        <v/>
      </c>
      <c r="BF185" s="177" t="s">
        <v>259</v>
      </c>
      <c r="BI185" s="210"/>
      <c r="BO185" s="210"/>
      <c r="BV185" s="184"/>
      <c r="BW185" s="210"/>
      <c r="CD185" s="184"/>
      <c r="CF185" s="185"/>
      <c r="CI185" s="184"/>
      <c r="CJ185" s="210"/>
      <c r="CK185" s="563"/>
      <c r="CM185" s="559"/>
      <c r="CN185" s="627"/>
      <c r="CO185" s="630"/>
      <c r="CP185" s="630"/>
      <c r="CQ185" s="630"/>
      <c r="CR185" s="630"/>
      <c r="CS185" s="630"/>
      <c r="CT185" s="633"/>
      <c r="CU185" s="563"/>
      <c r="CV185" s="561"/>
      <c r="CW185" s="563"/>
      <c r="CX185" s="561"/>
      <c r="CY185" s="563"/>
      <c r="CZ185" s="561"/>
      <c r="DA185" s="563"/>
      <c r="DB185" s="561"/>
      <c r="DC185" s="563"/>
      <c r="DD185" s="561"/>
      <c r="DG185" s="577"/>
      <c r="DH185" s="577"/>
      <c r="DI185" s="571"/>
      <c r="DJ185" s="571"/>
      <c r="DK185" s="571"/>
      <c r="DL185" s="571"/>
      <c r="DM185" s="574"/>
      <c r="DN185" s="571"/>
      <c r="DO185" s="571"/>
      <c r="DP185" s="571"/>
      <c r="DQ185" s="571"/>
      <c r="DR185" s="571"/>
      <c r="DS185" s="571"/>
      <c r="DT185" s="571"/>
      <c r="DU185" s="571"/>
      <c r="DV185" s="577"/>
      <c r="DW185" s="577"/>
      <c r="DX185" s="571"/>
      <c r="DY185" s="571"/>
    </row>
    <row r="186" spans="1:194" s="175" customFormat="1" ht="60" customHeight="1" x14ac:dyDescent="0.25">
      <c r="A186" s="366"/>
      <c r="B186" s="367"/>
      <c r="C186" s="395" t="s">
        <v>180</v>
      </c>
      <c r="D186" s="599" t="s">
        <v>31</v>
      </c>
      <c r="E186" s="599"/>
      <c r="F186" s="394" t="s">
        <v>9</v>
      </c>
      <c r="G186" s="599" t="s">
        <v>33</v>
      </c>
      <c r="H186" s="599"/>
      <c r="I186" s="394" t="str">
        <f>+IF($BG$9="SI","","X")</f>
        <v>X</v>
      </c>
      <c r="J186" s="604"/>
      <c r="K186" s="604"/>
      <c r="L186" s="607"/>
      <c r="M186" s="559"/>
      <c r="N186" s="610"/>
      <c r="O186" s="613"/>
      <c r="P186" s="192"/>
      <c r="Q186" s="239"/>
      <c r="R186" s="221" t="s">
        <v>209</v>
      </c>
      <c r="S186" s="234" t="str">
        <f>IF(S184="","",S184/(J183*K183))</f>
        <v/>
      </c>
      <c r="T186" s="226"/>
      <c r="U186" s="206"/>
      <c r="V186" s="220"/>
      <c r="W186" s="239" t="str">
        <f>IFERROR(IF(X185="SI",VLOOKUP(D183,'BD M.O'!C:F,4,FALSE),""),"")</f>
        <v/>
      </c>
      <c r="X186" s="221" t="s">
        <v>258</v>
      </c>
      <c r="Y186" s="221" t="s">
        <v>507</v>
      </c>
      <c r="Z186" s="221" t="s">
        <v>508</v>
      </c>
      <c r="AA186" s="225"/>
      <c r="AB186" s="226"/>
      <c r="AC186" s="206"/>
      <c r="AD186" s="206"/>
      <c r="AE186" s="206"/>
      <c r="AF186" s="227"/>
      <c r="AG186" s="206"/>
      <c r="AH186" s="206"/>
      <c r="AI186" s="206"/>
      <c r="AJ186" s="206"/>
      <c r="AK186" s="227"/>
      <c r="AL186" s="240"/>
      <c r="AM186" s="206"/>
      <c r="AN186" s="206"/>
      <c r="AO186" s="228"/>
      <c r="AP186" s="229"/>
      <c r="AQ186" s="206"/>
      <c r="AR186" s="206"/>
      <c r="AS186" s="228"/>
      <c r="AT186" s="229"/>
      <c r="AU186" s="228"/>
      <c r="AV186" s="229"/>
      <c r="AW186" s="228"/>
      <c r="AX186" s="229"/>
      <c r="AY186" s="206"/>
      <c r="AZ186" s="229"/>
      <c r="BA186" s="210"/>
      <c r="BC186" s="175" t="s">
        <v>116</v>
      </c>
      <c r="BD186" s="210"/>
      <c r="BE186" s="177" t="str">
        <f>IFERROR(VLOOKUP(COTIZACIÓN!D183,'BD M.O'!C:I,5,FALSE),"")</f>
        <v/>
      </c>
      <c r="BF186" s="177" t="s">
        <v>260</v>
      </c>
      <c r="BI186" s="210"/>
      <c r="BO186" s="210"/>
      <c r="BP186" s="183"/>
      <c r="BQ186" s="183"/>
      <c r="BR186" s="183"/>
      <c r="BS186" s="183"/>
      <c r="BT186" s="183"/>
      <c r="BU186" s="183"/>
      <c r="BV186" s="182"/>
      <c r="BW186" s="210"/>
      <c r="BX186" s="183"/>
      <c r="BY186" s="183"/>
      <c r="BZ186" s="183"/>
      <c r="CA186" s="183"/>
      <c r="CB186" s="183"/>
      <c r="CC186" s="183"/>
      <c r="CD186" s="182"/>
      <c r="CE186" s="183"/>
      <c r="CF186" s="241"/>
      <c r="CG186" s="183"/>
      <c r="CH186" s="183"/>
      <c r="CI186" s="182"/>
      <c r="CJ186" s="210"/>
      <c r="CK186" s="563"/>
      <c r="CM186" s="559"/>
      <c r="CN186" s="627"/>
      <c r="CO186" s="630"/>
      <c r="CP186" s="630"/>
      <c r="CQ186" s="630"/>
      <c r="CR186" s="630"/>
      <c r="CS186" s="630"/>
      <c r="CT186" s="633"/>
      <c r="CU186" s="563"/>
      <c r="CV186" s="561"/>
      <c r="CW186" s="563"/>
      <c r="CX186" s="561"/>
      <c r="CY186" s="563"/>
      <c r="CZ186" s="561"/>
      <c r="DA186" s="563"/>
      <c r="DB186" s="561"/>
      <c r="DC186" s="563"/>
      <c r="DD186" s="561"/>
      <c r="DG186" s="575"/>
      <c r="DH186" s="575"/>
      <c r="DI186" s="569">
        <f t="shared" ref="DI186" si="682">IFERROR(IF(DG186&gt;0,(((N183)/(1+10%+19%*5%)+((N183)/(1+10%+19%*5%))*10%)*DH186),0),0)</f>
        <v>0</v>
      </c>
      <c r="DJ186" s="569">
        <f t="shared" ref="DJ186" si="683">IFERROR(IF(DG186&gt;0,(N183*DH186),0),0)</f>
        <v>0</v>
      </c>
      <c r="DK186" s="569">
        <f t="shared" ref="DK186" si="684">IF(DG186&gt;0,((R183+T183)*DH186),0)</f>
        <v>0</v>
      </c>
      <c r="DL186" s="569">
        <f t="shared" ref="DL186" si="685">IF(DG186&gt;0,(Q183*DH186),0)</f>
        <v>0</v>
      </c>
      <c r="DM186" s="572">
        <f t="shared" ref="DM186" si="686">IF(DG186&gt;0,(S183*DH186),0)</f>
        <v>0</v>
      </c>
      <c r="DN186" s="569">
        <f t="shared" ref="DN186" si="687">IF(DG186&gt;0,(BN183*DH186),0)</f>
        <v>0</v>
      </c>
      <c r="DO186" s="569">
        <f t="shared" ref="DO186" si="688">IF(DG186&gt;0,(AF183*DH186),0)</f>
        <v>0</v>
      </c>
      <c r="DP186" s="569">
        <f>IF(DG186&gt;0,((DI186)*('BD P&amp;G'!$E$16+'BD P&amp;G'!$E$17+'BD P&amp;G'!$E$18+'BD P&amp;G'!$E$19+'BD P&amp;G'!$E$20+'BD P&amp;G'!$E$21+'BD P&amp;G'!$E$22+'BD P&amp;G'!$E$23)*DH186),0)</f>
        <v>0</v>
      </c>
      <c r="DQ186" s="569">
        <f>IFERROR(IF(DG186&gt;0,((DI186*'BD P&amp;G'!$E$7)+(DI186*'BD P&amp;G'!$E$9)+AI183),0),0)</f>
        <v>0</v>
      </c>
      <c r="DR186" s="569">
        <f t="shared" ref="DR186" si="689">IFERROR(IF(DG186&gt;0,((DI186*1%)),0),0)</f>
        <v>0</v>
      </c>
      <c r="DS186" s="569">
        <f>IFERROR(IF(DG186&gt;0,(((DI186*'BD P&amp;G'!$E$32+DI186*'BD P&amp;G'!$E$33+DI186*'BD P&amp;G'!$E$35+DI186*'BD P&amp;G'!$E$36+DI186*'BD P&amp;G'!$E$37))),0),0)</f>
        <v>0</v>
      </c>
      <c r="DT186" s="569">
        <f t="shared" ref="DT186" si="690">IF(DG186&gt;0,(Y183*DH186),0)</f>
        <v>0</v>
      </c>
      <c r="DU186" s="569">
        <f t="shared" ref="DU186" si="691">IF(DG186&gt;0,(Z183*DH186),0)</f>
        <v>0</v>
      </c>
      <c r="DV186" s="575">
        <f t="shared" ref="DV186" si="692">IF(DG186&gt;0,(Y187*DH186),0)</f>
        <v>0</v>
      </c>
      <c r="DW186" s="575">
        <f t="shared" ref="DW186" si="693">IF(DG186&gt;0,(Z187*DH186),0)</f>
        <v>0</v>
      </c>
      <c r="DX186" s="569">
        <f t="shared" ref="DX186" si="694">IF(DV186&gt;0,DJ186,0)</f>
        <v>0</v>
      </c>
      <c r="DY186" s="569">
        <f t="shared" ref="DY186" si="695">IF(DW186&gt;0,DJ186,0)</f>
        <v>0</v>
      </c>
    </row>
    <row r="187" spans="1:194" s="175" customFormat="1" ht="60" customHeight="1" x14ac:dyDescent="0.3">
      <c r="A187" s="366"/>
      <c r="B187" s="367"/>
      <c r="C187" s="393" t="s">
        <v>35</v>
      </c>
      <c r="D187" s="599" t="str">
        <f>IFERROR(VLOOKUP(D183,'BD GN'!C:E,3,),"")</f>
        <v/>
      </c>
      <c r="E187" s="599"/>
      <c r="F187" s="599"/>
      <c r="G187" s="599"/>
      <c r="H187" s="599"/>
      <c r="I187" s="599"/>
      <c r="J187" s="604"/>
      <c r="K187" s="604"/>
      <c r="L187" s="607"/>
      <c r="M187" s="559"/>
      <c r="N187" s="610"/>
      <c r="O187" s="613"/>
      <c r="P187" s="192"/>
      <c r="Q187" s="239"/>
      <c r="R187" s="221" t="s">
        <v>210</v>
      </c>
      <c r="S187" s="234" t="str">
        <f>IFERROR(IF(N183="","",N183/W187),"")</f>
        <v/>
      </c>
      <c r="T187" s="226"/>
      <c r="U187" s="206"/>
      <c r="V187" s="220"/>
      <c r="W187" s="242" t="str">
        <f>+IF(J183*K183&gt;=1,J183*K183,IF(AND(J183*K183&gt;0,J183*K183&lt;1),1,""))</f>
        <v/>
      </c>
      <c r="X187" s="221" t="s">
        <v>298</v>
      </c>
      <c r="Y187" s="461">
        <f>IFERROR(IF(D183='BD GN'!$C$25,COTIZACIÓN!W187,IF(D183='BD GN'!$C$26,COTIZACIÓN!W187,IF(D183='BD GN'!$C$27,COTIZACIÓN!W187,IF(COTIZACIÓN!D183='BD GN'!$C$28,COTIZACIÓN!W187,IF(COTIZACIÓN!D183='BD GN'!$C$29,COTIZACIÓN!W187,IF(COTIZACIÓN!D183='BD GN'!$C$35,COTIZACIÓN!W187,IF(COTIZACIÓN!D183='BD GN'!$C$36,COTIZACIÓN!W187,IF(COTIZACIÓN!D183='BD GN'!$C$37,COTIZACIÓN!W187,IF(COTIZACIÓN!D183='BD GN'!$C$38,COTIZACIÓN!W187,IF(COTIZACIÓN!D183='BD GN'!$C$39,COTIZACIÓN!W187,IF(COTIZACIÓN!D183='BD GN'!$C$40,COTIZACIÓN!W187,IF(COTIZACIÓN!D183='BD GN'!$C$41,COTIZACIÓN!W187,IF(COTIZACIÓN!D183='BD GN'!$C$42,COTIZACIÓN!W187,IF(COTIZACIÓN!D183='BD GN'!$C$49,COTIZACIÓN!W187,IF(COTIZACIÓN!D183='BD GN'!$C$50,COTIZACIÓN!W187,IF(COTIZACIÓN!D183='BD GN'!$C$51,COTIZACIÓN!W187,IF(COTIZACIÓN!D183='BD GN'!$C$67,COTIZACIÓN!W187,0))))))))))))))))),0)</f>
        <v>0</v>
      </c>
      <c r="Z187" s="461">
        <f>IFERROR(W187-Y187,0)</f>
        <v>0</v>
      </c>
      <c r="AA187" s="225"/>
      <c r="AB187" s="226"/>
      <c r="AC187" s="206"/>
      <c r="AD187" s="206"/>
      <c r="AE187" s="206"/>
      <c r="AF187" s="227"/>
      <c r="AG187" s="206"/>
      <c r="AH187" s="206"/>
      <c r="AI187" s="206"/>
      <c r="AJ187" s="206"/>
      <c r="AK187" s="227"/>
      <c r="AL187" s="210"/>
      <c r="AM187" s="206"/>
      <c r="AN187" s="206"/>
      <c r="AO187" s="228"/>
      <c r="AP187" s="229"/>
      <c r="AQ187" s="206"/>
      <c r="AR187" s="206"/>
      <c r="AS187" s="228"/>
      <c r="AT187" s="229"/>
      <c r="AU187" s="228"/>
      <c r="AV187" s="229"/>
      <c r="AW187" s="228"/>
      <c r="AX187" s="229"/>
      <c r="AY187" s="206"/>
      <c r="AZ187" s="229"/>
      <c r="BA187" s="210"/>
      <c r="BC187" s="211" t="s">
        <v>117</v>
      </c>
      <c r="BD187" s="210"/>
      <c r="BE187" s="177" t="str">
        <f>IFERROR(VLOOKUP(D183,'BD M.O'!C:I,6,FALSE),"")</f>
        <v/>
      </c>
      <c r="BF187" s="177" t="s">
        <v>261</v>
      </c>
      <c r="BI187" s="210"/>
      <c r="BO187" s="210"/>
      <c r="BP187" s="183"/>
      <c r="BQ187" s="183"/>
      <c r="BR187" s="183"/>
      <c r="BW187" s="210"/>
      <c r="CD187" s="184"/>
      <c r="CF187" s="185"/>
      <c r="CI187" s="184"/>
      <c r="CJ187" s="210"/>
      <c r="CK187" s="563"/>
      <c r="CM187" s="559"/>
      <c r="CN187" s="627"/>
      <c r="CO187" s="630"/>
      <c r="CP187" s="630"/>
      <c r="CQ187" s="630"/>
      <c r="CR187" s="630"/>
      <c r="CS187" s="630"/>
      <c r="CT187" s="633"/>
      <c r="CU187" s="563"/>
      <c r="CV187" s="561"/>
      <c r="CW187" s="563"/>
      <c r="CX187" s="561"/>
      <c r="CY187" s="563"/>
      <c r="CZ187" s="561"/>
      <c r="DA187" s="563"/>
      <c r="DB187" s="561"/>
      <c r="DC187" s="563"/>
      <c r="DD187" s="561"/>
      <c r="DG187" s="576"/>
      <c r="DH187" s="576"/>
      <c r="DI187" s="570"/>
      <c r="DJ187" s="570"/>
      <c r="DK187" s="570"/>
      <c r="DL187" s="570"/>
      <c r="DM187" s="573"/>
      <c r="DN187" s="570"/>
      <c r="DO187" s="570"/>
      <c r="DP187" s="570"/>
      <c r="DQ187" s="570"/>
      <c r="DR187" s="570"/>
      <c r="DS187" s="570"/>
      <c r="DT187" s="570"/>
      <c r="DU187" s="570"/>
      <c r="DV187" s="576"/>
      <c r="DW187" s="576"/>
      <c r="DX187" s="570"/>
      <c r="DY187" s="570"/>
    </row>
    <row r="188" spans="1:194" s="252" customFormat="1" ht="60" customHeight="1" x14ac:dyDescent="0.25">
      <c r="A188" s="368"/>
      <c r="B188" s="369"/>
      <c r="C188" s="396" t="s">
        <v>10</v>
      </c>
      <c r="D188" s="645" t="s">
        <v>32</v>
      </c>
      <c r="E188" s="645"/>
      <c r="F188" s="645"/>
      <c r="G188" s="645"/>
      <c r="H188" s="645"/>
      <c r="I188" s="645"/>
      <c r="J188" s="643"/>
      <c r="K188" s="643"/>
      <c r="L188" s="646"/>
      <c r="M188" s="648"/>
      <c r="N188" s="649"/>
      <c r="O188" s="644"/>
      <c r="P188" s="192"/>
      <c r="Q188" s="239"/>
      <c r="R188" s="334" t="s">
        <v>475</v>
      </c>
      <c r="S188" s="234" t="str">
        <f>IFERROR(IF($C$12='BD GN'!$CC$1,VLOOKUP(COTIZACIÓN!D183,'BD GN'!CB:CG,2,FALSE),IF(COTIZACIÓN!$C$12='BD GN'!$CD$1,VLOOKUP(COTIZACIÓN!D183,'BD GN'!CB:CG,3,FALSE),IF($C$12='BD GN'!$CE$1,VLOOKUP(COTIZACIÓN!D183,'BD GN'!CB:CG,4,FALSE),IF(COTIZACIÓN!$C$12='BD GN'!$CF$1,VLOOKUP(COTIZACIÓN!D183,'BD GN'!CB:CG,5,FALSE),IF(COTIZACIÓN!$C$12='BD GN'!$CG$1,VLOOKUP(COTIZACIÓN!D183,'BD GN'!CB:CG,6,FALSE),""))))),"-")</f>
        <v/>
      </c>
      <c r="T188" s="243"/>
      <c r="U188" s="244"/>
      <c r="V188" s="245"/>
      <c r="W188" s="177" t="s">
        <v>394</v>
      </c>
      <c r="X188" s="246">
        <f>IFERROR(SUM(W183:X183),"")</f>
        <v>0</v>
      </c>
      <c r="Y188" s="166" t="s">
        <v>404</v>
      </c>
      <c r="Z188" s="199" t="str">
        <f>IFERROR(Y183+Z183,"")</f>
        <v/>
      </c>
      <c r="AA188" s="247"/>
      <c r="AB188" s="243"/>
      <c r="AC188" s="244"/>
      <c r="AD188" s="244"/>
      <c r="AE188" s="244"/>
      <c r="AF188" s="227"/>
      <c r="AG188" s="206"/>
      <c r="AH188" s="206"/>
      <c r="AI188" s="206"/>
      <c r="AJ188" s="206"/>
      <c r="AK188" s="227"/>
      <c r="AL188" s="227"/>
      <c r="AM188" s="248"/>
      <c r="AN188" s="248"/>
      <c r="AO188" s="249"/>
      <c r="AP188" s="250"/>
      <c r="AQ188" s="248"/>
      <c r="AR188" s="248"/>
      <c r="AS188" s="249"/>
      <c r="AT188" s="250"/>
      <c r="AU188" s="249"/>
      <c r="AV188" s="250"/>
      <c r="AW188" s="249"/>
      <c r="AX188" s="250"/>
      <c r="AY188" s="248"/>
      <c r="AZ188" s="250"/>
      <c r="BA188" s="210"/>
      <c r="BB188" s="175"/>
      <c r="BC188" s="175" t="s">
        <v>118</v>
      </c>
      <c r="BD188" s="210"/>
      <c r="BE188" s="251" t="str">
        <f>IFERROR(VLOOKUP(D183,'BD M.O'!C:I,7,FALSE),"")</f>
        <v/>
      </c>
      <c r="BF188" s="251" t="s">
        <v>262</v>
      </c>
      <c r="BG188" s="175"/>
      <c r="BH188" s="175"/>
      <c r="BI188" s="210"/>
      <c r="BJ188" s="175"/>
      <c r="BK188" s="175"/>
      <c r="BL188" s="175"/>
      <c r="BM188" s="175"/>
      <c r="BN188" s="175"/>
      <c r="BO188" s="210"/>
      <c r="BP188" s="175"/>
      <c r="BQ188" s="175"/>
      <c r="BR188" s="175"/>
      <c r="BS188" s="183"/>
      <c r="BT188" s="183"/>
      <c r="BU188" s="183"/>
      <c r="BV188" s="183"/>
      <c r="BW188" s="210"/>
      <c r="BX188" s="175"/>
      <c r="BY188" s="175"/>
      <c r="BZ188" s="175"/>
      <c r="CA188" s="175"/>
      <c r="CB188" s="175"/>
      <c r="CC188" s="175"/>
      <c r="CD188" s="184"/>
      <c r="CE188" s="175"/>
      <c r="CF188" s="185"/>
      <c r="CG188" s="175"/>
      <c r="CH188" s="175"/>
      <c r="CI188" s="184"/>
      <c r="CJ188" s="210"/>
      <c r="CK188" s="564"/>
      <c r="CL188" s="257"/>
      <c r="CM188" s="597"/>
      <c r="CN188" s="628"/>
      <c r="CO188" s="631"/>
      <c r="CP188" s="631"/>
      <c r="CQ188" s="631"/>
      <c r="CR188" s="631"/>
      <c r="CS188" s="631"/>
      <c r="CT188" s="634"/>
      <c r="CU188" s="564"/>
      <c r="CV188" s="562"/>
      <c r="CW188" s="564"/>
      <c r="CX188" s="562"/>
      <c r="CY188" s="564"/>
      <c r="CZ188" s="562"/>
      <c r="DA188" s="564"/>
      <c r="DB188" s="562"/>
      <c r="DC188" s="564"/>
      <c r="DD188" s="562"/>
      <c r="DE188" s="175"/>
      <c r="DF188" s="175"/>
      <c r="DG188" s="577"/>
      <c r="DH188" s="577"/>
      <c r="DI188" s="571"/>
      <c r="DJ188" s="571"/>
      <c r="DK188" s="571"/>
      <c r="DL188" s="571"/>
      <c r="DM188" s="574"/>
      <c r="DN188" s="571"/>
      <c r="DO188" s="571"/>
      <c r="DP188" s="571"/>
      <c r="DQ188" s="571"/>
      <c r="DR188" s="571"/>
      <c r="DS188" s="571"/>
      <c r="DT188" s="571"/>
      <c r="DU188" s="571"/>
      <c r="DV188" s="577"/>
      <c r="DW188" s="577"/>
      <c r="DX188" s="571"/>
      <c r="DY188" s="571"/>
      <c r="DZ188" s="175"/>
      <c r="EA188" s="175"/>
      <c r="EB188" s="175"/>
      <c r="EC188" s="175"/>
      <c r="ED188" s="175"/>
      <c r="EE188" s="175"/>
      <c r="EF188" s="175"/>
      <c r="EG188" s="175"/>
      <c r="EH188" s="175"/>
      <c r="EI188" s="175"/>
      <c r="EJ188" s="175"/>
      <c r="EK188" s="175"/>
      <c r="EL188" s="175"/>
      <c r="EM188" s="175"/>
      <c r="EN188" s="175"/>
      <c r="EO188" s="175"/>
      <c r="EP188" s="175"/>
      <c r="EQ188" s="175"/>
      <c r="ER188" s="175"/>
      <c r="ES188" s="175"/>
      <c r="ET188" s="175"/>
      <c r="EU188" s="175"/>
      <c r="EV188" s="175"/>
      <c r="EW188" s="175"/>
      <c r="EX188" s="175"/>
      <c r="EY188" s="175"/>
      <c r="EZ188" s="175"/>
      <c r="FA188" s="175"/>
      <c r="FB188" s="175"/>
      <c r="FC188" s="175"/>
      <c r="FD188" s="175"/>
      <c r="FE188" s="175"/>
      <c r="FF188" s="175"/>
      <c r="FG188" s="175"/>
      <c r="FH188" s="175"/>
      <c r="FI188" s="175"/>
      <c r="FJ188" s="175"/>
      <c r="FK188" s="175"/>
      <c r="FL188" s="175"/>
      <c r="FM188" s="175"/>
      <c r="FN188" s="175"/>
      <c r="FO188" s="175"/>
      <c r="FP188" s="175"/>
      <c r="FQ188" s="175"/>
      <c r="FR188" s="175"/>
      <c r="FS188" s="175"/>
      <c r="FT188" s="175"/>
      <c r="FU188" s="175"/>
      <c r="FV188" s="175"/>
      <c r="FW188" s="175"/>
      <c r="FX188" s="175"/>
      <c r="FY188" s="175"/>
      <c r="FZ188" s="175"/>
      <c r="GA188" s="175"/>
      <c r="GB188" s="175"/>
      <c r="GC188" s="175"/>
      <c r="GD188" s="175"/>
      <c r="GE188" s="175"/>
      <c r="GF188" s="175"/>
      <c r="GG188" s="175"/>
      <c r="GH188" s="175"/>
      <c r="GI188" s="175"/>
      <c r="GJ188" s="175"/>
      <c r="GK188" s="175"/>
      <c r="GL188" s="175"/>
    </row>
    <row r="189" spans="1:194" s="255" customFormat="1" ht="60" customHeight="1" x14ac:dyDescent="0.3">
      <c r="A189" s="362" t="s">
        <v>193</v>
      </c>
      <c r="B189" s="363" t="s">
        <v>25</v>
      </c>
      <c r="C189" s="391" t="s">
        <v>174</v>
      </c>
      <c r="D189" s="640" t="s">
        <v>173</v>
      </c>
      <c r="E189" s="640"/>
      <c r="F189" s="640"/>
      <c r="G189" s="640"/>
      <c r="H189" s="640"/>
      <c r="I189" s="640"/>
      <c r="J189" s="418" t="s">
        <v>443</v>
      </c>
      <c r="K189" s="418" t="s">
        <v>444</v>
      </c>
      <c r="L189" s="418" t="s">
        <v>171</v>
      </c>
      <c r="M189" s="363" t="s">
        <v>2</v>
      </c>
      <c r="N189" s="419" t="s">
        <v>7</v>
      </c>
      <c r="O189" s="420" t="s">
        <v>8</v>
      </c>
      <c r="P189" s="159"/>
      <c r="Q189" s="164" t="s">
        <v>93</v>
      </c>
      <c r="R189" s="164" t="s">
        <v>34</v>
      </c>
      <c r="S189" s="164" t="s">
        <v>28</v>
      </c>
      <c r="T189" s="164" t="s">
        <v>95</v>
      </c>
      <c r="U189" s="164" t="s">
        <v>96</v>
      </c>
      <c r="V189" s="164" t="s">
        <v>97</v>
      </c>
      <c r="W189" s="164" t="s">
        <v>4</v>
      </c>
      <c r="X189" s="164" t="s">
        <v>103</v>
      </c>
      <c r="Y189" s="160" t="s">
        <v>402</v>
      </c>
      <c r="Z189" s="165" t="s">
        <v>403</v>
      </c>
      <c r="AA189" s="166" t="s">
        <v>404</v>
      </c>
      <c r="AB189" s="164" t="s">
        <v>99</v>
      </c>
      <c r="AC189" s="164" t="s">
        <v>395</v>
      </c>
      <c r="AD189" s="253" t="s">
        <v>36</v>
      </c>
      <c r="AE189" s="164" t="s">
        <v>389</v>
      </c>
      <c r="AF189" s="164" t="s">
        <v>390</v>
      </c>
      <c r="AG189" s="164" t="s">
        <v>164</v>
      </c>
      <c r="AH189" s="253" t="s">
        <v>396</v>
      </c>
      <c r="AI189" s="164" t="s">
        <v>190</v>
      </c>
      <c r="AJ189" s="164" t="s">
        <v>339</v>
      </c>
      <c r="AK189" s="253" t="s">
        <v>391</v>
      </c>
      <c r="AL189" s="253" t="s">
        <v>393</v>
      </c>
      <c r="AM189" s="167" t="s">
        <v>93</v>
      </c>
      <c r="AN189" s="168" t="s">
        <v>34</v>
      </c>
      <c r="AO189" s="169" t="s">
        <v>28</v>
      </c>
      <c r="AP189" s="170" t="s">
        <v>95</v>
      </c>
      <c r="AQ189" s="167" t="s">
        <v>3</v>
      </c>
      <c r="AR189" s="167" t="s">
        <v>96</v>
      </c>
      <c r="AS189" s="169" t="s">
        <v>97</v>
      </c>
      <c r="AT189" s="170" t="s">
        <v>4</v>
      </c>
      <c r="AU189" s="169" t="s">
        <v>103</v>
      </c>
      <c r="AV189" s="170" t="s">
        <v>99</v>
      </c>
      <c r="AW189" s="169" t="s">
        <v>36</v>
      </c>
      <c r="AX189" s="171" t="s">
        <v>29</v>
      </c>
      <c r="AY189" s="172" t="s">
        <v>190</v>
      </c>
      <c r="AZ189" s="173" t="s">
        <v>102</v>
      </c>
      <c r="BA189" s="174"/>
      <c r="BB189" s="183"/>
      <c r="BC189" s="211" t="s">
        <v>119</v>
      </c>
      <c r="BD189" s="174"/>
      <c r="BE189" s="176" t="s">
        <v>189</v>
      </c>
      <c r="BF189" s="177" t="str">
        <f>$BF$13</f>
        <v xml:space="preserve">VR SILICONA </v>
      </c>
      <c r="BG189" s="177" t="str">
        <f>$BG$13</f>
        <v xml:space="preserve">VR PELÍCULA </v>
      </c>
      <c r="BH189" s="254" t="str">
        <f>$BH$13</f>
        <v>VR EMBALAJE</v>
      </c>
      <c r="BI189" s="174"/>
      <c r="BJ189" s="176" t="str">
        <f>$BJ$13</f>
        <v>ESP. CRISTAL</v>
      </c>
      <c r="BK189" s="176" t="s">
        <v>130</v>
      </c>
      <c r="BL189" s="177" t="s">
        <v>28</v>
      </c>
      <c r="BM189" s="177" t="str">
        <f>BM182</f>
        <v>TOTAL</v>
      </c>
      <c r="BN189" s="177" t="s">
        <v>133</v>
      </c>
      <c r="BO189" s="174"/>
      <c r="BP189" s="175"/>
      <c r="BQ189" s="175"/>
      <c r="BR189" s="175"/>
      <c r="BS189" s="175"/>
      <c r="BT189" s="175"/>
      <c r="BU189" s="175"/>
      <c r="BV189" s="175"/>
      <c r="BW189" s="174"/>
      <c r="BX189" s="175"/>
      <c r="BY189" s="175"/>
      <c r="BZ189" s="175"/>
      <c r="CA189" s="175"/>
      <c r="CB189" s="175"/>
      <c r="CC189" s="175"/>
      <c r="CD189" s="184"/>
      <c r="CE189" s="175"/>
      <c r="CF189" s="185"/>
      <c r="CG189" s="175"/>
      <c r="CH189" s="175"/>
      <c r="CI189" s="184"/>
      <c r="CJ189" s="174"/>
      <c r="CK189" s="186" t="s">
        <v>415</v>
      </c>
      <c r="CL189" s="187" t="s">
        <v>417</v>
      </c>
      <c r="CM189" s="187" t="s">
        <v>416</v>
      </c>
      <c r="CN189" s="188" t="s">
        <v>418</v>
      </c>
      <c r="CO189" s="187" t="s">
        <v>417</v>
      </c>
      <c r="CP189" s="187" t="s">
        <v>409</v>
      </c>
      <c r="CQ189" s="187" t="s">
        <v>410</v>
      </c>
      <c r="CR189" s="187" t="s">
        <v>411</v>
      </c>
      <c r="CS189" s="187" t="s">
        <v>412</v>
      </c>
      <c r="CT189" s="187" t="s">
        <v>413</v>
      </c>
      <c r="CU189" s="189" t="s">
        <v>2</v>
      </c>
      <c r="CV189" s="190" t="s">
        <v>159</v>
      </c>
      <c r="CW189" s="189" t="s">
        <v>2</v>
      </c>
      <c r="CX189" s="190" t="s">
        <v>159</v>
      </c>
      <c r="CY189" s="189" t="s">
        <v>2</v>
      </c>
      <c r="CZ189" s="190" t="s">
        <v>159</v>
      </c>
      <c r="DA189" s="189" t="s">
        <v>2</v>
      </c>
      <c r="DB189" s="190" t="s">
        <v>159</v>
      </c>
      <c r="DC189" s="189" t="s">
        <v>2</v>
      </c>
      <c r="DD189" s="190" t="s">
        <v>159</v>
      </c>
      <c r="DE189" s="183"/>
      <c r="DF189" s="183"/>
      <c r="DG189" s="177" t="s">
        <v>505</v>
      </c>
      <c r="DH189" s="472" t="s">
        <v>509</v>
      </c>
      <c r="DI189" s="457" t="s">
        <v>506</v>
      </c>
      <c r="DJ189" s="457" t="s">
        <v>134</v>
      </c>
      <c r="DK189" s="457" t="s">
        <v>498</v>
      </c>
      <c r="DL189" s="457" t="s">
        <v>499</v>
      </c>
      <c r="DM189" s="457" t="s">
        <v>500</v>
      </c>
      <c r="DN189" s="457" t="s">
        <v>131</v>
      </c>
      <c r="DO189" s="457" t="s">
        <v>390</v>
      </c>
      <c r="DP189" s="457" t="s">
        <v>36</v>
      </c>
      <c r="DQ189" s="457" t="s">
        <v>501</v>
      </c>
      <c r="DR189" s="457" t="s">
        <v>502</v>
      </c>
      <c r="DS189" s="457" t="s">
        <v>503</v>
      </c>
      <c r="DT189" s="457" t="s">
        <v>4</v>
      </c>
      <c r="DU189" s="457" t="s">
        <v>504</v>
      </c>
      <c r="DV189" s="466" t="s">
        <v>507</v>
      </c>
      <c r="DW189" s="466" t="s">
        <v>508</v>
      </c>
      <c r="DX189" s="457" t="s">
        <v>510</v>
      </c>
      <c r="DY189" s="457" t="s">
        <v>511</v>
      </c>
      <c r="DZ189" s="183"/>
      <c r="EA189" s="183"/>
      <c r="EB189" s="183"/>
      <c r="EC189" s="183"/>
      <c r="ED189" s="183"/>
      <c r="EE189" s="183"/>
      <c r="EF189" s="183"/>
      <c r="EG189" s="183"/>
      <c r="EH189" s="183"/>
      <c r="EI189" s="183"/>
      <c r="EJ189" s="183"/>
      <c r="EK189" s="183"/>
      <c r="EL189" s="183"/>
      <c r="EM189" s="183"/>
      <c r="EN189" s="183"/>
      <c r="EO189" s="183"/>
      <c r="EP189" s="183"/>
      <c r="EQ189" s="183"/>
      <c r="ER189" s="183"/>
      <c r="ES189" s="183"/>
      <c r="ET189" s="183"/>
      <c r="EU189" s="183"/>
      <c r="EV189" s="183"/>
      <c r="EW189" s="183"/>
      <c r="EX189" s="183"/>
      <c r="EY189" s="183"/>
      <c r="EZ189" s="183"/>
      <c r="FA189" s="183"/>
      <c r="FB189" s="183"/>
      <c r="FC189" s="183"/>
      <c r="FD189" s="183"/>
      <c r="FE189" s="183"/>
      <c r="FF189" s="183"/>
      <c r="FG189" s="183"/>
      <c r="FH189" s="183"/>
      <c r="FI189" s="183"/>
      <c r="FJ189" s="183"/>
      <c r="FK189" s="183"/>
      <c r="FL189" s="183"/>
      <c r="FM189" s="183"/>
      <c r="FN189" s="183"/>
      <c r="FO189" s="183"/>
      <c r="FP189" s="183"/>
      <c r="FQ189" s="183"/>
      <c r="FR189" s="183"/>
      <c r="FS189" s="183"/>
      <c r="FT189" s="183"/>
      <c r="FU189" s="183"/>
      <c r="FV189" s="183"/>
      <c r="FW189" s="183"/>
      <c r="FX189" s="183"/>
      <c r="FY189" s="183"/>
      <c r="FZ189" s="183"/>
      <c r="GA189" s="183"/>
      <c r="GB189" s="183"/>
      <c r="GC189" s="183"/>
      <c r="GD189" s="183"/>
      <c r="GE189" s="183"/>
      <c r="GF189" s="183"/>
      <c r="GG189" s="183"/>
      <c r="GH189" s="183"/>
      <c r="GI189" s="183"/>
      <c r="GJ189" s="183"/>
      <c r="GK189" s="183"/>
      <c r="GL189" s="183"/>
    </row>
    <row r="190" spans="1:194" s="175" customFormat="1" ht="60" customHeight="1" x14ac:dyDescent="0.3">
      <c r="A190" s="364"/>
      <c r="B190" s="365"/>
      <c r="C190" s="392" t="s">
        <v>27</v>
      </c>
      <c r="D190" s="641"/>
      <c r="E190" s="641"/>
      <c r="F190" s="641"/>
      <c r="G190" s="641"/>
      <c r="H190" s="641"/>
      <c r="I190" s="641"/>
      <c r="J190" s="642"/>
      <c r="K190" s="642"/>
      <c r="L190" s="622">
        <f>J190*K190*M190</f>
        <v>0</v>
      </c>
      <c r="M190" s="623"/>
      <c r="N190" s="620">
        <f>IFERROR(AL190,"")</f>
        <v>1.0765546639999999</v>
      </c>
      <c r="O190" s="621">
        <f>IFERROR(N190*M190,"")</f>
        <v>0</v>
      </c>
      <c r="P190" s="192"/>
      <c r="Q190" s="193">
        <f>Q191+BF190+($R$350*Q191)</f>
        <v>0</v>
      </c>
      <c r="R190" s="193">
        <f>IFERROR(R191+($R$348*R191),"")</f>
        <v>0</v>
      </c>
      <c r="S190" s="194">
        <f>+IF(R192="SI",((W194*'BD GN'!$AB$2)+S191)*1,COTIZACIÓN!S191*1)+(P191*S191)</f>
        <v>0</v>
      </c>
      <c r="T190" s="195">
        <f>IFERROR(R190*IF(K190&lt;=3,$T$13,15%),"")</f>
        <v>0</v>
      </c>
      <c r="U190" s="196">
        <f>BH190+BG190</f>
        <v>0</v>
      </c>
      <c r="V190" s="197" t="str">
        <f>IFERROR(BN190,0)</f>
        <v/>
      </c>
      <c r="W190" s="198" t="str">
        <f>IFERROR(IF(X192="SI",W193*J190*K190,IF(BE190=3,BE192,IF(BE190=4,BE193,IF(BE190=5,BE194,IF(BE190&gt;5,BE194+(BE195*(BE190-5)),"")))))*0,"")</f>
        <v/>
      </c>
      <c r="X190" s="198" t="str">
        <f>IFERROR(IF(X191="NO",(VLOOKUP(D190,'BD M.O'!C:E,3,FALSE))*W194,((VLOOKUP(D190,'BD M.O'!C:E,3,FALSE))+7500)*W194),"")</f>
        <v/>
      </c>
      <c r="Y190" s="198">
        <f>IFERROR($Y$13*AK190,"")</f>
        <v>4.2084457416288003E-2</v>
      </c>
      <c r="Z190" s="332" t="str">
        <f>IFERROR(($Z$13*AK190)+X190,"")</f>
        <v/>
      </c>
      <c r="AA190" s="199" t="str">
        <f>IFERROR(Y190+Z190,"")</f>
        <v/>
      </c>
      <c r="AB190" s="200">
        <f>IFERROR((SUM(Q190:X190)-T190+T192)*$AB$13,"")</f>
        <v>0</v>
      </c>
      <c r="AC190" s="201">
        <f>IFERROR(((SUM(Q190:V190,IF(X195&gt;AA190,AVERAGE(X195,AA190),AA190))-T190+T192))*$AB$13,"")</f>
        <v>0</v>
      </c>
      <c r="AD190" s="202" t="str">
        <f>IFERROR((J190*K190*$BV$14),"")</f>
        <v/>
      </c>
      <c r="AE190" s="202">
        <f>IFERROR($AE$13*AK190,"")</f>
        <v>6.4010592649919984E-2</v>
      </c>
      <c r="AF190" s="203" t="str">
        <f>IFERROR(($CI$11+$CI$13)*W194,"")</f>
        <v/>
      </c>
      <c r="AG190" s="202">
        <f>IFERROR((SUM(Q190:X190,AB190,AD190,AF190)-T190+T192)*$AG$13,"")</f>
        <v>0</v>
      </c>
      <c r="AH190" s="202">
        <f>IFERROR((SUM(Q190:V190,(IF(X195&gt;AA190,AVERAGE(X195,AA190),AA190)),AC190,AE190,AF190)-T190+T192)*$AG$13,"")</f>
        <v>3.2005296324959992E-2</v>
      </c>
      <c r="AI190" s="204">
        <f>IFERROR(AL190*$AI$13,"")</f>
        <v>2.1531093279999997E-2</v>
      </c>
      <c r="AJ190" s="204">
        <f>IFERROR($AJ$13*AL190,"")</f>
        <v>6.007175025119999E-3</v>
      </c>
      <c r="AK190" s="205">
        <f>IFERROR(SUM(Q190:X190,AB190,AD190,AG190,AF190)/(1-$AI$13)+(1-$AJ$13)-T190+T192,"")</f>
        <v>0.99441999999999997</v>
      </c>
      <c r="AL190" s="205">
        <f>IFERROR(SUM(Q190:V190,AC190,(IF(AD190&gt;AE190,AVERAGE(AD190,AE190),AE190)),AF190,,AH190,(IF(SUM(X195)&gt;AA190,AVERAGE(AA190,X195),AA190)))/(1-$AJ$13)+(1-$AI$13)-T190+T192,"")</f>
        <v>1.0765546639999999</v>
      </c>
      <c r="AM190" s="206">
        <f>$M$15*Q190</f>
        <v>0</v>
      </c>
      <c r="AN190" s="207">
        <f>$M$15*R190</f>
        <v>0</v>
      </c>
      <c r="AO190" s="208">
        <f>$M$15*S190</f>
        <v>0</v>
      </c>
      <c r="AP190" s="207">
        <f>$M$15*T190</f>
        <v>0</v>
      </c>
      <c r="AQ190" s="207" t="e">
        <f>$M$15*#REF!</f>
        <v>#REF!</v>
      </c>
      <c r="AR190" s="207">
        <f>$M$15*U190</f>
        <v>0</v>
      </c>
      <c r="AS190" s="208" t="e">
        <f>$M$15*V190</f>
        <v>#VALUE!</v>
      </c>
      <c r="AT190" s="207" t="e">
        <f>$M$15*W190</f>
        <v>#VALUE!</v>
      </c>
      <c r="AU190" s="208" t="e">
        <f>$M$15*X190</f>
        <v>#VALUE!</v>
      </c>
      <c r="AV190" s="207">
        <f>$M$15*AB190</f>
        <v>0</v>
      </c>
      <c r="AW190" s="208">
        <f>$M$15*AE190</f>
        <v>0</v>
      </c>
      <c r="AX190" s="207">
        <f>$M$15*AG190</f>
        <v>0</v>
      </c>
      <c r="AY190" s="209">
        <f>$M$15*AI190</f>
        <v>0</v>
      </c>
      <c r="AZ190" s="207">
        <f>$M$15*AK190</f>
        <v>0</v>
      </c>
      <c r="BA190" s="210"/>
      <c r="BB190" s="175" t="s">
        <v>23</v>
      </c>
      <c r="BC190" s="211" t="s">
        <v>113</v>
      </c>
      <c r="BD190" s="210"/>
      <c r="BE190" s="212"/>
      <c r="BF190" s="213">
        <f>IF(BH191="NO",((2*J190)+(2*K190))*'BD GN'!$AU$3,((3*J190)+(2*K190))*'BD GN'!$AU$3)</f>
        <v>0</v>
      </c>
      <c r="BG190" s="213">
        <f>'BD GN'!$BB$3*J190*K190</f>
        <v>0</v>
      </c>
      <c r="BH190" s="214">
        <f>((J190*2*BE190)+(K190*2*BE190))*'BD GN'!$AN$4</f>
        <v>0</v>
      </c>
      <c r="BI190" s="210"/>
      <c r="BJ190" s="212"/>
      <c r="BK190" s="212"/>
      <c r="BL190" s="215">
        <f>J190*K190*2.5*BJ190</f>
        <v>0</v>
      </c>
      <c r="BM190" s="215">
        <f>BK190+BL190</f>
        <v>0</v>
      </c>
      <c r="BN190" s="216" t="str">
        <f>IFERROR((VLOOKUP($C$12,'BD GN'!BD:BM,10,FALSE)*BM190)+$BR$338,"")</f>
        <v/>
      </c>
      <c r="BO190" s="210"/>
      <c r="BW190" s="210"/>
      <c r="CD190" s="184"/>
      <c r="CF190" s="185"/>
      <c r="CI190" s="184"/>
      <c r="CJ190" s="210"/>
      <c r="CK190" s="565"/>
      <c r="CL190" s="256"/>
      <c r="CM190" s="596"/>
      <c r="CN190" s="626"/>
      <c r="CO190" s="629"/>
      <c r="CP190" s="629"/>
      <c r="CQ190" s="629"/>
      <c r="CR190" s="629"/>
      <c r="CS190" s="629"/>
      <c r="CT190" s="632"/>
      <c r="CU190" s="565"/>
      <c r="CV190" s="560">
        <f>IFERROR(N190*CU190,"")</f>
        <v>0</v>
      </c>
      <c r="CW190" s="565"/>
      <c r="CX190" s="560">
        <f>IFERROR(P190*CW190,"")</f>
        <v>0</v>
      </c>
      <c r="CY190" s="565"/>
      <c r="CZ190" s="560">
        <f>IFERROR(R190*CY190,"")</f>
        <v>0</v>
      </c>
      <c r="DA190" s="565">
        <f t="shared" ref="DA190" si="696">CU190+CW190+CY190</f>
        <v>0</v>
      </c>
      <c r="DB190" s="560">
        <f t="shared" ref="DB190" si="697">IFERROR(CV190+CX190+CZ190,"")</f>
        <v>0</v>
      </c>
      <c r="DC190" s="565">
        <f>M190-(CU190+CW190+CY190)</f>
        <v>0</v>
      </c>
      <c r="DD190" s="560">
        <f>IFERROR(O190-(CV190+CX190+CZ190),"")</f>
        <v>0</v>
      </c>
      <c r="DG190" s="575"/>
      <c r="DH190" s="575"/>
      <c r="DI190" s="569">
        <f t="shared" ref="DI190" si="698">IFERROR(IF(DG190&gt;0,(((N190)/(1+10%+19%*5%)+((N190)/(1+10%+19%*5%))*10%)*DH190),0),0)</f>
        <v>0</v>
      </c>
      <c r="DJ190" s="569">
        <f t="shared" ref="DJ190" si="699">IFERROR(IF(DG190&gt;0,(N190*DH190),0),0)</f>
        <v>0</v>
      </c>
      <c r="DK190" s="569">
        <f t="shared" ref="DK190" si="700">IF(DG190&gt;0,((R190+T190)*DH190),0)</f>
        <v>0</v>
      </c>
      <c r="DL190" s="569">
        <f t="shared" ref="DL190" si="701">IF(DG190&gt;0,(Q190*DH190),0)</f>
        <v>0</v>
      </c>
      <c r="DM190" s="572">
        <f t="shared" ref="DM190" si="702">IF(DG190&gt;0,(S190*DH190),0)</f>
        <v>0</v>
      </c>
      <c r="DN190" s="569">
        <f t="shared" ref="DN190" si="703">IF(DG190&gt;0,(BN190*DH190),0)</f>
        <v>0</v>
      </c>
      <c r="DO190" s="569">
        <f t="shared" ref="DO190" si="704">IF(DG190&gt;0,(AF190*DH190),0)</f>
        <v>0</v>
      </c>
      <c r="DP190" s="569">
        <f>IF(DG190&gt;0,((DI190)*('BD P&amp;G'!$E$16+'BD P&amp;G'!$E$17+'BD P&amp;G'!$E$18+'BD P&amp;G'!$E$19+'BD P&amp;G'!$E$20+'BD P&amp;G'!$E$21+'BD P&amp;G'!$E$22+'BD P&amp;G'!$E$23)*DH190),0)</f>
        <v>0</v>
      </c>
      <c r="DQ190" s="569">
        <f>IFERROR(IF(DG190&gt;0,((DI190*'BD P&amp;G'!$E$7)+(DI190*'BD P&amp;G'!$E$9)+AI190),0),0)</f>
        <v>0</v>
      </c>
      <c r="DR190" s="569">
        <f t="shared" ref="DR190" si="705">IFERROR(IF(DG190&gt;0,((DI190*1%)),0),0)</f>
        <v>0</v>
      </c>
      <c r="DS190" s="569">
        <f>IFERROR(IF(DG190&gt;0,(((DI190*'BD P&amp;G'!$E$32+DI190*'BD P&amp;G'!$E$33+DI190*'BD P&amp;G'!$E$35+DI190*'BD P&amp;G'!$E$36+DI190*'BD P&amp;G'!$E$37))),0),0)</f>
        <v>0</v>
      </c>
      <c r="DT190" s="569">
        <f t="shared" ref="DT190" si="706">IF(DG190&gt;0,(Y190*DH190),0)</f>
        <v>0</v>
      </c>
      <c r="DU190" s="569">
        <f t="shared" ref="DU190" si="707">IF(DG190&gt;0,(Z190*DH190),0)</f>
        <v>0</v>
      </c>
      <c r="DV190" s="575">
        <f t="shared" ref="DV190" si="708">IF(DG190&gt;0,(Y194*DH190),0)</f>
        <v>0</v>
      </c>
      <c r="DW190" s="575">
        <f t="shared" ref="DW190" si="709">IF(DG190&gt;0,(Z194*DH190),0)</f>
        <v>0</v>
      </c>
      <c r="DX190" s="569">
        <f t="shared" ref="DX190" si="710">IF(DV190&gt;0,DJ190,0)</f>
        <v>0</v>
      </c>
      <c r="DY190" s="569">
        <f t="shared" ref="DY190" si="711">IF(DW190&gt;0,DJ190,0)</f>
        <v>0</v>
      </c>
    </row>
    <row r="191" spans="1:194" s="175" customFormat="1" ht="60" customHeight="1" x14ac:dyDescent="0.25">
      <c r="A191" s="366"/>
      <c r="B191" s="367"/>
      <c r="C191" s="393" t="s">
        <v>28</v>
      </c>
      <c r="D191" s="598"/>
      <c r="E191" s="598"/>
      <c r="F191" s="598"/>
      <c r="G191" s="598"/>
      <c r="H191" s="598"/>
      <c r="I191" s="598"/>
      <c r="J191" s="604"/>
      <c r="K191" s="604"/>
      <c r="L191" s="607"/>
      <c r="M191" s="559"/>
      <c r="N191" s="610"/>
      <c r="O191" s="613"/>
      <c r="P191" s="192"/>
      <c r="Q191" s="217"/>
      <c r="R191" s="217"/>
      <c r="S191" s="218"/>
      <c r="T191" s="219">
        <f>IFERROR(T190/$R$353,"")</f>
        <v>0</v>
      </c>
      <c r="U191" s="206"/>
      <c r="V191" s="220"/>
      <c r="W191" s="221" t="s">
        <v>239</v>
      </c>
      <c r="X191" s="222" t="s">
        <v>204</v>
      </c>
      <c r="Y191" s="223"/>
      <c r="Z191" s="224"/>
      <c r="AA191" s="225"/>
      <c r="AB191" s="226"/>
      <c r="AC191" s="206"/>
      <c r="AD191" s="206"/>
      <c r="AE191" s="206"/>
      <c r="AF191" s="227"/>
      <c r="AG191" s="206"/>
      <c r="AH191" s="206"/>
      <c r="AI191" s="206"/>
      <c r="AJ191" s="206"/>
      <c r="AK191" s="227"/>
      <c r="AL191" s="210"/>
      <c r="AM191" s="206"/>
      <c r="AN191" s="206"/>
      <c r="AO191" s="228"/>
      <c r="AP191" s="229"/>
      <c r="AQ191" s="206"/>
      <c r="AR191" s="206"/>
      <c r="AS191" s="228"/>
      <c r="AT191" s="229"/>
      <c r="AU191" s="228"/>
      <c r="AV191" s="229"/>
      <c r="AW191" s="228"/>
      <c r="AX191" s="229"/>
      <c r="AY191" s="206"/>
      <c r="AZ191" s="229"/>
      <c r="BA191" s="210"/>
      <c r="BB191" s="175" t="s">
        <v>24</v>
      </c>
      <c r="BC191" s="175" t="s">
        <v>114</v>
      </c>
      <c r="BD191" s="210"/>
      <c r="BE191" s="176" t="s">
        <v>206</v>
      </c>
      <c r="BF191" s="230" t="s">
        <v>204</v>
      </c>
      <c r="BG191" s="176" t="s">
        <v>290</v>
      </c>
      <c r="BH191" s="231" t="s">
        <v>204</v>
      </c>
      <c r="BI191" s="210"/>
      <c r="BN191" s="232"/>
      <c r="BO191" s="210"/>
      <c r="BV191" s="184"/>
      <c r="BW191" s="210"/>
      <c r="CD191" s="184"/>
      <c r="CF191" s="185"/>
      <c r="CI191" s="184"/>
      <c r="CJ191" s="210"/>
      <c r="CK191" s="563"/>
      <c r="CM191" s="559"/>
      <c r="CN191" s="627"/>
      <c r="CO191" s="630"/>
      <c r="CP191" s="630"/>
      <c r="CQ191" s="630"/>
      <c r="CR191" s="630"/>
      <c r="CS191" s="630"/>
      <c r="CT191" s="633"/>
      <c r="CU191" s="563"/>
      <c r="CV191" s="561"/>
      <c r="CW191" s="563"/>
      <c r="CX191" s="561"/>
      <c r="CY191" s="563"/>
      <c r="CZ191" s="561"/>
      <c r="DA191" s="563"/>
      <c r="DB191" s="561"/>
      <c r="DC191" s="563"/>
      <c r="DD191" s="561"/>
      <c r="DG191" s="576"/>
      <c r="DH191" s="576"/>
      <c r="DI191" s="570"/>
      <c r="DJ191" s="570"/>
      <c r="DK191" s="570"/>
      <c r="DL191" s="570"/>
      <c r="DM191" s="573"/>
      <c r="DN191" s="570"/>
      <c r="DO191" s="570"/>
      <c r="DP191" s="570"/>
      <c r="DQ191" s="570"/>
      <c r="DR191" s="570"/>
      <c r="DS191" s="570"/>
      <c r="DT191" s="570"/>
      <c r="DU191" s="570"/>
      <c r="DV191" s="576"/>
      <c r="DW191" s="576"/>
      <c r="DX191" s="570"/>
      <c r="DY191" s="570"/>
    </row>
    <row r="192" spans="1:194" s="175" customFormat="1" ht="60" customHeight="1" x14ac:dyDescent="0.3">
      <c r="A192" s="366"/>
      <c r="B192" s="367"/>
      <c r="C192" s="393" t="s">
        <v>30</v>
      </c>
      <c r="D192" s="599"/>
      <c r="E192" s="599"/>
      <c r="F192" s="599"/>
      <c r="G192" s="599"/>
      <c r="H192" s="599"/>
      <c r="I192" s="599"/>
      <c r="J192" s="604"/>
      <c r="K192" s="604"/>
      <c r="L192" s="607"/>
      <c r="M192" s="559"/>
      <c r="N192" s="610"/>
      <c r="O192" s="613"/>
      <c r="P192" s="192"/>
      <c r="Q192" s="176" t="s">
        <v>205</v>
      </c>
      <c r="R192" s="233" t="s">
        <v>204</v>
      </c>
      <c r="S192" s="234"/>
      <c r="T192" s="235">
        <f>IFERROR(($R$353-8000)*T191,"")</f>
        <v>0</v>
      </c>
      <c r="U192" s="206"/>
      <c r="V192" s="220"/>
      <c r="W192" s="221" t="s">
        <v>258</v>
      </c>
      <c r="X192" s="222" t="s">
        <v>204</v>
      </c>
      <c r="Y192" s="236"/>
      <c r="Z192" s="237"/>
      <c r="AA192" s="225"/>
      <c r="AB192" s="226"/>
      <c r="AC192" s="206"/>
      <c r="AD192" s="206"/>
      <c r="AE192" s="206"/>
      <c r="AF192" s="227"/>
      <c r="AG192" s="206"/>
      <c r="AH192" s="206"/>
      <c r="AI192" s="206"/>
      <c r="AJ192" s="206"/>
      <c r="AK192" s="227"/>
      <c r="AL192" s="238"/>
      <c r="AM192" s="206"/>
      <c r="AN192" s="206"/>
      <c r="AO192" s="228"/>
      <c r="AP192" s="229"/>
      <c r="AQ192" s="206"/>
      <c r="AR192" s="206"/>
      <c r="AS192" s="228"/>
      <c r="AT192" s="229"/>
      <c r="AU192" s="228"/>
      <c r="AV192" s="229"/>
      <c r="AW192" s="228"/>
      <c r="AX192" s="229"/>
      <c r="AY192" s="206"/>
      <c r="AZ192" s="229"/>
      <c r="BA192" s="210"/>
      <c r="BB192" s="175" t="s">
        <v>26</v>
      </c>
      <c r="BC192" s="211" t="s">
        <v>115</v>
      </c>
      <c r="BD192" s="210"/>
      <c r="BE192" s="177" t="str">
        <f>IFERROR(VLOOKUP(D190,'BD M.O'!C:H,4,FALSE),"")</f>
        <v/>
      </c>
      <c r="BF192" s="177" t="s">
        <v>259</v>
      </c>
      <c r="BI192" s="210"/>
      <c r="BO192" s="210"/>
      <c r="BV192" s="184"/>
      <c r="BW192" s="210"/>
      <c r="CD192" s="184"/>
      <c r="CF192" s="185"/>
      <c r="CI192" s="184"/>
      <c r="CJ192" s="210"/>
      <c r="CK192" s="563"/>
      <c r="CM192" s="559"/>
      <c r="CN192" s="627"/>
      <c r="CO192" s="630"/>
      <c r="CP192" s="630"/>
      <c r="CQ192" s="630"/>
      <c r="CR192" s="630"/>
      <c r="CS192" s="630"/>
      <c r="CT192" s="633"/>
      <c r="CU192" s="563"/>
      <c r="CV192" s="561"/>
      <c r="CW192" s="563"/>
      <c r="CX192" s="561"/>
      <c r="CY192" s="563"/>
      <c r="CZ192" s="561"/>
      <c r="DA192" s="563"/>
      <c r="DB192" s="561"/>
      <c r="DC192" s="563"/>
      <c r="DD192" s="561"/>
      <c r="DG192" s="577"/>
      <c r="DH192" s="577"/>
      <c r="DI192" s="571"/>
      <c r="DJ192" s="571"/>
      <c r="DK192" s="571"/>
      <c r="DL192" s="571"/>
      <c r="DM192" s="574"/>
      <c r="DN192" s="571"/>
      <c r="DO192" s="571"/>
      <c r="DP192" s="571"/>
      <c r="DQ192" s="571"/>
      <c r="DR192" s="571"/>
      <c r="DS192" s="571"/>
      <c r="DT192" s="571"/>
      <c r="DU192" s="571"/>
      <c r="DV192" s="577"/>
      <c r="DW192" s="577"/>
      <c r="DX192" s="571"/>
      <c r="DY192" s="571"/>
    </row>
    <row r="193" spans="1:194" s="175" customFormat="1" ht="60" customHeight="1" x14ac:dyDescent="0.25">
      <c r="A193" s="366"/>
      <c r="B193" s="367"/>
      <c r="C193" s="395" t="s">
        <v>180</v>
      </c>
      <c r="D193" s="599" t="s">
        <v>31</v>
      </c>
      <c r="E193" s="599"/>
      <c r="F193" s="394" t="s">
        <v>9</v>
      </c>
      <c r="G193" s="599" t="s">
        <v>33</v>
      </c>
      <c r="H193" s="599"/>
      <c r="I193" s="394" t="str">
        <f>+IF($BG$9="SI","","X")</f>
        <v>X</v>
      </c>
      <c r="J193" s="604"/>
      <c r="K193" s="604"/>
      <c r="L193" s="607"/>
      <c r="M193" s="559"/>
      <c r="N193" s="610"/>
      <c r="O193" s="613"/>
      <c r="P193" s="192"/>
      <c r="Q193" s="239"/>
      <c r="R193" s="221" t="s">
        <v>209</v>
      </c>
      <c r="S193" s="234" t="str">
        <f>IF(S191="","",S191/(J190*K190))</f>
        <v/>
      </c>
      <c r="T193" s="226"/>
      <c r="U193" s="206"/>
      <c r="V193" s="220"/>
      <c r="W193" s="239" t="str">
        <f>IFERROR(IF(X192="SI",VLOOKUP(D190,'BD M.O'!C:F,4,FALSE),""),"")</f>
        <v/>
      </c>
      <c r="X193" s="221" t="s">
        <v>258</v>
      </c>
      <c r="Y193" s="221" t="s">
        <v>507</v>
      </c>
      <c r="Z193" s="221" t="s">
        <v>508</v>
      </c>
      <c r="AA193" s="225"/>
      <c r="AB193" s="226"/>
      <c r="AC193" s="206"/>
      <c r="AD193" s="206"/>
      <c r="AE193" s="206"/>
      <c r="AF193" s="227"/>
      <c r="AG193" s="206"/>
      <c r="AH193" s="206"/>
      <c r="AI193" s="206"/>
      <c r="AJ193" s="206"/>
      <c r="AK193" s="227"/>
      <c r="AL193" s="240"/>
      <c r="AM193" s="206"/>
      <c r="AN193" s="206"/>
      <c r="AO193" s="228"/>
      <c r="AP193" s="229"/>
      <c r="AQ193" s="206"/>
      <c r="AR193" s="206"/>
      <c r="AS193" s="228"/>
      <c r="AT193" s="229"/>
      <c r="AU193" s="228"/>
      <c r="AV193" s="229"/>
      <c r="AW193" s="228"/>
      <c r="AX193" s="229"/>
      <c r="AY193" s="206"/>
      <c r="AZ193" s="229"/>
      <c r="BA193" s="210"/>
      <c r="BC193" s="175" t="s">
        <v>116</v>
      </c>
      <c r="BD193" s="210"/>
      <c r="BE193" s="177" t="str">
        <f>IFERROR(VLOOKUP(COTIZACIÓN!D190,'BD M.O'!C:I,5,FALSE),"")</f>
        <v/>
      </c>
      <c r="BF193" s="177" t="s">
        <v>260</v>
      </c>
      <c r="BI193" s="210"/>
      <c r="BO193" s="210"/>
      <c r="BP193" s="183"/>
      <c r="BQ193" s="183"/>
      <c r="BR193" s="183"/>
      <c r="BS193" s="183"/>
      <c r="BT193" s="183"/>
      <c r="BU193" s="183"/>
      <c r="BV193" s="182"/>
      <c r="BW193" s="210"/>
      <c r="BX193" s="183"/>
      <c r="BY193" s="183"/>
      <c r="BZ193" s="183"/>
      <c r="CA193" s="183"/>
      <c r="CB193" s="183"/>
      <c r="CC193" s="183"/>
      <c r="CD193" s="182"/>
      <c r="CE193" s="183"/>
      <c r="CF193" s="241"/>
      <c r="CG193" s="183"/>
      <c r="CH193" s="183"/>
      <c r="CI193" s="182"/>
      <c r="CJ193" s="210"/>
      <c r="CK193" s="563"/>
      <c r="CM193" s="559"/>
      <c r="CN193" s="627"/>
      <c r="CO193" s="630"/>
      <c r="CP193" s="630"/>
      <c r="CQ193" s="630"/>
      <c r="CR193" s="630"/>
      <c r="CS193" s="630"/>
      <c r="CT193" s="633"/>
      <c r="CU193" s="563"/>
      <c r="CV193" s="561"/>
      <c r="CW193" s="563"/>
      <c r="CX193" s="561"/>
      <c r="CY193" s="563"/>
      <c r="CZ193" s="561"/>
      <c r="DA193" s="563"/>
      <c r="DB193" s="561"/>
      <c r="DC193" s="563"/>
      <c r="DD193" s="561"/>
      <c r="DG193" s="575"/>
      <c r="DH193" s="575"/>
      <c r="DI193" s="569">
        <f t="shared" ref="DI193" si="712">IFERROR(IF(DG193&gt;0,(((N190)/(1+10%+19%*5%)+((N190)/(1+10%+19%*5%))*10%)*DH193),0),0)</f>
        <v>0</v>
      </c>
      <c r="DJ193" s="569">
        <f t="shared" ref="DJ193" si="713">IFERROR(IF(DG193&gt;0,(N190*DH193),0),0)</f>
        <v>0</v>
      </c>
      <c r="DK193" s="569">
        <f t="shared" ref="DK193" si="714">IF(DG193&gt;0,((R190+T190)*DH193),0)</f>
        <v>0</v>
      </c>
      <c r="DL193" s="569">
        <f t="shared" ref="DL193" si="715">IF(DG193&gt;0,(Q190*DH193),0)</f>
        <v>0</v>
      </c>
      <c r="DM193" s="572">
        <f t="shared" ref="DM193" si="716">IF(DG193&gt;0,(S190*DH193),0)</f>
        <v>0</v>
      </c>
      <c r="DN193" s="569">
        <f t="shared" ref="DN193" si="717">IF(DG193&gt;0,(BN190*DH193),0)</f>
        <v>0</v>
      </c>
      <c r="DO193" s="569">
        <f t="shared" ref="DO193" si="718">IF(DG193&gt;0,(AF190*DH193),0)</f>
        <v>0</v>
      </c>
      <c r="DP193" s="569">
        <f>IF(DG193&gt;0,((DI193)*('BD P&amp;G'!$E$16+'BD P&amp;G'!$E$17+'BD P&amp;G'!$E$18+'BD P&amp;G'!$E$19+'BD P&amp;G'!$E$20+'BD P&amp;G'!$E$21+'BD P&amp;G'!$E$22+'BD P&amp;G'!$E$23)*DH193),0)</f>
        <v>0</v>
      </c>
      <c r="DQ193" s="569">
        <f>IFERROR(IF(DG193&gt;0,((DI193*'BD P&amp;G'!$E$7)+(DI193*'BD P&amp;G'!$E$9)+AI190),0),0)</f>
        <v>0</v>
      </c>
      <c r="DR193" s="569">
        <f t="shared" ref="DR193" si="719">IFERROR(IF(DG193&gt;0,((DI193*1%)),0),0)</f>
        <v>0</v>
      </c>
      <c r="DS193" s="569">
        <f>IFERROR(IF(DG193&gt;0,(((DI193*'BD P&amp;G'!$E$32+DI193*'BD P&amp;G'!$E$33+DI193*'BD P&amp;G'!$E$35+DI193*'BD P&amp;G'!$E$36+DI193*'BD P&amp;G'!$E$37))),0),0)</f>
        <v>0</v>
      </c>
      <c r="DT193" s="569">
        <f t="shared" ref="DT193" si="720">IF(DG193&gt;0,(Y190*DH193),0)</f>
        <v>0</v>
      </c>
      <c r="DU193" s="569">
        <f t="shared" ref="DU193" si="721">IF(DG193&gt;0,(Z190*DH193),0)</f>
        <v>0</v>
      </c>
      <c r="DV193" s="575">
        <f t="shared" ref="DV193" si="722">IF(DG193&gt;0,(Y194*DH193),0)</f>
        <v>0</v>
      </c>
      <c r="DW193" s="575">
        <f t="shared" ref="DW193" si="723">IF(DG193&gt;0,(Z194*DH193),0)</f>
        <v>0</v>
      </c>
      <c r="DX193" s="569">
        <f t="shared" ref="DX193" si="724">IF(DV193&gt;0,DJ193,0)</f>
        <v>0</v>
      </c>
      <c r="DY193" s="569">
        <f t="shared" ref="DY193" si="725">IF(DW193&gt;0,DJ193,0)</f>
        <v>0</v>
      </c>
    </row>
    <row r="194" spans="1:194" s="175" customFormat="1" ht="60" customHeight="1" x14ac:dyDescent="0.3">
      <c r="A194" s="366"/>
      <c r="B194" s="367"/>
      <c r="C194" s="393" t="s">
        <v>35</v>
      </c>
      <c r="D194" s="599" t="str">
        <f>IFERROR(VLOOKUP(D190,'BD GN'!C:E,3,),"")</f>
        <v/>
      </c>
      <c r="E194" s="599"/>
      <c r="F194" s="599"/>
      <c r="G194" s="599"/>
      <c r="H194" s="599"/>
      <c r="I194" s="599"/>
      <c r="J194" s="604"/>
      <c r="K194" s="604"/>
      <c r="L194" s="607"/>
      <c r="M194" s="559"/>
      <c r="N194" s="610"/>
      <c r="O194" s="613"/>
      <c r="P194" s="192"/>
      <c r="Q194" s="239"/>
      <c r="R194" s="221" t="s">
        <v>210</v>
      </c>
      <c r="S194" s="234" t="str">
        <f>IFERROR(IF(N190="","",N190/W194),"")</f>
        <v/>
      </c>
      <c r="T194" s="226"/>
      <c r="U194" s="206"/>
      <c r="V194" s="220"/>
      <c r="W194" s="242" t="str">
        <f>+IF(J190*K190&gt;=1,J190*K190,IF(AND(J190*K190&gt;0,J190*K190&lt;1),1,""))</f>
        <v/>
      </c>
      <c r="X194" s="221" t="s">
        <v>298</v>
      </c>
      <c r="Y194" s="461">
        <f>IFERROR(IF(D190='BD GN'!$C$25,COTIZACIÓN!W194,IF(D190='BD GN'!$C$26,COTIZACIÓN!W194,IF(D190='BD GN'!$C$27,COTIZACIÓN!W194,IF(COTIZACIÓN!D190='BD GN'!$C$28,COTIZACIÓN!W194,IF(COTIZACIÓN!D190='BD GN'!$C$29,COTIZACIÓN!W194,IF(COTIZACIÓN!D190='BD GN'!$C$35,COTIZACIÓN!W194,IF(COTIZACIÓN!D190='BD GN'!$C$36,COTIZACIÓN!W194,IF(COTIZACIÓN!D190='BD GN'!$C$37,COTIZACIÓN!W194,IF(COTIZACIÓN!D190='BD GN'!$C$38,COTIZACIÓN!W194,IF(COTIZACIÓN!D190='BD GN'!$C$39,COTIZACIÓN!W194,IF(COTIZACIÓN!D190='BD GN'!$C$40,COTIZACIÓN!W194,IF(COTIZACIÓN!D190='BD GN'!$C$41,COTIZACIÓN!W194,IF(COTIZACIÓN!D190='BD GN'!$C$42,COTIZACIÓN!W194,IF(COTIZACIÓN!D190='BD GN'!$C$49,COTIZACIÓN!W194,IF(COTIZACIÓN!D190='BD GN'!$C$50,COTIZACIÓN!W194,IF(COTIZACIÓN!D190='BD GN'!$C$51,COTIZACIÓN!W194,IF(COTIZACIÓN!D190='BD GN'!$C$67,COTIZACIÓN!W194,0))))))))))))))))),0)</f>
        <v>0</v>
      </c>
      <c r="Z194" s="461">
        <f>IFERROR(W194-Y194,0)</f>
        <v>0</v>
      </c>
      <c r="AA194" s="225"/>
      <c r="AB194" s="226"/>
      <c r="AC194" s="206"/>
      <c r="AD194" s="206"/>
      <c r="AE194" s="206"/>
      <c r="AF194" s="227"/>
      <c r="AG194" s="206"/>
      <c r="AH194" s="206"/>
      <c r="AI194" s="206"/>
      <c r="AJ194" s="206"/>
      <c r="AK194" s="227"/>
      <c r="AL194" s="210"/>
      <c r="AM194" s="206"/>
      <c r="AN194" s="206"/>
      <c r="AO194" s="228"/>
      <c r="AP194" s="229"/>
      <c r="AQ194" s="206"/>
      <c r="AR194" s="206"/>
      <c r="AS194" s="228"/>
      <c r="AT194" s="229"/>
      <c r="AU194" s="228"/>
      <c r="AV194" s="229"/>
      <c r="AW194" s="228"/>
      <c r="AX194" s="229"/>
      <c r="AY194" s="206"/>
      <c r="AZ194" s="229"/>
      <c r="BA194" s="210"/>
      <c r="BC194" s="211" t="s">
        <v>117</v>
      </c>
      <c r="BD194" s="210"/>
      <c r="BE194" s="177" t="str">
        <f>IFERROR(VLOOKUP(D190,'BD M.O'!C:I,6,FALSE),"")</f>
        <v/>
      </c>
      <c r="BF194" s="177" t="s">
        <v>261</v>
      </c>
      <c r="BI194" s="210"/>
      <c r="BO194" s="210"/>
      <c r="BP194" s="183"/>
      <c r="BQ194" s="183"/>
      <c r="BR194" s="183"/>
      <c r="BW194" s="210"/>
      <c r="CD194" s="184"/>
      <c r="CF194" s="185"/>
      <c r="CI194" s="184"/>
      <c r="CJ194" s="210"/>
      <c r="CK194" s="563"/>
      <c r="CM194" s="559"/>
      <c r="CN194" s="627"/>
      <c r="CO194" s="630"/>
      <c r="CP194" s="630"/>
      <c r="CQ194" s="630"/>
      <c r="CR194" s="630"/>
      <c r="CS194" s="630"/>
      <c r="CT194" s="633"/>
      <c r="CU194" s="563"/>
      <c r="CV194" s="561"/>
      <c r="CW194" s="563"/>
      <c r="CX194" s="561"/>
      <c r="CY194" s="563"/>
      <c r="CZ194" s="561"/>
      <c r="DA194" s="563"/>
      <c r="DB194" s="561"/>
      <c r="DC194" s="563"/>
      <c r="DD194" s="561"/>
      <c r="DG194" s="576"/>
      <c r="DH194" s="576"/>
      <c r="DI194" s="570"/>
      <c r="DJ194" s="570"/>
      <c r="DK194" s="570"/>
      <c r="DL194" s="570"/>
      <c r="DM194" s="573"/>
      <c r="DN194" s="570"/>
      <c r="DO194" s="570"/>
      <c r="DP194" s="570"/>
      <c r="DQ194" s="570"/>
      <c r="DR194" s="570"/>
      <c r="DS194" s="570"/>
      <c r="DT194" s="570"/>
      <c r="DU194" s="570"/>
      <c r="DV194" s="576"/>
      <c r="DW194" s="576"/>
      <c r="DX194" s="570"/>
      <c r="DY194" s="570"/>
    </row>
    <row r="195" spans="1:194" s="252" customFormat="1" ht="60" customHeight="1" x14ac:dyDescent="0.25">
      <c r="A195" s="368"/>
      <c r="B195" s="369"/>
      <c r="C195" s="396" t="s">
        <v>10</v>
      </c>
      <c r="D195" s="645" t="s">
        <v>32</v>
      </c>
      <c r="E195" s="645"/>
      <c r="F195" s="645"/>
      <c r="G195" s="645"/>
      <c r="H195" s="645"/>
      <c r="I195" s="645"/>
      <c r="J195" s="643"/>
      <c r="K195" s="643"/>
      <c r="L195" s="646"/>
      <c r="M195" s="648"/>
      <c r="N195" s="649"/>
      <c r="O195" s="644"/>
      <c r="P195" s="192"/>
      <c r="Q195" s="239"/>
      <c r="R195" s="334" t="s">
        <v>475</v>
      </c>
      <c r="S195" s="234" t="str">
        <f>IFERROR(IF($C$12='BD GN'!$CC$1,VLOOKUP(COTIZACIÓN!D190,'BD GN'!CB:CG,2,FALSE),IF(COTIZACIÓN!$C$12='BD GN'!$CD$1,VLOOKUP(COTIZACIÓN!D190,'BD GN'!CB:CG,3,FALSE),IF($C$12='BD GN'!$CE$1,VLOOKUP(COTIZACIÓN!D190,'BD GN'!CB:CG,4,FALSE),IF(COTIZACIÓN!$C$12='BD GN'!$CF$1,VLOOKUP(COTIZACIÓN!D190,'BD GN'!CB:CG,5,FALSE),IF(COTIZACIÓN!$C$12='BD GN'!$CG$1,VLOOKUP(COTIZACIÓN!D190,'BD GN'!CB:CG,6,FALSE),""))))),"-")</f>
        <v/>
      </c>
      <c r="T195" s="243"/>
      <c r="U195" s="244"/>
      <c r="V195" s="245"/>
      <c r="W195" s="177" t="s">
        <v>394</v>
      </c>
      <c r="X195" s="246">
        <f>IFERROR(SUM(W190:X190),"")</f>
        <v>0</v>
      </c>
      <c r="Y195" s="166" t="s">
        <v>404</v>
      </c>
      <c r="Z195" s="199" t="str">
        <f>IFERROR(Y190+Z190,"")</f>
        <v/>
      </c>
      <c r="AA195" s="247"/>
      <c r="AB195" s="243"/>
      <c r="AC195" s="244"/>
      <c r="AD195" s="244"/>
      <c r="AE195" s="244"/>
      <c r="AF195" s="227"/>
      <c r="AG195" s="206"/>
      <c r="AH195" s="206"/>
      <c r="AI195" s="206"/>
      <c r="AJ195" s="206"/>
      <c r="AK195" s="227"/>
      <c r="AL195" s="227"/>
      <c r="AM195" s="248"/>
      <c r="AN195" s="248"/>
      <c r="AO195" s="249"/>
      <c r="AP195" s="250"/>
      <c r="AQ195" s="248"/>
      <c r="AR195" s="248"/>
      <c r="AS195" s="249"/>
      <c r="AT195" s="250"/>
      <c r="AU195" s="249"/>
      <c r="AV195" s="250"/>
      <c r="AW195" s="249"/>
      <c r="AX195" s="250"/>
      <c r="AY195" s="248"/>
      <c r="AZ195" s="250"/>
      <c r="BA195" s="210"/>
      <c r="BB195" s="175"/>
      <c r="BC195" s="175" t="s">
        <v>118</v>
      </c>
      <c r="BD195" s="210"/>
      <c r="BE195" s="251" t="str">
        <f>IFERROR(VLOOKUP(D190,'BD M.O'!C:I,7,FALSE),"")</f>
        <v/>
      </c>
      <c r="BF195" s="251" t="s">
        <v>262</v>
      </c>
      <c r="BG195" s="175"/>
      <c r="BH195" s="175"/>
      <c r="BI195" s="210"/>
      <c r="BJ195" s="175"/>
      <c r="BK195" s="175"/>
      <c r="BL195" s="175"/>
      <c r="BM195" s="175"/>
      <c r="BN195" s="175"/>
      <c r="BO195" s="210"/>
      <c r="BP195" s="175"/>
      <c r="BQ195" s="175"/>
      <c r="BR195" s="175"/>
      <c r="BS195" s="183"/>
      <c r="BT195" s="183"/>
      <c r="BU195" s="183"/>
      <c r="BV195" s="183"/>
      <c r="BW195" s="210"/>
      <c r="BX195" s="175"/>
      <c r="BY195" s="175"/>
      <c r="BZ195" s="175"/>
      <c r="CA195" s="175"/>
      <c r="CB195" s="175"/>
      <c r="CC195" s="175"/>
      <c r="CD195" s="184"/>
      <c r="CE195" s="175"/>
      <c r="CF195" s="185"/>
      <c r="CG195" s="175"/>
      <c r="CH195" s="175"/>
      <c r="CI195" s="184"/>
      <c r="CJ195" s="210"/>
      <c r="CK195" s="564"/>
      <c r="CL195" s="257"/>
      <c r="CM195" s="597"/>
      <c r="CN195" s="628"/>
      <c r="CO195" s="631"/>
      <c r="CP195" s="631"/>
      <c r="CQ195" s="631"/>
      <c r="CR195" s="631"/>
      <c r="CS195" s="631"/>
      <c r="CT195" s="634"/>
      <c r="CU195" s="564"/>
      <c r="CV195" s="562"/>
      <c r="CW195" s="564"/>
      <c r="CX195" s="562"/>
      <c r="CY195" s="564"/>
      <c r="CZ195" s="562"/>
      <c r="DA195" s="564"/>
      <c r="DB195" s="562"/>
      <c r="DC195" s="564"/>
      <c r="DD195" s="562"/>
      <c r="DE195" s="175"/>
      <c r="DF195" s="175"/>
      <c r="DG195" s="577"/>
      <c r="DH195" s="577"/>
      <c r="DI195" s="571"/>
      <c r="DJ195" s="571"/>
      <c r="DK195" s="571"/>
      <c r="DL195" s="571"/>
      <c r="DM195" s="574"/>
      <c r="DN195" s="571"/>
      <c r="DO195" s="571"/>
      <c r="DP195" s="571"/>
      <c r="DQ195" s="571"/>
      <c r="DR195" s="571"/>
      <c r="DS195" s="571"/>
      <c r="DT195" s="571"/>
      <c r="DU195" s="571"/>
      <c r="DV195" s="577"/>
      <c r="DW195" s="577"/>
      <c r="DX195" s="571"/>
      <c r="DY195" s="571"/>
      <c r="DZ195" s="175"/>
      <c r="EA195" s="175"/>
      <c r="EB195" s="175"/>
      <c r="EC195" s="175"/>
      <c r="ED195" s="175"/>
      <c r="EE195" s="175"/>
      <c r="EF195" s="175"/>
      <c r="EG195" s="175"/>
      <c r="EH195" s="175"/>
      <c r="EI195" s="175"/>
      <c r="EJ195" s="175"/>
      <c r="EK195" s="175"/>
      <c r="EL195" s="175"/>
      <c r="EM195" s="175"/>
      <c r="EN195" s="175"/>
      <c r="EO195" s="175"/>
      <c r="EP195" s="175"/>
      <c r="EQ195" s="175"/>
      <c r="ER195" s="175"/>
      <c r="ES195" s="175"/>
      <c r="ET195" s="175"/>
      <c r="EU195" s="175"/>
      <c r="EV195" s="175"/>
      <c r="EW195" s="175"/>
      <c r="EX195" s="175"/>
      <c r="EY195" s="175"/>
      <c r="EZ195" s="175"/>
      <c r="FA195" s="175"/>
      <c r="FB195" s="175"/>
      <c r="FC195" s="175"/>
      <c r="FD195" s="175"/>
      <c r="FE195" s="175"/>
      <c r="FF195" s="175"/>
      <c r="FG195" s="175"/>
      <c r="FH195" s="175"/>
      <c r="FI195" s="175"/>
      <c r="FJ195" s="175"/>
      <c r="FK195" s="175"/>
      <c r="FL195" s="175"/>
      <c r="FM195" s="175"/>
      <c r="FN195" s="175"/>
      <c r="FO195" s="175"/>
      <c r="FP195" s="175"/>
      <c r="FQ195" s="175"/>
      <c r="FR195" s="175"/>
      <c r="FS195" s="175"/>
      <c r="FT195" s="175"/>
      <c r="FU195" s="175"/>
      <c r="FV195" s="175"/>
      <c r="FW195" s="175"/>
      <c r="FX195" s="175"/>
      <c r="FY195" s="175"/>
      <c r="FZ195" s="175"/>
      <c r="GA195" s="175"/>
      <c r="GB195" s="175"/>
      <c r="GC195" s="175"/>
      <c r="GD195" s="175"/>
      <c r="GE195" s="175"/>
      <c r="GF195" s="175"/>
      <c r="GG195" s="175"/>
      <c r="GH195" s="175"/>
      <c r="GI195" s="175"/>
      <c r="GJ195" s="175"/>
      <c r="GK195" s="175"/>
      <c r="GL195" s="175"/>
    </row>
    <row r="196" spans="1:194" s="255" customFormat="1" ht="60" customHeight="1" x14ac:dyDescent="0.3">
      <c r="A196" s="362" t="s">
        <v>193</v>
      </c>
      <c r="B196" s="363" t="s">
        <v>25</v>
      </c>
      <c r="C196" s="391" t="s">
        <v>174</v>
      </c>
      <c r="D196" s="640" t="s">
        <v>173</v>
      </c>
      <c r="E196" s="640"/>
      <c r="F196" s="640"/>
      <c r="G196" s="640"/>
      <c r="H196" s="640"/>
      <c r="I196" s="640"/>
      <c r="J196" s="418" t="s">
        <v>443</v>
      </c>
      <c r="K196" s="418" t="s">
        <v>444</v>
      </c>
      <c r="L196" s="418" t="s">
        <v>171</v>
      </c>
      <c r="M196" s="363" t="s">
        <v>2</v>
      </c>
      <c r="N196" s="419" t="s">
        <v>7</v>
      </c>
      <c r="O196" s="420" t="s">
        <v>8</v>
      </c>
      <c r="P196" s="159"/>
      <c r="Q196" s="164" t="s">
        <v>93</v>
      </c>
      <c r="R196" s="164" t="s">
        <v>34</v>
      </c>
      <c r="S196" s="164" t="s">
        <v>28</v>
      </c>
      <c r="T196" s="164" t="s">
        <v>95</v>
      </c>
      <c r="U196" s="164" t="s">
        <v>96</v>
      </c>
      <c r="V196" s="164" t="s">
        <v>97</v>
      </c>
      <c r="W196" s="164" t="s">
        <v>4</v>
      </c>
      <c r="X196" s="164" t="s">
        <v>103</v>
      </c>
      <c r="Y196" s="160" t="s">
        <v>402</v>
      </c>
      <c r="Z196" s="165" t="s">
        <v>403</v>
      </c>
      <c r="AA196" s="166" t="s">
        <v>404</v>
      </c>
      <c r="AB196" s="164" t="s">
        <v>99</v>
      </c>
      <c r="AC196" s="164" t="s">
        <v>395</v>
      </c>
      <c r="AD196" s="253" t="s">
        <v>36</v>
      </c>
      <c r="AE196" s="164" t="s">
        <v>389</v>
      </c>
      <c r="AF196" s="164" t="s">
        <v>390</v>
      </c>
      <c r="AG196" s="164" t="s">
        <v>164</v>
      </c>
      <c r="AH196" s="253" t="s">
        <v>396</v>
      </c>
      <c r="AI196" s="164" t="s">
        <v>190</v>
      </c>
      <c r="AJ196" s="164" t="s">
        <v>339</v>
      </c>
      <c r="AK196" s="253" t="s">
        <v>391</v>
      </c>
      <c r="AL196" s="253" t="s">
        <v>393</v>
      </c>
      <c r="AM196" s="167" t="s">
        <v>93</v>
      </c>
      <c r="AN196" s="168" t="s">
        <v>34</v>
      </c>
      <c r="AO196" s="169" t="s">
        <v>28</v>
      </c>
      <c r="AP196" s="170" t="s">
        <v>95</v>
      </c>
      <c r="AQ196" s="167" t="s">
        <v>3</v>
      </c>
      <c r="AR196" s="167" t="s">
        <v>96</v>
      </c>
      <c r="AS196" s="169" t="s">
        <v>97</v>
      </c>
      <c r="AT196" s="170" t="s">
        <v>4</v>
      </c>
      <c r="AU196" s="169" t="s">
        <v>103</v>
      </c>
      <c r="AV196" s="170" t="s">
        <v>99</v>
      </c>
      <c r="AW196" s="169" t="s">
        <v>36</v>
      </c>
      <c r="AX196" s="171" t="s">
        <v>29</v>
      </c>
      <c r="AY196" s="172" t="s">
        <v>190</v>
      </c>
      <c r="AZ196" s="173" t="s">
        <v>102</v>
      </c>
      <c r="BA196" s="174"/>
      <c r="BB196" s="183"/>
      <c r="BC196" s="211" t="s">
        <v>119</v>
      </c>
      <c r="BD196" s="174"/>
      <c r="BE196" s="176" t="s">
        <v>189</v>
      </c>
      <c r="BF196" s="177" t="str">
        <f>$BF$13</f>
        <v xml:space="preserve">VR SILICONA </v>
      </c>
      <c r="BG196" s="177" t="str">
        <f>$BG$13</f>
        <v xml:space="preserve">VR PELÍCULA </v>
      </c>
      <c r="BH196" s="254" t="str">
        <f>$BH$13</f>
        <v>VR EMBALAJE</v>
      </c>
      <c r="BI196" s="174"/>
      <c r="BJ196" s="176" t="str">
        <f>$BJ$13</f>
        <v>ESP. CRISTAL</v>
      </c>
      <c r="BK196" s="176" t="s">
        <v>130</v>
      </c>
      <c r="BL196" s="177" t="s">
        <v>28</v>
      </c>
      <c r="BM196" s="177" t="str">
        <f>BM189</f>
        <v>TOTAL</v>
      </c>
      <c r="BN196" s="177" t="s">
        <v>133</v>
      </c>
      <c r="BO196" s="174"/>
      <c r="BP196" s="175"/>
      <c r="BQ196" s="175"/>
      <c r="BR196" s="175"/>
      <c r="BS196" s="175"/>
      <c r="BT196" s="175"/>
      <c r="BU196" s="175"/>
      <c r="BV196" s="175"/>
      <c r="BW196" s="174"/>
      <c r="BX196" s="175"/>
      <c r="BY196" s="175"/>
      <c r="BZ196" s="175"/>
      <c r="CA196" s="175"/>
      <c r="CB196" s="175"/>
      <c r="CC196" s="175"/>
      <c r="CD196" s="184"/>
      <c r="CE196" s="175"/>
      <c r="CF196" s="185"/>
      <c r="CG196" s="175"/>
      <c r="CH196" s="175"/>
      <c r="CI196" s="184"/>
      <c r="CJ196" s="174"/>
      <c r="CK196" s="186" t="s">
        <v>415</v>
      </c>
      <c r="CL196" s="187" t="s">
        <v>417</v>
      </c>
      <c r="CM196" s="187" t="s">
        <v>416</v>
      </c>
      <c r="CN196" s="188" t="s">
        <v>418</v>
      </c>
      <c r="CO196" s="187" t="s">
        <v>417</v>
      </c>
      <c r="CP196" s="187" t="s">
        <v>409</v>
      </c>
      <c r="CQ196" s="187" t="s">
        <v>410</v>
      </c>
      <c r="CR196" s="187" t="s">
        <v>411</v>
      </c>
      <c r="CS196" s="187" t="s">
        <v>412</v>
      </c>
      <c r="CT196" s="187" t="s">
        <v>413</v>
      </c>
      <c r="CU196" s="189" t="s">
        <v>2</v>
      </c>
      <c r="CV196" s="190" t="s">
        <v>159</v>
      </c>
      <c r="CW196" s="189" t="s">
        <v>2</v>
      </c>
      <c r="CX196" s="190" t="s">
        <v>159</v>
      </c>
      <c r="CY196" s="189" t="s">
        <v>2</v>
      </c>
      <c r="CZ196" s="190" t="s">
        <v>159</v>
      </c>
      <c r="DA196" s="189" t="s">
        <v>2</v>
      </c>
      <c r="DB196" s="190" t="s">
        <v>159</v>
      </c>
      <c r="DC196" s="189" t="s">
        <v>2</v>
      </c>
      <c r="DD196" s="190" t="s">
        <v>159</v>
      </c>
      <c r="DE196" s="183"/>
      <c r="DF196" s="183"/>
      <c r="DG196" s="177" t="s">
        <v>505</v>
      </c>
      <c r="DH196" s="472" t="s">
        <v>509</v>
      </c>
      <c r="DI196" s="457" t="s">
        <v>506</v>
      </c>
      <c r="DJ196" s="457" t="s">
        <v>134</v>
      </c>
      <c r="DK196" s="457" t="s">
        <v>498</v>
      </c>
      <c r="DL196" s="457" t="s">
        <v>499</v>
      </c>
      <c r="DM196" s="457" t="s">
        <v>500</v>
      </c>
      <c r="DN196" s="457" t="s">
        <v>131</v>
      </c>
      <c r="DO196" s="457" t="s">
        <v>390</v>
      </c>
      <c r="DP196" s="457" t="s">
        <v>36</v>
      </c>
      <c r="DQ196" s="457" t="s">
        <v>501</v>
      </c>
      <c r="DR196" s="457" t="s">
        <v>502</v>
      </c>
      <c r="DS196" s="457" t="s">
        <v>503</v>
      </c>
      <c r="DT196" s="457" t="s">
        <v>4</v>
      </c>
      <c r="DU196" s="457" t="s">
        <v>504</v>
      </c>
      <c r="DV196" s="466" t="s">
        <v>507</v>
      </c>
      <c r="DW196" s="466" t="s">
        <v>508</v>
      </c>
      <c r="DX196" s="457" t="s">
        <v>510</v>
      </c>
      <c r="DY196" s="457" t="s">
        <v>511</v>
      </c>
      <c r="DZ196" s="183"/>
      <c r="EA196" s="183"/>
      <c r="EB196" s="183"/>
      <c r="EC196" s="183"/>
      <c r="ED196" s="183"/>
      <c r="EE196" s="183"/>
      <c r="EF196" s="183"/>
      <c r="EG196" s="183"/>
      <c r="EH196" s="183"/>
      <c r="EI196" s="183"/>
      <c r="EJ196" s="183"/>
      <c r="EK196" s="183"/>
      <c r="EL196" s="183"/>
      <c r="EM196" s="183"/>
      <c r="EN196" s="183"/>
      <c r="EO196" s="183"/>
      <c r="EP196" s="183"/>
      <c r="EQ196" s="183"/>
      <c r="ER196" s="183"/>
      <c r="ES196" s="183"/>
      <c r="ET196" s="183"/>
      <c r="EU196" s="183"/>
      <c r="EV196" s="183"/>
      <c r="EW196" s="183"/>
      <c r="EX196" s="183"/>
      <c r="EY196" s="183"/>
      <c r="EZ196" s="183"/>
      <c r="FA196" s="183"/>
      <c r="FB196" s="183"/>
      <c r="FC196" s="183"/>
      <c r="FD196" s="183"/>
      <c r="FE196" s="183"/>
      <c r="FF196" s="183"/>
      <c r="FG196" s="183"/>
      <c r="FH196" s="183"/>
      <c r="FI196" s="183"/>
      <c r="FJ196" s="183"/>
      <c r="FK196" s="183"/>
      <c r="FL196" s="183"/>
      <c r="FM196" s="183"/>
      <c r="FN196" s="183"/>
      <c r="FO196" s="183"/>
      <c r="FP196" s="183"/>
      <c r="FQ196" s="183"/>
      <c r="FR196" s="183"/>
      <c r="FS196" s="183"/>
      <c r="FT196" s="183"/>
      <c r="FU196" s="183"/>
      <c r="FV196" s="183"/>
      <c r="FW196" s="183"/>
      <c r="FX196" s="183"/>
      <c r="FY196" s="183"/>
      <c r="FZ196" s="183"/>
      <c r="GA196" s="183"/>
      <c r="GB196" s="183"/>
      <c r="GC196" s="183"/>
      <c r="GD196" s="183"/>
      <c r="GE196" s="183"/>
      <c r="GF196" s="183"/>
      <c r="GG196" s="183"/>
      <c r="GH196" s="183"/>
      <c r="GI196" s="183"/>
      <c r="GJ196" s="183"/>
      <c r="GK196" s="183"/>
      <c r="GL196" s="183"/>
    </row>
    <row r="197" spans="1:194" s="175" customFormat="1" ht="60" customHeight="1" x14ac:dyDescent="0.3">
      <c r="A197" s="364"/>
      <c r="B197" s="365"/>
      <c r="C197" s="392" t="s">
        <v>27</v>
      </c>
      <c r="D197" s="641"/>
      <c r="E197" s="641"/>
      <c r="F197" s="641"/>
      <c r="G197" s="641"/>
      <c r="H197" s="641"/>
      <c r="I197" s="641"/>
      <c r="J197" s="642"/>
      <c r="K197" s="642"/>
      <c r="L197" s="622">
        <f>J197*K197*M197</f>
        <v>0</v>
      </c>
      <c r="M197" s="623"/>
      <c r="N197" s="620">
        <f>IFERROR(AL197,"")</f>
        <v>1.0765546639999999</v>
      </c>
      <c r="O197" s="621">
        <f>IFERROR(N197*M197,"")</f>
        <v>0</v>
      </c>
      <c r="P197" s="192"/>
      <c r="Q197" s="193">
        <f>Q198+BF197+($R$350*Q198)</f>
        <v>0</v>
      </c>
      <c r="R197" s="193">
        <f>IFERROR(R198+($R$348*R198),"")</f>
        <v>0</v>
      </c>
      <c r="S197" s="194">
        <f>+IF(R199="SI",((W201*'BD GN'!$AB$2)+S198)*1,COTIZACIÓN!S198*1)+(P198*S198)</f>
        <v>0</v>
      </c>
      <c r="T197" s="195">
        <f>IFERROR(R197*IF(K197&lt;=3,$T$13,15%),"")</f>
        <v>0</v>
      </c>
      <c r="U197" s="196">
        <f>BH197+BG197</f>
        <v>0</v>
      </c>
      <c r="V197" s="197" t="str">
        <f>IFERROR(BN197,0)</f>
        <v/>
      </c>
      <c r="W197" s="198" t="str">
        <f>IFERROR(IF(X199="SI",W200*J197*K197,IF(BE197=3,BE199,IF(BE197=4,BE200,IF(BE197=5,BE201,IF(BE197&gt;5,BE201+(BE202*(BE197-5)),"")))))*0,"")</f>
        <v/>
      </c>
      <c r="X197" s="198" t="str">
        <f>IFERROR(IF(X198="NO",(VLOOKUP(D197,'BD M.O'!C:E,3,FALSE))*W201,((VLOOKUP(D197,'BD M.O'!C:E,3,FALSE))+7500)*W201),"")</f>
        <v/>
      </c>
      <c r="Y197" s="198">
        <f>IFERROR($Y$13*AK197,"")</f>
        <v>4.2084457416288003E-2</v>
      </c>
      <c r="Z197" s="332" t="str">
        <f>IFERROR(($Z$13*AK197)+X197,"")</f>
        <v/>
      </c>
      <c r="AA197" s="199" t="str">
        <f>IFERROR(Y197+Z197,"")</f>
        <v/>
      </c>
      <c r="AB197" s="200">
        <f>IFERROR((SUM(Q197:X197)-T197+T199)*$AB$13,"")</f>
        <v>0</v>
      </c>
      <c r="AC197" s="201">
        <f>IFERROR(((SUM(Q197:V197,IF(X202&gt;AA197,AVERAGE(X202,AA197),AA197))-T197+T199))*$AB$13,"")</f>
        <v>0</v>
      </c>
      <c r="AD197" s="202" t="str">
        <f>IFERROR((J197*K197*$BV$14),"")</f>
        <v/>
      </c>
      <c r="AE197" s="202">
        <f>IFERROR($AE$13*AK197,"")</f>
        <v>6.4010592649919984E-2</v>
      </c>
      <c r="AF197" s="203" t="str">
        <f>IFERROR(($CI$11+$CI$13)*W201,"")</f>
        <v/>
      </c>
      <c r="AG197" s="202">
        <f>IFERROR((SUM(Q197:X197,AB197,AD197,AF197)-T197+T199)*$AG$13,"")</f>
        <v>0</v>
      </c>
      <c r="AH197" s="202">
        <f>IFERROR((SUM(Q197:V197,(IF(X202&gt;AA197,AVERAGE(X202,AA197),AA197)),AC197,AE197,AF197)-T197+T199)*$AG$13,"")</f>
        <v>3.2005296324959992E-2</v>
      </c>
      <c r="AI197" s="204">
        <f>IFERROR(AL197*$AI$13,"")</f>
        <v>2.1531093279999997E-2</v>
      </c>
      <c r="AJ197" s="204">
        <f>IFERROR($AJ$13*AL197,"")</f>
        <v>6.007175025119999E-3</v>
      </c>
      <c r="AK197" s="205">
        <f>IFERROR(SUM(Q197:X197,AB197,AD197,AG197,AF197)/(1-$AI$13)+(1-$AJ$13)-T197+T199,"")</f>
        <v>0.99441999999999997</v>
      </c>
      <c r="AL197" s="205">
        <f>IFERROR(SUM(Q197:V197,AC197,(IF(AD197&gt;AE197,AVERAGE(AD197,AE197),AE197)),AF197,,AH197,(IF(SUM(X202)&gt;AA197,AVERAGE(AA197,X202),AA197)))/(1-$AJ$13)+(1-$AI$13)-T197+T199,"")</f>
        <v>1.0765546639999999</v>
      </c>
      <c r="AM197" s="206">
        <f>$M$15*Q197</f>
        <v>0</v>
      </c>
      <c r="AN197" s="207">
        <f>$M$15*R197</f>
        <v>0</v>
      </c>
      <c r="AO197" s="208">
        <f>$M$15*S197</f>
        <v>0</v>
      </c>
      <c r="AP197" s="207">
        <f>$M$15*T197</f>
        <v>0</v>
      </c>
      <c r="AQ197" s="207" t="e">
        <f>$M$15*#REF!</f>
        <v>#REF!</v>
      </c>
      <c r="AR197" s="207">
        <f>$M$15*U197</f>
        <v>0</v>
      </c>
      <c r="AS197" s="208" t="e">
        <f>$M$15*V197</f>
        <v>#VALUE!</v>
      </c>
      <c r="AT197" s="207" t="e">
        <f>$M$15*W197</f>
        <v>#VALUE!</v>
      </c>
      <c r="AU197" s="208" t="e">
        <f>$M$15*X197</f>
        <v>#VALUE!</v>
      </c>
      <c r="AV197" s="207">
        <f>$M$15*AB197</f>
        <v>0</v>
      </c>
      <c r="AW197" s="208">
        <f>$M$15*AE197</f>
        <v>0</v>
      </c>
      <c r="AX197" s="207">
        <f>$M$15*AG197</f>
        <v>0</v>
      </c>
      <c r="AY197" s="209">
        <f>$M$15*AI197</f>
        <v>0</v>
      </c>
      <c r="AZ197" s="207">
        <f>$M$15*AK197</f>
        <v>0</v>
      </c>
      <c r="BA197" s="210"/>
      <c r="BB197" s="175" t="s">
        <v>23</v>
      </c>
      <c r="BC197" s="211" t="s">
        <v>113</v>
      </c>
      <c r="BD197" s="210"/>
      <c r="BE197" s="212"/>
      <c r="BF197" s="213">
        <f>IF(BH198="NO",((2*J197)+(2*K197))*'BD GN'!$AU$3,((3*J197)+(2*K197))*'BD GN'!$AU$3)</f>
        <v>0</v>
      </c>
      <c r="BG197" s="213">
        <f>'BD GN'!$BB$3*J197*K197</f>
        <v>0</v>
      </c>
      <c r="BH197" s="214">
        <f>((J197*2*BE197)+(K197*2*BE197))*'BD GN'!$AN$4</f>
        <v>0</v>
      </c>
      <c r="BI197" s="210"/>
      <c r="BJ197" s="212"/>
      <c r="BK197" s="212"/>
      <c r="BL197" s="215">
        <f>J197*K197*2.5*BJ197</f>
        <v>0</v>
      </c>
      <c r="BM197" s="215">
        <f>BK197+BL197</f>
        <v>0</v>
      </c>
      <c r="BN197" s="216" t="str">
        <f>IFERROR((VLOOKUP($C$12,'BD GN'!BD:BM,10,FALSE)*BM197)+$BR$338,"")</f>
        <v/>
      </c>
      <c r="BO197" s="210"/>
      <c r="BW197" s="210"/>
      <c r="CD197" s="184"/>
      <c r="CF197" s="185"/>
      <c r="CI197" s="184"/>
      <c r="CJ197" s="210"/>
      <c r="CK197" s="565"/>
      <c r="CL197" s="256"/>
      <c r="CM197" s="596"/>
      <c r="CN197" s="626"/>
      <c r="CO197" s="629"/>
      <c r="CP197" s="629"/>
      <c r="CQ197" s="629"/>
      <c r="CR197" s="629"/>
      <c r="CS197" s="629"/>
      <c r="CT197" s="632"/>
      <c r="CU197" s="565"/>
      <c r="CV197" s="560">
        <f>IFERROR(N197*CU197,"")</f>
        <v>0</v>
      </c>
      <c r="CW197" s="565"/>
      <c r="CX197" s="560">
        <f>IFERROR(P197*CW197,"")</f>
        <v>0</v>
      </c>
      <c r="CY197" s="565"/>
      <c r="CZ197" s="560">
        <f>IFERROR(R197*CY197,"")</f>
        <v>0</v>
      </c>
      <c r="DA197" s="565">
        <f t="shared" ref="DA197" si="726">CU197+CW197+CY197</f>
        <v>0</v>
      </c>
      <c r="DB197" s="560">
        <f t="shared" ref="DB197" si="727">IFERROR(CV197+CX197+CZ197,"")</f>
        <v>0</v>
      </c>
      <c r="DC197" s="565">
        <f>M197-(CU197+CW197+CY197)</f>
        <v>0</v>
      </c>
      <c r="DD197" s="560">
        <f>IFERROR(O197-(CV197+CX197+CZ197),"")</f>
        <v>0</v>
      </c>
      <c r="DG197" s="575"/>
      <c r="DH197" s="575"/>
      <c r="DI197" s="569">
        <f t="shared" ref="DI197" si="728">IFERROR(IF(DG197&gt;0,(((N197)/(1+10%+19%*5%)+((N197)/(1+10%+19%*5%))*10%)*DH197),0),0)</f>
        <v>0</v>
      </c>
      <c r="DJ197" s="569">
        <f t="shared" ref="DJ197" si="729">IFERROR(IF(DG197&gt;0,(N197*DH197),0),0)</f>
        <v>0</v>
      </c>
      <c r="DK197" s="569">
        <f t="shared" ref="DK197" si="730">IF(DG197&gt;0,((R197+T197)*DH197),0)</f>
        <v>0</v>
      </c>
      <c r="DL197" s="569">
        <f t="shared" ref="DL197" si="731">IF(DG197&gt;0,(Q197*DH197),0)</f>
        <v>0</v>
      </c>
      <c r="DM197" s="572">
        <f t="shared" ref="DM197" si="732">IF(DG197&gt;0,(S197*DH197),0)</f>
        <v>0</v>
      </c>
      <c r="DN197" s="569">
        <f t="shared" ref="DN197" si="733">IF(DG197&gt;0,(BN197*DH197),0)</f>
        <v>0</v>
      </c>
      <c r="DO197" s="569">
        <f t="shared" ref="DO197" si="734">IF(DG197&gt;0,(AF197*DH197),0)</f>
        <v>0</v>
      </c>
      <c r="DP197" s="569">
        <f>IF(DG197&gt;0,((DI197)*('BD P&amp;G'!$E$16+'BD P&amp;G'!$E$17+'BD P&amp;G'!$E$18+'BD P&amp;G'!$E$19+'BD P&amp;G'!$E$20+'BD P&amp;G'!$E$21+'BD P&amp;G'!$E$22+'BD P&amp;G'!$E$23)*DH197),0)</f>
        <v>0</v>
      </c>
      <c r="DQ197" s="569">
        <f>IFERROR(IF(DG197&gt;0,((DI197*'BD P&amp;G'!$E$7)+(DI197*'BD P&amp;G'!$E$9)+AI197),0),0)</f>
        <v>0</v>
      </c>
      <c r="DR197" s="569">
        <f t="shared" ref="DR197" si="735">IFERROR(IF(DG197&gt;0,((DI197*1%)),0),0)</f>
        <v>0</v>
      </c>
      <c r="DS197" s="569">
        <f>IFERROR(IF(DG197&gt;0,(((DI197*'BD P&amp;G'!$E$32+DI197*'BD P&amp;G'!$E$33+DI197*'BD P&amp;G'!$E$35+DI197*'BD P&amp;G'!$E$36+DI197*'BD P&amp;G'!$E$37))),0),0)</f>
        <v>0</v>
      </c>
      <c r="DT197" s="569">
        <f t="shared" ref="DT197" si="736">IF(DG197&gt;0,(Y197*DH197),0)</f>
        <v>0</v>
      </c>
      <c r="DU197" s="569">
        <f t="shared" ref="DU197" si="737">IF(DG197&gt;0,(Z197*DH197),0)</f>
        <v>0</v>
      </c>
      <c r="DV197" s="575">
        <f t="shared" ref="DV197" si="738">IF(DG197&gt;0,(Y201*DH197),0)</f>
        <v>0</v>
      </c>
      <c r="DW197" s="575">
        <f t="shared" ref="DW197" si="739">IF(DG197&gt;0,(Z201*DH197),0)</f>
        <v>0</v>
      </c>
      <c r="DX197" s="569">
        <f t="shared" ref="DX197" si="740">IF(DV197&gt;0,DJ197,0)</f>
        <v>0</v>
      </c>
      <c r="DY197" s="569">
        <f t="shared" ref="DY197" si="741">IF(DW197&gt;0,DJ197,0)</f>
        <v>0</v>
      </c>
    </row>
    <row r="198" spans="1:194" s="175" customFormat="1" ht="60" customHeight="1" x14ac:dyDescent="0.25">
      <c r="A198" s="366"/>
      <c r="B198" s="367"/>
      <c r="C198" s="393" t="s">
        <v>28</v>
      </c>
      <c r="D198" s="598"/>
      <c r="E198" s="598"/>
      <c r="F198" s="598"/>
      <c r="G198" s="598"/>
      <c r="H198" s="598"/>
      <c r="I198" s="598"/>
      <c r="J198" s="604"/>
      <c r="K198" s="604"/>
      <c r="L198" s="607"/>
      <c r="M198" s="559"/>
      <c r="N198" s="610"/>
      <c r="O198" s="613"/>
      <c r="P198" s="192"/>
      <c r="Q198" s="217"/>
      <c r="R198" s="217"/>
      <c r="S198" s="218"/>
      <c r="T198" s="219">
        <f>IFERROR(T197/$R$353,"")</f>
        <v>0</v>
      </c>
      <c r="U198" s="206"/>
      <c r="V198" s="220"/>
      <c r="W198" s="221" t="s">
        <v>239</v>
      </c>
      <c r="X198" s="222" t="s">
        <v>204</v>
      </c>
      <c r="Y198" s="223"/>
      <c r="Z198" s="224"/>
      <c r="AA198" s="225"/>
      <c r="AB198" s="226"/>
      <c r="AC198" s="206"/>
      <c r="AD198" s="206"/>
      <c r="AE198" s="206"/>
      <c r="AF198" s="227"/>
      <c r="AG198" s="206"/>
      <c r="AH198" s="206"/>
      <c r="AI198" s="206"/>
      <c r="AJ198" s="206"/>
      <c r="AK198" s="227"/>
      <c r="AL198" s="210"/>
      <c r="AM198" s="206"/>
      <c r="AN198" s="206"/>
      <c r="AO198" s="228"/>
      <c r="AP198" s="229"/>
      <c r="AQ198" s="206"/>
      <c r="AR198" s="206"/>
      <c r="AS198" s="228"/>
      <c r="AT198" s="229"/>
      <c r="AU198" s="228"/>
      <c r="AV198" s="229"/>
      <c r="AW198" s="228"/>
      <c r="AX198" s="229"/>
      <c r="AY198" s="206"/>
      <c r="AZ198" s="229"/>
      <c r="BA198" s="210"/>
      <c r="BB198" s="175" t="s">
        <v>24</v>
      </c>
      <c r="BC198" s="175" t="s">
        <v>114</v>
      </c>
      <c r="BD198" s="210"/>
      <c r="BE198" s="176" t="s">
        <v>206</v>
      </c>
      <c r="BF198" s="230" t="s">
        <v>204</v>
      </c>
      <c r="BG198" s="176" t="s">
        <v>290</v>
      </c>
      <c r="BH198" s="231" t="s">
        <v>204</v>
      </c>
      <c r="BI198" s="210"/>
      <c r="BN198" s="232"/>
      <c r="BO198" s="210"/>
      <c r="BV198" s="184"/>
      <c r="BW198" s="210"/>
      <c r="CD198" s="184"/>
      <c r="CF198" s="185"/>
      <c r="CI198" s="184"/>
      <c r="CJ198" s="210"/>
      <c r="CK198" s="563"/>
      <c r="CM198" s="559"/>
      <c r="CN198" s="627"/>
      <c r="CO198" s="630"/>
      <c r="CP198" s="630"/>
      <c r="CQ198" s="630"/>
      <c r="CR198" s="630"/>
      <c r="CS198" s="630"/>
      <c r="CT198" s="633"/>
      <c r="CU198" s="563"/>
      <c r="CV198" s="561"/>
      <c r="CW198" s="563"/>
      <c r="CX198" s="561"/>
      <c r="CY198" s="563"/>
      <c r="CZ198" s="561"/>
      <c r="DA198" s="563"/>
      <c r="DB198" s="561"/>
      <c r="DC198" s="563"/>
      <c r="DD198" s="561"/>
      <c r="DG198" s="576"/>
      <c r="DH198" s="576"/>
      <c r="DI198" s="570"/>
      <c r="DJ198" s="570"/>
      <c r="DK198" s="570"/>
      <c r="DL198" s="570"/>
      <c r="DM198" s="573"/>
      <c r="DN198" s="570"/>
      <c r="DO198" s="570"/>
      <c r="DP198" s="570"/>
      <c r="DQ198" s="570"/>
      <c r="DR198" s="570"/>
      <c r="DS198" s="570"/>
      <c r="DT198" s="570"/>
      <c r="DU198" s="570"/>
      <c r="DV198" s="576"/>
      <c r="DW198" s="576"/>
      <c r="DX198" s="570"/>
      <c r="DY198" s="570"/>
    </row>
    <row r="199" spans="1:194" s="175" customFormat="1" ht="60" customHeight="1" x14ac:dyDescent="0.3">
      <c r="A199" s="366"/>
      <c r="B199" s="367"/>
      <c r="C199" s="393" t="s">
        <v>30</v>
      </c>
      <c r="D199" s="599"/>
      <c r="E199" s="599"/>
      <c r="F199" s="599"/>
      <c r="G199" s="599"/>
      <c r="H199" s="599"/>
      <c r="I199" s="599"/>
      <c r="J199" s="604"/>
      <c r="K199" s="604"/>
      <c r="L199" s="607"/>
      <c r="M199" s="559"/>
      <c r="N199" s="610"/>
      <c r="O199" s="613"/>
      <c r="P199" s="192"/>
      <c r="Q199" s="176" t="s">
        <v>205</v>
      </c>
      <c r="R199" s="233" t="s">
        <v>204</v>
      </c>
      <c r="S199" s="234"/>
      <c r="T199" s="235">
        <f>IFERROR(($R$353-8000)*T198,"")</f>
        <v>0</v>
      </c>
      <c r="U199" s="206"/>
      <c r="V199" s="220"/>
      <c r="W199" s="221" t="s">
        <v>258</v>
      </c>
      <c r="X199" s="222" t="s">
        <v>204</v>
      </c>
      <c r="Y199" s="236"/>
      <c r="Z199" s="237"/>
      <c r="AA199" s="225"/>
      <c r="AB199" s="226"/>
      <c r="AC199" s="206"/>
      <c r="AD199" s="206"/>
      <c r="AE199" s="206"/>
      <c r="AF199" s="227"/>
      <c r="AG199" s="206"/>
      <c r="AH199" s="206"/>
      <c r="AI199" s="206"/>
      <c r="AJ199" s="206"/>
      <c r="AK199" s="227"/>
      <c r="AL199" s="238"/>
      <c r="AM199" s="206"/>
      <c r="AN199" s="206"/>
      <c r="AO199" s="228"/>
      <c r="AP199" s="229"/>
      <c r="AQ199" s="206"/>
      <c r="AR199" s="206"/>
      <c r="AS199" s="228"/>
      <c r="AT199" s="229"/>
      <c r="AU199" s="228"/>
      <c r="AV199" s="229"/>
      <c r="AW199" s="228"/>
      <c r="AX199" s="229"/>
      <c r="AY199" s="206"/>
      <c r="AZ199" s="229"/>
      <c r="BA199" s="210"/>
      <c r="BB199" s="175" t="s">
        <v>26</v>
      </c>
      <c r="BC199" s="211" t="s">
        <v>115</v>
      </c>
      <c r="BD199" s="210"/>
      <c r="BE199" s="177" t="str">
        <f>IFERROR(VLOOKUP(D197,'BD M.O'!C:H,4,FALSE),"")</f>
        <v/>
      </c>
      <c r="BF199" s="177" t="s">
        <v>259</v>
      </c>
      <c r="BI199" s="210"/>
      <c r="BO199" s="210"/>
      <c r="BV199" s="184"/>
      <c r="BW199" s="210"/>
      <c r="CD199" s="184"/>
      <c r="CF199" s="185"/>
      <c r="CI199" s="184"/>
      <c r="CJ199" s="210"/>
      <c r="CK199" s="563"/>
      <c r="CM199" s="559"/>
      <c r="CN199" s="627"/>
      <c r="CO199" s="630"/>
      <c r="CP199" s="630"/>
      <c r="CQ199" s="630"/>
      <c r="CR199" s="630"/>
      <c r="CS199" s="630"/>
      <c r="CT199" s="633"/>
      <c r="CU199" s="563"/>
      <c r="CV199" s="561"/>
      <c r="CW199" s="563"/>
      <c r="CX199" s="561"/>
      <c r="CY199" s="563"/>
      <c r="CZ199" s="561"/>
      <c r="DA199" s="563"/>
      <c r="DB199" s="561"/>
      <c r="DC199" s="563"/>
      <c r="DD199" s="561"/>
      <c r="DG199" s="577"/>
      <c r="DH199" s="577"/>
      <c r="DI199" s="571"/>
      <c r="DJ199" s="571"/>
      <c r="DK199" s="571"/>
      <c r="DL199" s="571"/>
      <c r="DM199" s="574"/>
      <c r="DN199" s="571"/>
      <c r="DO199" s="571"/>
      <c r="DP199" s="571"/>
      <c r="DQ199" s="571"/>
      <c r="DR199" s="571"/>
      <c r="DS199" s="571"/>
      <c r="DT199" s="571"/>
      <c r="DU199" s="571"/>
      <c r="DV199" s="577"/>
      <c r="DW199" s="577"/>
      <c r="DX199" s="571"/>
      <c r="DY199" s="571"/>
    </row>
    <row r="200" spans="1:194" s="175" customFormat="1" ht="60" customHeight="1" x14ac:dyDescent="0.25">
      <c r="A200" s="366"/>
      <c r="B200" s="367"/>
      <c r="C200" s="395" t="s">
        <v>180</v>
      </c>
      <c r="D200" s="599" t="s">
        <v>31</v>
      </c>
      <c r="E200" s="599"/>
      <c r="F200" s="394" t="s">
        <v>9</v>
      </c>
      <c r="G200" s="599" t="s">
        <v>33</v>
      </c>
      <c r="H200" s="599"/>
      <c r="I200" s="394" t="str">
        <f>+IF($BG$9="SI","","X")</f>
        <v>X</v>
      </c>
      <c r="J200" s="604"/>
      <c r="K200" s="604"/>
      <c r="L200" s="607"/>
      <c r="M200" s="559"/>
      <c r="N200" s="610"/>
      <c r="O200" s="613"/>
      <c r="P200" s="192"/>
      <c r="Q200" s="239"/>
      <c r="R200" s="221" t="s">
        <v>209</v>
      </c>
      <c r="S200" s="234" t="str">
        <f>IF(S198="","",S198/(J197*K197))</f>
        <v/>
      </c>
      <c r="T200" s="226"/>
      <c r="U200" s="206"/>
      <c r="V200" s="220"/>
      <c r="W200" s="239" t="str">
        <f>IFERROR(IF(X199="SI",VLOOKUP(D197,'BD M.O'!C:F,4,FALSE),""),"")</f>
        <v/>
      </c>
      <c r="X200" s="221" t="s">
        <v>258</v>
      </c>
      <c r="Y200" s="221" t="s">
        <v>507</v>
      </c>
      <c r="Z200" s="221" t="s">
        <v>508</v>
      </c>
      <c r="AA200" s="225"/>
      <c r="AB200" s="226"/>
      <c r="AC200" s="206"/>
      <c r="AD200" s="206"/>
      <c r="AE200" s="206"/>
      <c r="AF200" s="227"/>
      <c r="AG200" s="206"/>
      <c r="AH200" s="206"/>
      <c r="AI200" s="206"/>
      <c r="AJ200" s="206"/>
      <c r="AK200" s="227"/>
      <c r="AL200" s="240"/>
      <c r="AM200" s="206"/>
      <c r="AN200" s="206"/>
      <c r="AO200" s="228"/>
      <c r="AP200" s="229"/>
      <c r="AQ200" s="206"/>
      <c r="AR200" s="206"/>
      <c r="AS200" s="228"/>
      <c r="AT200" s="229"/>
      <c r="AU200" s="228"/>
      <c r="AV200" s="229"/>
      <c r="AW200" s="228"/>
      <c r="AX200" s="229"/>
      <c r="AY200" s="206"/>
      <c r="AZ200" s="229"/>
      <c r="BA200" s="210"/>
      <c r="BC200" s="175" t="s">
        <v>116</v>
      </c>
      <c r="BD200" s="210"/>
      <c r="BE200" s="177" t="str">
        <f>IFERROR(VLOOKUP(COTIZACIÓN!D197,'BD M.O'!C:I,5,FALSE),"")</f>
        <v/>
      </c>
      <c r="BF200" s="177" t="s">
        <v>260</v>
      </c>
      <c r="BI200" s="210"/>
      <c r="BO200" s="210"/>
      <c r="BP200" s="183"/>
      <c r="BQ200" s="183"/>
      <c r="BR200" s="183"/>
      <c r="BS200" s="183"/>
      <c r="BT200" s="183"/>
      <c r="BU200" s="183"/>
      <c r="BV200" s="182"/>
      <c r="BW200" s="210"/>
      <c r="BX200" s="183"/>
      <c r="BY200" s="183"/>
      <c r="BZ200" s="183"/>
      <c r="CA200" s="183"/>
      <c r="CB200" s="183"/>
      <c r="CC200" s="183"/>
      <c r="CD200" s="182"/>
      <c r="CE200" s="183"/>
      <c r="CF200" s="241"/>
      <c r="CG200" s="183"/>
      <c r="CH200" s="183"/>
      <c r="CI200" s="182"/>
      <c r="CJ200" s="210"/>
      <c r="CK200" s="563"/>
      <c r="CM200" s="559"/>
      <c r="CN200" s="627"/>
      <c r="CO200" s="630"/>
      <c r="CP200" s="630"/>
      <c r="CQ200" s="630"/>
      <c r="CR200" s="630"/>
      <c r="CS200" s="630"/>
      <c r="CT200" s="633"/>
      <c r="CU200" s="563"/>
      <c r="CV200" s="561"/>
      <c r="CW200" s="563"/>
      <c r="CX200" s="561"/>
      <c r="CY200" s="563"/>
      <c r="CZ200" s="561"/>
      <c r="DA200" s="563"/>
      <c r="DB200" s="561"/>
      <c r="DC200" s="563"/>
      <c r="DD200" s="561"/>
      <c r="DG200" s="575"/>
      <c r="DH200" s="575"/>
      <c r="DI200" s="569">
        <f t="shared" ref="DI200" si="742">IFERROR(IF(DG200&gt;0,(((N197)/(1+10%+19%*5%)+((N197)/(1+10%+19%*5%))*10%)*DH200),0),0)</f>
        <v>0</v>
      </c>
      <c r="DJ200" s="569">
        <f t="shared" ref="DJ200" si="743">IFERROR(IF(DG200&gt;0,(N197*DH200),0),0)</f>
        <v>0</v>
      </c>
      <c r="DK200" s="569">
        <f t="shared" ref="DK200" si="744">IF(DG200&gt;0,((R197+T197)*DH200),0)</f>
        <v>0</v>
      </c>
      <c r="DL200" s="569">
        <f t="shared" ref="DL200" si="745">IF(DG200&gt;0,(Q197*DH200),0)</f>
        <v>0</v>
      </c>
      <c r="DM200" s="572">
        <f t="shared" ref="DM200" si="746">IF(DG200&gt;0,(S197*DH200),0)</f>
        <v>0</v>
      </c>
      <c r="DN200" s="569">
        <f t="shared" ref="DN200" si="747">IF(DG200&gt;0,(BN197*DH200),0)</f>
        <v>0</v>
      </c>
      <c r="DO200" s="569">
        <f t="shared" ref="DO200" si="748">IF(DG200&gt;0,(AF197*DH200),0)</f>
        <v>0</v>
      </c>
      <c r="DP200" s="569">
        <f>IF(DG200&gt;0,((DI200)*('BD P&amp;G'!$E$16+'BD P&amp;G'!$E$17+'BD P&amp;G'!$E$18+'BD P&amp;G'!$E$19+'BD P&amp;G'!$E$20+'BD P&amp;G'!$E$21+'BD P&amp;G'!$E$22+'BD P&amp;G'!$E$23)*DH200),0)</f>
        <v>0</v>
      </c>
      <c r="DQ200" s="569">
        <f>IFERROR(IF(DG200&gt;0,((DI200*'BD P&amp;G'!$E$7)+(DI200*'BD P&amp;G'!$E$9)+AI197),0),0)</f>
        <v>0</v>
      </c>
      <c r="DR200" s="569">
        <f t="shared" ref="DR200" si="749">IFERROR(IF(DG200&gt;0,((DI200*1%)),0),0)</f>
        <v>0</v>
      </c>
      <c r="DS200" s="569">
        <f>IFERROR(IF(DG200&gt;0,(((DI200*'BD P&amp;G'!$E$32+DI200*'BD P&amp;G'!$E$33+DI200*'BD P&amp;G'!$E$35+DI200*'BD P&amp;G'!$E$36+DI200*'BD P&amp;G'!$E$37))),0),0)</f>
        <v>0</v>
      </c>
      <c r="DT200" s="569">
        <f t="shared" ref="DT200" si="750">IF(DG200&gt;0,(Y197*DH200),0)</f>
        <v>0</v>
      </c>
      <c r="DU200" s="569">
        <f t="shared" ref="DU200" si="751">IF(DG200&gt;0,(Z197*DH200),0)</f>
        <v>0</v>
      </c>
      <c r="DV200" s="575">
        <f t="shared" ref="DV200" si="752">IF(DG200&gt;0,(Y201*DH200),0)</f>
        <v>0</v>
      </c>
      <c r="DW200" s="575">
        <f t="shared" ref="DW200" si="753">IF(DG200&gt;0,(Z201*DH200),0)</f>
        <v>0</v>
      </c>
      <c r="DX200" s="569">
        <f t="shared" ref="DX200" si="754">IF(DV200&gt;0,DJ200,0)</f>
        <v>0</v>
      </c>
      <c r="DY200" s="569">
        <f t="shared" ref="DY200" si="755">IF(DW200&gt;0,DJ200,0)</f>
        <v>0</v>
      </c>
    </row>
    <row r="201" spans="1:194" s="175" customFormat="1" ht="60" customHeight="1" x14ac:dyDescent="0.3">
      <c r="A201" s="366"/>
      <c r="B201" s="367"/>
      <c r="C201" s="393" t="s">
        <v>35</v>
      </c>
      <c r="D201" s="599" t="str">
        <f>IFERROR(VLOOKUP(D197,'BD GN'!C:E,3,),"")</f>
        <v/>
      </c>
      <c r="E201" s="599"/>
      <c r="F201" s="599"/>
      <c r="G201" s="599"/>
      <c r="H201" s="599"/>
      <c r="I201" s="599"/>
      <c r="J201" s="604"/>
      <c r="K201" s="604"/>
      <c r="L201" s="607"/>
      <c r="M201" s="559"/>
      <c r="N201" s="610"/>
      <c r="O201" s="613"/>
      <c r="P201" s="192"/>
      <c r="Q201" s="239"/>
      <c r="R201" s="221" t="s">
        <v>210</v>
      </c>
      <c r="S201" s="234" t="str">
        <f>IFERROR(IF(N197="","",N197/W201),"")</f>
        <v/>
      </c>
      <c r="T201" s="226"/>
      <c r="U201" s="206"/>
      <c r="V201" s="220"/>
      <c r="W201" s="242" t="str">
        <f>+IF(J197*K197&gt;=1,J197*K197,IF(AND(J197*K197&gt;0,J197*K197&lt;1),1,""))</f>
        <v/>
      </c>
      <c r="X201" s="221" t="s">
        <v>298</v>
      </c>
      <c r="Y201" s="461">
        <f>IFERROR(IF(D197='BD GN'!$C$25,COTIZACIÓN!W201,IF(D197='BD GN'!$C$26,COTIZACIÓN!W201,IF(D197='BD GN'!$C$27,COTIZACIÓN!W201,IF(COTIZACIÓN!D197='BD GN'!$C$28,COTIZACIÓN!W201,IF(COTIZACIÓN!D197='BD GN'!$C$29,COTIZACIÓN!W201,IF(COTIZACIÓN!D197='BD GN'!$C$35,COTIZACIÓN!W201,IF(COTIZACIÓN!D197='BD GN'!$C$36,COTIZACIÓN!W201,IF(COTIZACIÓN!D197='BD GN'!$C$37,COTIZACIÓN!W201,IF(COTIZACIÓN!D197='BD GN'!$C$38,COTIZACIÓN!W201,IF(COTIZACIÓN!D197='BD GN'!$C$39,COTIZACIÓN!W201,IF(COTIZACIÓN!D197='BD GN'!$C$40,COTIZACIÓN!W201,IF(COTIZACIÓN!D197='BD GN'!$C$41,COTIZACIÓN!W201,IF(COTIZACIÓN!D197='BD GN'!$C$42,COTIZACIÓN!W201,IF(COTIZACIÓN!D197='BD GN'!$C$49,COTIZACIÓN!W201,IF(COTIZACIÓN!D197='BD GN'!$C$50,COTIZACIÓN!W201,IF(COTIZACIÓN!D197='BD GN'!$C$51,COTIZACIÓN!W201,IF(COTIZACIÓN!D197='BD GN'!$C$67,COTIZACIÓN!W201,0))))))))))))))))),0)</f>
        <v>0</v>
      </c>
      <c r="Z201" s="461">
        <f>IFERROR(W201-Y201,0)</f>
        <v>0</v>
      </c>
      <c r="AA201" s="225"/>
      <c r="AB201" s="226"/>
      <c r="AC201" s="206"/>
      <c r="AD201" s="206"/>
      <c r="AE201" s="206"/>
      <c r="AF201" s="227"/>
      <c r="AG201" s="206"/>
      <c r="AH201" s="206"/>
      <c r="AI201" s="206"/>
      <c r="AJ201" s="206"/>
      <c r="AK201" s="227"/>
      <c r="AL201" s="210"/>
      <c r="AM201" s="206"/>
      <c r="AN201" s="206"/>
      <c r="AO201" s="228"/>
      <c r="AP201" s="229"/>
      <c r="AQ201" s="206"/>
      <c r="AR201" s="206"/>
      <c r="AS201" s="228"/>
      <c r="AT201" s="229"/>
      <c r="AU201" s="228"/>
      <c r="AV201" s="229"/>
      <c r="AW201" s="228"/>
      <c r="AX201" s="229"/>
      <c r="AY201" s="206"/>
      <c r="AZ201" s="229"/>
      <c r="BA201" s="210"/>
      <c r="BC201" s="211" t="s">
        <v>117</v>
      </c>
      <c r="BD201" s="210"/>
      <c r="BE201" s="177" t="str">
        <f>IFERROR(VLOOKUP(D197,'BD M.O'!C:I,6,FALSE),"")</f>
        <v/>
      </c>
      <c r="BF201" s="177" t="s">
        <v>261</v>
      </c>
      <c r="BI201" s="210"/>
      <c r="BO201" s="210"/>
      <c r="BP201" s="183"/>
      <c r="BQ201" s="183"/>
      <c r="BR201" s="183"/>
      <c r="BW201" s="210"/>
      <c r="CD201" s="184"/>
      <c r="CF201" s="185"/>
      <c r="CI201" s="184"/>
      <c r="CJ201" s="210"/>
      <c r="CK201" s="563"/>
      <c r="CM201" s="559"/>
      <c r="CN201" s="627"/>
      <c r="CO201" s="630"/>
      <c r="CP201" s="630"/>
      <c r="CQ201" s="630"/>
      <c r="CR201" s="630"/>
      <c r="CS201" s="630"/>
      <c r="CT201" s="633"/>
      <c r="CU201" s="563"/>
      <c r="CV201" s="561"/>
      <c r="CW201" s="563"/>
      <c r="CX201" s="561"/>
      <c r="CY201" s="563"/>
      <c r="CZ201" s="561"/>
      <c r="DA201" s="563"/>
      <c r="DB201" s="561"/>
      <c r="DC201" s="563"/>
      <c r="DD201" s="561"/>
      <c r="DG201" s="576"/>
      <c r="DH201" s="576"/>
      <c r="DI201" s="570"/>
      <c r="DJ201" s="570"/>
      <c r="DK201" s="570"/>
      <c r="DL201" s="570"/>
      <c r="DM201" s="573"/>
      <c r="DN201" s="570"/>
      <c r="DO201" s="570"/>
      <c r="DP201" s="570"/>
      <c r="DQ201" s="570"/>
      <c r="DR201" s="570"/>
      <c r="DS201" s="570"/>
      <c r="DT201" s="570"/>
      <c r="DU201" s="570"/>
      <c r="DV201" s="576"/>
      <c r="DW201" s="576"/>
      <c r="DX201" s="570"/>
      <c r="DY201" s="570"/>
    </row>
    <row r="202" spans="1:194" s="252" customFormat="1" ht="60" customHeight="1" x14ac:dyDescent="0.25">
      <c r="A202" s="368"/>
      <c r="B202" s="369"/>
      <c r="C202" s="396" t="s">
        <v>10</v>
      </c>
      <c r="D202" s="645" t="s">
        <v>32</v>
      </c>
      <c r="E202" s="645"/>
      <c r="F202" s="645"/>
      <c r="G202" s="645"/>
      <c r="H202" s="645"/>
      <c r="I202" s="645"/>
      <c r="J202" s="643"/>
      <c r="K202" s="643"/>
      <c r="L202" s="646"/>
      <c r="M202" s="648"/>
      <c r="N202" s="649"/>
      <c r="O202" s="644"/>
      <c r="P202" s="192"/>
      <c r="Q202" s="239"/>
      <c r="R202" s="334" t="s">
        <v>475</v>
      </c>
      <c r="S202" s="234" t="str">
        <f>IFERROR(IF($C$12='BD GN'!$CC$1,VLOOKUP(COTIZACIÓN!D197,'BD GN'!CB:CG,2,FALSE),IF(COTIZACIÓN!$C$12='BD GN'!$CD$1,VLOOKUP(COTIZACIÓN!D197,'BD GN'!CB:CG,3,FALSE),IF($C$12='BD GN'!$CE$1,VLOOKUP(COTIZACIÓN!D197,'BD GN'!CB:CG,4,FALSE),IF(COTIZACIÓN!$C$12='BD GN'!$CF$1,VLOOKUP(COTIZACIÓN!D197,'BD GN'!CB:CG,5,FALSE),IF(COTIZACIÓN!$C$12='BD GN'!$CG$1,VLOOKUP(COTIZACIÓN!D197,'BD GN'!CB:CG,6,FALSE),""))))),"-")</f>
        <v/>
      </c>
      <c r="T202" s="243"/>
      <c r="U202" s="244"/>
      <c r="V202" s="245"/>
      <c r="W202" s="177" t="s">
        <v>394</v>
      </c>
      <c r="X202" s="246">
        <f>IFERROR(SUM(W197:X197),"")</f>
        <v>0</v>
      </c>
      <c r="Y202" s="166" t="s">
        <v>404</v>
      </c>
      <c r="Z202" s="199" t="str">
        <f>IFERROR(Y197+Z197,"")</f>
        <v/>
      </c>
      <c r="AA202" s="247"/>
      <c r="AB202" s="243"/>
      <c r="AC202" s="244"/>
      <c r="AD202" s="244"/>
      <c r="AE202" s="244"/>
      <c r="AF202" s="227"/>
      <c r="AG202" s="206"/>
      <c r="AH202" s="206"/>
      <c r="AI202" s="206"/>
      <c r="AJ202" s="206"/>
      <c r="AK202" s="227"/>
      <c r="AL202" s="227"/>
      <c r="AM202" s="248"/>
      <c r="AN202" s="248"/>
      <c r="AO202" s="249"/>
      <c r="AP202" s="250"/>
      <c r="AQ202" s="248"/>
      <c r="AR202" s="248"/>
      <c r="AS202" s="249"/>
      <c r="AT202" s="250"/>
      <c r="AU202" s="249"/>
      <c r="AV202" s="250"/>
      <c r="AW202" s="249"/>
      <c r="AX202" s="250"/>
      <c r="AY202" s="248"/>
      <c r="AZ202" s="250"/>
      <c r="BA202" s="210"/>
      <c r="BB202" s="175"/>
      <c r="BC202" s="175" t="s">
        <v>118</v>
      </c>
      <c r="BD202" s="210"/>
      <c r="BE202" s="251" t="str">
        <f>IFERROR(VLOOKUP(D197,'BD M.O'!C:I,7,FALSE),"")</f>
        <v/>
      </c>
      <c r="BF202" s="251" t="s">
        <v>262</v>
      </c>
      <c r="BG202" s="175"/>
      <c r="BH202" s="175"/>
      <c r="BI202" s="210"/>
      <c r="BJ202" s="175"/>
      <c r="BK202" s="175"/>
      <c r="BL202" s="175"/>
      <c r="BM202" s="175"/>
      <c r="BN202" s="175"/>
      <c r="BO202" s="210"/>
      <c r="BP202" s="175"/>
      <c r="BQ202" s="175"/>
      <c r="BR202" s="175"/>
      <c r="BS202" s="183"/>
      <c r="BT202" s="183"/>
      <c r="BU202" s="183"/>
      <c r="BV202" s="183"/>
      <c r="BW202" s="210"/>
      <c r="BX202" s="175"/>
      <c r="BY202" s="175"/>
      <c r="BZ202" s="175"/>
      <c r="CA202" s="175"/>
      <c r="CB202" s="175"/>
      <c r="CC202" s="175"/>
      <c r="CD202" s="184"/>
      <c r="CE202" s="175"/>
      <c r="CF202" s="185"/>
      <c r="CG202" s="175"/>
      <c r="CH202" s="175"/>
      <c r="CI202" s="184"/>
      <c r="CJ202" s="210"/>
      <c r="CK202" s="564"/>
      <c r="CL202" s="257"/>
      <c r="CM202" s="597"/>
      <c r="CN202" s="628"/>
      <c r="CO202" s="631"/>
      <c r="CP202" s="631"/>
      <c r="CQ202" s="631"/>
      <c r="CR202" s="631"/>
      <c r="CS202" s="631"/>
      <c r="CT202" s="634"/>
      <c r="CU202" s="564"/>
      <c r="CV202" s="562"/>
      <c r="CW202" s="564"/>
      <c r="CX202" s="562"/>
      <c r="CY202" s="564"/>
      <c r="CZ202" s="562"/>
      <c r="DA202" s="564"/>
      <c r="DB202" s="562"/>
      <c r="DC202" s="564"/>
      <c r="DD202" s="562"/>
      <c r="DE202" s="175"/>
      <c r="DF202" s="175"/>
      <c r="DG202" s="577"/>
      <c r="DH202" s="577"/>
      <c r="DI202" s="571"/>
      <c r="DJ202" s="571"/>
      <c r="DK202" s="571"/>
      <c r="DL202" s="571"/>
      <c r="DM202" s="574"/>
      <c r="DN202" s="571"/>
      <c r="DO202" s="571"/>
      <c r="DP202" s="571"/>
      <c r="DQ202" s="571"/>
      <c r="DR202" s="571"/>
      <c r="DS202" s="571"/>
      <c r="DT202" s="571"/>
      <c r="DU202" s="571"/>
      <c r="DV202" s="577"/>
      <c r="DW202" s="577"/>
      <c r="DX202" s="571"/>
      <c r="DY202" s="571"/>
      <c r="DZ202" s="175"/>
      <c r="EA202" s="175"/>
      <c r="EB202" s="175"/>
      <c r="EC202" s="175"/>
      <c r="ED202" s="175"/>
      <c r="EE202" s="175"/>
      <c r="EF202" s="175"/>
      <c r="EG202" s="175"/>
      <c r="EH202" s="175"/>
      <c r="EI202" s="175"/>
      <c r="EJ202" s="175"/>
      <c r="EK202" s="175"/>
      <c r="EL202" s="175"/>
      <c r="EM202" s="175"/>
      <c r="EN202" s="175"/>
      <c r="EO202" s="175"/>
      <c r="EP202" s="175"/>
      <c r="EQ202" s="175"/>
      <c r="ER202" s="175"/>
      <c r="ES202" s="175"/>
      <c r="ET202" s="175"/>
      <c r="EU202" s="175"/>
      <c r="EV202" s="175"/>
      <c r="EW202" s="175"/>
      <c r="EX202" s="175"/>
      <c r="EY202" s="175"/>
      <c r="EZ202" s="175"/>
      <c r="FA202" s="175"/>
      <c r="FB202" s="175"/>
      <c r="FC202" s="175"/>
      <c r="FD202" s="175"/>
      <c r="FE202" s="175"/>
      <c r="FF202" s="175"/>
      <c r="FG202" s="175"/>
      <c r="FH202" s="175"/>
      <c r="FI202" s="175"/>
      <c r="FJ202" s="175"/>
      <c r="FK202" s="175"/>
      <c r="FL202" s="175"/>
      <c r="FM202" s="175"/>
      <c r="FN202" s="175"/>
      <c r="FO202" s="175"/>
      <c r="FP202" s="175"/>
      <c r="FQ202" s="175"/>
      <c r="FR202" s="175"/>
      <c r="FS202" s="175"/>
      <c r="FT202" s="175"/>
      <c r="FU202" s="175"/>
      <c r="FV202" s="175"/>
      <c r="FW202" s="175"/>
      <c r="FX202" s="175"/>
      <c r="FY202" s="175"/>
      <c r="FZ202" s="175"/>
      <c r="GA202" s="175"/>
      <c r="GB202" s="175"/>
      <c r="GC202" s="175"/>
      <c r="GD202" s="175"/>
      <c r="GE202" s="175"/>
      <c r="GF202" s="175"/>
      <c r="GG202" s="175"/>
      <c r="GH202" s="175"/>
      <c r="GI202" s="175"/>
      <c r="GJ202" s="175"/>
      <c r="GK202" s="175"/>
      <c r="GL202" s="175"/>
    </row>
    <row r="203" spans="1:194" s="255" customFormat="1" ht="60" customHeight="1" x14ac:dyDescent="0.3">
      <c r="A203" s="362" t="s">
        <v>193</v>
      </c>
      <c r="B203" s="363" t="s">
        <v>25</v>
      </c>
      <c r="C203" s="391" t="s">
        <v>174</v>
      </c>
      <c r="D203" s="640" t="s">
        <v>173</v>
      </c>
      <c r="E203" s="640"/>
      <c r="F203" s="640"/>
      <c r="G203" s="640"/>
      <c r="H203" s="640"/>
      <c r="I203" s="640"/>
      <c r="J203" s="418" t="s">
        <v>443</v>
      </c>
      <c r="K203" s="418" t="s">
        <v>444</v>
      </c>
      <c r="L203" s="418" t="s">
        <v>171</v>
      </c>
      <c r="M203" s="363" t="s">
        <v>2</v>
      </c>
      <c r="N203" s="419" t="s">
        <v>7</v>
      </c>
      <c r="O203" s="420" t="s">
        <v>8</v>
      </c>
      <c r="P203" s="159"/>
      <c r="Q203" s="164" t="s">
        <v>93</v>
      </c>
      <c r="R203" s="164" t="s">
        <v>34</v>
      </c>
      <c r="S203" s="164" t="s">
        <v>28</v>
      </c>
      <c r="T203" s="164" t="s">
        <v>95</v>
      </c>
      <c r="U203" s="164" t="s">
        <v>96</v>
      </c>
      <c r="V203" s="164" t="s">
        <v>97</v>
      </c>
      <c r="W203" s="164" t="s">
        <v>4</v>
      </c>
      <c r="X203" s="164" t="s">
        <v>103</v>
      </c>
      <c r="Y203" s="160" t="s">
        <v>402</v>
      </c>
      <c r="Z203" s="165" t="s">
        <v>403</v>
      </c>
      <c r="AA203" s="166" t="s">
        <v>404</v>
      </c>
      <c r="AB203" s="164" t="s">
        <v>99</v>
      </c>
      <c r="AC203" s="164" t="s">
        <v>395</v>
      </c>
      <c r="AD203" s="253" t="s">
        <v>36</v>
      </c>
      <c r="AE203" s="164" t="s">
        <v>389</v>
      </c>
      <c r="AF203" s="164" t="s">
        <v>390</v>
      </c>
      <c r="AG203" s="164" t="s">
        <v>164</v>
      </c>
      <c r="AH203" s="253" t="s">
        <v>396</v>
      </c>
      <c r="AI203" s="164" t="s">
        <v>190</v>
      </c>
      <c r="AJ203" s="164" t="s">
        <v>339</v>
      </c>
      <c r="AK203" s="253" t="s">
        <v>391</v>
      </c>
      <c r="AL203" s="253" t="s">
        <v>393</v>
      </c>
      <c r="AM203" s="167" t="s">
        <v>93</v>
      </c>
      <c r="AN203" s="168" t="s">
        <v>34</v>
      </c>
      <c r="AO203" s="169" t="s">
        <v>28</v>
      </c>
      <c r="AP203" s="170" t="s">
        <v>95</v>
      </c>
      <c r="AQ203" s="167" t="s">
        <v>3</v>
      </c>
      <c r="AR203" s="167" t="s">
        <v>96</v>
      </c>
      <c r="AS203" s="169" t="s">
        <v>97</v>
      </c>
      <c r="AT203" s="170" t="s">
        <v>4</v>
      </c>
      <c r="AU203" s="169" t="s">
        <v>103</v>
      </c>
      <c r="AV203" s="170" t="s">
        <v>99</v>
      </c>
      <c r="AW203" s="169" t="s">
        <v>36</v>
      </c>
      <c r="AX203" s="171" t="s">
        <v>29</v>
      </c>
      <c r="AY203" s="172" t="s">
        <v>190</v>
      </c>
      <c r="AZ203" s="173" t="s">
        <v>102</v>
      </c>
      <c r="BA203" s="174"/>
      <c r="BB203" s="183"/>
      <c r="BC203" s="211" t="s">
        <v>119</v>
      </c>
      <c r="BD203" s="174"/>
      <c r="BE203" s="176" t="s">
        <v>189</v>
      </c>
      <c r="BF203" s="177" t="str">
        <f>$BF$13</f>
        <v xml:space="preserve">VR SILICONA </v>
      </c>
      <c r="BG203" s="177" t="str">
        <f>$BG$13</f>
        <v xml:space="preserve">VR PELÍCULA </v>
      </c>
      <c r="BH203" s="254" t="str">
        <f>$BH$13</f>
        <v>VR EMBALAJE</v>
      </c>
      <c r="BI203" s="174"/>
      <c r="BJ203" s="176" t="str">
        <f>$BJ$13</f>
        <v>ESP. CRISTAL</v>
      </c>
      <c r="BK203" s="176" t="s">
        <v>130</v>
      </c>
      <c r="BL203" s="177" t="s">
        <v>28</v>
      </c>
      <c r="BM203" s="177" t="str">
        <f>BM196</f>
        <v>TOTAL</v>
      </c>
      <c r="BN203" s="177" t="s">
        <v>133</v>
      </c>
      <c r="BO203" s="174"/>
      <c r="BP203" s="175"/>
      <c r="BQ203" s="175"/>
      <c r="BR203" s="175"/>
      <c r="BS203" s="175"/>
      <c r="BT203" s="175"/>
      <c r="BU203" s="175"/>
      <c r="BV203" s="175"/>
      <c r="BW203" s="174"/>
      <c r="BX203" s="175"/>
      <c r="BY203" s="175"/>
      <c r="BZ203" s="175"/>
      <c r="CA203" s="175"/>
      <c r="CB203" s="175"/>
      <c r="CC203" s="175"/>
      <c r="CD203" s="184"/>
      <c r="CE203" s="175"/>
      <c r="CF203" s="185"/>
      <c r="CG203" s="175"/>
      <c r="CH203" s="175"/>
      <c r="CI203" s="184"/>
      <c r="CJ203" s="174"/>
      <c r="CK203" s="186" t="s">
        <v>415</v>
      </c>
      <c r="CL203" s="187" t="s">
        <v>417</v>
      </c>
      <c r="CM203" s="187" t="s">
        <v>416</v>
      </c>
      <c r="CN203" s="188" t="s">
        <v>418</v>
      </c>
      <c r="CO203" s="187" t="s">
        <v>417</v>
      </c>
      <c r="CP203" s="187" t="s">
        <v>409</v>
      </c>
      <c r="CQ203" s="187" t="s">
        <v>410</v>
      </c>
      <c r="CR203" s="187" t="s">
        <v>411</v>
      </c>
      <c r="CS203" s="187" t="s">
        <v>412</v>
      </c>
      <c r="CT203" s="187" t="s">
        <v>413</v>
      </c>
      <c r="CU203" s="189" t="s">
        <v>2</v>
      </c>
      <c r="CV203" s="190" t="s">
        <v>159</v>
      </c>
      <c r="CW203" s="189" t="s">
        <v>2</v>
      </c>
      <c r="CX203" s="190" t="s">
        <v>159</v>
      </c>
      <c r="CY203" s="189" t="s">
        <v>2</v>
      </c>
      <c r="CZ203" s="190" t="s">
        <v>159</v>
      </c>
      <c r="DA203" s="189" t="s">
        <v>2</v>
      </c>
      <c r="DB203" s="190" t="s">
        <v>159</v>
      </c>
      <c r="DC203" s="189" t="s">
        <v>2</v>
      </c>
      <c r="DD203" s="190" t="s">
        <v>159</v>
      </c>
      <c r="DE203" s="183"/>
      <c r="DF203" s="183"/>
      <c r="DG203" s="177" t="s">
        <v>505</v>
      </c>
      <c r="DH203" s="472" t="s">
        <v>509</v>
      </c>
      <c r="DI203" s="457" t="s">
        <v>506</v>
      </c>
      <c r="DJ203" s="457" t="s">
        <v>134</v>
      </c>
      <c r="DK203" s="457" t="s">
        <v>498</v>
      </c>
      <c r="DL203" s="457" t="s">
        <v>499</v>
      </c>
      <c r="DM203" s="457" t="s">
        <v>500</v>
      </c>
      <c r="DN203" s="457" t="s">
        <v>131</v>
      </c>
      <c r="DO203" s="457" t="s">
        <v>390</v>
      </c>
      <c r="DP203" s="457" t="s">
        <v>36</v>
      </c>
      <c r="DQ203" s="457" t="s">
        <v>501</v>
      </c>
      <c r="DR203" s="457" t="s">
        <v>502</v>
      </c>
      <c r="DS203" s="457" t="s">
        <v>503</v>
      </c>
      <c r="DT203" s="457" t="s">
        <v>4</v>
      </c>
      <c r="DU203" s="457" t="s">
        <v>504</v>
      </c>
      <c r="DV203" s="466" t="s">
        <v>507</v>
      </c>
      <c r="DW203" s="466" t="s">
        <v>508</v>
      </c>
      <c r="DX203" s="457" t="s">
        <v>510</v>
      </c>
      <c r="DY203" s="457" t="s">
        <v>511</v>
      </c>
      <c r="DZ203" s="183"/>
      <c r="EA203" s="183"/>
      <c r="EB203" s="183"/>
      <c r="EC203" s="183"/>
      <c r="ED203" s="183"/>
      <c r="EE203" s="183"/>
      <c r="EF203" s="183"/>
      <c r="EG203" s="183"/>
      <c r="EH203" s="183"/>
      <c r="EI203" s="183"/>
      <c r="EJ203" s="183"/>
      <c r="EK203" s="183"/>
      <c r="EL203" s="183"/>
      <c r="EM203" s="183"/>
      <c r="EN203" s="183"/>
      <c r="EO203" s="183"/>
      <c r="EP203" s="183"/>
      <c r="EQ203" s="183"/>
      <c r="ER203" s="183"/>
      <c r="ES203" s="183"/>
      <c r="ET203" s="183"/>
      <c r="EU203" s="183"/>
      <c r="EV203" s="183"/>
      <c r="EW203" s="183"/>
      <c r="EX203" s="183"/>
      <c r="EY203" s="183"/>
      <c r="EZ203" s="183"/>
      <c r="FA203" s="183"/>
      <c r="FB203" s="183"/>
      <c r="FC203" s="183"/>
      <c r="FD203" s="183"/>
      <c r="FE203" s="183"/>
      <c r="FF203" s="183"/>
      <c r="FG203" s="183"/>
      <c r="FH203" s="183"/>
      <c r="FI203" s="183"/>
      <c r="FJ203" s="183"/>
      <c r="FK203" s="183"/>
      <c r="FL203" s="183"/>
      <c r="FM203" s="183"/>
      <c r="FN203" s="183"/>
      <c r="FO203" s="183"/>
      <c r="FP203" s="183"/>
      <c r="FQ203" s="183"/>
      <c r="FR203" s="183"/>
      <c r="FS203" s="183"/>
      <c r="FT203" s="183"/>
      <c r="FU203" s="183"/>
      <c r="FV203" s="183"/>
      <c r="FW203" s="183"/>
      <c r="FX203" s="183"/>
      <c r="FY203" s="183"/>
      <c r="FZ203" s="183"/>
      <c r="GA203" s="183"/>
      <c r="GB203" s="183"/>
      <c r="GC203" s="183"/>
      <c r="GD203" s="183"/>
      <c r="GE203" s="183"/>
      <c r="GF203" s="183"/>
      <c r="GG203" s="183"/>
      <c r="GH203" s="183"/>
      <c r="GI203" s="183"/>
      <c r="GJ203" s="183"/>
      <c r="GK203" s="183"/>
      <c r="GL203" s="183"/>
    </row>
    <row r="204" spans="1:194" s="175" customFormat="1" ht="60" customHeight="1" x14ac:dyDescent="0.3">
      <c r="A204" s="364"/>
      <c r="B204" s="365"/>
      <c r="C204" s="392" t="s">
        <v>27</v>
      </c>
      <c r="D204" s="641"/>
      <c r="E204" s="641"/>
      <c r="F204" s="641"/>
      <c r="G204" s="641"/>
      <c r="H204" s="641"/>
      <c r="I204" s="641"/>
      <c r="J204" s="642"/>
      <c r="K204" s="642"/>
      <c r="L204" s="622">
        <f>J204*K204*M204</f>
        <v>0</v>
      </c>
      <c r="M204" s="623"/>
      <c r="N204" s="620">
        <f>IFERROR(AL204,"")</f>
        <v>1.0765546639999999</v>
      </c>
      <c r="O204" s="621">
        <f>IFERROR(N204*M204,"")</f>
        <v>0</v>
      </c>
      <c r="P204" s="192"/>
      <c r="Q204" s="193">
        <f>Q205+BF204+($R$350*Q205)</f>
        <v>0</v>
      </c>
      <c r="R204" s="193">
        <f>IFERROR(R205+($R$348*R205),"")</f>
        <v>0</v>
      </c>
      <c r="S204" s="194">
        <f>+IF(R206="SI",((W208*'BD GN'!$AB$2)+S205)*1,COTIZACIÓN!S205*1)+(P205*S205)</f>
        <v>0</v>
      </c>
      <c r="T204" s="195">
        <f>IFERROR(R204*IF(K204&lt;=3,$T$13,15%),"")</f>
        <v>0</v>
      </c>
      <c r="U204" s="196">
        <f>BH204+BG204</f>
        <v>0</v>
      </c>
      <c r="V204" s="197" t="str">
        <f>IFERROR(BN204,0)</f>
        <v/>
      </c>
      <c r="W204" s="198" t="str">
        <f>IFERROR(IF(X206="SI",W207*J204*K204,IF(BE204=3,BE206,IF(BE204=4,BE207,IF(BE204=5,BE208,IF(BE204&gt;5,BE208+(BE209*(BE204-5)),"")))))*0,"")</f>
        <v/>
      </c>
      <c r="X204" s="198" t="str">
        <f>IFERROR(IF(X205="NO",(VLOOKUP(D204,'BD M.O'!C:E,3,FALSE))*W208,((VLOOKUP(D204,'BD M.O'!C:E,3,FALSE))+7500)*W208),"")</f>
        <v/>
      </c>
      <c r="Y204" s="198">
        <f>IFERROR($Y$13*AK204,"")</f>
        <v>4.2084457416288003E-2</v>
      </c>
      <c r="Z204" s="332" t="str">
        <f>IFERROR(($Z$13*AK204)+X204,"")</f>
        <v/>
      </c>
      <c r="AA204" s="199" t="str">
        <f>IFERROR(Y204+Z204,"")</f>
        <v/>
      </c>
      <c r="AB204" s="200">
        <f>IFERROR((SUM(Q204:X204)-T204+T206)*$AB$13,"")</f>
        <v>0</v>
      </c>
      <c r="AC204" s="201">
        <f>IFERROR(((SUM(Q204:V204,IF(X209&gt;AA204,AVERAGE(X209,AA204),AA204))-T204+T206))*$AB$13,"")</f>
        <v>0</v>
      </c>
      <c r="AD204" s="202" t="str">
        <f>IFERROR((J204*K204*$BV$14),"")</f>
        <v/>
      </c>
      <c r="AE204" s="202">
        <f>IFERROR($AE$13*AK204,"")</f>
        <v>6.4010592649919984E-2</v>
      </c>
      <c r="AF204" s="203" t="str">
        <f>IFERROR(($CI$11+$CI$13)*W208,"")</f>
        <v/>
      </c>
      <c r="AG204" s="202">
        <f>IFERROR((SUM(Q204:X204,AB204,AD204,AF204)-T204+T206)*$AG$13,"")</f>
        <v>0</v>
      </c>
      <c r="AH204" s="202">
        <f>IFERROR((SUM(Q204:V204,(IF(X209&gt;AA204,AVERAGE(X209,AA204),AA204)),AC204,AE204,AF204)-T204+T206)*$AG$13,"")</f>
        <v>3.2005296324959992E-2</v>
      </c>
      <c r="AI204" s="204">
        <f>IFERROR(AL204*$AI$13,"")</f>
        <v>2.1531093279999997E-2</v>
      </c>
      <c r="AJ204" s="204">
        <f>IFERROR($AJ$13*AL204,"")</f>
        <v>6.007175025119999E-3</v>
      </c>
      <c r="AK204" s="205">
        <f>IFERROR(SUM(Q204:X204,AB204,AD204,AG204,AF204)/(1-$AI$13)+(1-$AJ$13)-T204+T206,"")</f>
        <v>0.99441999999999997</v>
      </c>
      <c r="AL204" s="205">
        <f>IFERROR(SUM(Q204:V204,AC204,(IF(AD204&gt;AE204,AVERAGE(AD204,AE204),AE204)),AF204,,AH204,(IF(SUM(X209)&gt;AA204,AVERAGE(AA204,X209),AA204)))/(1-$AJ$13)+(1-$AI$13)-T204+T206,"")</f>
        <v>1.0765546639999999</v>
      </c>
      <c r="AM204" s="206">
        <f>$M$15*Q204</f>
        <v>0</v>
      </c>
      <c r="AN204" s="207">
        <f>$M$15*R204</f>
        <v>0</v>
      </c>
      <c r="AO204" s="208">
        <f>$M$15*S204</f>
        <v>0</v>
      </c>
      <c r="AP204" s="207">
        <f>$M$15*T204</f>
        <v>0</v>
      </c>
      <c r="AQ204" s="207" t="e">
        <f>$M$15*#REF!</f>
        <v>#REF!</v>
      </c>
      <c r="AR204" s="207">
        <f>$M$15*U204</f>
        <v>0</v>
      </c>
      <c r="AS204" s="208" t="e">
        <f>$M$15*V204</f>
        <v>#VALUE!</v>
      </c>
      <c r="AT204" s="207" t="e">
        <f>$M$15*W204</f>
        <v>#VALUE!</v>
      </c>
      <c r="AU204" s="208" t="e">
        <f>$M$15*X204</f>
        <v>#VALUE!</v>
      </c>
      <c r="AV204" s="207">
        <f>$M$15*AB204</f>
        <v>0</v>
      </c>
      <c r="AW204" s="208">
        <f>$M$15*AE204</f>
        <v>0</v>
      </c>
      <c r="AX204" s="207">
        <f>$M$15*AG204</f>
        <v>0</v>
      </c>
      <c r="AY204" s="209">
        <f>$M$15*AI204</f>
        <v>0</v>
      </c>
      <c r="AZ204" s="207">
        <f>$M$15*AK204</f>
        <v>0</v>
      </c>
      <c r="BA204" s="210"/>
      <c r="BB204" s="175" t="s">
        <v>23</v>
      </c>
      <c r="BC204" s="211" t="s">
        <v>113</v>
      </c>
      <c r="BD204" s="210"/>
      <c r="BE204" s="212"/>
      <c r="BF204" s="213">
        <f>IF(BH205="NO",((2*J204)+(2*K204))*'BD GN'!$AU$3,((3*J204)+(2*K204))*'BD GN'!$AU$3)</f>
        <v>0</v>
      </c>
      <c r="BG204" s="213">
        <f>'BD GN'!$BB$3*J204*K204</f>
        <v>0</v>
      </c>
      <c r="BH204" s="214">
        <f>((J204*2*BE204)+(K204*2*BE204))*'BD GN'!$AN$4</f>
        <v>0</v>
      </c>
      <c r="BI204" s="210"/>
      <c r="BJ204" s="212"/>
      <c r="BK204" s="212"/>
      <c r="BL204" s="215">
        <f>J204*K204*2.5*BJ204</f>
        <v>0</v>
      </c>
      <c r="BM204" s="215">
        <f>BK204+BL204</f>
        <v>0</v>
      </c>
      <c r="BN204" s="216" t="str">
        <f>IFERROR((VLOOKUP($C$12,'BD GN'!BD:BM,10,FALSE)*BM204)+$BR$338,"")</f>
        <v/>
      </c>
      <c r="BO204" s="210"/>
      <c r="BW204" s="210"/>
      <c r="CD204" s="184"/>
      <c r="CF204" s="185"/>
      <c r="CI204" s="184"/>
      <c r="CJ204" s="210"/>
      <c r="CK204" s="565"/>
      <c r="CL204" s="256"/>
      <c r="CM204" s="596"/>
      <c r="CN204" s="626"/>
      <c r="CO204" s="629"/>
      <c r="CP204" s="629"/>
      <c r="CQ204" s="629"/>
      <c r="CR204" s="629"/>
      <c r="CS204" s="629"/>
      <c r="CT204" s="632"/>
      <c r="CU204" s="565"/>
      <c r="CV204" s="560">
        <f>IFERROR(N204*CU204,"")</f>
        <v>0</v>
      </c>
      <c r="CW204" s="565"/>
      <c r="CX204" s="560">
        <f>IFERROR(P204*CW204,"")</f>
        <v>0</v>
      </c>
      <c r="CY204" s="565"/>
      <c r="CZ204" s="560">
        <f>IFERROR(R204*CY204,"")</f>
        <v>0</v>
      </c>
      <c r="DA204" s="565">
        <f t="shared" ref="DA204" si="756">CU204+CW204+CY204</f>
        <v>0</v>
      </c>
      <c r="DB204" s="560">
        <f t="shared" ref="DB204" si="757">IFERROR(CV204+CX204+CZ204,"")</f>
        <v>0</v>
      </c>
      <c r="DC204" s="565">
        <f>M204-(CU204+CW204+CY204)</f>
        <v>0</v>
      </c>
      <c r="DD204" s="560">
        <f>IFERROR(O204-(CV204+CX204+CZ204),"")</f>
        <v>0</v>
      </c>
      <c r="DG204" s="575"/>
      <c r="DH204" s="575"/>
      <c r="DI204" s="569">
        <f t="shared" ref="DI204" si="758">IFERROR(IF(DG204&gt;0,(((N204)/(1+10%+19%*5%)+((N204)/(1+10%+19%*5%))*10%)*DH204),0),0)</f>
        <v>0</v>
      </c>
      <c r="DJ204" s="569">
        <f t="shared" ref="DJ204" si="759">IFERROR(IF(DG204&gt;0,(N204*DH204),0),0)</f>
        <v>0</v>
      </c>
      <c r="DK204" s="569">
        <f t="shared" ref="DK204" si="760">IF(DG204&gt;0,((R204+T204)*DH204),0)</f>
        <v>0</v>
      </c>
      <c r="DL204" s="569">
        <f t="shared" ref="DL204" si="761">IF(DG204&gt;0,(Q204*DH204),0)</f>
        <v>0</v>
      </c>
      <c r="DM204" s="572">
        <f t="shared" ref="DM204" si="762">IF(DG204&gt;0,(S204*DH204),0)</f>
        <v>0</v>
      </c>
      <c r="DN204" s="569">
        <f t="shared" ref="DN204" si="763">IF(DG204&gt;0,(BN204*DH204),0)</f>
        <v>0</v>
      </c>
      <c r="DO204" s="569">
        <f t="shared" ref="DO204" si="764">IF(DG204&gt;0,(AF204*DH204),0)</f>
        <v>0</v>
      </c>
      <c r="DP204" s="569">
        <f>IF(DG204&gt;0,((DI204)*('BD P&amp;G'!$E$16+'BD P&amp;G'!$E$17+'BD P&amp;G'!$E$18+'BD P&amp;G'!$E$19+'BD P&amp;G'!$E$20+'BD P&amp;G'!$E$21+'BD P&amp;G'!$E$22+'BD P&amp;G'!$E$23)*DH204),0)</f>
        <v>0</v>
      </c>
      <c r="DQ204" s="569">
        <f>IFERROR(IF(DG204&gt;0,((DI204*'BD P&amp;G'!$E$7)+(DI204*'BD P&amp;G'!$E$9)+AI204),0),0)</f>
        <v>0</v>
      </c>
      <c r="DR204" s="569">
        <f t="shared" ref="DR204" si="765">IFERROR(IF(DG204&gt;0,((DI204*1%)),0),0)</f>
        <v>0</v>
      </c>
      <c r="DS204" s="569">
        <f>IFERROR(IF(DG204&gt;0,(((DI204*'BD P&amp;G'!$E$32+DI204*'BD P&amp;G'!$E$33+DI204*'BD P&amp;G'!$E$35+DI204*'BD P&amp;G'!$E$36+DI204*'BD P&amp;G'!$E$37))),0),0)</f>
        <v>0</v>
      </c>
      <c r="DT204" s="569">
        <f t="shared" ref="DT204" si="766">IF(DG204&gt;0,(Y204*DH204),0)</f>
        <v>0</v>
      </c>
      <c r="DU204" s="569">
        <f t="shared" ref="DU204" si="767">IF(DG204&gt;0,(Z204*DH204),0)</f>
        <v>0</v>
      </c>
      <c r="DV204" s="575">
        <f t="shared" ref="DV204" si="768">IF(DG204&gt;0,(Y208*DH204),0)</f>
        <v>0</v>
      </c>
      <c r="DW204" s="575">
        <f t="shared" ref="DW204" si="769">IF(DG204&gt;0,(Z208*DH204),0)</f>
        <v>0</v>
      </c>
      <c r="DX204" s="569">
        <f t="shared" ref="DX204" si="770">IF(DV204&gt;0,DJ204,0)</f>
        <v>0</v>
      </c>
      <c r="DY204" s="569">
        <f t="shared" ref="DY204" si="771">IF(DW204&gt;0,DJ204,0)</f>
        <v>0</v>
      </c>
    </row>
    <row r="205" spans="1:194" s="175" customFormat="1" ht="60" customHeight="1" x14ac:dyDescent="0.25">
      <c r="A205" s="366"/>
      <c r="B205" s="367"/>
      <c r="C205" s="393" t="s">
        <v>28</v>
      </c>
      <c r="D205" s="598"/>
      <c r="E205" s="598"/>
      <c r="F205" s="598"/>
      <c r="G205" s="598"/>
      <c r="H205" s="598"/>
      <c r="I205" s="598"/>
      <c r="J205" s="604"/>
      <c r="K205" s="604"/>
      <c r="L205" s="607"/>
      <c r="M205" s="559"/>
      <c r="N205" s="610"/>
      <c r="O205" s="613"/>
      <c r="P205" s="192"/>
      <c r="Q205" s="217"/>
      <c r="R205" s="217"/>
      <c r="S205" s="218"/>
      <c r="T205" s="219">
        <f>IFERROR(T204/$R$353,"")</f>
        <v>0</v>
      </c>
      <c r="U205" s="206"/>
      <c r="V205" s="220"/>
      <c r="W205" s="221" t="s">
        <v>239</v>
      </c>
      <c r="X205" s="222" t="s">
        <v>204</v>
      </c>
      <c r="Y205" s="223"/>
      <c r="Z205" s="224"/>
      <c r="AA205" s="225"/>
      <c r="AB205" s="226"/>
      <c r="AC205" s="206"/>
      <c r="AD205" s="206"/>
      <c r="AE205" s="206"/>
      <c r="AF205" s="227"/>
      <c r="AG205" s="206"/>
      <c r="AH205" s="206"/>
      <c r="AI205" s="206"/>
      <c r="AJ205" s="206"/>
      <c r="AK205" s="227"/>
      <c r="AL205" s="210"/>
      <c r="AM205" s="206"/>
      <c r="AN205" s="206"/>
      <c r="AO205" s="228"/>
      <c r="AP205" s="229"/>
      <c r="AQ205" s="206"/>
      <c r="AR205" s="206"/>
      <c r="AS205" s="228"/>
      <c r="AT205" s="229"/>
      <c r="AU205" s="228"/>
      <c r="AV205" s="229"/>
      <c r="AW205" s="228"/>
      <c r="AX205" s="229"/>
      <c r="AY205" s="206"/>
      <c r="AZ205" s="229"/>
      <c r="BA205" s="210"/>
      <c r="BB205" s="175" t="s">
        <v>24</v>
      </c>
      <c r="BC205" s="175" t="s">
        <v>114</v>
      </c>
      <c r="BD205" s="210"/>
      <c r="BE205" s="176" t="s">
        <v>206</v>
      </c>
      <c r="BF205" s="230" t="s">
        <v>204</v>
      </c>
      <c r="BG205" s="176" t="s">
        <v>290</v>
      </c>
      <c r="BH205" s="231" t="s">
        <v>204</v>
      </c>
      <c r="BI205" s="210"/>
      <c r="BN205" s="232"/>
      <c r="BO205" s="210"/>
      <c r="BV205" s="184"/>
      <c r="BW205" s="210"/>
      <c r="CD205" s="184"/>
      <c r="CF205" s="185"/>
      <c r="CI205" s="184"/>
      <c r="CJ205" s="210"/>
      <c r="CK205" s="563"/>
      <c r="CM205" s="559"/>
      <c r="CN205" s="627"/>
      <c r="CO205" s="630"/>
      <c r="CP205" s="630"/>
      <c r="CQ205" s="630"/>
      <c r="CR205" s="630"/>
      <c r="CS205" s="630"/>
      <c r="CT205" s="633"/>
      <c r="CU205" s="563"/>
      <c r="CV205" s="561"/>
      <c r="CW205" s="563"/>
      <c r="CX205" s="561"/>
      <c r="CY205" s="563"/>
      <c r="CZ205" s="561"/>
      <c r="DA205" s="563"/>
      <c r="DB205" s="561"/>
      <c r="DC205" s="563"/>
      <c r="DD205" s="561"/>
      <c r="DG205" s="576"/>
      <c r="DH205" s="576"/>
      <c r="DI205" s="570"/>
      <c r="DJ205" s="570"/>
      <c r="DK205" s="570"/>
      <c r="DL205" s="570"/>
      <c r="DM205" s="573"/>
      <c r="DN205" s="570"/>
      <c r="DO205" s="570"/>
      <c r="DP205" s="570"/>
      <c r="DQ205" s="570"/>
      <c r="DR205" s="570"/>
      <c r="DS205" s="570"/>
      <c r="DT205" s="570"/>
      <c r="DU205" s="570"/>
      <c r="DV205" s="576"/>
      <c r="DW205" s="576"/>
      <c r="DX205" s="570"/>
      <c r="DY205" s="570"/>
    </row>
    <row r="206" spans="1:194" s="175" customFormat="1" ht="60" customHeight="1" x14ac:dyDescent="0.3">
      <c r="A206" s="366"/>
      <c r="B206" s="367"/>
      <c r="C206" s="393" t="s">
        <v>30</v>
      </c>
      <c r="D206" s="599"/>
      <c r="E206" s="599"/>
      <c r="F206" s="599"/>
      <c r="G206" s="599"/>
      <c r="H206" s="599"/>
      <c r="I206" s="599"/>
      <c r="J206" s="604"/>
      <c r="K206" s="604"/>
      <c r="L206" s="607"/>
      <c r="M206" s="559"/>
      <c r="N206" s="610"/>
      <c r="O206" s="613"/>
      <c r="P206" s="192"/>
      <c r="Q206" s="176" t="s">
        <v>205</v>
      </c>
      <c r="R206" s="233" t="s">
        <v>204</v>
      </c>
      <c r="S206" s="234"/>
      <c r="T206" s="235">
        <f>IFERROR(($R$353-8000)*T205,"")</f>
        <v>0</v>
      </c>
      <c r="U206" s="206"/>
      <c r="V206" s="220"/>
      <c r="W206" s="221" t="s">
        <v>258</v>
      </c>
      <c r="X206" s="222" t="s">
        <v>204</v>
      </c>
      <c r="Y206" s="236"/>
      <c r="Z206" s="237"/>
      <c r="AA206" s="225"/>
      <c r="AB206" s="226"/>
      <c r="AC206" s="206"/>
      <c r="AD206" s="206"/>
      <c r="AE206" s="206"/>
      <c r="AF206" s="227"/>
      <c r="AG206" s="206"/>
      <c r="AH206" s="206"/>
      <c r="AI206" s="206"/>
      <c r="AJ206" s="206"/>
      <c r="AK206" s="227"/>
      <c r="AL206" s="238"/>
      <c r="AM206" s="206"/>
      <c r="AN206" s="206"/>
      <c r="AO206" s="228"/>
      <c r="AP206" s="229"/>
      <c r="AQ206" s="206"/>
      <c r="AR206" s="206"/>
      <c r="AS206" s="228"/>
      <c r="AT206" s="229"/>
      <c r="AU206" s="228"/>
      <c r="AV206" s="229"/>
      <c r="AW206" s="228"/>
      <c r="AX206" s="229"/>
      <c r="AY206" s="206"/>
      <c r="AZ206" s="229"/>
      <c r="BA206" s="210"/>
      <c r="BB206" s="175" t="s">
        <v>26</v>
      </c>
      <c r="BC206" s="211" t="s">
        <v>115</v>
      </c>
      <c r="BD206" s="210"/>
      <c r="BE206" s="177" t="str">
        <f>IFERROR(VLOOKUP(D204,'BD M.O'!C:H,4,FALSE),"")</f>
        <v/>
      </c>
      <c r="BF206" s="177" t="s">
        <v>259</v>
      </c>
      <c r="BI206" s="210"/>
      <c r="BO206" s="210"/>
      <c r="BV206" s="184"/>
      <c r="BW206" s="210"/>
      <c r="CD206" s="184"/>
      <c r="CF206" s="185"/>
      <c r="CI206" s="184"/>
      <c r="CJ206" s="210"/>
      <c r="CK206" s="563"/>
      <c r="CM206" s="559"/>
      <c r="CN206" s="627"/>
      <c r="CO206" s="630"/>
      <c r="CP206" s="630"/>
      <c r="CQ206" s="630"/>
      <c r="CR206" s="630"/>
      <c r="CS206" s="630"/>
      <c r="CT206" s="633"/>
      <c r="CU206" s="563"/>
      <c r="CV206" s="561"/>
      <c r="CW206" s="563"/>
      <c r="CX206" s="561"/>
      <c r="CY206" s="563"/>
      <c r="CZ206" s="561"/>
      <c r="DA206" s="563"/>
      <c r="DB206" s="561"/>
      <c r="DC206" s="563"/>
      <c r="DD206" s="561"/>
      <c r="DG206" s="577"/>
      <c r="DH206" s="577"/>
      <c r="DI206" s="571"/>
      <c r="DJ206" s="571"/>
      <c r="DK206" s="571"/>
      <c r="DL206" s="571"/>
      <c r="DM206" s="574"/>
      <c r="DN206" s="571"/>
      <c r="DO206" s="571"/>
      <c r="DP206" s="571"/>
      <c r="DQ206" s="571"/>
      <c r="DR206" s="571"/>
      <c r="DS206" s="571"/>
      <c r="DT206" s="571"/>
      <c r="DU206" s="571"/>
      <c r="DV206" s="577"/>
      <c r="DW206" s="577"/>
      <c r="DX206" s="571"/>
      <c r="DY206" s="571"/>
    </row>
    <row r="207" spans="1:194" s="175" customFormat="1" ht="60" customHeight="1" x14ac:dyDescent="0.25">
      <c r="A207" s="366"/>
      <c r="B207" s="367"/>
      <c r="C207" s="395" t="s">
        <v>180</v>
      </c>
      <c r="D207" s="599" t="s">
        <v>31</v>
      </c>
      <c r="E207" s="599"/>
      <c r="F207" s="394" t="s">
        <v>9</v>
      </c>
      <c r="G207" s="599" t="s">
        <v>33</v>
      </c>
      <c r="H207" s="599"/>
      <c r="I207" s="394" t="str">
        <f>+IF($BG$9="SI","","X")</f>
        <v>X</v>
      </c>
      <c r="J207" s="604"/>
      <c r="K207" s="604"/>
      <c r="L207" s="607"/>
      <c r="M207" s="559"/>
      <c r="N207" s="610"/>
      <c r="O207" s="613"/>
      <c r="P207" s="192"/>
      <c r="Q207" s="239"/>
      <c r="R207" s="221" t="s">
        <v>209</v>
      </c>
      <c r="S207" s="234" t="str">
        <f>IF(S205="","",S205/(J204*K204))</f>
        <v/>
      </c>
      <c r="T207" s="226"/>
      <c r="U207" s="206"/>
      <c r="V207" s="220"/>
      <c r="W207" s="239" t="str">
        <f>IFERROR(IF(X206="SI",VLOOKUP(D204,'BD M.O'!C:F,4,FALSE),""),"")</f>
        <v/>
      </c>
      <c r="X207" s="221" t="s">
        <v>258</v>
      </c>
      <c r="Y207" s="221" t="s">
        <v>507</v>
      </c>
      <c r="Z207" s="221" t="s">
        <v>508</v>
      </c>
      <c r="AA207" s="225"/>
      <c r="AB207" s="226"/>
      <c r="AC207" s="206"/>
      <c r="AD207" s="206"/>
      <c r="AE207" s="206"/>
      <c r="AF207" s="227"/>
      <c r="AG207" s="206"/>
      <c r="AH207" s="206"/>
      <c r="AI207" s="206"/>
      <c r="AJ207" s="206"/>
      <c r="AK207" s="227"/>
      <c r="AL207" s="240"/>
      <c r="AM207" s="206"/>
      <c r="AN207" s="206"/>
      <c r="AO207" s="228"/>
      <c r="AP207" s="229"/>
      <c r="AQ207" s="206"/>
      <c r="AR207" s="206"/>
      <c r="AS207" s="228"/>
      <c r="AT207" s="229"/>
      <c r="AU207" s="228"/>
      <c r="AV207" s="229"/>
      <c r="AW207" s="228"/>
      <c r="AX207" s="229"/>
      <c r="AY207" s="206"/>
      <c r="AZ207" s="229"/>
      <c r="BA207" s="210"/>
      <c r="BC207" s="175" t="s">
        <v>116</v>
      </c>
      <c r="BD207" s="210"/>
      <c r="BE207" s="177" t="str">
        <f>IFERROR(VLOOKUP(COTIZACIÓN!D204,'BD M.O'!C:I,5,FALSE),"")</f>
        <v/>
      </c>
      <c r="BF207" s="177" t="s">
        <v>260</v>
      </c>
      <c r="BI207" s="210"/>
      <c r="BO207" s="210"/>
      <c r="BP207" s="183"/>
      <c r="BQ207" s="183"/>
      <c r="BR207" s="183"/>
      <c r="BS207" s="183"/>
      <c r="BT207" s="183"/>
      <c r="BU207" s="183"/>
      <c r="BV207" s="182"/>
      <c r="BW207" s="210"/>
      <c r="BX207" s="183"/>
      <c r="BY207" s="183"/>
      <c r="BZ207" s="183"/>
      <c r="CA207" s="183"/>
      <c r="CB207" s="183"/>
      <c r="CC207" s="183"/>
      <c r="CD207" s="182"/>
      <c r="CE207" s="183"/>
      <c r="CF207" s="241"/>
      <c r="CG207" s="183"/>
      <c r="CH207" s="183"/>
      <c r="CI207" s="182"/>
      <c r="CJ207" s="210"/>
      <c r="CK207" s="563"/>
      <c r="CM207" s="559"/>
      <c r="CN207" s="627"/>
      <c r="CO207" s="630"/>
      <c r="CP207" s="630"/>
      <c r="CQ207" s="630"/>
      <c r="CR207" s="630"/>
      <c r="CS207" s="630"/>
      <c r="CT207" s="633"/>
      <c r="CU207" s="563"/>
      <c r="CV207" s="561"/>
      <c r="CW207" s="563"/>
      <c r="CX207" s="561"/>
      <c r="CY207" s="563"/>
      <c r="CZ207" s="561"/>
      <c r="DA207" s="563"/>
      <c r="DB207" s="561"/>
      <c r="DC207" s="563"/>
      <c r="DD207" s="561"/>
      <c r="DG207" s="575"/>
      <c r="DH207" s="575"/>
      <c r="DI207" s="569">
        <f t="shared" ref="DI207" si="772">IFERROR(IF(DG207&gt;0,(((N204)/(1+10%+19%*5%)+((N204)/(1+10%+19%*5%))*10%)*DH207),0),0)</f>
        <v>0</v>
      </c>
      <c r="DJ207" s="569">
        <f t="shared" ref="DJ207" si="773">IFERROR(IF(DG207&gt;0,(N204*DH207),0),0)</f>
        <v>0</v>
      </c>
      <c r="DK207" s="569">
        <f t="shared" ref="DK207" si="774">IF(DG207&gt;0,((R204+T204)*DH207),0)</f>
        <v>0</v>
      </c>
      <c r="DL207" s="569">
        <f t="shared" ref="DL207" si="775">IF(DG207&gt;0,(Q204*DH207),0)</f>
        <v>0</v>
      </c>
      <c r="DM207" s="572">
        <f t="shared" ref="DM207" si="776">IF(DG207&gt;0,(S204*DH207),0)</f>
        <v>0</v>
      </c>
      <c r="DN207" s="569">
        <f t="shared" ref="DN207" si="777">IF(DG207&gt;0,(BN204*DH207),0)</f>
        <v>0</v>
      </c>
      <c r="DO207" s="569">
        <f t="shared" ref="DO207" si="778">IF(DG207&gt;0,(AF204*DH207),0)</f>
        <v>0</v>
      </c>
      <c r="DP207" s="569">
        <f>IF(DG207&gt;0,((DI207)*('BD P&amp;G'!$E$16+'BD P&amp;G'!$E$17+'BD P&amp;G'!$E$18+'BD P&amp;G'!$E$19+'BD P&amp;G'!$E$20+'BD P&amp;G'!$E$21+'BD P&amp;G'!$E$22+'BD P&amp;G'!$E$23)*DH207),0)</f>
        <v>0</v>
      </c>
      <c r="DQ207" s="569">
        <f>IFERROR(IF(DG207&gt;0,((DI207*'BD P&amp;G'!$E$7)+(DI207*'BD P&amp;G'!$E$9)+AI204),0),0)</f>
        <v>0</v>
      </c>
      <c r="DR207" s="569">
        <f t="shared" ref="DR207" si="779">IFERROR(IF(DG207&gt;0,((DI207*1%)),0),0)</f>
        <v>0</v>
      </c>
      <c r="DS207" s="569">
        <f>IFERROR(IF(DG207&gt;0,(((DI207*'BD P&amp;G'!$E$32+DI207*'BD P&amp;G'!$E$33+DI207*'BD P&amp;G'!$E$35+DI207*'BD P&amp;G'!$E$36+DI207*'BD P&amp;G'!$E$37))),0),0)</f>
        <v>0</v>
      </c>
      <c r="DT207" s="569">
        <f t="shared" ref="DT207" si="780">IF(DG207&gt;0,(Y204*DH207),0)</f>
        <v>0</v>
      </c>
      <c r="DU207" s="569">
        <f t="shared" ref="DU207" si="781">IF(DG207&gt;0,(Z204*DH207),0)</f>
        <v>0</v>
      </c>
      <c r="DV207" s="575">
        <f t="shared" ref="DV207" si="782">IF(DG207&gt;0,(Y208*DH207),0)</f>
        <v>0</v>
      </c>
      <c r="DW207" s="575">
        <f t="shared" ref="DW207" si="783">IF(DG207&gt;0,(Z208*DH207),0)</f>
        <v>0</v>
      </c>
      <c r="DX207" s="569">
        <f t="shared" ref="DX207" si="784">IF(DV207&gt;0,DJ207,0)</f>
        <v>0</v>
      </c>
      <c r="DY207" s="569">
        <f t="shared" ref="DY207" si="785">IF(DW207&gt;0,DJ207,0)</f>
        <v>0</v>
      </c>
    </row>
    <row r="208" spans="1:194" s="175" customFormat="1" ht="60" customHeight="1" x14ac:dyDescent="0.3">
      <c r="A208" s="366"/>
      <c r="B208" s="367"/>
      <c r="C208" s="393" t="s">
        <v>35</v>
      </c>
      <c r="D208" s="599" t="str">
        <f>IFERROR(VLOOKUP(D204,'BD GN'!C:E,3,),"")</f>
        <v/>
      </c>
      <c r="E208" s="599"/>
      <c r="F208" s="599"/>
      <c r="G208" s="599"/>
      <c r="H208" s="599"/>
      <c r="I208" s="599"/>
      <c r="J208" s="604"/>
      <c r="K208" s="604"/>
      <c r="L208" s="607"/>
      <c r="M208" s="559"/>
      <c r="N208" s="610"/>
      <c r="O208" s="613"/>
      <c r="P208" s="192"/>
      <c r="Q208" s="239"/>
      <c r="R208" s="221" t="s">
        <v>210</v>
      </c>
      <c r="S208" s="234" t="str">
        <f>IFERROR(IF(N204="","",N204/W208),"")</f>
        <v/>
      </c>
      <c r="T208" s="226"/>
      <c r="U208" s="206"/>
      <c r="V208" s="220"/>
      <c r="W208" s="242" t="str">
        <f>+IF(J204*K204&gt;=1,J204*K204,IF(AND(J204*K204&gt;0,J204*K204&lt;1),1,""))</f>
        <v/>
      </c>
      <c r="X208" s="221" t="s">
        <v>298</v>
      </c>
      <c r="Y208" s="461">
        <f>IFERROR(IF(D204='BD GN'!$C$25,COTIZACIÓN!W208,IF(D204='BD GN'!$C$26,COTIZACIÓN!W208,IF(D204='BD GN'!$C$27,COTIZACIÓN!W208,IF(COTIZACIÓN!D204='BD GN'!$C$28,COTIZACIÓN!W208,IF(COTIZACIÓN!D204='BD GN'!$C$29,COTIZACIÓN!W208,IF(COTIZACIÓN!D204='BD GN'!$C$35,COTIZACIÓN!W208,IF(COTIZACIÓN!D204='BD GN'!$C$36,COTIZACIÓN!W208,IF(COTIZACIÓN!D204='BD GN'!$C$37,COTIZACIÓN!W208,IF(COTIZACIÓN!D204='BD GN'!$C$38,COTIZACIÓN!W208,IF(COTIZACIÓN!D204='BD GN'!$C$39,COTIZACIÓN!W208,IF(COTIZACIÓN!D204='BD GN'!$C$40,COTIZACIÓN!W208,IF(COTIZACIÓN!D204='BD GN'!$C$41,COTIZACIÓN!W208,IF(COTIZACIÓN!D204='BD GN'!$C$42,COTIZACIÓN!W208,IF(COTIZACIÓN!D204='BD GN'!$C$49,COTIZACIÓN!W208,IF(COTIZACIÓN!D204='BD GN'!$C$50,COTIZACIÓN!W208,IF(COTIZACIÓN!D204='BD GN'!$C$51,COTIZACIÓN!W208,IF(COTIZACIÓN!D204='BD GN'!$C$67,COTIZACIÓN!W208,0))))))))))))))))),0)</f>
        <v>0</v>
      </c>
      <c r="Z208" s="461">
        <f>IFERROR(W208-Y208,0)</f>
        <v>0</v>
      </c>
      <c r="AA208" s="225"/>
      <c r="AB208" s="226"/>
      <c r="AC208" s="206"/>
      <c r="AD208" s="206"/>
      <c r="AE208" s="206"/>
      <c r="AF208" s="227"/>
      <c r="AG208" s="206"/>
      <c r="AH208" s="206"/>
      <c r="AI208" s="206"/>
      <c r="AJ208" s="206"/>
      <c r="AK208" s="227"/>
      <c r="AL208" s="210"/>
      <c r="AM208" s="206"/>
      <c r="AN208" s="206"/>
      <c r="AO208" s="228"/>
      <c r="AP208" s="229"/>
      <c r="AQ208" s="206"/>
      <c r="AR208" s="206"/>
      <c r="AS208" s="228"/>
      <c r="AT208" s="229"/>
      <c r="AU208" s="228"/>
      <c r="AV208" s="229"/>
      <c r="AW208" s="228"/>
      <c r="AX208" s="229"/>
      <c r="AY208" s="206"/>
      <c r="AZ208" s="229"/>
      <c r="BA208" s="210"/>
      <c r="BC208" s="211" t="s">
        <v>117</v>
      </c>
      <c r="BD208" s="210"/>
      <c r="BE208" s="177" t="str">
        <f>IFERROR(VLOOKUP(D204,'BD M.O'!C:I,6,FALSE),"")</f>
        <v/>
      </c>
      <c r="BF208" s="177" t="s">
        <v>261</v>
      </c>
      <c r="BI208" s="210"/>
      <c r="BO208" s="210"/>
      <c r="BP208" s="183"/>
      <c r="BQ208" s="183"/>
      <c r="BR208" s="183"/>
      <c r="BW208" s="210"/>
      <c r="CD208" s="184"/>
      <c r="CF208" s="185"/>
      <c r="CI208" s="184"/>
      <c r="CJ208" s="210"/>
      <c r="CK208" s="563"/>
      <c r="CM208" s="559"/>
      <c r="CN208" s="627"/>
      <c r="CO208" s="630"/>
      <c r="CP208" s="630"/>
      <c r="CQ208" s="630"/>
      <c r="CR208" s="630"/>
      <c r="CS208" s="630"/>
      <c r="CT208" s="633"/>
      <c r="CU208" s="563"/>
      <c r="CV208" s="561"/>
      <c r="CW208" s="563"/>
      <c r="CX208" s="561"/>
      <c r="CY208" s="563"/>
      <c r="CZ208" s="561"/>
      <c r="DA208" s="563"/>
      <c r="DB208" s="561"/>
      <c r="DC208" s="563"/>
      <c r="DD208" s="561"/>
      <c r="DG208" s="576"/>
      <c r="DH208" s="576"/>
      <c r="DI208" s="570"/>
      <c r="DJ208" s="570"/>
      <c r="DK208" s="570"/>
      <c r="DL208" s="570"/>
      <c r="DM208" s="573"/>
      <c r="DN208" s="570"/>
      <c r="DO208" s="570"/>
      <c r="DP208" s="570"/>
      <c r="DQ208" s="570"/>
      <c r="DR208" s="570"/>
      <c r="DS208" s="570"/>
      <c r="DT208" s="570"/>
      <c r="DU208" s="570"/>
      <c r="DV208" s="576"/>
      <c r="DW208" s="576"/>
      <c r="DX208" s="570"/>
      <c r="DY208" s="570"/>
    </row>
    <row r="209" spans="1:194" s="252" customFormat="1" ht="60" customHeight="1" x14ac:dyDescent="0.25">
      <c r="A209" s="368"/>
      <c r="B209" s="369"/>
      <c r="C209" s="396" t="s">
        <v>10</v>
      </c>
      <c r="D209" s="645" t="s">
        <v>32</v>
      </c>
      <c r="E209" s="645"/>
      <c r="F209" s="645"/>
      <c r="G209" s="645"/>
      <c r="H209" s="645"/>
      <c r="I209" s="645"/>
      <c r="J209" s="643"/>
      <c r="K209" s="643"/>
      <c r="L209" s="646"/>
      <c r="M209" s="648"/>
      <c r="N209" s="649"/>
      <c r="O209" s="644"/>
      <c r="P209" s="192"/>
      <c r="Q209" s="239"/>
      <c r="R209" s="334" t="s">
        <v>475</v>
      </c>
      <c r="S209" s="234" t="str">
        <f>IFERROR(IF($C$12='BD GN'!$CC$1,VLOOKUP(COTIZACIÓN!D204,'BD GN'!CB:CG,2,FALSE),IF(COTIZACIÓN!$C$12='BD GN'!$CD$1,VLOOKUP(COTIZACIÓN!D204,'BD GN'!CB:CG,3,FALSE),IF($C$12='BD GN'!$CE$1,VLOOKUP(COTIZACIÓN!D204,'BD GN'!CB:CG,4,FALSE),IF(COTIZACIÓN!$C$12='BD GN'!$CF$1,VLOOKUP(COTIZACIÓN!D204,'BD GN'!CB:CG,5,FALSE),IF(COTIZACIÓN!$C$12='BD GN'!$CG$1,VLOOKUP(COTIZACIÓN!D204,'BD GN'!CB:CG,6,FALSE),""))))),"-")</f>
        <v/>
      </c>
      <c r="T209" s="243"/>
      <c r="U209" s="244"/>
      <c r="V209" s="245"/>
      <c r="W209" s="177" t="s">
        <v>394</v>
      </c>
      <c r="X209" s="246">
        <f>IFERROR(SUM(W204:X204),"")</f>
        <v>0</v>
      </c>
      <c r="Y209" s="166" t="s">
        <v>404</v>
      </c>
      <c r="Z209" s="199" t="str">
        <f>IFERROR(Y204+Z204,"")</f>
        <v/>
      </c>
      <c r="AA209" s="247"/>
      <c r="AB209" s="243"/>
      <c r="AC209" s="244"/>
      <c r="AD209" s="244"/>
      <c r="AE209" s="244"/>
      <c r="AF209" s="227"/>
      <c r="AG209" s="206"/>
      <c r="AH209" s="206"/>
      <c r="AI209" s="206"/>
      <c r="AJ209" s="206"/>
      <c r="AK209" s="227"/>
      <c r="AL209" s="227"/>
      <c r="AM209" s="248"/>
      <c r="AN209" s="248"/>
      <c r="AO209" s="249"/>
      <c r="AP209" s="250"/>
      <c r="AQ209" s="248"/>
      <c r="AR209" s="248"/>
      <c r="AS209" s="249"/>
      <c r="AT209" s="250"/>
      <c r="AU209" s="249"/>
      <c r="AV209" s="250"/>
      <c r="AW209" s="249"/>
      <c r="AX209" s="250"/>
      <c r="AY209" s="248"/>
      <c r="AZ209" s="250"/>
      <c r="BA209" s="210"/>
      <c r="BB209" s="175"/>
      <c r="BC209" s="175" t="s">
        <v>118</v>
      </c>
      <c r="BD209" s="210"/>
      <c r="BE209" s="251" t="str">
        <f>IFERROR(VLOOKUP(D204,'BD M.O'!C:I,7,FALSE),"")</f>
        <v/>
      </c>
      <c r="BF209" s="251" t="s">
        <v>262</v>
      </c>
      <c r="BG209" s="175"/>
      <c r="BH209" s="175"/>
      <c r="BI209" s="210"/>
      <c r="BJ209" s="175"/>
      <c r="BK209" s="175"/>
      <c r="BL209" s="175"/>
      <c r="BM209" s="175"/>
      <c r="BN209" s="175"/>
      <c r="BO209" s="210"/>
      <c r="BP209" s="175"/>
      <c r="BQ209" s="175"/>
      <c r="BR209" s="175"/>
      <c r="BS209" s="183"/>
      <c r="BT209" s="183"/>
      <c r="BU209" s="183"/>
      <c r="BV209" s="183"/>
      <c r="BW209" s="210"/>
      <c r="BX209" s="175"/>
      <c r="BY209" s="175"/>
      <c r="BZ209" s="175"/>
      <c r="CA209" s="175"/>
      <c r="CB209" s="175"/>
      <c r="CC209" s="175"/>
      <c r="CD209" s="184"/>
      <c r="CE209" s="175"/>
      <c r="CF209" s="185"/>
      <c r="CG209" s="175"/>
      <c r="CH209" s="175"/>
      <c r="CI209" s="184"/>
      <c r="CJ209" s="210"/>
      <c r="CK209" s="564"/>
      <c r="CL209" s="257"/>
      <c r="CM209" s="597"/>
      <c r="CN209" s="628"/>
      <c r="CO209" s="631"/>
      <c r="CP209" s="631"/>
      <c r="CQ209" s="631"/>
      <c r="CR209" s="631"/>
      <c r="CS209" s="631"/>
      <c r="CT209" s="634"/>
      <c r="CU209" s="564"/>
      <c r="CV209" s="562"/>
      <c r="CW209" s="564"/>
      <c r="CX209" s="562"/>
      <c r="CY209" s="564"/>
      <c r="CZ209" s="562"/>
      <c r="DA209" s="564"/>
      <c r="DB209" s="562"/>
      <c r="DC209" s="564"/>
      <c r="DD209" s="562"/>
      <c r="DE209" s="175"/>
      <c r="DF209" s="175"/>
      <c r="DG209" s="577"/>
      <c r="DH209" s="577"/>
      <c r="DI209" s="571"/>
      <c r="DJ209" s="571"/>
      <c r="DK209" s="571"/>
      <c r="DL209" s="571"/>
      <c r="DM209" s="574"/>
      <c r="DN209" s="571"/>
      <c r="DO209" s="571"/>
      <c r="DP209" s="571"/>
      <c r="DQ209" s="571"/>
      <c r="DR209" s="571"/>
      <c r="DS209" s="571"/>
      <c r="DT209" s="571"/>
      <c r="DU209" s="571"/>
      <c r="DV209" s="577"/>
      <c r="DW209" s="577"/>
      <c r="DX209" s="571"/>
      <c r="DY209" s="571"/>
      <c r="DZ209" s="175"/>
      <c r="EA209" s="175"/>
      <c r="EB209" s="175"/>
      <c r="EC209" s="175"/>
      <c r="ED209" s="175"/>
      <c r="EE209" s="175"/>
      <c r="EF209" s="175"/>
      <c r="EG209" s="175"/>
      <c r="EH209" s="175"/>
      <c r="EI209" s="175"/>
      <c r="EJ209" s="175"/>
      <c r="EK209" s="175"/>
      <c r="EL209" s="175"/>
      <c r="EM209" s="175"/>
      <c r="EN209" s="175"/>
      <c r="EO209" s="175"/>
      <c r="EP209" s="175"/>
      <c r="EQ209" s="175"/>
      <c r="ER209" s="175"/>
      <c r="ES209" s="175"/>
      <c r="ET209" s="175"/>
      <c r="EU209" s="175"/>
      <c r="EV209" s="175"/>
      <c r="EW209" s="175"/>
      <c r="EX209" s="175"/>
      <c r="EY209" s="175"/>
      <c r="EZ209" s="175"/>
      <c r="FA209" s="175"/>
      <c r="FB209" s="175"/>
      <c r="FC209" s="175"/>
      <c r="FD209" s="175"/>
      <c r="FE209" s="175"/>
      <c r="FF209" s="175"/>
      <c r="FG209" s="175"/>
      <c r="FH209" s="175"/>
      <c r="FI209" s="175"/>
      <c r="FJ209" s="175"/>
      <c r="FK209" s="175"/>
      <c r="FL209" s="175"/>
      <c r="FM209" s="175"/>
      <c r="FN209" s="175"/>
      <c r="FO209" s="175"/>
      <c r="FP209" s="175"/>
      <c r="FQ209" s="175"/>
      <c r="FR209" s="175"/>
      <c r="FS209" s="175"/>
      <c r="FT209" s="175"/>
      <c r="FU209" s="175"/>
      <c r="FV209" s="175"/>
      <c r="FW209" s="175"/>
      <c r="FX209" s="175"/>
      <c r="FY209" s="175"/>
      <c r="FZ209" s="175"/>
      <c r="GA209" s="175"/>
      <c r="GB209" s="175"/>
      <c r="GC209" s="175"/>
      <c r="GD209" s="175"/>
      <c r="GE209" s="175"/>
      <c r="GF209" s="175"/>
      <c r="GG209" s="175"/>
      <c r="GH209" s="175"/>
      <c r="GI209" s="175"/>
      <c r="GJ209" s="175"/>
      <c r="GK209" s="175"/>
      <c r="GL209" s="175"/>
    </row>
    <row r="210" spans="1:194" s="255" customFormat="1" ht="60" customHeight="1" x14ac:dyDescent="0.3">
      <c r="A210" s="362" t="s">
        <v>193</v>
      </c>
      <c r="B210" s="363" t="s">
        <v>25</v>
      </c>
      <c r="C210" s="391" t="s">
        <v>174</v>
      </c>
      <c r="D210" s="640" t="s">
        <v>173</v>
      </c>
      <c r="E210" s="640"/>
      <c r="F210" s="640"/>
      <c r="G210" s="640"/>
      <c r="H210" s="640"/>
      <c r="I210" s="640"/>
      <c r="J210" s="418" t="s">
        <v>443</v>
      </c>
      <c r="K210" s="418" t="s">
        <v>444</v>
      </c>
      <c r="L210" s="418" t="s">
        <v>171</v>
      </c>
      <c r="M210" s="363" t="s">
        <v>2</v>
      </c>
      <c r="N210" s="419" t="s">
        <v>7</v>
      </c>
      <c r="O210" s="420" t="s">
        <v>8</v>
      </c>
      <c r="P210" s="159"/>
      <c r="Q210" s="164" t="s">
        <v>93</v>
      </c>
      <c r="R210" s="164" t="s">
        <v>34</v>
      </c>
      <c r="S210" s="164" t="s">
        <v>28</v>
      </c>
      <c r="T210" s="164" t="s">
        <v>95</v>
      </c>
      <c r="U210" s="164" t="s">
        <v>96</v>
      </c>
      <c r="V210" s="164" t="s">
        <v>97</v>
      </c>
      <c r="W210" s="164" t="s">
        <v>4</v>
      </c>
      <c r="X210" s="164" t="s">
        <v>103</v>
      </c>
      <c r="Y210" s="160" t="s">
        <v>402</v>
      </c>
      <c r="Z210" s="165" t="s">
        <v>403</v>
      </c>
      <c r="AA210" s="166" t="s">
        <v>404</v>
      </c>
      <c r="AB210" s="164" t="s">
        <v>99</v>
      </c>
      <c r="AC210" s="164" t="s">
        <v>395</v>
      </c>
      <c r="AD210" s="253" t="s">
        <v>36</v>
      </c>
      <c r="AE210" s="164" t="s">
        <v>389</v>
      </c>
      <c r="AF210" s="164" t="s">
        <v>390</v>
      </c>
      <c r="AG210" s="164" t="s">
        <v>164</v>
      </c>
      <c r="AH210" s="253" t="s">
        <v>396</v>
      </c>
      <c r="AI210" s="164" t="s">
        <v>190</v>
      </c>
      <c r="AJ210" s="164" t="s">
        <v>339</v>
      </c>
      <c r="AK210" s="253" t="s">
        <v>391</v>
      </c>
      <c r="AL210" s="253" t="s">
        <v>393</v>
      </c>
      <c r="AM210" s="167" t="s">
        <v>93</v>
      </c>
      <c r="AN210" s="168" t="s">
        <v>34</v>
      </c>
      <c r="AO210" s="169" t="s">
        <v>28</v>
      </c>
      <c r="AP210" s="170" t="s">
        <v>95</v>
      </c>
      <c r="AQ210" s="167" t="s">
        <v>3</v>
      </c>
      <c r="AR210" s="167" t="s">
        <v>96</v>
      </c>
      <c r="AS210" s="169" t="s">
        <v>97</v>
      </c>
      <c r="AT210" s="170" t="s">
        <v>4</v>
      </c>
      <c r="AU210" s="169" t="s">
        <v>103</v>
      </c>
      <c r="AV210" s="170" t="s">
        <v>99</v>
      </c>
      <c r="AW210" s="169" t="s">
        <v>36</v>
      </c>
      <c r="AX210" s="171" t="s">
        <v>29</v>
      </c>
      <c r="AY210" s="172" t="s">
        <v>190</v>
      </c>
      <c r="AZ210" s="173" t="s">
        <v>102</v>
      </c>
      <c r="BA210" s="174"/>
      <c r="BB210" s="183"/>
      <c r="BC210" s="211" t="s">
        <v>119</v>
      </c>
      <c r="BD210" s="174"/>
      <c r="BE210" s="176" t="s">
        <v>189</v>
      </c>
      <c r="BF210" s="177" t="str">
        <f>$BF$13</f>
        <v xml:space="preserve">VR SILICONA </v>
      </c>
      <c r="BG210" s="177" t="str">
        <f>$BG$13</f>
        <v xml:space="preserve">VR PELÍCULA </v>
      </c>
      <c r="BH210" s="254" t="str">
        <f>$BH$13</f>
        <v>VR EMBALAJE</v>
      </c>
      <c r="BI210" s="174"/>
      <c r="BJ210" s="176" t="str">
        <f>$BJ$13</f>
        <v>ESP. CRISTAL</v>
      </c>
      <c r="BK210" s="176" t="s">
        <v>130</v>
      </c>
      <c r="BL210" s="177" t="s">
        <v>28</v>
      </c>
      <c r="BM210" s="177" t="str">
        <f>BM203</f>
        <v>TOTAL</v>
      </c>
      <c r="BN210" s="177" t="s">
        <v>133</v>
      </c>
      <c r="BO210" s="174"/>
      <c r="BP210" s="175"/>
      <c r="BQ210" s="175"/>
      <c r="BR210" s="175"/>
      <c r="BS210" s="175"/>
      <c r="BT210" s="175"/>
      <c r="BU210" s="175"/>
      <c r="BV210" s="175"/>
      <c r="BW210" s="174"/>
      <c r="BX210" s="175"/>
      <c r="BY210" s="175"/>
      <c r="BZ210" s="175"/>
      <c r="CA210" s="175"/>
      <c r="CB210" s="175"/>
      <c r="CC210" s="175"/>
      <c r="CD210" s="184"/>
      <c r="CE210" s="175"/>
      <c r="CF210" s="185"/>
      <c r="CG210" s="175"/>
      <c r="CH210" s="175"/>
      <c r="CI210" s="184"/>
      <c r="CJ210" s="174"/>
      <c r="CK210" s="186" t="s">
        <v>415</v>
      </c>
      <c r="CL210" s="187" t="s">
        <v>417</v>
      </c>
      <c r="CM210" s="187" t="s">
        <v>416</v>
      </c>
      <c r="CN210" s="188" t="s">
        <v>418</v>
      </c>
      <c r="CO210" s="187" t="s">
        <v>417</v>
      </c>
      <c r="CP210" s="187" t="s">
        <v>409</v>
      </c>
      <c r="CQ210" s="187" t="s">
        <v>410</v>
      </c>
      <c r="CR210" s="187" t="s">
        <v>411</v>
      </c>
      <c r="CS210" s="187" t="s">
        <v>412</v>
      </c>
      <c r="CT210" s="187" t="s">
        <v>413</v>
      </c>
      <c r="CU210" s="189" t="s">
        <v>2</v>
      </c>
      <c r="CV210" s="190" t="s">
        <v>159</v>
      </c>
      <c r="CW210" s="189" t="s">
        <v>2</v>
      </c>
      <c r="CX210" s="190" t="s">
        <v>159</v>
      </c>
      <c r="CY210" s="189" t="s">
        <v>2</v>
      </c>
      <c r="CZ210" s="190" t="s">
        <v>159</v>
      </c>
      <c r="DA210" s="189" t="s">
        <v>2</v>
      </c>
      <c r="DB210" s="190" t="s">
        <v>159</v>
      </c>
      <c r="DC210" s="189" t="s">
        <v>2</v>
      </c>
      <c r="DD210" s="190" t="s">
        <v>159</v>
      </c>
      <c r="DE210" s="183"/>
      <c r="DF210" s="183"/>
      <c r="DG210" s="177" t="s">
        <v>505</v>
      </c>
      <c r="DH210" s="472" t="s">
        <v>509</v>
      </c>
      <c r="DI210" s="457" t="s">
        <v>506</v>
      </c>
      <c r="DJ210" s="457" t="s">
        <v>134</v>
      </c>
      <c r="DK210" s="457" t="s">
        <v>498</v>
      </c>
      <c r="DL210" s="457" t="s">
        <v>499</v>
      </c>
      <c r="DM210" s="457" t="s">
        <v>500</v>
      </c>
      <c r="DN210" s="457" t="s">
        <v>131</v>
      </c>
      <c r="DO210" s="457" t="s">
        <v>390</v>
      </c>
      <c r="DP210" s="457" t="s">
        <v>36</v>
      </c>
      <c r="DQ210" s="457" t="s">
        <v>501</v>
      </c>
      <c r="DR210" s="457" t="s">
        <v>502</v>
      </c>
      <c r="DS210" s="457" t="s">
        <v>503</v>
      </c>
      <c r="DT210" s="457" t="s">
        <v>4</v>
      </c>
      <c r="DU210" s="457" t="s">
        <v>504</v>
      </c>
      <c r="DV210" s="466" t="s">
        <v>507</v>
      </c>
      <c r="DW210" s="466" t="s">
        <v>508</v>
      </c>
      <c r="DX210" s="457" t="s">
        <v>510</v>
      </c>
      <c r="DY210" s="457" t="s">
        <v>511</v>
      </c>
      <c r="DZ210" s="183"/>
      <c r="EA210" s="183"/>
      <c r="EB210" s="183"/>
      <c r="EC210" s="183"/>
      <c r="ED210" s="183"/>
      <c r="EE210" s="183"/>
      <c r="EF210" s="183"/>
      <c r="EG210" s="183"/>
      <c r="EH210" s="183"/>
      <c r="EI210" s="183"/>
      <c r="EJ210" s="183"/>
      <c r="EK210" s="183"/>
      <c r="EL210" s="183"/>
      <c r="EM210" s="183"/>
      <c r="EN210" s="183"/>
      <c r="EO210" s="183"/>
      <c r="EP210" s="183"/>
      <c r="EQ210" s="183"/>
      <c r="ER210" s="183"/>
      <c r="ES210" s="183"/>
      <c r="ET210" s="183"/>
      <c r="EU210" s="183"/>
      <c r="EV210" s="183"/>
      <c r="EW210" s="183"/>
      <c r="EX210" s="183"/>
      <c r="EY210" s="183"/>
      <c r="EZ210" s="183"/>
      <c r="FA210" s="183"/>
      <c r="FB210" s="183"/>
      <c r="FC210" s="183"/>
      <c r="FD210" s="183"/>
      <c r="FE210" s="183"/>
      <c r="FF210" s="183"/>
      <c r="FG210" s="183"/>
      <c r="FH210" s="183"/>
      <c r="FI210" s="183"/>
      <c r="FJ210" s="183"/>
      <c r="FK210" s="183"/>
      <c r="FL210" s="183"/>
      <c r="FM210" s="183"/>
      <c r="FN210" s="183"/>
      <c r="FO210" s="183"/>
      <c r="FP210" s="183"/>
      <c r="FQ210" s="183"/>
      <c r="FR210" s="183"/>
      <c r="FS210" s="183"/>
      <c r="FT210" s="183"/>
      <c r="FU210" s="183"/>
      <c r="FV210" s="183"/>
      <c r="FW210" s="183"/>
      <c r="FX210" s="183"/>
      <c r="FY210" s="183"/>
      <c r="FZ210" s="183"/>
      <c r="GA210" s="183"/>
      <c r="GB210" s="183"/>
      <c r="GC210" s="183"/>
      <c r="GD210" s="183"/>
      <c r="GE210" s="183"/>
      <c r="GF210" s="183"/>
      <c r="GG210" s="183"/>
      <c r="GH210" s="183"/>
      <c r="GI210" s="183"/>
      <c r="GJ210" s="183"/>
      <c r="GK210" s="183"/>
      <c r="GL210" s="183"/>
    </row>
    <row r="211" spans="1:194" s="175" customFormat="1" ht="60" customHeight="1" x14ac:dyDescent="0.3">
      <c r="A211" s="364"/>
      <c r="B211" s="365"/>
      <c r="C211" s="392" t="s">
        <v>27</v>
      </c>
      <c r="D211" s="641"/>
      <c r="E211" s="641"/>
      <c r="F211" s="641"/>
      <c r="G211" s="641"/>
      <c r="H211" s="641"/>
      <c r="I211" s="641"/>
      <c r="J211" s="642"/>
      <c r="K211" s="642"/>
      <c r="L211" s="622">
        <f>J211*K211*M211</f>
        <v>0</v>
      </c>
      <c r="M211" s="623"/>
      <c r="N211" s="620">
        <f>IFERROR(AL211,"")</f>
        <v>1.0765546639999999</v>
      </c>
      <c r="O211" s="621">
        <f>IFERROR(N211*M211,"")</f>
        <v>0</v>
      </c>
      <c r="P211" s="192"/>
      <c r="Q211" s="193">
        <f>Q212+BF211+($R$350*Q212)</f>
        <v>0</v>
      </c>
      <c r="R211" s="193">
        <f>IFERROR(R212+($R$348*R212),"")</f>
        <v>0</v>
      </c>
      <c r="S211" s="194">
        <f>+IF(R213="SI",((W215*'BD GN'!$AB$2)+S212)*1,COTIZACIÓN!S212*1)+(P212*S212)</f>
        <v>0</v>
      </c>
      <c r="T211" s="195">
        <f>IFERROR(R211*IF(K211&lt;=3,$T$13,15%),"")</f>
        <v>0</v>
      </c>
      <c r="U211" s="196">
        <f>BH211+BG211</f>
        <v>0</v>
      </c>
      <c r="V211" s="197" t="str">
        <f>IFERROR(BN211,0)</f>
        <v/>
      </c>
      <c r="W211" s="198" t="str">
        <f>IFERROR(IF(X213="SI",W214*J211*K211,IF(BE211=3,BE213,IF(BE211=4,BE214,IF(BE211=5,BE215,IF(BE211&gt;5,BE215+(BE216*(BE211-5)),"")))))*0,"")</f>
        <v/>
      </c>
      <c r="X211" s="198" t="str">
        <f>IFERROR(IF(X212="NO",(VLOOKUP(D211,'BD M.O'!C:E,3,FALSE))*W215,((VLOOKUP(D211,'BD M.O'!C:E,3,FALSE))+7500)*W215),"")</f>
        <v/>
      </c>
      <c r="Y211" s="198">
        <f>IFERROR($Y$13*AK211,"")</f>
        <v>4.2084457416288003E-2</v>
      </c>
      <c r="Z211" s="332" t="str">
        <f>IFERROR(($Z$13*AK211)+X211,"")</f>
        <v/>
      </c>
      <c r="AA211" s="199" t="str">
        <f>IFERROR(Y211+Z211,"")</f>
        <v/>
      </c>
      <c r="AB211" s="200">
        <f>IFERROR((SUM(Q211:X211)-T211+T213)*$AB$13,"")</f>
        <v>0</v>
      </c>
      <c r="AC211" s="201">
        <f>IFERROR(((SUM(Q211:V211,IF(X216&gt;AA211,AVERAGE(X216,AA211),AA211))-T211+T213))*$AB$13,"")</f>
        <v>0</v>
      </c>
      <c r="AD211" s="202" t="str">
        <f>IFERROR((J211*K211*$BV$14),"")</f>
        <v/>
      </c>
      <c r="AE211" s="202">
        <f>IFERROR($AE$13*AK211,"")</f>
        <v>6.4010592649919984E-2</v>
      </c>
      <c r="AF211" s="203" t="str">
        <f>IFERROR(($CI$11+$CI$13)*W215,"")</f>
        <v/>
      </c>
      <c r="AG211" s="202">
        <f>IFERROR((SUM(Q211:X211,AB211,AD211,AF211)-T211+T213)*$AG$13,"")</f>
        <v>0</v>
      </c>
      <c r="AH211" s="202">
        <f>IFERROR((SUM(Q211:V211,(IF(X216&gt;AA211,AVERAGE(X216,AA211),AA211)),AC211,AE211,AF211)-T211+T213)*$AG$13,"")</f>
        <v>3.2005296324959992E-2</v>
      </c>
      <c r="AI211" s="204">
        <f>IFERROR(AL211*$AI$13,"")</f>
        <v>2.1531093279999997E-2</v>
      </c>
      <c r="AJ211" s="204">
        <f>IFERROR($AJ$13*AL211,"")</f>
        <v>6.007175025119999E-3</v>
      </c>
      <c r="AK211" s="205">
        <f>IFERROR(SUM(Q211:X211,AB211,AD211,AG211,AF211)/(1-$AI$13)+(1-$AJ$13)-T211+T213,"")</f>
        <v>0.99441999999999997</v>
      </c>
      <c r="AL211" s="205">
        <f>IFERROR(SUM(Q211:V211,AC211,(IF(AD211&gt;AE211,AVERAGE(AD211,AE211),AE211)),AF211,,AH211,(IF(SUM(X216)&gt;AA211,AVERAGE(AA211,X216),AA211)))/(1-$AJ$13)+(1-$AI$13)-T211+T213,"")</f>
        <v>1.0765546639999999</v>
      </c>
      <c r="AM211" s="206">
        <f>$M$15*Q211</f>
        <v>0</v>
      </c>
      <c r="AN211" s="207">
        <f>$M$15*R211</f>
        <v>0</v>
      </c>
      <c r="AO211" s="208">
        <f>$M$15*S211</f>
        <v>0</v>
      </c>
      <c r="AP211" s="207">
        <f>$M$15*T211</f>
        <v>0</v>
      </c>
      <c r="AQ211" s="207" t="e">
        <f>$M$15*#REF!</f>
        <v>#REF!</v>
      </c>
      <c r="AR211" s="207">
        <f>$M$15*U211</f>
        <v>0</v>
      </c>
      <c r="AS211" s="208" t="e">
        <f>$M$15*V211</f>
        <v>#VALUE!</v>
      </c>
      <c r="AT211" s="207" t="e">
        <f>$M$15*W211</f>
        <v>#VALUE!</v>
      </c>
      <c r="AU211" s="208" t="e">
        <f>$M$15*X211</f>
        <v>#VALUE!</v>
      </c>
      <c r="AV211" s="207">
        <f>$M$15*AB211</f>
        <v>0</v>
      </c>
      <c r="AW211" s="208">
        <f>$M$15*AE211</f>
        <v>0</v>
      </c>
      <c r="AX211" s="207">
        <f>$M$15*AG211</f>
        <v>0</v>
      </c>
      <c r="AY211" s="209">
        <f>$M$15*AI211</f>
        <v>0</v>
      </c>
      <c r="AZ211" s="207">
        <f>$M$15*AK211</f>
        <v>0</v>
      </c>
      <c r="BA211" s="210"/>
      <c r="BB211" s="175" t="s">
        <v>23</v>
      </c>
      <c r="BC211" s="211" t="s">
        <v>113</v>
      </c>
      <c r="BD211" s="210"/>
      <c r="BE211" s="212"/>
      <c r="BF211" s="213">
        <f>IF(BH212="NO",((2*J211)+(2*K211))*'BD GN'!$AU$3,((3*J211)+(2*K211))*'BD GN'!$AU$3)</f>
        <v>0</v>
      </c>
      <c r="BG211" s="213">
        <f>'BD GN'!$BB$3*J211*K211</f>
        <v>0</v>
      </c>
      <c r="BH211" s="214">
        <f>((J211*2*BE211)+(K211*2*BE211))*'BD GN'!$AN$4</f>
        <v>0</v>
      </c>
      <c r="BI211" s="210"/>
      <c r="BJ211" s="212"/>
      <c r="BK211" s="212"/>
      <c r="BL211" s="215">
        <f>J211*K211*2.5*BJ211</f>
        <v>0</v>
      </c>
      <c r="BM211" s="215">
        <f>BK211+BL211</f>
        <v>0</v>
      </c>
      <c r="BN211" s="216" t="str">
        <f>IFERROR((VLOOKUP($C$12,'BD GN'!BD:BM,10,FALSE)*BM211)+$BR$338,"")</f>
        <v/>
      </c>
      <c r="BO211" s="210"/>
      <c r="BW211" s="210"/>
      <c r="CD211" s="184"/>
      <c r="CF211" s="185"/>
      <c r="CI211" s="184"/>
      <c r="CJ211" s="210"/>
      <c r="CK211" s="565"/>
      <c r="CL211" s="256"/>
      <c r="CM211" s="596"/>
      <c r="CN211" s="626"/>
      <c r="CO211" s="629"/>
      <c r="CP211" s="629"/>
      <c r="CQ211" s="629"/>
      <c r="CR211" s="629"/>
      <c r="CS211" s="629"/>
      <c r="CT211" s="632"/>
      <c r="CU211" s="565"/>
      <c r="CV211" s="560">
        <f>IFERROR(N211*CU211,"")</f>
        <v>0</v>
      </c>
      <c r="CW211" s="565"/>
      <c r="CX211" s="560">
        <f>IFERROR(P211*CW211,"")</f>
        <v>0</v>
      </c>
      <c r="CY211" s="565"/>
      <c r="CZ211" s="560">
        <f>IFERROR(R211*CY211,"")</f>
        <v>0</v>
      </c>
      <c r="DA211" s="565">
        <f t="shared" ref="DA211" si="786">CU211+CW211+CY211</f>
        <v>0</v>
      </c>
      <c r="DB211" s="560">
        <f t="shared" ref="DB211" si="787">IFERROR(CV211+CX211+CZ211,"")</f>
        <v>0</v>
      </c>
      <c r="DC211" s="565">
        <f>M211-(CU211+CW211+CY211)</f>
        <v>0</v>
      </c>
      <c r="DD211" s="560">
        <f>IFERROR(O211-(CV211+CX211+CZ211),"")</f>
        <v>0</v>
      </c>
      <c r="DG211" s="575"/>
      <c r="DH211" s="575"/>
      <c r="DI211" s="569">
        <f t="shared" ref="DI211" si="788">IFERROR(IF(DG211&gt;0,(((N211)/(1+10%+19%*5%)+((N211)/(1+10%+19%*5%))*10%)*DH211),0),0)</f>
        <v>0</v>
      </c>
      <c r="DJ211" s="569">
        <f t="shared" ref="DJ211" si="789">IFERROR(IF(DG211&gt;0,(N211*DH211),0),0)</f>
        <v>0</v>
      </c>
      <c r="DK211" s="569">
        <f t="shared" ref="DK211" si="790">IF(DG211&gt;0,((R211+T211)*DH211),0)</f>
        <v>0</v>
      </c>
      <c r="DL211" s="569">
        <f t="shared" ref="DL211" si="791">IF(DG211&gt;0,(Q211*DH211),0)</f>
        <v>0</v>
      </c>
      <c r="DM211" s="572">
        <f t="shared" ref="DM211" si="792">IF(DG211&gt;0,(S211*DH211),0)</f>
        <v>0</v>
      </c>
      <c r="DN211" s="569">
        <f t="shared" ref="DN211" si="793">IF(DG211&gt;0,(BN211*DH211),0)</f>
        <v>0</v>
      </c>
      <c r="DO211" s="569">
        <f t="shared" ref="DO211" si="794">IF(DG211&gt;0,(AF211*DH211),0)</f>
        <v>0</v>
      </c>
      <c r="DP211" s="569">
        <f>IF(DG211&gt;0,((DI211)*('BD P&amp;G'!$E$16+'BD P&amp;G'!$E$17+'BD P&amp;G'!$E$18+'BD P&amp;G'!$E$19+'BD P&amp;G'!$E$20+'BD P&amp;G'!$E$21+'BD P&amp;G'!$E$22+'BD P&amp;G'!$E$23)*DH211),0)</f>
        <v>0</v>
      </c>
      <c r="DQ211" s="569">
        <f>IFERROR(IF(DG211&gt;0,((DI211*'BD P&amp;G'!$E$7)+(DI211*'BD P&amp;G'!$E$9)+AI211),0),0)</f>
        <v>0</v>
      </c>
      <c r="DR211" s="569">
        <f t="shared" ref="DR211" si="795">IFERROR(IF(DG211&gt;0,((DI211*1%)),0),0)</f>
        <v>0</v>
      </c>
      <c r="DS211" s="569">
        <f>IFERROR(IF(DG211&gt;0,(((DI211*'BD P&amp;G'!$E$32+DI211*'BD P&amp;G'!$E$33+DI211*'BD P&amp;G'!$E$35+DI211*'BD P&amp;G'!$E$36+DI211*'BD P&amp;G'!$E$37))),0),0)</f>
        <v>0</v>
      </c>
      <c r="DT211" s="569">
        <f t="shared" ref="DT211" si="796">IF(DG211&gt;0,(Y211*DH211),0)</f>
        <v>0</v>
      </c>
      <c r="DU211" s="569">
        <f t="shared" ref="DU211" si="797">IF(DG211&gt;0,(Z211*DH211),0)</f>
        <v>0</v>
      </c>
      <c r="DV211" s="575">
        <f t="shared" ref="DV211" si="798">IF(DG211&gt;0,(Y215*DH211),0)</f>
        <v>0</v>
      </c>
      <c r="DW211" s="575">
        <f t="shared" ref="DW211" si="799">IF(DG211&gt;0,(Z215*DH211),0)</f>
        <v>0</v>
      </c>
      <c r="DX211" s="569">
        <f t="shared" ref="DX211" si="800">IF(DV211&gt;0,DJ211,0)</f>
        <v>0</v>
      </c>
      <c r="DY211" s="569">
        <f t="shared" ref="DY211" si="801">IF(DW211&gt;0,DJ211,0)</f>
        <v>0</v>
      </c>
    </row>
    <row r="212" spans="1:194" s="175" customFormat="1" ht="60" customHeight="1" x14ac:dyDescent="0.25">
      <c r="A212" s="366"/>
      <c r="B212" s="367"/>
      <c r="C212" s="393" t="s">
        <v>28</v>
      </c>
      <c r="D212" s="598"/>
      <c r="E212" s="598"/>
      <c r="F212" s="598"/>
      <c r="G212" s="598"/>
      <c r="H212" s="598"/>
      <c r="I212" s="598"/>
      <c r="J212" s="604"/>
      <c r="K212" s="604"/>
      <c r="L212" s="607"/>
      <c r="M212" s="559"/>
      <c r="N212" s="610"/>
      <c r="O212" s="613"/>
      <c r="P212" s="192"/>
      <c r="Q212" s="217"/>
      <c r="R212" s="217"/>
      <c r="S212" s="218"/>
      <c r="T212" s="219">
        <f>IFERROR(T211/$R$353,"")</f>
        <v>0</v>
      </c>
      <c r="U212" s="206"/>
      <c r="V212" s="220"/>
      <c r="W212" s="221" t="s">
        <v>239</v>
      </c>
      <c r="X212" s="222" t="s">
        <v>204</v>
      </c>
      <c r="Y212" s="223"/>
      <c r="Z212" s="224"/>
      <c r="AA212" s="225"/>
      <c r="AB212" s="226"/>
      <c r="AC212" s="206"/>
      <c r="AD212" s="206"/>
      <c r="AE212" s="206"/>
      <c r="AF212" s="227"/>
      <c r="AG212" s="206"/>
      <c r="AH212" s="206"/>
      <c r="AI212" s="206"/>
      <c r="AJ212" s="206"/>
      <c r="AK212" s="227"/>
      <c r="AL212" s="210"/>
      <c r="AM212" s="206"/>
      <c r="AN212" s="206"/>
      <c r="AO212" s="228"/>
      <c r="AP212" s="229"/>
      <c r="AQ212" s="206"/>
      <c r="AR212" s="206"/>
      <c r="AS212" s="228"/>
      <c r="AT212" s="229"/>
      <c r="AU212" s="228"/>
      <c r="AV212" s="229"/>
      <c r="AW212" s="228"/>
      <c r="AX212" s="229"/>
      <c r="AY212" s="206"/>
      <c r="AZ212" s="229"/>
      <c r="BA212" s="210"/>
      <c r="BB212" s="175" t="s">
        <v>24</v>
      </c>
      <c r="BC212" s="175" t="s">
        <v>114</v>
      </c>
      <c r="BD212" s="210"/>
      <c r="BE212" s="176" t="s">
        <v>206</v>
      </c>
      <c r="BF212" s="230" t="s">
        <v>204</v>
      </c>
      <c r="BG212" s="176" t="s">
        <v>290</v>
      </c>
      <c r="BH212" s="231" t="s">
        <v>204</v>
      </c>
      <c r="BI212" s="210"/>
      <c r="BN212" s="232"/>
      <c r="BO212" s="210"/>
      <c r="BV212" s="184"/>
      <c r="BW212" s="210"/>
      <c r="CD212" s="184"/>
      <c r="CF212" s="185"/>
      <c r="CI212" s="184"/>
      <c r="CJ212" s="210"/>
      <c r="CK212" s="563"/>
      <c r="CM212" s="559"/>
      <c r="CN212" s="627"/>
      <c r="CO212" s="630"/>
      <c r="CP212" s="630"/>
      <c r="CQ212" s="630"/>
      <c r="CR212" s="630"/>
      <c r="CS212" s="630"/>
      <c r="CT212" s="633"/>
      <c r="CU212" s="563"/>
      <c r="CV212" s="561"/>
      <c r="CW212" s="563"/>
      <c r="CX212" s="561"/>
      <c r="CY212" s="563"/>
      <c r="CZ212" s="561"/>
      <c r="DA212" s="563"/>
      <c r="DB212" s="561"/>
      <c r="DC212" s="563"/>
      <c r="DD212" s="561"/>
      <c r="DG212" s="576"/>
      <c r="DH212" s="576"/>
      <c r="DI212" s="570"/>
      <c r="DJ212" s="570"/>
      <c r="DK212" s="570"/>
      <c r="DL212" s="570"/>
      <c r="DM212" s="573"/>
      <c r="DN212" s="570"/>
      <c r="DO212" s="570"/>
      <c r="DP212" s="570"/>
      <c r="DQ212" s="570"/>
      <c r="DR212" s="570"/>
      <c r="DS212" s="570"/>
      <c r="DT212" s="570"/>
      <c r="DU212" s="570"/>
      <c r="DV212" s="576"/>
      <c r="DW212" s="576"/>
      <c r="DX212" s="570"/>
      <c r="DY212" s="570"/>
    </row>
    <row r="213" spans="1:194" s="175" customFormat="1" ht="60" customHeight="1" x14ac:dyDescent="0.3">
      <c r="A213" s="366"/>
      <c r="B213" s="367"/>
      <c r="C213" s="393" t="s">
        <v>30</v>
      </c>
      <c r="D213" s="599"/>
      <c r="E213" s="599"/>
      <c r="F213" s="599"/>
      <c r="G213" s="599"/>
      <c r="H213" s="599"/>
      <c r="I213" s="599"/>
      <c r="J213" s="604"/>
      <c r="K213" s="604"/>
      <c r="L213" s="607"/>
      <c r="M213" s="559"/>
      <c r="N213" s="610"/>
      <c r="O213" s="613"/>
      <c r="P213" s="192"/>
      <c r="Q213" s="176" t="s">
        <v>205</v>
      </c>
      <c r="R213" s="233" t="s">
        <v>204</v>
      </c>
      <c r="S213" s="234"/>
      <c r="T213" s="235">
        <f>IFERROR(($R$353-8000)*T212,"")</f>
        <v>0</v>
      </c>
      <c r="U213" s="206"/>
      <c r="V213" s="220"/>
      <c r="W213" s="221" t="s">
        <v>258</v>
      </c>
      <c r="X213" s="222" t="s">
        <v>204</v>
      </c>
      <c r="Y213" s="236"/>
      <c r="Z213" s="237"/>
      <c r="AA213" s="225"/>
      <c r="AB213" s="226"/>
      <c r="AC213" s="206"/>
      <c r="AD213" s="206"/>
      <c r="AE213" s="206"/>
      <c r="AF213" s="227"/>
      <c r="AG213" s="206"/>
      <c r="AH213" s="206"/>
      <c r="AI213" s="206"/>
      <c r="AJ213" s="206"/>
      <c r="AK213" s="227"/>
      <c r="AL213" s="238"/>
      <c r="AM213" s="206"/>
      <c r="AN213" s="206"/>
      <c r="AO213" s="228"/>
      <c r="AP213" s="229"/>
      <c r="AQ213" s="206"/>
      <c r="AR213" s="206"/>
      <c r="AS213" s="228"/>
      <c r="AT213" s="229"/>
      <c r="AU213" s="228"/>
      <c r="AV213" s="229"/>
      <c r="AW213" s="228"/>
      <c r="AX213" s="229"/>
      <c r="AY213" s="206"/>
      <c r="AZ213" s="229"/>
      <c r="BA213" s="210"/>
      <c r="BB213" s="175" t="s">
        <v>26</v>
      </c>
      <c r="BC213" s="211" t="s">
        <v>115</v>
      </c>
      <c r="BD213" s="210"/>
      <c r="BE213" s="177" t="str">
        <f>IFERROR(VLOOKUP(D211,'BD M.O'!C:H,4,FALSE),"")</f>
        <v/>
      </c>
      <c r="BF213" s="177" t="s">
        <v>259</v>
      </c>
      <c r="BI213" s="210"/>
      <c r="BO213" s="210"/>
      <c r="BV213" s="184"/>
      <c r="BW213" s="210"/>
      <c r="CD213" s="184"/>
      <c r="CF213" s="185"/>
      <c r="CI213" s="184"/>
      <c r="CJ213" s="210"/>
      <c r="CK213" s="563"/>
      <c r="CM213" s="559"/>
      <c r="CN213" s="627"/>
      <c r="CO213" s="630"/>
      <c r="CP213" s="630"/>
      <c r="CQ213" s="630"/>
      <c r="CR213" s="630"/>
      <c r="CS213" s="630"/>
      <c r="CT213" s="633"/>
      <c r="CU213" s="563"/>
      <c r="CV213" s="561"/>
      <c r="CW213" s="563"/>
      <c r="CX213" s="561"/>
      <c r="CY213" s="563"/>
      <c r="CZ213" s="561"/>
      <c r="DA213" s="563"/>
      <c r="DB213" s="561"/>
      <c r="DC213" s="563"/>
      <c r="DD213" s="561"/>
      <c r="DG213" s="577"/>
      <c r="DH213" s="577"/>
      <c r="DI213" s="571"/>
      <c r="DJ213" s="571"/>
      <c r="DK213" s="571"/>
      <c r="DL213" s="571"/>
      <c r="DM213" s="574"/>
      <c r="DN213" s="571"/>
      <c r="DO213" s="571"/>
      <c r="DP213" s="571"/>
      <c r="DQ213" s="571"/>
      <c r="DR213" s="571"/>
      <c r="DS213" s="571"/>
      <c r="DT213" s="571"/>
      <c r="DU213" s="571"/>
      <c r="DV213" s="577"/>
      <c r="DW213" s="577"/>
      <c r="DX213" s="571"/>
      <c r="DY213" s="571"/>
    </row>
    <row r="214" spans="1:194" s="175" customFormat="1" ht="60" customHeight="1" x14ac:dyDescent="0.25">
      <c r="A214" s="366"/>
      <c r="B214" s="367"/>
      <c r="C214" s="395" t="s">
        <v>180</v>
      </c>
      <c r="D214" s="599" t="s">
        <v>31</v>
      </c>
      <c r="E214" s="599"/>
      <c r="F214" s="394" t="s">
        <v>9</v>
      </c>
      <c r="G214" s="599" t="s">
        <v>33</v>
      </c>
      <c r="H214" s="599"/>
      <c r="I214" s="394" t="str">
        <f>+IF($BG$9="SI","","X")</f>
        <v>X</v>
      </c>
      <c r="J214" s="604"/>
      <c r="K214" s="604"/>
      <c r="L214" s="607"/>
      <c r="M214" s="559"/>
      <c r="N214" s="610"/>
      <c r="O214" s="613"/>
      <c r="P214" s="192"/>
      <c r="Q214" s="239"/>
      <c r="R214" s="221" t="s">
        <v>209</v>
      </c>
      <c r="S214" s="234" t="str">
        <f>IF(S212="","",S212/(J211*K211))</f>
        <v/>
      </c>
      <c r="T214" s="226"/>
      <c r="U214" s="206"/>
      <c r="V214" s="220"/>
      <c r="W214" s="239" t="str">
        <f>IFERROR(IF(X213="SI",VLOOKUP(D211,'BD M.O'!C:F,4,FALSE),""),"")</f>
        <v/>
      </c>
      <c r="X214" s="221" t="s">
        <v>258</v>
      </c>
      <c r="Y214" s="221" t="s">
        <v>507</v>
      </c>
      <c r="Z214" s="221" t="s">
        <v>508</v>
      </c>
      <c r="AA214" s="225"/>
      <c r="AB214" s="226"/>
      <c r="AC214" s="206"/>
      <c r="AD214" s="206"/>
      <c r="AE214" s="206"/>
      <c r="AF214" s="227"/>
      <c r="AG214" s="206"/>
      <c r="AH214" s="206"/>
      <c r="AI214" s="206"/>
      <c r="AJ214" s="206"/>
      <c r="AK214" s="227"/>
      <c r="AL214" s="240"/>
      <c r="AM214" s="206"/>
      <c r="AN214" s="206"/>
      <c r="AO214" s="228"/>
      <c r="AP214" s="229"/>
      <c r="AQ214" s="206"/>
      <c r="AR214" s="206"/>
      <c r="AS214" s="228"/>
      <c r="AT214" s="229"/>
      <c r="AU214" s="228"/>
      <c r="AV214" s="229"/>
      <c r="AW214" s="228"/>
      <c r="AX214" s="229"/>
      <c r="AY214" s="206"/>
      <c r="AZ214" s="229"/>
      <c r="BA214" s="210"/>
      <c r="BC214" s="175" t="s">
        <v>116</v>
      </c>
      <c r="BD214" s="210"/>
      <c r="BE214" s="177" t="str">
        <f>IFERROR(VLOOKUP(COTIZACIÓN!D211,'BD M.O'!C:I,5,FALSE),"")</f>
        <v/>
      </c>
      <c r="BF214" s="177" t="s">
        <v>260</v>
      </c>
      <c r="BI214" s="210"/>
      <c r="BO214" s="210"/>
      <c r="BP214" s="183"/>
      <c r="BQ214" s="183"/>
      <c r="BR214" s="183"/>
      <c r="BS214" s="183"/>
      <c r="BT214" s="183"/>
      <c r="BU214" s="183"/>
      <c r="BV214" s="182"/>
      <c r="BW214" s="210"/>
      <c r="BX214" s="183"/>
      <c r="BY214" s="183"/>
      <c r="BZ214" s="183"/>
      <c r="CA214" s="183"/>
      <c r="CB214" s="183"/>
      <c r="CC214" s="183"/>
      <c r="CD214" s="182"/>
      <c r="CE214" s="183"/>
      <c r="CF214" s="241"/>
      <c r="CG214" s="183"/>
      <c r="CH214" s="183"/>
      <c r="CI214" s="182"/>
      <c r="CJ214" s="210"/>
      <c r="CK214" s="563"/>
      <c r="CM214" s="559"/>
      <c r="CN214" s="627"/>
      <c r="CO214" s="630"/>
      <c r="CP214" s="630"/>
      <c r="CQ214" s="630"/>
      <c r="CR214" s="630"/>
      <c r="CS214" s="630"/>
      <c r="CT214" s="633"/>
      <c r="CU214" s="563"/>
      <c r="CV214" s="561"/>
      <c r="CW214" s="563"/>
      <c r="CX214" s="561"/>
      <c r="CY214" s="563"/>
      <c r="CZ214" s="561"/>
      <c r="DA214" s="563"/>
      <c r="DB214" s="561"/>
      <c r="DC214" s="563"/>
      <c r="DD214" s="561"/>
      <c r="DG214" s="575"/>
      <c r="DH214" s="575"/>
      <c r="DI214" s="569">
        <f t="shared" ref="DI214" si="802">IFERROR(IF(DG214&gt;0,(((N211)/(1+10%+19%*5%)+((N211)/(1+10%+19%*5%))*10%)*DH214),0),0)</f>
        <v>0</v>
      </c>
      <c r="DJ214" s="569">
        <f t="shared" ref="DJ214" si="803">IFERROR(IF(DG214&gt;0,(N211*DH214),0),0)</f>
        <v>0</v>
      </c>
      <c r="DK214" s="569">
        <f t="shared" ref="DK214" si="804">IF(DG214&gt;0,((R211+T211)*DH214),0)</f>
        <v>0</v>
      </c>
      <c r="DL214" s="569">
        <f t="shared" ref="DL214" si="805">IF(DG214&gt;0,(Q211*DH214),0)</f>
        <v>0</v>
      </c>
      <c r="DM214" s="572">
        <f t="shared" ref="DM214" si="806">IF(DG214&gt;0,(S211*DH214),0)</f>
        <v>0</v>
      </c>
      <c r="DN214" s="569">
        <f t="shared" ref="DN214" si="807">IF(DG214&gt;0,(BN211*DH214),0)</f>
        <v>0</v>
      </c>
      <c r="DO214" s="569">
        <f t="shared" ref="DO214" si="808">IF(DG214&gt;0,(AF211*DH214),0)</f>
        <v>0</v>
      </c>
      <c r="DP214" s="569">
        <f>IF(DG214&gt;0,((DI214)*('BD P&amp;G'!$E$16+'BD P&amp;G'!$E$17+'BD P&amp;G'!$E$18+'BD P&amp;G'!$E$19+'BD P&amp;G'!$E$20+'BD P&amp;G'!$E$21+'BD P&amp;G'!$E$22+'BD P&amp;G'!$E$23)*DH214),0)</f>
        <v>0</v>
      </c>
      <c r="DQ214" s="569">
        <f>IFERROR(IF(DG214&gt;0,((DI214*'BD P&amp;G'!$E$7)+(DI214*'BD P&amp;G'!$E$9)+AI211),0),0)</f>
        <v>0</v>
      </c>
      <c r="DR214" s="569">
        <f t="shared" ref="DR214" si="809">IFERROR(IF(DG214&gt;0,((DI214*1%)),0),0)</f>
        <v>0</v>
      </c>
      <c r="DS214" s="569">
        <f>IFERROR(IF(DG214&gt;0,(((DI214*'BD P&amp;G'!$E$32+DI214*'BD P&amp;G'!$E$33+DI214*'BD P&amp;G'!$E$35+DI214*'BD P&amp;G'!$E$36+DI214*'BD P&amp;G'!$E$37))),0),0)</f>
        <v>0</v>
      </c>
      <c r="DT214" s="569">
        <f t="shared" ref="DT214" si="810">IF(DG214&gt;0,(Y211*DH214),0)</f>
        <v>0</v>
      </c>
      <c r="DU214" s="569">
        <f t="shared" ref="DU214" si="811">IF(DG214&gt;0,(Z211*DH214),0)</f>
        <v>0</v>
      </c>
      <c r="DV214" s="575">
        <f t="shared" ref="DV214" si="812">IF(DG214&gt;0,(Y215*DH214),0)</f>
        <v>0</v>
      </c>
      <c r="DW214" s="575">
        <f t="shared" ref="DW214" si="813">IF(DG214&gt;0,(Z215*DH214),0)</f>
        <v>0</v>
      </c>
      <c r="DX214" s="569">
        <f t="shared" ref="DX214" si="814">IF(DV214&gt;0,DJ214,0)</f>
        <v>0</v>
      </c>
      <c r="DY214" s="569">
        <f t="shared" ref="DY214" si="815">IF(DW214&gt;0,DJ214,0)</f>
        <v>0</v>
      </c>
    </row>
    <row r="215" spans="1:194" s="175" customFormat="1" ht="60" customHeight="1" x14ac:dyDescent="0.3">
      <c r="A215" s="366"/>
      <c r="B215" s="367"/>
      <c r="C215" s="393" t="s">
        <v>35</v>
      </c>
      <c r="D215" s="599" t="str">
        <f>IFERROR(VLOOKUP(D211,'BD GN'!C:E,3,),"")</f>
        <v/>
      </c>
      <c r="E215" s="599"/>
      <c r="F215" s="599"/>
      <c r="G215" s="599"/>
      <c r="H215" s="599"/>
      <c r="I215" s="599"/>
      <c r="J215" s="604"/>
      <c r="K215" s="604"/>
      <c r="L215" s="607"/>
      <c r="M215" s="559"/>
      <c r="N215" s="610"/>
      <c r="O215" s="613"/>
      <c r="P215" s="192"/>
      <c r="Q215" s="239"/>
      <c r="R215" s="221" t="s">
        <v>210</v>
      </c>
      <c r="S215" s="234" t="str">
        <f>IFERROR(IF(N211="","",N211/W215),"")</f>
        <v/>
      </c>
      <c r="T215" s="226"/>
      <c r="U215" s="206"/>
      <c r="V215" s="220"/>
      <c r="W215" s="242" t="str">
        <f>+IF(J211*K211&gt;=1,J211*K211,IF(AND(J211*K211&gt;0,J211*K211&lt;1),1,""))</f>
        <v/>
      </c>
      <c r="X215" s="221" t="s">
        <v>298</v>
      </c>
      <c r="Y215" s="461">
        <f>IFERROR(IF(D211='BD GN'!$C$25,COTIZACIÓN!W215,IF(D211='BD GN'!$C$26,COTIZACIÓN!W215,IF(D211='BD GN'!$C$27,COTIZACIÓN!W215,IF(COTIZACIÓN!D211='BD GN'!$C$28,COTIZACIÓN!W215,IF(COTIZACIÓN!D211='BD GN'!$C$29,COTIZACIÓN!W215,IF(COTIZACIÓN!D211='BD GN'!$C$35,COTIZACIÓN!W215,IF(COTIZACIÓN!D211='BD GN'!$C$36,COTIZACIÓN!W215,IF(COTIZACIÓN!D211='BD GN'!$C$37,COTIZACIÓN!W215,IF(COTIZACIÓN!D211='BD GN'!$C$38,COTIZACIÓN!W215,IF(COTIZACIÓN!D211='BD GN'!$C$39,COTIZACIÓN!W215,IF(COTIZACIÓN!D211='BD GN'!$C$40,COTIZACIÓN!W215,IF(COTIZACIÓN!D211='BD GN'!$C$41,COTIZACIÓN!W215,IF(COTIZACIÓN!D211='BD GN'!$C$42,COTIZACIÓN!W215,IF(COTIZACIÓN!D211='BD GN'!$C$49,COTIZACIÓN!W215,IF(COTIZACIÓN!D211='BD GN'!$C$50,COTIZACIÓN!W215,IF(COTIZACIÓN!D211='BD GN'!$C$51,COTIZACIÓN!W215,IF(COTIZACIÓN!D211='BD GN'!$C$67,COTIZACIÓN!W215,0))))))))))))))))),0)</f>
        <v>0</v>
      </c>
      <c r="Z215" s="461">
        <f>IFERROR(W215-Y215,0)</f>
        <v>0</v>
      </c>
      <c r="AA215" s="225"/>
      <c r="AB215" s="226"/>
      <c r="AC215" s="206"/>
      <c r="AD215" s="206"/>
      <c r="AE215" s="206"/>
      <c r="AF215" s="227"/>
      <c r="AG215" s="206"/>
      <c r="AH215" s="206"/>
      <c r="AI215" s="206"/>
      <c r="AJ215" s="206"/>
      <c r="AK215" s="227"/>
      <c r="AL215" s="210"/>
      <c r="AM215" s="206"/>
      <c r="AN215" s="206"/>
      <c r="AO215" s="228"/>
      <c r="AP215" s="229"/>
      <c r="AQ215" s="206"/>
      <c r="AR215" s="206"/>
      <c r="AS215" s="228"/>
      <c r="AT215" s="229"/>
      <c r="AU215" s="228"/>
      <c r="AV215" s="229"/>
      <c r="AW215" s="228"/>
      <c r="AX215" s="229"/>
      <c r="AY215" s="206"/>
      <c r="AZ215" s="229"/>
      <c r="BA215" s="210"/>
      <c r="BC215" s="211" t="s">
        <v>117</v>
      </c>
      <c r="BD215" s="210"/>
      <c r="BE215" s="177" t="str">
        <f>IFERROR(VLOOKUP(D211,'BD M.O'!C:I,6,FALSE),"")</f>
        <v/>
      </c>
      <c r="BF215" s="177" t="s">
        <v>261</v>
      </c>
      <c r="BI215" s="210"/>
      <c r="BO215" s="210"/>
      <c r="BP215" s="183"/>
      <c r="BQ215" s="183"/>
      <c r="BR215" s="183"/>
      <c r="BW215" s="210"/>
      <c r="CD215" s="184"/>
      <c r="CF215" s="185"/>
      <c r="CI215" s="184"/>
      <c r="CJ215" s="210"/>
      <c r="CK215" s="563"/>
      <c r="CM215" s="559"/>
      <c r="CN215" s="627"/>
      <c r="CO215" s="630"/>
      <c r="CP215" s="630"/>
      <c r="CQ215" s="630"/>
      <c r="CR215" s="630"/>
      <c r="CS215" s="630"/>
      <c r="CT215" s="633"/>
      <c r="CU215" s="563"/>
      <c r="CV215" s="561"/>
      <c r="CW215" s="563"/>
      <c r="CX215" s="561"/>
      <c r="CY215" s="563"/>
      <c r="CZ215" s="561"/>
      <c r="DA215" s="563"/>
      <c r="DB215" s="561"/>
      <c r="DC215" s="563"/>
      <c r="DD215" s="561"/>
      <c r="DG215" s="576"/>
      <c r="DH215" s="576"/>
      <c r="DI215" s="570"/>
      <c r="DJ215" s="570"/>
      <c r="DK215" s="570"/>
      <c r="DL215" s="570"/>
      <c r="DM215" s="573"/>
      <c r="DN215" s="570"/>
      <c r="DO215" s="570"/>
      <c r="DP215" s="570"/>
      <c r="DQ215" s="570"/>
      <c r="DR215" s="570"/>
      <c r="DS215" s="570"/>
      <c r="DT215" s="570"/>
      <c r="DU215" s="570"/>
      <c r="DV215" s="576"/>
      <c r="DW215" s="576"/>
      <c r="DX215" s="570"/>
      <c r="DY215" s="570"/>
    </row>
    <row r="216" spans="1:194" s="252" customFormat="1" ht="60" customHeight="1" x14ac:dyDescent="0.25">
      <c r="A216" s="368"/>
      <c r="B216" s="369"/>
      <c r="C216" s="396" t="s">
        <v>10</v>
      </c>
      <c r="D216" s="645" t="s">
        <v>32</v>
      </c>
      <c r="E216" s="645"/>
      <c r="F216" s="645"/>
      <c r="G216" s="645"/>
      <c r="H216" s="645"/>
      <c r="I216" s="645"/>
      <c r="J216" s="643"/>
      <c r="K216" s="643"/>
      <c r="L216" s="646"/>
      <c r="M216" s="648"/>
      <c r="N216" s="649"/>
      <c r="O216" s="644"/>
      <c r="P216" s="192"/>
      <c r="Q216" s="239"/>
      <c r="R216" s="334" t="s">
        <v>475</v>
      </c>
      <c r="S216" s="234" t="str">
        <f>IFERROR(IF($C$12='BD GN'!$CC$1,VLOOKUP(COTIZACIÓN!D211,'BD GN'!CB:CG,2,FALSE),IF(COTIZACIÓN!$C$12='BD GN'!$CD$1,VLOOKUP(COTIZACIÓN!D211,'BD GN'!CB:CG,3,FALSE),IF($C$12='BD GN'!$CE$1,VLOOKUP(COTIZACIÓN!D211,'BD GN'!CB:CG,4,FALSE),IF(COTIZACIÓN!$C$12='BD GN'!$CF$1,VLOOKUP(COTIZACIÓN!D211,'BD GN'!CB:CG,5,FALSE),IF(COTIZACIÓN!$C$12='BD GN'!$CG$1,VLOOKUP(COTIZACIÓN!D211,'BD GN'!CB:CG,6,FALSE),""))))),"-")</f>
        <v/>
      </c>
      <c r="T216" s="243"/>
      <c r="U216" s="244"/>
      <c r="V216" s="245"/>
      <c r="W216" s="177" t="s">
        <v>394</v>
      </c>
      <c r="X216" s="246">
        <f>IFERROR(SUM(W211:X211),"")</f>
        <v>0</v>
      </c>
      <c r="Y216" s="166" t="s">
        <v>404</v>
      </c>
      <c r="Z216" s="199" t="str">
        <f>IFERROR(Y211+Z211,"")</f>
        <v/>
      </c>
      <c r="AA216" s="247"/>
      <c r="AB216" s="243"/>
      <c r="AC216" s="244"/>
      <c r="AD216" s="244"/>
      <c r="AE216" s="244"/>
      <c r="AF216" s="227"/>
      <c r="AG216" s="206"/>
      <c r="AH216" s="206"/>
      <c r="AI216" s="206"/>
      <c r="AJ216" s="206"/>
      <c r="AK216" s="227"/>
      <c r="AL216" s="227"/>
      <c r="AM216" s="248"/>
      <c r="AN216" s="248"/>
      <c r="AO216" s="249"/>
      <c r="AP216" s="250"/>
      <c r="AQ216" s="248"/>
      <c r="AR216" s="248"/>
      <c r="AS216" s="249"/>
      <c r="AT216" s="250"/>
      <c r="AU216" s="249"/>
      <c r="AV216" s="250"/>
      <c r="AW216" s="249"/>
      <c r="AX216" s="250"/>
      <c r="AY216" s="248"/>
      <c r="AZ216" s="250"/>
      <c r="BA216" s="210"/>
      <c r="BB216" s="175"/>
      <c r="BC216" s="175" t="s">
        <v>118</v>
      </c>
      <c r="BD216" s="210"/>
      <c r="BE216" s="251" t="str">
        <f>IFERROR(VLOOKUP(D211,'BD M.O'!C:I,7,FALSE),"")</f>
        <v/>
      </c>
      <c r="BF216" s="251" t="s">
        <v>262</v>
      </c>
      <c r="BG216" s="175"/>
      <c r="BH216" s="175"/>
      <c r="BI216" s="210"/>
      <c r="BJ216" s="175"/>
      <c r="BK216" s="175"/>
      <c r="BL216" s="175"/>
      <c r="BM216" s="175"/>
      <c r="BN216" s="175"/>
      <c r="BO216" s="210"/>
      <c r="BP216" s="175"/>
      <c r="BQ216" s="175"/>
      <c r="BR216" s="175"/>
      <c r="BS216" s="183"/>
      <c r="BT216" s="183"/>
      <c r="BU216" s="183"/>
      <c r="BV216" s="183"/>
      <c r="BW216" s="210"/>
      <c r="BX216" s="175"/>
      <c r="BY216" s="175"/>
      <c r="BZ216" s="175"/>
      <c r="CA216" s="175"/>
      <c r="CB216" s="175"/>
      <c r="CC216" s="175"/>
      <c r="CD216" s="184"/>
      <c r="CE216" s="175"/>
      <c r="CF216" s="185"/>
      <c r="CG216" s="175"/>
      <c r="CH216" s="175"/>
      <c r="CI216" s="184"/>
      <c r="CJ216" s="210"/>
      <c r="CK216" s="564"/>
      <c r="CL216" s="257"/>
      <c r="CM216" s="597"/>
      <c r="CN216" s="628"/>
      <c r="CO216" s="631"/>
      <c r="CP216" s="631"/>
      <c r="CQ216" s="631"/>
      <c r="CR216" s="631"/>
      <c r="CS216" s="631"/>
      <c r="CT216" s="634"/>
      <c r="CU216" s="564"/>
      <c r="CV216" s="562"/>
      <c r="CW216" s="564"/>
      <c r="CX216" s="562"/>
      <c r="CY216" s="564"/>
      <c r="CZ216" s="562"/>
      <c r="DA216" s="564"/>
      <c r="DB216" s="562"/>
      <c r="DC216" s="564"/>
      <c r="DD216" s="562"/>
      <c r="DE216" s="175"/>
      <c r="DF216" s="175"/>
      <c r="DG216" s="577"/>
      <c r="DH216" s="577"/>
      <c r="DI216" s="571"/>
      <c r="DJ216" s="571"/>
      <c r="DK216" s="571"/>
      <c r="DL216" s="571"/>
      <c r="DM216" s="574"/>
      <c r="DN216" s="571"/>
      <c r="DO216" s="571"/>
      <c r="DP216" s="571"/>
      <c r="DQ216" s="571"/>
      <c r="DR216" s="571"/>
      <c r="DS216" s="571"/>
      <c r="DT216" s="571"/>
      <c r="DU216" s="571"/>
      <c r="DV216" s="577"/>
      <c r="DW216" s="577"/>
      <c r="DX216" s="571"/>
      <c r="DY216" s="571"/>
      <c r="DZ216" s="175"/>
      <c r="EA216" s="175"/>
      <c r="EB216" s="175"/>
      <c r="EC216" s="175"/>
      <c r="ED216" s="175"/>
      <c r="EE216" s="175"/>
      <c r="EF216" s="175"/>
      <c r="EG216" s="175"/>
      <c r="EH216" s="175"/>
      <c r="EI216" s="175"/>
      <c r="EJ216" s="175"/>
      <c r="EK216" s="175"/>
      <c r="EL216" s="175"/>
      <c r="EM216" s="175"/>
      <c r="EN216" s="175"/>
      <c r="EO216" s="175"/>
      <c r="EP216" s="175"/>
      <c r="EQ216" s="175"/>
      <c r="ER216" s="175"/>
      <c r="ES216" s="175"/>
      <c r="ET216" s="175"/>
      <c r="EU216" s="175"/>
      <c r="EV216" s="175"/>
      <c r="EW216" s="175"/>
      <c r="EX216" s="175"/>
      <c r="EY216" s="175"/>
      <c r="EZ216" s="175"/>
      <c r="FA216" s="175"/>
      <c r="FB216" s="175"/>
      <c r="FC216" s="175"/>
      <c r="FD216" s="175"/>
      <c r="FE216" s="175"/>
      <c r="FF216" s="175"/>
      <c r="FG216" s="175"/>
      <c r="FH216" s="175"/>
      <c r="FI216" s="175"/>
      <c r="FJ216" s="175"/>
      <c r="FK216" s="175"/>
      <c r="FL216" s="175"/>
      <c r="FM216" s="175"/>
      <c r="FN216" s="175"/>
      <c r="FO216" s="175"/>
      <c r="FP216" s="175"/>
      <c r="FQ216" s="175"/>
      <c r="FR216" s="175"/>
      <c r="FS216" s="175"/>
      <c r="FT216" s="175"/>
      <c r="FU216" s="175"/>
      <c r="FV216" s="175"/>
      <c r="FW216" s="175"/>
      <c r="FX216" s="175"/>
      <c r="FY216" s="175"/>
      <c r="FZ216" s="175"/>
      <c r="GA216" s="175"/>
      <c r="GB216" s="175"/>
      <c r="GC216" s="175"/>
      <c r="GD216" s="175"/>
      <c r="GE216" s="175"/>
      <c r="GF216" s="175"/>
      <c r="GG216" s="175"/>
      <c r="GH216" s="175"/>
      <c r="GI216" s="175"/>
      <c r="GJ216" s="175"/>
      <c r="GK216" s="175"/>
      <c r="GL216" s="175"/>
    </row>
    <row r="217" spans="1:194" s="255" customFormat="1" ht="60" customHeight="1" x14ac:dyDescent="0.3">
      <c r="A217" s="362" t="s">
        <v>193</v>
      </c>
      <c r="B217" s="363" t="s">
        <v>25</v>
      </c>
      <c r="C217" s="391" t="s">
        <v>174</v>
      </c>
      <c r="D217" s="640" t="s">
        <v>173</v>
      </c>
      <c r="E217" s="640"/>
      <c r="F217" s="640"/>
      <c r="G217" s="640"/>
      <c r="H217" s="640"/>
      <c r="I217" s="640"/>
      <c r="J217" s="418" t="s">
        <v>443</v>
      </c>
      <c r="K217" s="418" t="s">
        <v>444</v>
      </c>
      <c r="L217" s="418" t="s">
        <v>171</v>
      </c>
      <c r="M217" s="363" t="s">
        <v>2</v>
      </c>
      <c r="N217" s="419" t="s">
        <v>7</v>
      </c>
      <c r="O217" s="420" t="s">
        <v>8</v>
      </c>
      <c r="P217" s="159"/>
      <c r="Q217" s="164" t="s">
        <v>93</v>
      </c>
      <c r="R217" s="164" t="s">
        <v>34</v>
      </c>
      <c r="S217" s="164" t="s">
        <v>28</v>
      </c>
      <c r="T217" s="164" t="s">
        <v>95</v>
      </c>
      <c r="U217" s="164" t="s">
        <v>96</v>
      </c>
      <c r="V217" s="164" t="s">
        <v>97</v>
      </c>
      <c r="W217" s="164" t="s">
        <v>4</v>
      </c>
      <c r="X217" s="164" t="s">
        <v>103</v>
      </c>
      <c r="Y217" s="160" t="s">
        <v>402</v>
      </c>
      <c r="Z217" s="165" t="s">
        <v>403</v>
      </c>
      <c r="AA217" s="166" t="s">
        <v>404</v>
      </c>
      <c r="AB217" s="164" t="s">
        <v>99</v>
      </c>
      <c r="AC217" s="164" t="s">
        <v>395</v>
      </c>
      <c r="AD217" s="253" t="s">
        <v>36</v>
      </c>
      <c r="AE217" s="164" t="s">
        <v>389</v>
      </c>
      <c r="AF217" s="164" t="s">
        <v>390</v>
      </c>
      <c r="AG217" s="164" t="s">
        <v>164</v>
      </c>
      <c r="AH217" s="253" t="s">
        <v>396</v>
      </c>
      <c r="AI217" s="164" t="s">
        <v>190</v>
      </c>
      <c r="AJ217" s="164" t="s">
        <v>339</v>
      </c>
      <c r="AK217" s="253" t="s">
        <v>391</v>
      </c>
      <c r="AL217" s="253" t="s">
        <v>393</v>
      </c>
      <c r="AM217" s="167" t="s">
        <v>93</v>
      </c>
      <c r="AN217" s="168" t="s">
        <v>34</v>
      </c>
      <c r="AO217" s="169" t="s">
        <v>28</v>
      </c>
      <c r="AP217" s="170" t="s">
        <v>95</v>
      </c>
      <c r="AQ217" s="167" t="s">
        <v>3</v>
      </c>
      <c r="AR217" s="167" t="s">
        <v>96</v>
      </c>
      <c r="AS217" s="169" t="s">
        <v>97</v>
      </c>
      <c r="AT217" s="170" t="s">
        <v>4</v>
      </c>
      <c r="AU217" s="169" t="s">
        <v>103</v>
      </c>
      <c r="AV217" s="170" t="s">
        <v>99</v>
      </c>
      <c r="AW217" s="169" t="s">
        <v>36</v>
      </c>
      <c r="AX217" s="171" t="s">
        <v>29</v>
      </c>
      <c r="AY217" s="172" t="s">
        <v>190</v>
      </c>
      <c r="AZ217" s="173" t="s">
        <v>102</v>
      </c>
      <c r="BA217" s="174"/>
      <c r="BB217" s="183"/>
      <c r="BC217" s="211" t="s">
        <v>119</v>
      </c>
      <c r="BD217" s="174"/>
      <c r="BE217" s="176" t="s">
        <v>189</v>
      </c>
      <c r="BF217" s="177" t="str">
        <f>$BF$13</f>
        <v xml:space="preserve">VR SILICONA </v>
      </c>
      <c r="BG217" s="177" t="str">
        <f>$BG$13</f>
        <v xml:space="preserve">VR PELÍCULA </v>
      </c>
      <c r="BH217" s="254" t="str">
        <f>$BH$13</f>
        <v>VR EMBALAJE</v>
      </c>
      <c r="BI217" s="174"/>
      <c r="BJ217" s="176" t="str">
        <f>$BJ$13</f>
        <v>ESP. CRISTAL</v>
      </c>
      <c r="BK217" s="176" t="s">
        <v>130</v>
      </c>
      <c r="BL217" s="177" t="s">
        <v>28</v>
      </c>
      <c r="BM217" s="177" t="str">
        <f>BM210</f>
        <v>TOTAL</v>
      </c>
      <c r="BN217" s="177" t="s">
        <v>133</v>
      </c>
      <c r="BO217" s="174"/>
      <c r="BP217" s="175"/>
      <c r="BQ217" s="175"/>
      <c r="BR217" s="175"/>
      <c r="BS217" s="175"/>
      <c r="BT217" s="175"/>
      <c r="BU217" s="175"/>
      <c r="BV217" s="175"/>
      <c r="BW217" s="174"/>
      <c r="BX217" s="175"/>
      <c r="BY217" s="175"/>
      <c r="BZ217" s="175"/>
      <c r="CA217" s="175"/>
      <c r="CB217" s="175"/>
      <c r="CC217" s="175"/>
      <c r="CD217" s="184"/>
      <c r="CE217" s="175"/>
      <c r="CF217" s="185"/>
      <c r="CG217" s="175"/>
      <c r="CH217" s="175"/>
      <c r="CI217" s="184"/>
      <c r="CJ217" s="174"/>
      <c r="CK217" s="186" t="s">
        <v>415</v>
      </c>
      <c r="CL217" s="187" t="s">
        <v>417</v>
      </c>
      <c r="CM217" s="187" t="s">
        <v>416</v>
      </c>
      <c r="CN217" s="188" t="s">
        <v>418</v>
      </c>
      <c r="CO217" s="187" t="s">
        <v>417</v>
      </c>
      <c r="CP217" s="187" t="s">
        <v>409</v>
      </c>
      <c r="CQ217" s="187" t="s">
        <v>410</v>
      </c>
      <c r="CR217" s="187" t="s">
        <v>411</v>
      </c>
      <c r="CS217" s="187" t="s">
        <v>412</v>
      </c>
      <c r="CT217" s="187" t="s">
        <v>413</v>
      </c>
      <c r="CU217" s="189" t="s">
        <v>2</v>
      </c>
      <c r="CV217" s="190" t="s">
        <v>159</v>
      </c>
      <c r="CW217" s="189" t="s">
        <v>2</v>
      </c>
      <c r="CX217" s="190" t="s">
        <v>159</v>
      </c>
      <c r="CY217" s="189" t="s">
        <v>2</v>
      </c>
      <c r="CZ217" s="190" t="s">
        <v>159</v>
      </c>
      <c r="DA217" s="189" t="s">
        <v>2</v>
      </c>
      <c r="DB217" s="190" t="s">
        <v>159</v>
      </c>
      <c r="DC217" s="189" t="s">
        <v>2</v>
      </c>
      <c r="DD217" s="190" t="s">
        <v>159</v>
      </c>
      <c r="DE217" s="183"/>
      <c r="DF217" s="183"/>
      <c r="DG217" s="177" t="s">
        <v>505</v>
      </c>
      <c r="DH217" s="472" t="s">
        <v>509</v>
      </c>
      <c r="DI217" s="457" t="s">
        <v>506</v>
      </c>
      <c r="DJ217" s="457" t="s">
        <v>134</v>
      </c>
      <c r="DK217" s="457" t="s">
        <v>498</v>
      </c>
      <c r="DL217" s="457" t="s">
        <v>499</v>
      </c>
      <c r="DM217" s="457" t="s">
        <v>500</v>
      </c>
      <c r="DN217" s="457" t="s">
        <v>131</v>
      </c>
      <c r="DO217" s="457" t="s">
        <v>390</v>
      </c>
      <c r="DP217" s="457" t="s">
        <v>36</v>
      </c>
      <c r="DQ217" s="457" t="s">
        <v>501</v>
      </c>
      <c r="DR217" s="457" t="s">
        <v>502</v>
      </c>
      <c r="DS217" s="457" t="s">
        <v>503</v>
      </c>
      <c r="DT217" s="457" t="s">
        <v>4</v>
      </c>
      <c r="DU217" s="457" t="s">
        <v>504</v>
      </c>
      <c r="DV217" s="466" t="s">
        <v>507</v>
      </c>
      <c r="DW217" s="466" t="s">
        <v>508</v>
      </c>
      <c r="DX217" s="457" t="s">
        <v>510</v>
      </c>
      <c r="DY217" s="457" t="s">
        <v>511</v>
      </c>
      <c r="DZ217" s="183"/>
      <c r="EA217" s="183"/>
      <c r="EB217" s="183"/>
      <c r="EC217" s="183"/>
      <c r="ED217" s="183"/>
      <c r="EE217" s="183"/>
      <c r="EF217" s="183"/>
      <c r="EG217" s="183"/>
      <c r="EH217" s="183"/>
      <c r="EI217" s="183"/>
      <c r="EJ217" s="183"/>
      <c r="EK217" s="183"/>
      <c r="EL217" s="183"/>
      <c r="EM217" s="183"/>
      <c r="EN217" s="183"/>
      <c r="EO217" s="183"/>
      <c r="EP217" s="183"/>
      <c r="EQ217" s="183"/>
      <c r="ER217" s="183"/>
      <c r="ES217" s="183"/>
      <c r="ET217" s="183"/>
      <c r="EU217" s="183"/>
      <c r="EV217" s="183"/>
      <c r="EW217" s="183"/>
      <c r="EX217" s="183"/>
      <c r="EY217" s="183"/>
      <c r="EZ217" s="183"/>
      <c r="FA217" s="183"/>
      <c r="FB217" s="183"/>
      <c r="FC217" s="183"/>
      <c r="FD217" s="183"/>
      <c r="FE217" s="183"/>
      <c r="FF217" s="183"/>
      <c r="FG217" s="183"/>
      <c r="FH217" s="183"/>
      <c r="FI217" s="183"/>
      <c r="FJ217" s="183"/>
      <c r="FK217" s="183"/>
      <c r="FL217" s="183"/>
      <c r="FM217" s="183"/>
      <c r="FN217" s="183"/>
      <c r="FO217" s="183"/>
      <c r="FP217" s="183"/>
      <c r="FQ217" s="183"/>
      <c r="FR217" s="183"/>
      <c r="FS217" s="183"/>
      <c r="FT217" s="183"/>
      <c r="FU217" s="183"/>
      <c r="FV217" s="183"/>
      <c r="FW217" s="183"/>
      <c r="FX217" s="183"/>
      <c r="FY217" s="183"/>
      <c r="FZ217" s="183"/>
      <c r="GA217" s="183"/>
      <c r="GB217" s="183"/>
      <c r="GC217" s="183"/>
      <c r="GD217" s="183"/>
      <c r="GE217" s="183"/>
      <c r="GF217" s="183"/>
      <c r="GG217" s="183"/>
      <c r="GH217" s="183"/>
      <c r="GI217" s="183"/>
      <c r="GJ217" s="183"/>
      <c r="GK217" s="183"/>
      <c r="GL217" s="183"/>
    </row>
    <row r="218" spans="1:194" s="175" customFormat="1" ht="60" customHeight="1" x14ac:dyDescent="0.3">
      <c r="A218" s="364"/>
      <c r="B218" s="365"/>
      <c r="C218" s="392" t="s">
        <v>27</v>
      </c>
      <c r="D218" s="641"/>
      <c r="E218" s="641"/>
      <c r="F218" s="641"/>
      <c r="G218" s="641"/>
      <c r="H218" s="641"/>
      <c r="I218" s="641"/>
      <c r="J218" s="642"/>
      <c r="K218" s="642"/>
      <c r="L218" s="622">
        <f>J218*K218*M218</f>
        <v>0</v>
      </c>
      <c r="M218" s="623"/>
      <c r="N218" s="620">
        <f>IFERROR(AL218,"")</f>
        <v>1.0765546639999999</v>
      </c>
      <c r="O218" s="621">
        <f>IFERROR(N218*M218,"")</f>
        <v>0</v>
      </c>
      <c r="P218" s="192"/>
      <c r="Q218" s="193">
        <f>Q219+BF218+($R$350*Q219)</f>
        <v>0</v>
      </c>
      <c r="R218" s="193">
        <f>IFERROR(R219+($R$348*R219),"")</f>
        <v>0</v>
      </c>
      <c r="S218" s="194">
        <f>+IF(R220="SI",((W222*'BD GN'!$AB$2)+S219)*1,COTIZACIÓN!S219*1)+(P219*S219)</f>
        <v>0</v>
      </c>
      <c r="T218" s="195">
        <f>IFERROR(R218*IF(K218&lt;=3,$T$13,15%),"")</f>
        <v>0</v>
      </c>
      <c r="U218" s="196">
        <f>BH218+BG218</f>
        <v>0</v>
      </c>
      <c r="V218" s="197" t="str">
        <f>IFERROR(BN218,0)</f>
        <v/>
      </c>
      <c r="W218" s="198" t="str">
        <f>IFERROR(IF(X220="SI",W221*J218*K218,IF(BE218=3,BE220,IF(BE218=4,BE221,IF(BE218=5,BE222,IF(BE218&gt;5,BE222+(BE223*(BE218-5)),"")))))*0,"")</f>
        <v/>
      </c>
      <c r="X218" s="198" t="str">
        <f>IFERROR(IF(X219="NO",(VLOOKUP(D218,'BD M.O'!C:E,3,FALSE))*W222,((VLOOKUP(D218,'BD M.O'!C:E,3,FALSE))+7500)*W222),"")</f>
        <v/>
      </c>
      <c r="Y218" s="198">
        <f>IFERROR($Y$13*AK218,"")</f>
        <v>4.2084457416288003E-2</v>
      </c>
      <c r="Z218" s="332" t="str">
        <f>IFERROR(($Z$13*AK218)+X218,"")</f>
        <v/>
      </c>
      <c r="AA218" s="199" t="str">
        <f>IFERROR(Y218+Z218,"")</f>
        <v/>
      </c>
      <c r="AB218" s="200">
        <f>IFERROR((SUM(Q218:X218)-T218+T220)*$AB$13,"")</f>
        <v>0</v>
      </c>
      <c r="AC218" s="201">
        <f>IFERROR(((SUM(Q218:V218,IF(X223&gt;AA218,AVERAGE(X223,AA218),AA218))-T218+T220))*$AB$13,"")</f>
        <v>0</v>
      </c>
      <c r="AD218" s="202" t="str">
        <f>IFERROR((J218*K218*$BV$14),"")</f>
        <v/>
      </c>
      <c r="AE218" s="202">
        <f>IFERROR($AE$13*AK218,"")</f>
        <v>6.4010592649919984E-2</v>
      </c>
      <c r="AF218" s="203" t="str">
        <f>IFERROR(($CI$11+$CI$13)*W222,"")</f>
        <v/>
      </c>
      <c r="AG218" s="202">
        <f>IFERROR((SUM(Q218:X218,AB218,AD218,AF218)-T218+T220)*$AG$13,"")</f>
        <v>0</v>
      </c>
      <c r="AH218" s="202">
        <f>IFERROR((SUM(Q218:V218,(IF(X223&gt;AA218,AVERAGE(X223,AA218),AA218)),AC218,AE218,AF218)-T218+T220)*$AG$13,"")</f>
        <v>3.2005296324959992E-2</v>
      </c>
      <c r="AI218" s="204">
        <f>IFERROR(AL218*$AI$13,"")</f>
        <v>2.1531093279999997E-2</v>
      </c>
      <c r="AJ218" s="204">
        <f>IFERROR($AJ$13*AL218,"")</f>
        <v>6.007175025119999E-3</v>
      </c>
      <c r="AK218" s="205">
        <f>IFERROR(SUM(Q218:X218,AB218,AD218,AG218,AF218)/(1-$AI$13)+(1-$AJ$13)-T218+T220,"")</f>
        <v>0.99441999999999997</v>
      </c>
      <c r="AL218" s="205">
        <f>IFERROR(SUM(Q218:V218,AC218,(IF(AD218&gt;AE218,AVERAGE(AD218,AE218),AE218)),AF218,,AH218,(IF(SUM(X223)&gt;AA218,AVERAGE(AA218,X223),AA218)))/(1-$AJ$13)+(1-$AI$13)-T218+T220,"")</f>
        <v>1.0765546639999999</v>
      </c>
      <c r="AM218" s="206">
        <f>$M$15*Q218</f>
        <v>0</v>
      </c>
      <c r="AN218" s="207">
        <f>$M$15*R218</f>
        <v>0</v>
      </c>
      <c r="AO218" s="208">
        <f>$M$15*S218</f>
        <v>0</v>
      </c>
      <c r="AP218" s="207">
        <f>$M$15*T218</f>
        <v>0</v>
      </c>
      <c r="AQ218" s="207" t="e">
        <f>$M$15*#REF!</f>
        <v>#REF!</v>
      </c>
      <c r="AR218" s="207">
        <f>$M$15*U218</f>
        <v>0</v>
      </c>
      <c r="AS218" s="208" t="e">
        <f>$M$15*V218</f>
        <v>#VALUE!</v>
      </c>
      <c r="AT218" s="207" t="e">
        <f>$M$15*W218</f>
        <v>#VALUE!</v>
      </c>
      <c r="AU218" s="208" t="e">
        <f>$M$15*X218</f>
        <v>#VALUE!</v>
      </c>
      <c r="AV218" s="207">
        <f>$M$15*AB218</f>
        <v>0</v>
      </c>
      <c r="AW218" s="208">
        <f>$M$15*AE218</f>
        <v>0</v>
      </c>
      <c r="AX218" s="207">
        <f>$M$15*AG218</f>
        <v>0</v>
      </c>
      <c r="AY218" s="209">
        <f>$M$15*AI218</f>
        <v>0</v>
      </c>
      <c r="AZ218" s="207">
        <f>$M$15*AK218</f>
        <v>0</v>
      </c>
      <c r="BA218" s="210"/>
      <c r="BB218" s="175" t="s">
        <v>23</v>
      </c>
      <c r="BC218" s="211" t="s">
        <v>113</v>
      </c>
      <c r="BD218" s="210"/>
      <c r="BE218" s="212"/>
      <c r="BF218" s="213">
        <f>IF(BH219="NO",((2*J218)+(2*K218))*'BD GN'!$AU$3,((3*J218)+(2*K218))*'BD GN'!$AU$3)</f>
        <v>0</v>
      </c>
      <c r="BG218" s="213">
        <f>'BD GN'!$BB$3*J218*K218</f>
        <v>0</v>
      </c>
      <c r="BH218" s="214">
        <f>((J218*2*BE218)+(K218*2*BE218))*'BD GN'!$AN$4</f>
        <v>0</v>
      </c>
      <c r="BI218" s="210"/>
      <c r="BJ218" s="212"/>
      <c r="BK218" s="212"/>
      <c r="BL218" s="215">
        <f>J218*K218*2.5*BJ218</f>
        <v>0</v>
      </c>
      <c r="BM218" s="215">
        <f>BK218+BL218</f>
        <v>0</v>
      </c>
      <c r="BN218" s="216" t="str">
        <f>IFERROR((VLOOKUP($C$12,'BD GN'!BD:BM,10,FALSE)*BM218)+$BR$338,"")</f>
        <v/>
      </c>
      <c r="BO218" s="210"/>
      <c r="BW218" s="210"/>
      <c r="CD218" s="184"/>
      <c r="CF218" s="185"/>
      <c r="CI218" s="184"/>
      <c r="CJ218" s="210"/>
      <c r="CK218" s="565"/>
      <c r="CL218" s="256"/>
      <c r="CM218" s="596"/>
      <c r="CN218" s="626"/>
      <c r="CO218" s="629"/>
      <c r="CP218" s="629"/>
      <c r="CQ218" s="629"/>
      <c r="CR218" s="629"/>
      <c r="CS218" s="629"/>
      <c r="CT218" s="632"/>
      <c r="CU218" s="565"/>
      <c r="CV218" s="560">
        <f>IFERROR(N218*CU218,"")</f>
        <v>0</v>
      </c>
      <c r="CW218" s="565"/>
      <c r="CX218" s="560">
        <f>IFERROR(P218*CW218,"")</f>
        <v>0</v>
      </c>
      <c r="CY218" s="565"/>
      <c r="CZ218" s="560">
        <f>IFERROR(R218*CY218,"")</f>
        <v>0</v>
      </c>
      <c r="DA218" s="565">
        <f t="shared" ref="DA218" si="816">CU218+CW218+CY218</f>
        <v>0</v>
      </c>
      <c r="DB218" s="560">
        <f t="shared" ref="DB218" si="817">IFERROR(CV218+CX218+CZ218,"")</f>
        <v>0</v>
      </c>
      <c r="DC218" s="565">
        <f>M218-(CU218+CW218+CY218)</f>
        <v>0</v>
      </c>
      <c r="DD218" s="560">
        <f>IFERROR(O218-(CV218+CX218+CZ218),"")</f>
        <v>0</v>
      </c>
      <c r="DG218" s="575"/>
      <c r="DH218" s="575"/>
      <c r="DI218" s="569">
        <f t="shared" ref="DI218" si="818">IFERROR(IF(DG218&gt;0,(((N218)/(1+10%+19%*5%)+((N218)/(1+10%+19%*5%))*10%)*DH218),0),0)</f>
        <v>0</v>
      </c>
      <c r="DJ218" s="569">
        <f t="shared" ref="DJ218" si="819">IFERROR(IF(DG218&gt;0,(N218*DH218),0),0)</f>
        <v>0</v>
      </c>
      <c r="DK218" s="569">
        <f t="shared" ref="DK218" si="820">IF(DG218&gt;0,((R218+T218)*DH218),0)</f>
        <v>0</v>
      </c>
      <c r="DL218" s="569">
        <f t="shared" ref="DL218" si="821">IF(DG218&gt;0,(Q218*DH218),0)</f>
        <v>0</v>
      </c>
      <c r="DM218" s="572">
        <f t="shared" ref="DM218" si="822">IF(DG218&gt;0,(S218*DH218),0)</f>
        <v>0</v>
      </c>
      <c r="DN218" s="569">
        <f t="shared" ref="DN218" si="823">IF(DG218&gt;0,(BN218*DH218),0)</f>
        <v>0</v>
      </c>
      <c r="DO218" s="569">
        <f t="shared" ref="DO218" si="824">IF(DG218&gt;0,(AF218*DH218),0)</f>
        <v>0</v>
      </c>
      <c r="DP218" s="569">
        <f>IF(DG218&gt;0,((DI218)*('BD P&amp;G'!$E$16+'BD P&amp;G'!$E$17+'BD P&amp;G'!$E$18+'BD P&amp;G'!$E$19+'BD P&amp;G'!$E$20+'BD P&amp;G'!$E$21+'BD P&amp;G'!$E$22+'BD P&amp;G'!$E$23)*DH218),0)</f>
        <v>0</v>
      </c>
      <c r="DQ218" s="569">
        <f>IFERROR(IF(DG218&gt;0,((DI218*'BD P&amp;G'!$E$7)+(DI218*'BD P&amp;G'!$E$9)+AI218),0),0)</f>
        <v>0</v>
      </c>
      <c r="DR218" s="569">
        <f t="shared" ref="DR218" si="825">IFERROR(IF(DG218&gt;0,((DI218*1%)),0),0)</f>
        <v>0</v>
      </c>
      <c r="DS218" s="569">
        <f>IFERROR(IF(DG218&gt;0,(((DI218*'BD P&amp;G'!$E$32+DI218*'BD P&amp;G'!$E$33+DI218*'BD P&amp;G'!$E$35+DI218*'BD P&amp;G'!$E$36+DI218*'BD P&amp;G'!$E$37))),0),0)</f>
        <v>0</v>
      </c>
      <c r="DT218" s="569">
        <f t="shared" ref="DT218" si="826">IF(DG218&gt;0,(Y218*DH218),0)</f>
        <v>0</v>
      </c>
      <c r="DU218" s="569">
        <f t="shared" ref="DU218" si="827">IF(DG218&gt;0,(Z218*DH218),0)</f>
        <v>0</v>
      </c>
      <c r="DV218" s="575">
        <f t="shared" ref="DV218" si="828">IF(DG218&gt;0,(Y222*DH218),0)</f>
        <v>0</v>
      </c>
      <c r="DW218" s="575">
        <f t="shared" ref="DW218" si="829">IF(DG218&gt;0,(Z222*DH218),0)</f>
        <v>0</v>
      </c>
      <c r="DX218" s="569">
        <f t="shared" ref="DX218" si="830">IF(DV218&gt;0,DJ218,0)</f>
        <v>0</v>
      </c>
      <c r="DY218" s="569">
        <f t="shared" ref="DY218" si="831">IF(DW218&gt;0,DJ218,0)</f>
        <v>0</v>
      </c>
    </row>
    <row r="219" spans="1:194" s="175" customFormat="1" ht="60" customHeight="1" x14ac:dyDescent="0.25">
      <c r="A219" s="366"/>
      <c r="B219" s="367"/>
      <c r="C219" s="393" t="s">
        <v>28</v>
      </c>
      <c r="D219" s="598"/>
      <c r="E219" s="598"/>
      <c r="F219" s="598"/>
      <c r="G219" s="598"/>
      <c r="H219" s="598"/>
      <c r="I219" s="598"/>
      <c r="J219" s="604"/>
      <c r="K219" s="604"/>
      <c r="L219" s="607"/>
      <c r="M219" s="559"/>
      <c r="N219" s="610"/>
      <c r="O219" s="613"/>
      <c r="P219" s="192"/>
      <c r="Q219" s="217"/>
      <c r="R219" s="217"/>
      <c r="S219" s="218"/>
      <c r="T219" s="219">
        <f>IFERROR(T218/$R$353,"")</f>
        <v>0</v>
      </c>
      <c r="U219" s="206"/>
      <c r="V219" s="220"/>
      <c r="W219" s="221" t="s">
        <v>239</v>
      </c>
      <c r="X219" s="222" t="s">
        <v>204</v>
      </c>
      <c r="Y219" s="223"/>
      <c r="Z219" s="224"/>
      <c r="AA219" s="225"/>
      <c r="AB219" s="226"/>
      <c r="AC219" s="206"/>
      <c r="AD219" s="206"/>
      <c r="AE219" s="206"/>
      <c r="AF219" s="227"/>
      <c r="AG219" s="206"/>
      <c r="AH219" s="206"/>
      <c r="AI219" s="206"/>
      <c r="AJ219" s="206"/>
      <c r="AK219" s="227"/>
      <c r="AL219" s="210"/>
      <c r="AM219" s="206"/>
      <c r="AN219" s="206"/>
      <c r="AO219" s="228"/>
      <c r="AP219" s="229"/>
      <c r="AQ219" s="206"/>
      <c r="AR219" s="206"/>
      <c r="AS219" s="228"/>
      <c r="AT219" s="229"/>
      <c r="AU219" s="228"/>
      <c r="AV219" s="229"/>
      <c r="AW219" s="228"/>
      <c r="AX219" s="229"/>
      <c r="AY219" s="206"/>
      <c r="AZ219" s="229"/>
      <c r="BA219" s="210"/>
      <c r="BB219" s="175" t="s">
        <v>24</v>
      </c>
      <c r="BC219" s="175" t="s">
        <v>114</v>
      </c>
      <c r="BD219" s="210"/>
      <c r="BE219" s="176" t="s">
        <v>206</v>
      </c>
      <c r="BF219" s="230" t="s">
        <v>204</v>
      </c>
      <c r="BG219" s="176" t="s">
        <v>290</v>
      </c>
      <c r="BH219" s="231" t="s">
        <v>204</v>
      </c>
      <c r="BI219" s="210"/>
      <c r="BN219" s="232"/>
      <c r="BO219" s="210"/>
      <c r="BV219" s="184"/>
      <c r="BW219" s="210"/>
      <c r="CD219" s="184"/>
      <c r="CF219" s="185"/>
      <c r="CI219" s="184"/>
      <c r="CJ219" s="210"/>
      <c r="CK219" s="563"/>
      <c r="CM219" s="559"/>
      <c r="CN219" s="627"/>
      <c r="CO219" s="630"/>
      <c r="CP219" s="630"/>
      <c r="CQ219" s="630"/>
      <c r="CR219" s="630"/>
      <c r="CS219" s="630"/>
      <c r="CT219" s="633"/>
      <c r="CU219" s="563"/>
      <c r="CV219" s="561"/>
      <c r="CW219" s="563"/>
      <c r="CX219" s="561"/>
      <c r="CY219" s="563"/>
      <c r="CZ219" s="561"/>
      <c r="DA219" s="563"/>
      <c r="DB219" s="561"/>
      <c r="DC219" s="563"/>
      <c r="DD219" s="561"/>
      <c r="DG219" s="576"/>
      <c r="DH219" s="576"/>
      <c r="DI219" s="570"/>
      <c r="DJ219" s="570"/>
      <c r="DK219" s="570"/>
      <c r="DL219" s="570"/>
      <c r="DM219" s="573"/>
      <c r="DN219" s="570"/>
      <c r="DO219" s="570"/>
      <c r="DP219" s="570"/>
      <c r="DQ219" s="570"/>
      <c r="DR219" s="570"/>
      <c r="DS219" s="570"/>
      <c r="DT219" s="570"/>
      <c r="DU219" s="570"/>
      <c r="DV219" s="576"/>
      <c r="DW219" s="576"/>
      <c r="DX219" s="570"/>
      <c r="DY219" s="570"/>
    </row>
    <row r="220" spans="1:194" s="175" customFormat="1" ht="60" customHeight="1" x14ac:dyDescent="0.3">
      <c r="A220" s="366"/>
      <c r="B220" s="367"/>
      <c r="C220" s="393" t="s">
        <v>30</v>
      </c>
      <c r="D220" s="599"/>
      <c r="E220" s="599"/>
      <c r="F220" s="599"/>
      <c r="G220" s="599"/>
      <c r="H220" s="599"/>
      <c r="I220" s="599"/>
      <c r="J220" s="604"/>
      <c r="K220" s="604"/>
      <c r="L220" s="607"/>
      <c r="M220" s="559"/>
      <c r="N220" s="610"/>
      <c r="O220" s="613"/>
      <c r="P220" s="192"/>
      <c r="Q220" s="176" t="s">
        <v>205</v>
      </c>
      <c r="R220" s="233" t="s">
        <v>204</v>
      </c>
      <c r="S220" s="234"/>
      <c r="T220" s="235">
        <f>IFERROR(($R$353-8000)*T219,"")</f>
        <v>0</v>
      </c>
      <c r="U220" s="206"/>
      <c r="V220" s="220"/>
      <c r="W220" s="221" t="s">
        <v>258</v>
      </c>
      <c r="X220" s="222" t="s">
        <v>204</v>
      </c>
      <c r="Y220" s="236"/>
      <c r="Z220" s="237"/>
      <c r="AA220" s="225"/>
      <c r="AB220" s="226"/>
      <c r="AC220" s="206"/>
      <c r="AD220" s="206"/>
      <c r="AE220" s="206"/>
      <c r="AF220" s="227"/>
      <c r="AG220" s="206"/>
      <c r="AH220" s="206"/>
      <c r="AI220" s="206"/>
      <c r="AJ220" s="206"/>
      <c r="AK220" s="227"/>
      <c r="AL220" s="238"/>
      <c r="AM220" s="206"/>
      <c r="AN220" s="206"/>
      <c r="AO220" s="228"/>
      <c r="AP220" s="229"/>
      <c r="AQ220" s="206"/>
      <c r="AR220" s="206"/>
      <c r="AS220" s="228"/>
      <c r="AT220" s="229"/>
      <c r="AU220" s="228"/>
      <c r="AV220" s="229"/>
      <c r="AW220" s="228"/>
      <c r="AX220" s="229"/>
      <c r="AY220" s="206"/>
      <c r="AZ220" s="229"/>
      <c r="BA220" s="210"/>
      <c r="BB220" s="175" t="s">
        <v>26</v>
      </c>
      <c r="BC220" s="211" t="s">
        <v>115</v>
      </c>
      <c r="BD220" s="210"/>
      <c r="BE220" s="177" t="str">
        <f>IFERROR(VLOOKUP(D218,'BD M.O'!C:H,4,FALSE),"")</f>
        <v/>
      </c>
      <c r="BF220" s="177" t="s">
        <v>259</v>
      </c>
      <c r="BI220" s="210"/>
      <c r="BO220" s="210"/>
      <c r="BV220" s="184"/>
      <c r="BW220" s="210"/>
      <c r="CD220" s="184"/>
      <c r="CF220" s="185"/>
      <c r="CI220" s="184"/>
      <c r="CJ220" s="210"/>
      <c r="CK220" s="563"/>
      <c r="CM220" s="559"/>
      <c r="CN220" s="627"/>
      <c r="CO220" s="630"/>
      <c r="CP220" s="630"/>
      <c r="CQ220" s="630"/>
      <c r="CR220" s="630"/>
      <c r="CS220" s="630"/>
      <c r="CT220" s="633"/>
      <c r="CU220" s="563"/>
      <c r="CV220" s="561"/>
      <c r="CW220" s="563"/>
      <c r="CX220" s="561"/>
      <c r="CY220" s="563"/>
      <c r="CZ220" s="561"/>
      <c r="DA220" s="563"/>
      <c r="DB220" s="561"/>
      <c r="DC220" s="563"/>
      <c r="DD220" s="561"/>
      <c r="DG220" s="577"/>
      <c r="DH220" s="577"/>
      <c r="DI220" s="571"/>
      <c r="DJ220" s="571"/>
      <c r="DK220" s="571"/>
      <c r="DL220" s="571"/>
      <c r="DM220" s="574"/>
      <c r="DN220" s="571"/>
      <c r="DO220" s="571"/>
      <c r="DP220" s="571"/>
      <c r="DQ220" s="571"/>
      <c r="DR220" s="571"/>
      <c r="DS220" s="571"/>
      <c r="DT220" s="571"/>
      <c r="DU220" s="571"/>
      <c r="DV220" s="577"/>
      <c r="DW220" s="577"/>
      <c r="DX220" s="571"/>
      <c r="DY220" s="571"/>
    </row>
    <row r="221" spans="1:194" s="175" customFormat="1" ht="60" customHeight="1" x14ac:dyDescent="0.25">
      <c r="A221" s="366"/>
      <c r="B221" s="367"/>
      <c r="C221" s="395" t="s">
        <v>180</v>
      </c>
      <c r="D221" s="599" t="s">
        <v>31</v>
      </c>
      <c r="E221" s="599"/>
      <c r="F221" s="394" t="s">
        <v>9</v>
      </c>
      <c r="G221" s="599" t="s">
        <v>33</v>
      </c>
      <c r="H221" s="599"/>
      <c r="I221" s="394" t="str">
        <f>+IF($BG$9="SI","","X")</f>
        <v>X</v>
      </c>
      <c r="J221" s="604"/>
      <c r="K221" s="604"/>
      <c r="L221" s="607"/>
      <c r="M221" s="559"/>
      <c r="N221" s="610"/>
      <c r="O221" s="613"/>
      <c r="P221" s="192"/>
      <c r="Q221" s="239"/>
      <c r="R221" s="221" t="s">
        <v>209</v>
      </c>
      <c r="S221" s="234" t="str">
        <f>IF(S219="","",S219/(J218*K218))</f>
        <v/>
      </c>
      <c r="T221" s="226"/>
      <c r="U221" s="206"/>
      <c r="V221" s="220"/>
      <c r="W221" s="239" t="str">
        <f>IFERROR(IF(X220="SI",VLOOKUP(D218,'BD M.O'!C:F,4,FALSE),""),"")</f>
        <v/>
      </c>
      <c r="X221" s="221" t="s">
        <v>258</v>
      </c>
      <c r="Y221" s="221" t="s">
        <v>507</v>
      </c>
      <c r="Z221" s="221" t="s">
        <v>508</v>
      </c>
      <c r="AA221" s="225"/>
      <c r="AB221" s="226"/>
      <c r="AC221" s="206"/>
      <c r="AD221" s="206"/>
      <c r="AE221" s="206"/>
      <c r="AF221" s="227"/>
      <c r="AG221" s="206"/>
      <c r="AH221" s="206"/>
      <c r="AI221" s="206"/>
      <c r="AJ221" s="206"/>
      <c r="AK221" s="227"/>
      <c r="AL221" s="240"/>
      <c r="AM221" s="206"/>
      <c r="AN221" s="206"/>
      <c r="AO221" s="228"/>
      <c r="AP221" s="229"/>
      <c r="AQ221" s="206"/>
      <c r="AR221" s="206"/>
      <c r="AS221" s="228"/>
      <c r="AT221" s="229"/>
      <c r="AU221" s="228"/>
      <c r="AV221" s="229"/>
      <c r="AW221" s="228"/>
      <c r="AX221" s="229"/>
      <c r="AY221" s="206"/>
      <c r="AZ221" s="229"/>
      <c r="BA221" s="210"/>
      <c r="BC221" s="175" t="s">
        <v>116</v>
      </c>
      <c r="BD221" s="210"/>
      <c r="BE221" s="177" t="str">
        <f>IFERROR(VLOOKUP(COTIZACIÓN!D218,'BD M.O'!C:I,5,FALSE),"")</f>
        <v/>
      </c>
      <c r="BF221" s="177" t="s">
        <v>260</v>
      </c>
      <c r="BI221" s="210"/>
      <c r="BO221" s="210"/>
      <c r="BP221" s="183"/>
      <c r="BQ221" s="183"/>
      <c r="BR221" s="183"/>
      <c r="BS221" s="183"/>
      <c r="BT221" s="183"/>
      <c r="BU221" s="183"/>
      <c r="BV221" s="182"/>
      <c r="BW221" s="210"/>
      <c r="BX221" s="183"/>
      <c r="BY221" s="183"/>
      <c r="BZ221" s="183"/>
      <c r="CA221" s="183"/>
      <c r="CB221" s="183"/>
      <c r="CC221" s="183"/>
      <c r="CD221" s="182"/>
      <c r="CE221" s="183"/>
      <c r="CF221" s="241"/>
      <c r="CG221" s="183"/>
      <c r="CH221" s="183"/>
      <c r="CI221" s="182"/>
      <c r="CJ221" s="210"/>
      <c r="CK221" s="563"/>
      <c r="CM221" s="559"/>
      <c r="CN221" s="627"/>
      <c r="CO221" s="630"/>
      <c r="CP221" s="630"/>
      <c r="CQ221" s="630"/>
      <c r="CR221" s="630"/>
      <c r="CS221" s="630"/>
      <c r="CT221" s="633"/>
      <c r="CU221" s="563"/>
      <c r="CV221" s="561"/>
      <c r="CW221" s="563"/>
      <c r="CX221" s="561"/>
      <c r="CY221" s="563"/>
      <c r="CZ221" s="561"/>
      <c r="DA221" s="563"/>
      <c r="DB221" s="561"/>
      <c r="DC221" s="563"/>
      <c r="DD221" s="561"/>
      <c r="DG221" s="575"/>
      <c r="DH221" s="575"/>
      <c r="DI221" s="569">
        <f t="shared" ref="DI221" si="832">IFERROR(IF(DG221&gt;0,(((N218)/(1+10%+19%*5%)+((N218)/(1+10%+19%*5%))*10%)*DH221),0),0)</f>
        <v>0</v>
      </c>
      <c r="DJ221" s="569">
        <f t="shared" ref="DJ221" si="833">IFERROR(IF(DG221&gt;0,(N218*DH221),0),0)</f>
        <v>0</v>
      </c>
      <c r="DK221" s="569">
        <f t="shared" ref="DK221" si="834">IF(DG221&gt;0,((R218+T218)*DH221),0)</f>
        <v>0</v>
      </c>
      <c r="DL221" s="569">
        <f t="shared" ref="DL221" si="835">IF(DG221&gt;0,(Q218*DH221),0)</f>
        <v>0</v>
      </c>
      <c r="DM221" s="572">
        <f t="shared" ref="DM221" si="836">IF(DG221&gt;0,(S218*DH221),0)</f>
        <v>0</v>
      </c>
      <c r="DN221" s="569">
        <f t="shared" ref="DN221" si="837">IF(DG221&gt;0,(BN218*DH221),0)</f>
        <v>0</v>
      </c>
      <c r="DO221" s="569">
        <f t="shared" ref="DO221" si="838">IF(DG221&gt;0,(AF218*DH221),0)</f>
        <v>0</v>
      </c>
      <c r="DP221" s="569">
        <f>IF(DG221&gt;0,((DI221)*('BD P&amp;G'!$E$16+'BD P&amp;G'!$E$17+'BD P&amp;G'!$E$18+'BD P&amp;G'!$E$19+'BD P&amp;G'!$E$20+'BD P&amp;G'!$E$21+'BD P&amp;G'!$E$22+'BD P&amp;G'!$E$23)*DH221),0)</f>
        <v>0</v>
      </c>
      <c r="DQ221" s="569">
        <f>IFERROR(IF(DG221&gt;0,((DI221*'BD P&amp;G'!$E$7)+(DI221*'BD P&amp;G'!$E$9)+AI218),0),0)</f>
        <v>0</v>
      </c>
      <c r="DR221" s="569">
        <f t="shared" ref="DR221" si="839">IFERROR(IF(DG221&gt;0,((DI221*1%)),0),0)</f>
        <v>0</v>
      </c>
      <c r="DS221" s="569">
        <f>IFERROR(IF(DG221&gt;0,(((DI221*'BD P&amp;G'!$E$32+DI221*'BD P&amp;G'!$E$33+DI221*'BD P&amp;G'!$E$35+DI221*'BD P&amp;G'!$E$36+DI221*'BD P&amp;G'!$E$37))),0),0)</f>
        <v>0</v>
      </c>
      <c r="DT221" s="569">
        <f t="shared" ref="DT221" si="840">IF(DG221&gt;0,(Y218*DH221),0)</f>
        <v>0</v>
      </c>
      <c r="DU221" s="569">
        <f t="shared" ref="DU221" si="841">IF(DG221&gt;0,(Z218*DH221),0)</f>
        <v>0</v>
      </c>
      <c r="DV221" s="575">
        <f t="shared" ref="DV221" si="842">IF(DG221&gt;0,(Y222*DH221),0)</f>
        <v>0</v>
      </c>
      <c r="DW221" s="575">
        <f t="shared" ref="DW221" si="843">IF(DG221&gt;0,(Z222*DH221),0)</f>
        <v>0</v>
      </c>
      <c r="DX221" s="569">
        <f t="shared" ref="DX221" si="844">IF(DV221&gt;0,DJ221,0)</f>
        <v>0</v>
      </c>
      <c r="DY221" s="569">
        <f t="shared" ref="DY221" si="845">IF(DW221&gt;0,DJ221,0)</f>
        <v>0</v>
      </c>
    </row>
    <row r="222" spans="1:194" s="175" customFormat="1" ht="60" customHeight="1" x14ac:dyDescent="0.3">
      <c r="A222" s="366"/>
      <c r="B222" s="367"/>
      <c r="C222" s="393" t="s">
        <v>35</v>
      </c>
      <c r="D222" s="599" t="str">
        <f>IFERROR(VLOOKUP(D218,'BD GN'!C:E,3,),"")</f>
        <v/>
      </c>
      <c r="E222" s="599"/>
      <c r="F222" s="599"/>
      <c r="G222" s="599"/>
      <c r="H222" s="599"/>
      <c r="I222" s="599"/>
      <c r="J222" s="604"/>
      <c r="K222" s="604"/>
      <c r="L222" s="607"/>
      <c r="M222" s="559"/>
      <c r="N222" s="610"/>
      <c r="O222" s="613"/>
      <c r="P222" s="192"/>
      <c r="Q222" s="239"/>
      <c r="R222" s="221" t="s">
        <v>210</v>
      </c>
      <c r="S222" s="234" t="str">
        <f>IFERROR(IF(N218="","",N218/W222),"")</f>
        <v/>
      </c>
      <c r="T222" s="226"/>
      <c r="U222" s="206"/>
      <c r="V222" s="220"/>
      <c r="W222" s="242" t="str">
        <f>+IF(J218*K218&gt;=1,J218*K218,IF(AND(J218*K218&gt;0,J218*K218&lt;1),1,""))</f>
        <v/>
      </c>
      <c r="X222" s="221" t="s">
        <v>298</v>
      </c>
      <c r="Y222" s="461">
        <f>IFERROR(IF(D218='BD GN'!$C$25,COTIZACIÓN!W222,IF(D218='BD GN'!$C$26,COTIZACIÓN!W222,IF(D218='BD GN'!$C$27,COTIZACIÓN!W222,IF(COTIZACIÓN!D218='BD GN'!$C$28,COTIZACIÓN!W222,IF(COTIZACIÓN!D218='BD GN'!$C$29,COTIZACIÓN!W222,IF(COTIZACIÓN!D218='BD GN'!$C$35,COTIZACIÓN!W222,IF(COTIZACIÓN!D218='BD GN'!$C$36,COTIZACIÓN!W222,IF(COTIZACIÓN!D218='BD GN'!$C$37,COTIZACIÓN!W222,IF(COTIZACIÓN!D218='BD GN'!$C$38,COTIZACIÓN!W222,IF(COTIZACIÓN!D218='BD GN'!$C$39,COTIZACIÓN!W222,IF(COTIZACIÓN!D218='BD GN'!$C$40,COTIZACIÓN!W222,IF(COTIZACIÓN!D218='BD GN'!$C$41,COTIZACIÓN!W222,IF(COTIZACIÓN!D218='BD GN'!$C$42,COTIZACIÓN!W222,IF(COTIZACIÓN!D218='BD GN'!$C$49,COTIZACIÓN!W222,IF(COTIZACIÓN!D218='BD GN'!$C$50,COTIZACIÓN!W222,IF(COTIZACIÓN!D218='BD GN'!$C$51,COTIZACIÓN!W222,IF(COTIZACIÓN!D218='BD GN'!$C$67,COTIZACIÓN!W222,0))))))))))))))))),0)</f>
        <v>0</v>
      </c>
      <c r="Z222" s="461">
        <f>IFERROR(W222-Y222,0)</f>
        <v>0</v>
      </c>
      <c r="AA222" s="225"/>
      <c r="AB222" s="226"/>
      <c r="AC222" s="206"/>
      <c r="AD222" s="206"/>
      <c r="AE222" s="206"/>
      <c r="AF222" s="227"/>
      <c r="AG222" s="206"/>
      <c r="AH222" s="206"/>
      <c r="AI222" s="206"/>
      <c r="AJ222" s="206"/>
      <c r="AK222" s="227"/>
      <c r="AL222" s="210"/>
      <c r="AM222" s="206"/>
      <c r="AN222" s="206"/>
      <c r="AO222" s="228"/>
      <c r="AP222" s="229"/>
      <c r="AQ222" s="206"/>
      <c r="AR222" s="206"/>
      <c r="AS222" s="228"/>
      <c r="AT222" s="229"/>
      <c r="AU222" s="228"/>
      <c r="AV222" s="229"/>
      <c r="AW222" s="228"/>
      <c r="AX222" s="229"/>
      <c r="AY222" s="206"/>
      <c r="AZ222" s="229"/>
      <c r="BA222" s="210"/>
      <c r="BC222" s="211" t="s">
        <v>117</v>
      </c>
      <c r="BD222" s="210"/>
      <c r="BE222" s="177" t="str">
        <f>IFERROR(VLOOKUP(D218,'BD M.O'!C:I,6,FALSE),"")</f>
        <v/>
      </c>
      <c r="BF222" s="177" t="s">
        <v>261</v>
      </c>
      <c r="BI222" s="210"/>
      <c r="BO222" s="210"/>
      <c r="BP222" s="183"/>
      <c r="BQ222" s="183"/>
      <c r="BR222" s="183"/>
      <c r="BW222" s="210"/>
      <c r="CD222" s="184"/>
      <c r="CF222" s="185"/>
      <c r="CI222" s="184"/>
      <c r="CJ222" s="210"/>
      <c r="CK222" s="563"/>
      <c r="CM222" s="559"/>
      <c r="CN222" s="627"/>
      <c r="CO222" s="630"/>
      <c r="CP222" s="630"/>
      <c r="CQ222" s="630"/>
      <c r="CR222" s="630"/>
      <c r="CS222" s="630"/>
      <c r="CT222" s="633"/>
      <c r="CU222" s="563"/>
      <c r="CV222" s="561"/>
      <c r="CW222" s="563"/>
      <c r="CX222" s="561"/>
      <c r="CY222" s="563"/>
      <c r="CZ222" s="561"/>
      <c r="DA222" s="563"/>
      <c r="DB222" s="561"/>
      <c r="DC222" s="563"/>
      <c r="DD222" s="561"/>
      <c r="DG222" s="576"/>
      <c r="DH222" s="576"/>
      <c r="DI222" s="570"/>
      <c r="DJ222" s="570"/>
      <c r="DK222" s="570"/>
      <c r="DL222" s="570"/>
      <c r="DM222" s="573"/>
      <c r="DN222" s="570"/>
      <c r="DO222" s="570"/>
      <c r="DP222" s="570"/>
      <c r="DQ222" s="570"/>
      <c r="DR222" s="570"/>
      <c r="DS222" s="570"/>
      <c r="DT222" s="570"/>
      <c r="DU222" s="570"/>
      <c r="DV222" s="576"/>
      <c r="DW222" s="576"/>
      <c r="DX222" s="570"/>
      <c r="DY222" s="570"/>
    </row>
    <row r="223" spans="1:194" s="252" customFormat="1" ht="60" customHeight="1" x14ac:dyDescent="0.25">
      <c r="A223" s="368"/>
      <c r="B223" s="369"/>
      <c r="C223" s="396" t="s">
        <v>10</v>
      </c>
      <c r="D223" s="645" t="s">
        <v>32</v>
      </c>
      <c r="E223" s="645"/>
      <c r="F223" s="645"/>
      <c r="G223" s="645"/>
      <c r="H223" s="645"/>
      <c r="I223" s="645"/>
      <c r="J223" s="643"/>
      <c r="K223" s="643"/>
      <c r="L223" s="646"/>
      <c r="M223" s="648"/>
      <c r="N223" s="649"/>
      <c r="O223" s="644"/>
      <c r="P223" s="192"/>
      <c r="Q223" s="239"/>
      <c r="R223" s="334" t="s">
        <v>475</v>
      </c>
      <c r="S223" s="234" t="str">
        <f>IFERROR(IF($C$12='BD GN'!$CC$1,VLOOKUP(COTIZACIÓN!D218,'BD GN'!CB:CG,2,FALSE),IF(COTIZACIÓN!$C$12='BD GN'!$CD$1,VLOOKUP(COTIZACIÓN!D218,'BD GN'!CB:CG,3,FALSE),IF($C$12='BD GN'!$CE$1,VLOOKUP(COTIZACIÓN!D218,'BD GN'!CB:CG,4,FALSE),IF(COTIZACIÓN!$C$12='BD GN'!$CF$1,VLOOKUP(COTIZACIÓN!D218,'BD GN'!CB:CG,5,FALSE),IF(COTIZACIÓN!$C$12='BD GN'!$CG$1,VLOOKUP(COTIZACIÓN!D218,'BD GN'!CB:CG,6,FALSE),""))))),"-")</f>
        <v/>
      </c>
      <c r="T223" s="243"/>
      <c r="U223" s="244"/>
      <c r="V223" s="245"/>
      <c r="W223" s="177" t="s">
        <v>394</v>
      </c>
      <c r="X223" s="246">
        <f>IFERROR(SUM(W218:X218),"")</f>
        <v>0</v>
      </c>
      <c r="Y223" s="166" t="s">
        <v>404</v>
      </c>
      <c r="Z223" s="199" t="str">
        <f>IFERROR(Y218+Z218,"")</f>
        <v/>
      </c>
      <c r="AA223" s="247"/>
      <c r="AB223" s="243"/>
      <c r="AC223" s="244"/>
      <c r="AD223" s="244"/>
      <c r="AE223" s="244"/>
      <c r="AF223" s="227"/>
      <c r="AG223" s="206"/>
      <c r="AH223" s="206"/>
      <c r="AI223" s="206"/>
      <c r="AJ223" s="206"/>
      <c r="AK223" s="227"/>
      <c r="AL223" s="227"/>
      <c r="AM223" s="248"/>
      <c r="AN223" s="248"/>
      <c r="AO223" s="249"/>
      <c r="AP223" s="250"/>
      <c r="AQ223" s="248"/>
      <c r="AR223" s="248"/>
      <c r="AS223" s="249"/>
      <c r="AT223" s="250"/>
      <c r="AU223" s="249"/>
      <c r="AV223" s="250"/>
      <c r="AW223" s="249"/>
      <c r="AX223" s="250"/>
      <c r="AY223" s="248"/>
      <c r="AZ223" s="250"/>
      <c r="BA223" s="210"/>
      <c r="BB223" s="175"/>
      <c r="BC223" s="175" t="s">
        <v>118</v>
      </c>
      <c r="BD223" s="210"/>
      <c r="BE223" s="251" t="str">
        <f>IFERROR(VLOOKUP(D218,'BD M.O'!C:I,7,FALSE),"")</f>
        <v/>
      </c>
      <c r="BF223" s="251" t="s">
        <v>262</v>
      </c>
      <c r="BG223" s="175"/>
      <c r="BH223" s="175"/>
      <c r="BI223" s="210"/>
      <c r="BJ223" s="175"/>
      <c r="BK223" s="175"/>
      <c r="BL223" s="175"/>
      <c r="BM223" s="175"/>
      <c r="BN223" s="175"/>
      <c r="BO223" s="210"/>
      <c r="BP223" s="175"/>
      <c r="BQ223" s="175"/>
      <c r="BR223" s="175"/>
      <c r="BS223" s="183"/>
      <c r="BT223" s="183"/>
      <c r="BU223" s="183"/>
      <c r="BV223" s="183"/>
      <c r="BW223" s="210"/>
      <c r="BX223" s="175"/>
      <c r="BY223" s="175"/>
      <c r="BZ223" s="175"/>
      <c r="CA223" s="175"/>
      <c r="CB223" s="175"/>
      <c r="CC223" s="175"/>
      <c r="CD223" s="184"/>
      <c r="CE223" s="175"/>
      <c r="CF223" s="185"/>
      <c r="CG223" s="175"/>
      <c r="CH223" s="175"/>
      <c r="CI223" s="184"/>
      <c r="CJ223" s="210"/>
      <c r="CK223" s="564"/>
      <c r="CL223" s="257"/>
      <c r="CM223" s="597"/>
      <c r="CN223" s="628"/>
      <c r="CO223" s="631"/>
      <c r="CP223" s="631"/>
      <c r="CQ223" s="631"/>
      <c r="CR223" s="631"/>
      <c r="CS223" s="631"/>
      <c r="CT223" s="634"/>
      <c r="CU223" s="564"/>
      <c r="CV223" s="562"/>
      <c r="CW223" s="564"/>
      <c r="CX223" s="562"/>
      <c r="CY223" s="564"/>
      <c r="CZ223" s="562"/>
      <c r="DA223" s="564"/>
      <c r="DB223" s="562"/>
      <c r="DC223" s="564"/>
      <c r="DD223" s="562"/>
      <c r="DE223" s="175"/>
      <c r="DF223" s="175"/>
      <c r="DG223" s="577"/>
      <c r="DH223" s="577"/>
      <c r="DI223" s="571"/>
      <c r="DJ223" s="571"/>
      <c r="DK223" s="571"/>
      <c r="DL223" s="571"/>
      <c r="DM223" s="574"/>
      <c r="DN223" s="571"/>
      <c r="DO223" s="571"/>
      <c r="DP223" s="571"/>
      <c r="DQ223" s="571"/>
      <c r="DR223" s="571"/>
      <c r="DS223" s="571"/>
      <c r="DT223" s="571"/>
      <c r="DU223" s="571"/>
      <c r="DV223" s="577"/>
      <c r="DW223" s="577"/>
      <c r="DX223" s="571"/>
      <c r="DY223" s="571"/>
      <c r="DZ223" s="175"/>
      <c r="EA223" s="175"/>
      <c r="EB223" s="175"/>
      <c r="EC223" s="175"/>
      <c r="ED223" s="175"/>
      <c r="EE223" s="175"/>
      <c r="EF223" s="175"/>
      <c r="EG223" s="175"/>
      <c r="EH223" s="175"/>
      <c r="EI223" s="175"/>
      <c r="EJ223" s="175"/>
      <c r="EK223" s="175"/>
      <c r="EL223" s="175"/>
      <c r="EM223" s="175"/>
      <c r="EN223" s="175"/>
      <c r="EO223" s="175"/>
      <c r="EP223" s="175"/>
      <c r="EQ223" s="175"/>
      <c r="ER223" s="175"/>
      <c r="ES223" s="175"/>
      <c r="ET223" s="175"/>
      <c r="EU223" s="175"/>
      <c r="EV223" s="175"/>
      <c r="EW223" s="175"/>
      <c r="EX223" s="175"/>
      <c r="EY223" s="175"/>
      <c r="EZ223" s="175"/>
      <c r="FA223" s="175"/>
      <c r="FB223" s="175"/>
      <c r="FC223" s="175"/>
      <c r="FD223" s="175"/>
      <c r="FE223" s="175"/>
      <c r="FF223" s="175"/>
      <c r="FG223" s="175"/>
      <c r="FH223" s="175"/>
      <c r="FI223" s="175"/>
      <c r="FJ223" s="175"/>
      <c r="FK223" s="175"/>
      <c r="FL223" s="175"/>
      <c r="FM223" s="175"/>
      <c r="FN223" s="175"/>
      <c r="FO223" s="175"/>
      <c r="FP223" s="175"/>
      <c r="FQ223" s="175"/>
      <c r="FR223" s="175"/>
      <c r="FS223" s="175"/>
      <c r="FT223" s="175"/>
      <c r="FU223" s="175"/>
      <c r="FV223" s="175"/>
      <c r="FW223" s="175"/>
      <c r="FX223" s="175"/>
      <c r="FY223" s="175"/>
      <c r="FZ223" s="175"/>
      <c r="GA223" s="175"/>
      <c r="GB223" s="175"/>
      <c r="GC223" s="175"/>
      <c r="GD223" s="175"/>
      <c r="GE223" s="175"/>
      <c r="GF223" s="175"/>
      <c r="GG223" s="175"/>
      <c r="GH223" s="175"/>
      <c r="GI223" s="175"/>
      <c r="GJ223" s="175"/>
      <c r="GK223" s="175"/>
      <c r="GL223" s="175"/>
    </row>
    <row r="224" spans="1:194" s="255" customFormat="1" ht="60" customHeight="1" x14ac:dyDescent="0.3">
      <c r="A224" s="362" t="s">
        <v>193</v>
      </c>
      <c r="B224" s="363" t="s">
        <v>25</v>
      </c>
      <c r="C224" s="391" t="s">
        <v>174</v>
      </c>
      <c r="D224" s="640" t="s">
        <v>173</v>
      </c>
      <c r="E224" s="640"/>
      <c r="F224" s="640"/>
      <c r="G224" s="640"/>
      <c r="H224" s="640"/>
      <c r="I224" s="640"/>
      <c r="J224" s="418" t="s">
        <v>443</v>
      </c>
      <c r="K224" s="418" t="s">
        <v>444</v>
      </c>
      <c r="L224" s="418" t="s">
        <v>171</v>
      </c>
      <c r="M224" s="363" t="s">
        <v>2</v>
      </c>
      <c r="N224" s="419" t="s">
        <v>7</v>
      </c>
      <c r="O224" s="420" t="s">
        <v>8</v>
      </c>
      <c r="P224" s="159"/>
      <c r="Q224" s="164" t="s">
        <v>93</v>
      </c>
      <c r="R224" s="164" t="s">
        <v>34</v>
      </c>
      <c r="S224" s="164" t="s">
        <v>28</v>
      </c>
      <c r="T224" s="164" t="s">
        <v>95</v>
      </c>
      <c r="U224" s="164" t="s">
        <v>96</v>
      </c>
      <c r="V224" s="164" t="s">
        <v>97</v>
      </c>
      <c r="W224" s="164" t="s">
        <v>4</v>
      </c>
      <c r="X224" s="164" t="s">
        <v>103</v>
      </c>
      <c r="Y224" s="160" t="s">
        <v>402</v>
      </c>
      <c r="Z224" s="165" t="s">
        <v>403</v>
      </c>
      <c r="AA224" s="166" t="s">
        <v>404</v>
      </c>
      <c r="AB224" s="164" t="s">
        <v>99</v>
      </c>
      <c r="AC224" s="164" t="s">
        <v>395</v>
      </c>
      <c r="AD224" s="253" t="s">
        <v>36</v>
      </c>
      <c r="AE224" s="164" t="s">
        <v>389</v>
      </c>
      <c r="AF224" s="164" t="s">
        <v>390</v>
      </c>
      <c r="AG224" s="164" t="s">
        <v>164</v>
      </c>
      <c r="AH224" s="253" t="s">
        <v>396</v>
      </c>
      <c r="AI224" s="164" t="s">
        <v>190</v>
      </c>
      <c r="AJ224" s="164" t="s">
        <v>339</v>
      </c>
      <c r="AK224" s="253" t="s">
        <v>391</v>
      </c>
      <c r="AL224" s="253" t="s">
        <v>393</v>
      </c>
      <c r="AM224" s="167" t="s">
        <v>93</v>
      </c>
      <c r="AN224" s="168" t="s">
        <v>34</v>
      </c>
      <c r="AO224" s="169" t="s">
        <v>28</v>
      </c>
      <c r="AP224" s="170" t="s">
        <v>95</v>
      </c>
      <c r="AQ224" s="167" t="s">
        <v>3</v>
      </c>
      <c r="AR224" s="167" t="s">
        <v>96</v>
      </c>
      <c r="AS224" s="169" t="s">
        <v>97</v>
      </c>
      <c r="AT224" s="170" t="s">
        <v>4</v>
      </c>
      <c r="AU224" s="169" t="s">
        <v>103</v>
      </c>
      <c r="AV224" s="170" t="s">
        <v>99</v>
      </c>
      <c r="AW224" s="169" t="s">
        <v>36</v>
      </c>
      <c r="AX224" s="171" t="s">
        <v>29</v>
      </c>
      <c r="AY224" s="172" t="s">
        <v>190</v>
      </c>
      <c r="AZ224" s="173" t="s">
        <v>102</v>
      </c>
      <c r="BA224" s="174"/>
      <c r="BB224" s="183"/>
      <c r="BC224" s="211" t="s">
        <v>119</v>
      </c>
      <c r="BD224" s="174"/>
      <c r="BE224" s="176" t="s">
        <v>189</v>
      </c>
      <c r="BF224" s="177" t="str">
        <f>$BF$13</f>
        <v xml:space="preserve">VR SILICONA </v>
      </c>
      <c r="BG224" s="177" t="str">
        <f>$BG$13</f>
        <v xml:space="preserve">VR PELÍCULA </v>
      </c>
      <c r="BH224" s="254" t="str">
        <f>$BH$13</f>
        <v>VR EMBALAJE</v>
      </c>
      <c r="BI224" s="174"/>
      <c r="BJ224" s="176" t="str">
        <f>$BJ$13</f>
        <v>ESP. CRISTAL</v>
      </c>
      <c r="BK224" s="176" t="s">
        <v>130</v>
      </c>
      <c r="BL224" s="177" t="s">
        <v>28</v>
      </c>
      <c r="BM224" s="177" t="str">
        <f>BM217</f>
        <v>TOTAL</v>
      </c>
      <c r="BN224" s="177" t="s">
        <v>133</v>
      </c>
      <c r="BO224" s="174"/>
      <c r="BP224" s="175"/>
      <c r="BQ224" s="175"/>
      <c r="BR224" s="175"/>
      <c r="BS224" s="175"/>
      <c r="BT224" s="175"/>
      <c r="BU224" s="175"/>
      <c r="BV224" s="175"/>
      <c r="BW224" s="174"/>
      <c r="BX224" s="175"/>
      <c r="BY224" s="175"/>
      <c r="BZ224" s="175"/>
      <c r="CA224" s="175"/>
      <c r="CB224" s="175"/>
      <c r="CC224" s="175"/>
      <c r="CD224" s="184"/>
      <c r="CE224" s="175"/>
      <c r="CF224" s="185"/>
      <c r="CG224" s="175"/>
      <c r="CH224" s="175"/>
      <c r="CI224" s="184"/>
      <c r="CJ224" s="174"/>
      <c r="CK224" s="186" t="s">
        <v>415</v>
      </c>
      <c r="CL224" s="187" t="s">
        <v>417</v>
      </c>
      <c r="CM224" s="187" t="s">
        <v>416</v>
      </c>
      <c r="CN224" s="188" t="s">
        <v>418</v>
      </c>
      <c r="CO224" s="187" t="s">
        <v>417</v>
      </c>
      <c r="CP224" s="187" t="s">
        <v>409</v>
      </c>
      <c r="CQ224" s="187" t="s">
        <v>410</v>
      </c>
      <c r="CR224" s="187" t="s">
        <v>411</v>
      </c>
      <c r="CS224" s="187" t="s">
        <v>412</v>
      </c>
      <c r="CT224" s="187" t="s">
        <v>413</v>
      </c>
      <c r="CU224" s="189" t="s">
        <v>2</v>
      </c>
      <c r="CV224" s="190" t="s">
        <v>159</v>
      </c>
      <c r="CW224" s="189" t="s">
        <v>2</v>
      </c>
      <c r="CX224" s="190" t="s">
        <v>159</v>
      </c>
      <c r="CY224" s="189" t="s">
        <v>2</v>
      </c>
      <c r="CZ224" s="190" t="s">
        <v>159</v>
      </c>
      <c r="DA224" s="189" t="s">
        <v>2</v>
      </c>
      <c r="DB224" s="190" t="s">
        <v>159</v>
      </c>
      <c r="DC224" s="189" t="s">
        <v>2</v>
      </c>
      <c r="DD224" s="190" t="s">
        <v>159</v>
      </c>
      <c r="DE224" s="183"/>
      <c r="DF224" s="183"/>
      <c r="DG224" s="177" t="s">
        <v>505</v>
      </c>
      <c r="DH224" s="472" t="s">
        <v>509</v>
      </c>
      <c r="DI224" s="457" t="s">
        <v>506</v>
      </c>
      <c r="DJ224" s="457" t="s">
        <v>134</v>
      </c>
      <c r="DK224" s="457" t="s">
        <v>498</v>
      </c>
      <c r="DL224" s="457" t="s">
        <v>499</v>
      </c>
      <c r="DM224" s="457" t="s">
        <v>500</v>
      </c>
      <c r="DN224" s="457" t="s">
        <v>131</v>
      </c>
      <c r="DO224" s="457" t="s">
        <v>390</v>
      </c>
      <c r="DP224" s="457" t="s">
        <v>36</v>
      </c>
      <c r="DQ224" s="457" t="s">
        <v>501</v>
      </c>
      <c r="DR224" s="457" t="s">
        <v>502</v>
      </c>
      <c r="DS224" s="457" t="s">
        <v>503</v>
      </c>
      <c r="DT224" s="457" t="s">
        <v>4</v>
      </c>
      <c r="DU224" s="457" t="s">
        <v>504</v>
      </c>
      <c r="DV224" s="466" t="s">
        <v>507</v>
      </c>
      <c r="DW224" s="466" t="s">
        <v>508</v>
      </c>
      <c r="DX224" s="457" t="s">
        <v>510</v>
      </c>
      <c r="DY224" s="457" t="s">
        <v>511</v>
      </c>
      <c r="DZ224" s="183"/>
      <c r="EA224" s="183"/>
      <c r="EB224" s="183"/>
      <c r="EC224" s="183"/>
      <c r="ED224" s="183"/>
      <c r="EE224" s="183"/>
      <c r="EF224" s="183"/>
      <c r="EG224" s="183"/>
      <c r="EH224" s="183"/>
      <c r="EI224" s="183"/>
      <c r="EJ224" s="183"/>
      <c r="EK224" s="183"/>
      <c r="EL224" s="183"/>
      <c r="EM224" s="183"/>
      <c r="EN224" s="183"/>
      <c r="EO224" s="183"/>
      <c r="EP224" s="183"/>
      <c r="EQ224" s="183"/>
      <c r="ER224" s="183"/>
      <c r="ES224" s="183"/>
      <c r="ET224" s="183"/>
      <c r="EU224" s="183"/>
      <c r="EV224" s="183"/>
      <c r="EW224" s="183"/>
      <c r="EX224" s="183"/>
      <c r="EY224" s="183"/>
      <c r="EZ224" s="183"/>
      <c r="FA224" s="183"/>
      <c r="FB224" s="183"/>
      <c r="FC224" s="183"/>
      <c r="FD224" s="183"/>
      <c r="FE224" s="183"/>
      <c r="FF224" s="183"/>
      <c r="FG224" s="183"/>
      <c r="FH224" s="183"/>
      <c r="FI224" s="183"/>
      <c r="FJ224" s="183"/>
      <c r="FK224" s="183"/>
      <c r="FL224" s="183"/>
      <c r="FM224" s="183"/>
      <c r="FN224" s="183"/>
      <c r="FO224" s="183"/>
      <c r="FP224" s="183"/>
      <c r="FQ224" s="183"/>
      <c r="FR224" s="183"/>
      <c r="FS224" s="183"/>
      <c r="FT224" s="183"/>
      <c r="FU224" s="183"/>
      <c r="FV224" s="183"/>
      <c r="FW224" s="183"/>
      <c r="FX224" s="183"/>
      <c r="FY224" s="183"/>
      <c r="FZ224" s="183"/>
      <c r="GA224" s="183"/>
      <c r="GB224" s="183"/>
      <c r="GC224" s="183"/>
      <c r="GD224" s="183"/>
      <c r="GE224" s="183"/>
      <c r="GF224" s="183"/>
      <c r="GG224" s="183"/>
      <c r="GH224" s="183"/>
      <c r="GI224" s="183"/>
      <c r="GJ224" s="183"/>
      <c r="GK224" s="183"/>
      <c r="GL224" s="183"/>
    </row>
    <row r="225" spans="1:194" s="175" customFormat="1" ht="60" customHeight="1" x14ac:dyDescent="0.3">
      <c r="A225" s="364"/>
      <c r="B225" s="365"/>
      <c r="C225" s="392" t="s">
        <v>27</v>
      </c>
      <c r="D225" s="641"/>
      <c r="E225" s="641"/>
      <c r="F225" s="641"/>
      <c r="G225" s="641"/>
      <c r="H225" s="641"/>
      <c r="I225" s="641"/>
      <c r="J225" s="642"/>
      <c r="K225" s="642"/>
      <c r="L225" s="622">
        <f>J225*K225*M225</f>
        <v>0</v>
      </c>
      <c r="M225" s="623"/>
      <c r="N225" s="620">
        <f>IFERROR(AL225,"")</f>
        <v>1.0765546639999999</v>
      </c>
      <c r="O225" s="621">
        <f>IFERROR(N225*M225,"")</f>
        <v>0</v>
      </c>
      <c r="P225" s="192"/>
      <c r="Q225" s="193">
        <f>Q226+BF225+($R$350*Q226)</f>
        <v>0</v>
      </c>
      <c r="R225" s="193">
        <f>IFERROR(R226+($R$348*R226),"")</f>
        <v>0</v>
      </c>
      <c r="S225" s="194">
        <f>+IF(R227="SI",((W229*'BD GN'!$AB$2)+S226)*1,COTIZACIÓN!S226*1)+(P226*S226)</f>
        <v>0</v>
      </c>
      <c r="T225" s="195">
        <f>IFERROR(R225*IF(K225&lt;=3,$T$13,15%),"")</f>
        <v>0</v>
      </c>
      <c r="U225" s="196">
        <f>BH225+BG225</f>
        <v>0</v>
      </c>
      <c r="V225" s="197" t="str">
        <f>IFERROR(BN225,"")</f>
        <v/>
      </c>
      <c r="W225" s="198" t="str">
        <f>IFERROR(IF(X227="SI",W228*J225*K225,IF(BE225=3,BE227,IF(BE225=4,BE228,IF(BE225=5,BE229,IF(BE225&gt;5,BE229+(BE230*(BE225-5)),"")))))*0,"")</f>
        <v/>
      </c>
      <c r="X225" s="198" t="str">
        <f>IFERROR(IF(X226="NO",(VLOOKUP(D225,'BD M.O'!C:E,3,FALSE))*W229,((VLOOKUP(D225,'BD M.O'!C:E,3,FALSE))+7500)*W229),"")</f>
        <v/>
      </c>
      <c r="Y225" s="198">
        <f>IFERROR($Y$13*AK225,"")</f>
        <v>4.2084457416288003E-2</v>
      </c>
      <c r="Z225" s="332" t="str">
        <f>IFERROR(($Z$13*AK225)+X225,"")</f>
        <v/>
      </c>
      <c r="AA225" s="199" t="str">
        <f>IFERROR(Y225+Z225,"")</f>
        <v/>
      </c>
      <c r="AB225" s="200">
        <f>IFERROR((SUM(Q225:X225)-T225+T227)*$AB$13,"")</f>
        <v>0</v>
      </c>
      <c r="AC225" s="201">
        <f>IFERROR(((SUM(Q225:V225,IF(X230&gt;AA225,AVERAGE(X230,AA225),AA225))-T225+T227))*$AB$13,"")</f>
        <v>0</v>
      </c>
      <c r="AD225" s="202" t="str">
        <f>IFERROR((J225*K225*$BV$14),"")</f>
        <v/>
      </c>
      <c r="AE225" s="202">
        <f>IFERROR($AE$13*AK225,"")</f>
        <v>6.4010592649919984E-2</v>
      </c>
      <c r="AF225" s="203" t="str">
        <f>IFERROR(($CI$11+$CI$13)*W229,"")</f>
        <v/>
      </c>
      <c r="AG225" s="202">
        <f>IFERROR((SUM(Q225:X225,AB225,AD225,AF225)-T225+T227)*$AG$13,"")</f>
        <v>0</v>
      </c>
      <c r="AH225" s="202">
        <f>IFERROR((SUM(Q225:V225,(IF(X230&gt;AA225,AVERAGE(X230,AA225),AA225)),AC225,AE225,AF225)-T225+T227)*$AG$13,"")</f>
        <v>3.2005296324959992E-2</v>
      </c>
      <c r="AI225" s="204">
        <f>IFERROR(AL225*$AI$13,"")</f>
        <v>2.1531093279999997E-2</v>
      </c>
      <c r="AJ225" s="204">
        <f>IFERROR($AJ$13*AL225,"")</f>
        <v>6.007175025119999E-3</v>
      </c>
      <c r="AK225" s="205">
        <f>IFERROR(SUM(Q225:X225,AB225,AD225,AG225,AF225)/(1-$AI$13)+(1-$AJ$13)-T225+T227,"")</f>
        <v>0.99441999999999997</v>
      </c>
      <c r="AL225" s="205">
        <f>IFERROR(SUM(Q225:V225,AC225,(IF(AD225&gt;AE225,AVERAGE(AD225,AE225),AE225)),AF225,,AH225,(IF(SUM(X230)&gt;AA225,AVERAGE(AA225,X230),AA225)))/(1-$AJ$13)+(1-$AI$13)-T225+T227,"")</f>
        <v>1.0765546639999999</v>
      </c>
      <c r="AM225" s="206">
        <f>$M$15*Q225</f>
        <v>0</v>
      </c>
      <c r="AN225" s="207">
        <f>$M$15*R225</f>
        <v>0</v>
      </c>
      <c r="AO225" s="208">
        <f>$M$15*S225</f>
        <v>0</v>
      </c>
      <c r="AP225" s="207">
        <f>$M$15*T225</f>
        <v>0</v>
      </c>
      <c r="AQ225" s="207" t="e">
        <f>$M$15*#REF!</f>
        <v>#REF!</v>
      </c>
      <c r="AR225" s="207">
        <f>$M$15*U225</f>
        <v>0</v>
      </c>
      <c r="AS225" s="208" t="e">
        <f>$M$15*V225</f>
        <v>#VALUE!</v>
      </c>
      <c r="AT225" s="207" t="e">
        <f>$M$15*W225</f>
        <v>#VALUE!</v>
      </c>
      <c r="AU225" s="208" t="e">
        <f>$M$15*X225</f>
        <v>#VALUE!</v>
      </c>
      <c r="AV225" s="207">
        <f>$M$15*AB225</f>
        <v>0</v>
      </c>
      <c r="AW225" s="208">
        <f>$M$15*AE225</f>
        <v>0</v>
      </c>
      <c r="AX225" s="207">
        <f>$M$15*AG225</f>
        <v>0</v>
      </c>
      <c r="AY225" s="209">
        <f>$M$15*AI225</f>
        <v>0</v>
      </c>
      <c r="AZ225" s="207">
        <f>$M$15*AK225</f>
        <v>0</v>
      </c>
      <c r="BA225" s="210"/>
      <c r="BB225" s="175" t="s">
        <v>23</v>
      </c>
      <c r="BC225" s="211" t="s">
        <v>113</v>
      </c>
      <c r="BD225" s="210"/>
      <c r="BE225" s="212"/>
      <c r="BF225" s="213">
        <f>IF(BH226="NO",((2*J225)+(2*K225))*'BD GN'!$AU$3,((3*J225)+(2*K225))*'BD GN'!$AU$3)</f>
        <v>0</v>
      </c>
      <c r="BG225" s="213">
        <f>'BD GN'!$BB$3*J225*K225</f>
        <v>0</v>
      </c>
      <c r="BH225" s="214">
        <f>((J225*2*BE225)+(K225*2*BE225))*'BD GN'!$AN$4</f>
        <v>0</v>
      </c>
      <c r="BI225" s="210"/>
      <c r="BJ225" s="212"/>
      <c r="BK225" s="212"/>
      <c r="BL225" s="215">
        <f>J225*K225*2.5*BJ225</f>
        <v>0</v>
      </c>
      <c r="BM225" s="215">
        <f>BK225+BL225</f>
        <v>0</v>
      </c>
      <c r="BN225" s="216" t="str">
        <f>IFERROR((VLOOKUP($C$12,'BD GN'!BD:BM,10,FALSE)*BM225)+$BR$338,"")</f>
        <v/>
      </c>
      <c r="BO225" s="210"/>
      <c r="BW225" s="210"/>
      <c r="CD225" s="184"/>
      <c r="CF225" s="185"/>
      <c r="CI225" s="184"/>
      <c r="CJ225" s="210"/>
      <c r="CK225" s="565"/>
      <c r="CL225" s="256"/>
      <c r="CM225" s="596"/>
      <c r="CN225" s="626"/>
      <c r="CO225" s="629"/>
      <c r="CP225" s="629"/>
      <c r="CQ225" s="629"/>
      <c r="CR225" s="629"/>
      <c r="CS225" s="629"/>
      <c r="CT225" s="632"/>
      <c r="CU225" s="565"/>
      <c r="CV225" s="560">
        <f>IFERROR(N225*CU225,"")</f>
        <v>0</v>
      </c>
      <c r="CW225" s="565"/>
      <c r="CX225" s="560">
        <f>IFERROR(P225*CW225,"")</f>
        <v>0</v>
      </c>
      <c r="CY225" s="565"/>
      <c r="CZ225" s="560">
        <f>IFERROR(R225*CY225,"")</f>
        <v>0</v>
      </c>
      <c r="DA225" s="565">
        <f t="shared" ref="DA225" si="846">CU225+CW225+CY225</f>
        <v>0</v>
      </c>
      <c r="DB225" s="560">
        <f t="shared" ref="DB225" si="847">IFERROR(CV225+CX225+CZ225,"")</f>
        <v>0</v>
      </c>
      <c r="DC225" s="565">
        <f>M225-(CU225+CW225+CY225)</f>
        <v>0</v>
      </c>
      <c r="DD225" s="560">
        <f>IFERROR(O225-(CV225+CX225+CZ225),"")</f>
        <v>0</v>
      </c>
      <c r="DG225" s="575"/>
      <c r="DH225" s="575"/>
      <c r="DI225" s="569">
        <f t="shared" ref="DI225" si="848">IFERROR(IF(DG225&gt;0,(((N225)/(1+10%+19%*5%)+((N225)/(1+10%+19%*5%))*10%)*DH225),0),0)</f>
        <v>0</v>
      </c>
      <c r="DJ225" s="569">
        <f t="shared" ref="DJ225" si="849">IFERROR(IF(DG225&gt;0,(N225*DH225),0),0)</f>
        <v>0</v>
      </c>
      <c r="DK225" s="569">
        <f t="shared" ref="DK225" si="850">IF(DG225&gt;0,((R225+T225)*DH225),0)</f>
        <v>0</v>
      </c>
      <c r="DL225" s="569">
        <f t="shared" ref="DL225" si="851">IF(DG225&gt;0,(Q225*DH225),0)</f>
        <v>0</v>
      </c>
      <c r="DM225" s="572">
        <f t="shared" ref="DM225" si="852">IF(DG225&gt;0,(S225*DH225),0)</f>
        <v>0</v>
      </c>
      <c r="DN225" s="569">
        <f t="shared" ref="DN225" si="853">IF(DG225&gt;0,(BN225*DH225),0)</f>
        <v>0</v>
      </c>
      <c r="DO225" s="569">
        <f t="shared" ref="DO225" si="854">IF(DG225&gt;0,(AF225*DH225),0)</f>
        <v>0</v>
      </c>
      <c r="DP225" s="569">
        <f>IF(DG225&gt;0,((DI225)*('BD P&amp;G'!$E$16+'BD P&amp;G'!$E$17+'BD P&amp;G'!$E$18+'BD P&amp;G'!$E$19+'BD P&amp;G'!$E$20+'BD P&amp;G'!$E$21+'BD P&amp;G'!$E$22+'BD P&amp;G'!$E$23)*DH225),0)</f>
        <v>0</v>
      </c>
      <c r="DQ225" s="569">
        <f>IFERROR(IF(DG225&gt;0,((DI225*'BD P&amp;G'!$E$7)+(DI225*'BD P&amp;G'!$E$9)+AI225),0),0)</f>
        <v>0</v>
      </c>
      <c r="DR225" s="569">
        <f t="shared" ref="DR225" si="855">IFERROR(IF(DG225&gt;0,((DI225*1%)),0),0)</f>
        <v>0</v>
      </c>
      <c r="DS225" s="569">
        <f>IFERROR(IF(DG225&gt;0,(((DI225*'BD P&amp;G'!$E$32+DI225*'BD P&amp;G'!$E$33+DI225*'BD P&amp;G'!$E$35+DI225*'BD P&amp;G'!$E$36+DI225*'BD P&amp;G'!$E$37))),0),0)</f>
        <v>0</v>
      </c>
      <c r="DT225" s="569">
        <f t="shared" ref="DT225" si="856">IF(DG225&gt;0,(Y225*DH225),0)</f>
        <v>0</v>
      </c>
      <c r="DU225" s="569">
        <f t="shared" ref="DU225" si="857">IF(DG225&gt;0,(Z225*DH225),0)</f>
        <v>0</v>
      </c>
      <c r="DV225" s="575">
        <f t="shared" ref="DV225" si="858">IF(DG225&gt;0,(Y229*DH225),0)</f>
        <v>0</v>
      </c>
      <c r="DW225" s="575">
        <f t="shared" ref="DW225" si="859">IF(DG225&gt;0,(Z229*DH225),0)</f>
        <v>0</v>
      </c>
      <c r="DX225" s="569">
        <f t="shared" ref="DX225" si="860">IF(DV225&gt;0,DJ225,0)</f>
        <v>0</v>
      </c>
      <c r="DY225" s="569">
        <f t="shared" ref="DY225" si="861">IF(DW225&gt;0,DJ225,0)</f>
        <v>0</v>
      </c>
    </row>
    <row r="226" spans="1:194" s="175" customFormat="1" ht="60" customHeight="1" x14ac:dyDescent="0.25">
      <c r="A226" s="366"/>
      <c r="B226" s="367"/>
      <c r="C226" s="393" t="s">
        <v>28</v>
      </c>
      <c r="D226" s="598"/>
      <c r="E226" s="598"/>
      <c r="F226" s="598"/>
      <c r="G226" s="598"/>
      <c r="H226" s="598"/>
      <c r="I226" s="598"/>
      <c r="J226" s="604"/>
      <c r="K226" s="604"/>
      <c r="L226" s="607"/>
      <c r="M226" s="559"/>
      <c r="N226" s="610"/>
      <c r="O226" s="613"/>
      <c r="P226" s="192"/>
      <c r="Q226" s="217"/>
      <c r="R226" s="217"/>
      <c r="S226" s="218"/>
      <c r="T226" s="219">
        <f>IFERROR(T225/$R$353,"")</f>
        <v>0</v>
      </c>
      <c r="U226" s="206"/>
      <c r="V226" s="220"/>
      <c r="W226" s="221" t="s">
        <v>239</v>
      </c>
      <c r="X226" s="222" t="s">
        <v>204</v>
      </c>
      <c r="Y226" s="223"/>
      <c r="Z226" s="224"/>
      <c r="AA226" s="225"/>
      <c r="AB226" s="226"/>
      <c r="AC226" s="206"/>
      <c r="AD226" s="206"/>
      <c r="AE226" s="206"/>
      <c r="AF226" s="227"/>
      <c r="AG226" s="206"/>
      <c r="AH226" s="206"/>
      <c r="AI226" s="206"/>
      <c r="AJ226" s="206"/>
      <c r="AK226" s="227"/>
      <c r="AL226" s="210"/>
      <c r="AM226" s="206"/>
      <c r="AN226" s="206"/>
      <c r="AO226" s="228"/>
      <c r="AP226" s="229"/>
      <c r="AQ226" s="206"/>
      <c r="AR226" s="206"/>
      <c r="AS226" s="228"/>
      <c r="AT226" s="229"/>
      <c r="AU226" s="228"/>
      <c r="AV226" s="229"/>
      <c r="AW226" s="228"/>
      <c r="AX226" s="229"/>
      <c r="AY226" s="206"/>
      <c r="AZ226" s="229"/>
      <c r="BA226" s="210"/>
      <c r="BB226" s="175" t="s">
        <v>24</v>
      </c>
      <c r="BC226" s="175" t="s">
        <v>114</v>
      </c>
      <c r="BD226" s="210"/>
      <c r="BE226" s="176" t="s">
        <v>206</v>
      </c>
      <c r="BF226" s="230" t="s">
        <v>204</v>
      </c>
      <c r="BG226" s="176" t="s">
        <v>290</v>
      </c>
      <c r="BH226" s="231" t="s">
        <v>204</v>
      </c>
      <c r="BI226" s="210"/>
      <c r="BN226" s="232"/>
      <c r="BO226" s="210"/>
      <c r="BV226" s="184"/>
      <c r="BW226" s="210"/>
      <c r="CD226" s="184"/>
      <c r="CF226" s="185"/>
      <c r="CI226" s="184"/>
      <c r="CJ226" s="210"/>
      <c r="CK226" s="563"/>
      <c r="CM226" s="559"/>
      <c r="CN226" s="627"/>
      <c r="CO226" s="630"/>
      <c r="CP226" s="630"/>
      <c r="CQ226" s="630"/>
      <c r="CR226" s="630"/>
      <c r="CS226" s="630"/>
      <c r="CT226" s="633"/>
      <c r="CU226" s="563"/>
      <c r="CV226" s="561"/>
      <c r="CW226" s="563"/>
      <c r="CX226" s="561"/>
      <c r="CY226" s="563"/>
      <c r="CZ226" s="561"/>
      <c r="DA226" s="563"/>
      <c r="DB226" s="561"/>
      <c r="DC226" s="563"/>
      <c r="DD226" s="561"/>
      <c r="DG226" s="576"/>
      <c r="DH226" s="576"/>
      <c r="DI226" s="570"/>
      <c r="DJ226" s="570"/>
      <c r="DK226" s="570"/>
      <c r="DL226" s="570"/>
      <c r="DM226" s="573"/>
      <c r="DN226" s="570"/>
      <c r="DO226" s="570"/>
      <c r="DP226" s="570"/>
      <c r="DQ226" s="570"/>
      <c r="DR226" s="570"/>
      <c r="DS226" s="570"/>
      <c r="DT226" s="570"/>
      <c r="DU226" s="570"/>
      <c r="DV226" s="576"/>
      <c r="DW226" s="576"/>
      <c r="DX226" s="570"/>
      <c r="DY226" s="570"/>
    </row>
    <row r="227" spans="1:194" s="175" customFormat="1" ht="60" customHeight="1" x14ac:dyDescent="0.3">
      <c r="A227" s="366"/>
      <c r="B227" s="367"/>
      <c r="C227" s="393" t="s">
        <v>30</v>
      </c>
      <c r="D227" s="599"/>
      <c r="E227" s="599"/>
      <c r="F227" s="599"/>
      <c r="G227" s="599"/>
      <c r="H227" s="599"/>
      <c r="I227" s="599"/>
      <c r="J227" s="604"/>
      <c r="K227" s="604"/>
      <c r="L227" s="607"/>
      <c r="M227" s="559"/>
      <c r="N227" s="610"/>
      <c r="O227" s="613"/>
      <c r="P227" s="192"/>
      <c r="Q227" s="176" t="s">
        <v>205</v>
      </c>
      <c r="R227" s="233" t="s">
        <v>204</v>
      </c>
      <c r="S227" s="234"/>
      <c r="T227" s="235">
        <f>IFERROR(($R$353-8000)*T226,"")</f>
        <v>0</v>
      </c>
      <c r="U227" s="206"/>
      <c r="V227" s="220"/>
      <c r="W227" s="221" t="s">
        <v>258</v>
      </c>
      <c r="X227" s="222" t="s">
        <v>204</v>
      </c>
      <c r="Y227" s="236"/>
      <c r="Z227" s="237"/>
      <c r="AA227" s="225"/>
      <c r="AB227" s="226"/>
      <c r="AC227" s="206"/>
      <c r="AD227" s="206"/>
      <c r="AE227" s="206"/>
      <c r="AF227" s="227"/>
      <c r="AG227" s="206"/>
      <c r="AH227" s="206"/>
      <c r="AI227" s="206"/>
      <c r="AJ227" s="206"/>
      <c r="AK227" s="227"/>
      <c r="AL227" s="238"/>
      <c r="AM227" s="206"/>
      <c r="AN227" s="206"/>
      <c r="AO227" s="228"/>
      <c r="AP227" s="229"/>
      <c r="AQ227" s="206"/>
      <c r="AR227" s="206"/>
      <c r="AS227" s="228"/>
      <c r="AT227" s="229"/>
      <c r="AU227" s="228"/>
      <c r="AV227" s="229"/>
      <c r="AW227" s="228"/>
      <c r="AX227" s="229"/>
      <c r="AY227" s="206"/>
      <c r="AZ227" s="229"/>
      <c r="BA227" s="210"/>
      <c r="BB227" s="175" t="s">
        <v>26</v>
      </c>
      <c r="BC227" s="211" t="s">
        <v>115</v>
      </c>
      <c r="BD227" s="210"/>
      <c r="BE227" s="177" t="str">
        <f>IFERROR(VLOOKUP(D225,'BD M.O'!C:H,4,FALSE),"")</f>
        <v/>
      </c>
      <c r="BF227" s="177" t="s">
        <v>259</v>
      </c>
      <c r="BI227" s="210"/>
      <c r="BO227" s="210"/>
      <c r="BV227" s="184"/>
      <c r="BW227" s="210"/>
      <c r="CD227" s="184"/>
      <c r="CF227" s="185"/>
      <c r="CI227" s="184"/>
      <c r="CJ227" s="210"/>
      <c r="CK227" s="563"/>
      <c r="CM227" s="559"/>
      <c r="CN227" s="627"/>
      <c r="CO227" s="630"/>
      <c r="CP227" s="630"/>
      <c r="CQ227" s="630"/>
      <c r="CR227" s="630"/>
      <c r="CS227" s="630"/>
      <c r="CT227" s="633"/>
      <c r="CU227" s="563"/>
      <c r="CV227" s="561"/>
      <c r="CW227" s="563"/>
      <c r="CX227" s="561"/>
      <c r="CY227" s="563"/>
      <c r="CZ227" s="561"/>
      <c r="DA227" s="563"/>
      <c r="DB227" s="561"/>
      <c r="DC227" s="563"/>
      <c r="DD227" s="561"/>
      <c r="DG227" s="577"/>
      <c r="DH227" s="577"/>
      <c r="DI227" s="571"/>
      <c r="DJ227" s="571"/>
      <c r="DK227" s="571"/>
      <c r="DL227" s="571"/>
      <c r="DM227" s="574"/>
      <c r="DN227" s="571"/>
      <c r="DO227" s="571"/>
      <c r="DP227" s="571"/>
      <c r="DQ227" s="571"/>
      <c r="DR227" s="571"/>
      <c r="DS227" s="571"/>
      <c r="DT227" s="571"/>
      <c r="DU227" s="571"/>
      <c r="DV227" s="577"/>
      <c r="DW227" s="577"/>
      <c r="DX227" s="571"/>
      <c r="DY227" s="571"/>
    </row>
    <row r="228" spans="1:194" s="175" customFormat="1" ht="60" customHeight="1" x14ac:dyDescent="0.25">
      <c r="A228" s="366"/>
      <c r="B228" s="367"/>
      <c r="C228" s="395" t="s">
        <v>180</v>
      </c>
      <c r="D228" s="599" t="s">
        <v>31</v>
      </c>
      <c r="E228" s="599"/>
      <c r="F228" s="394" t="s">
        <v>9</v>
      </c>
      <c r="G228" s="599" t="s">
        <v>33</v>
      </c>
      <c r="H228" s="599"/>
      <c r="I228" s="394" t="str">
        <f>+IF($BG$9="SI","","X")</f>
        <v>X</v>
      </c>
      <c r="J228" s="604"/>
      <c r="K228" s="604"/>
      <c r="L228" s="607"/>
      <c r="M228" s="559"/>
      <c r="N228" s="610"/>
      <c r="O228" s="613"/>
      <c r="P228" s="192"/>
      <c r="Q228" s="239"/>
      <c r="R228" s="221" t="s">
        <v>209</v>
      </c>
      <c r="S228" s="234" t="str">
        <f>IF(S226="","",S226/(J225*K225))</f>
        <v/>
      </c>
      <c r="T228" s="226"/>
      <c r="U228" s="206"/>
      <c r="V228" s="220"/>
      <c r="W228" s="239" t="str">
        <f>IFERROR(IF(X227="SI",VLOOKUP(D225,'BD M.O'!C:F,4,FALSE),""),"")</f>
        <v/>
      </c>
      <c r="X228" s="221" t="s">
        <v>258</v>
      </c>
      <c r="Y228" s="221" t="s">
        <v>507</v>
      </c>
      <c r="Z228" s="221" t="s">
        <v>508</v>
      </c>
      <c r="AA228" s="225"/>
      <c r="AB228" s="226"/>
      <c r="AC228" s="206"/>
      <c r="AD228" s="206"/>
      <c r="AE228" s="206"/>
      <c r="AF228" s="227"/>
      <c r="AG228" s="206"/>
      <c r="AH228" s="206"/>
      <c r="AI228" s="206"/>
      <c r="AJ228" s="206"/>
      <c r="AK228" s="227"/>
      <c r="AL228" s="240"/>
      <c r="AM228" s="206"/>
      <c r="AN228" s="206"/>
      <c r="AO228" s="228"/>
      <c r="AP228" s="229"/>
      <c r="AQ228" s="206"/>
      <c r="AR228" s="206"/>
      <c r="AS228" s="228"/>
      <c r="AT228" s="229"/>
      <c r="AU228" s="228"/>
      <c r="AV228" s="229"/>
      <c r="AW228" s="228"/>
      <c r="AX228" s="229"/>
      <c r="AY228" s="206"/>
      <c r="AZ228" s="229"/>
      <c r="BA228" s="210"/>
      <c r="BC228" s="175" t="s">
        <v>116</v>
      </c>
      <c r="BD228" s="210"/>
      <c r="BE228" s="177" t="str">
        <f>IFERROR(VLOOKUP(COTIZACIÓN!D225,'BD M.O'!C:I,5,FALSE),"")</f>
        <v/>
      </c>
      <c r="BF228" s="177" t="s">
        <v>260</v>
      </c>
      <c r="BI228" s="210"/>
      <c r="BO228" s="210"/>
      <c r="BP228" s="183"/>
      <c r="BQ228" s="183"/>
      <c r="BR228" s="183"/>
      <c r="BS228" s="183"/>
      <c r="BT228" s="183"/>
      <c r="BU228" s="183"/>
      <c r="BV228" s="182"/>
      <c r="BW228" s="210"/>
      <c r="BX228" s="183"/>
      <c r="BY228" s="183"/>
      <c r="BZ228" s="183"/>
      <c r="CA228" s="183"/>
      <c r="CB228" s="183"/>
      <c r="CC228" s="183"/>
      <c r="CD228" s="182"/>
      <c r="CE228" s="183"/>
      <c r="CF228" s="241"/>
      <c r="CG228" s="183"/>
      <c r="CH228" s="183"/>
      <c r="CI228" s="182"/>
      <c r="CJ228" s="210"/>
      <c r="CK228" s="563"/>
      <c r="CM228" s="559"/>
      <c r="CN228" s="627"/>
      <c r="CO228" s="630"/>
      <c r="CP228" s="630"/>
      <c r="CQ228" s="630"/>
      <c r="CR228" s="630"/>
      <c r="CS228" s="630"/>
      <c r="CT228" s="633"/>
      <c r="CU228" s="563"/>
      <c r="CV228" s="561"/>
      <c r="CW228" s="563"/>
      <c r="CX228" s="561"/>
      <c r="CY228" s="563"/>
      <c r="CZ228" s="561"/>
      <c r="DA228" s="563"/>
      <c r="DB228" s="561"/>
      <c r="DC228" s="563"/>
      <c r="DD228" s="561"/>
      <c r="DG228" s="575"/>
      <c r="DH228" s="575"/>
      <c r="DI228" s="569">
        <f t="shared" ref="DI228" si="862">IFERROR(IF(DG228&gt;0,(((N225)/(1+10%+19%*5%)+((N225)/(1+10%+19%*5%))*10%)*DH228),0),0)</f>
        <v>0</v>
      </c>
      <c r="DJ228" s="569">
        <f t="shared" ref="DJ228" si="863">IFERROR(IF(DG228&gt;0,(N225*DH228),0),0)</f>
        <v>0</v>
      </c>
      <c r="DK228" s="569">
        <f t="shared" ref="DK228" si="864">IF(DG228&gt;0,((R225+T225)*DH228),0)</f>
        <v>0</v>
      </c>
      <c r="DL228" s="569">
        <f t="shared" ref="DL228" si="865">IF(DG228&gt;0,(Q225*DH228),0)</f>
        <v>0</v>
      </c>
      <c r="DM228" s="572">
        <f t="shared" ref="DM228" si="866">IF(DG228&gt;0,(S225*DH228),0)</f>
        <v>0</v>
      </c>
      <c r="DN228" s="569">
        <f t="shared" ref="DN228" si="867">IF(DG228&gt;0,(BN225*DH228),0)</f>
        <v>0</v>
      </c>
      <c r="DO228" s="569">
        <f t="shared" ref="DO228" si="868">IF(DG228&gt;0,(AF225*DH228),0)</f>
        <v>0</v>
      </c>
      <c r="DP228" s="569">
        <f>IF(DG228&gt;0,((DI228)*('BD P&amp;G'!$E$16+'BD P&amp;G'!$E$17+'BD P&amp;G'!$E$18+'BD P&amp;G'!$E$19+'BD P&amp;G'!$E$20+'BD P&amp;G'!$E$21+'BD P&amp;G'!$E$22+'BD P&amp;G'!$E$23)*DH228),0)</f>
        <v>0</v>
      </c>
      <c r="DQ228" s="569">
        <f>IFERROR(IF(DG228&gt;0,((DI228*'BD P&amp;G'!$E$7)+(DI228*'BD P&amp;G'!$E$9)+AI225),0),0)</f>
        <v>0</v>
      </c>
      <c r="DR228" s="569">
        <f t="shared" ref="DR228" si="869">IFERROR(IF(DG228&gt;0,((DI228*1%)),0),0)</f>
        <v>0</v>
      </c>
      <c r="DS228" s="569">
        <f>IFERROR(IF(DG228&gt;0,(((DI228*'BD P&amp;G'!$E$32+DI228*'BD P&amp;G'!$E$33+DI228*'BD P&amp;G'!$E$35+DI228*'BD P&amp;G'!$E$36+DI228*'BD P&amp;G'!$E$37))),0),0)</f>
        <v>0</v>
      </c>
      <c r="DT228" s="569">
        <f t="shared" ref="DT228" si="870">IF(DG228&gt;0,(Y225*DH228),0)</f>
        <v>0</v>
      </c>
      <c r="DU228" s="569">
        <f t="shared" ref="DU228" si="871">IF(DG228&gt;0,(Z225*DH228),0)</f>
        <v>0</v>
      </c>
      <c r="DV228" s="575">
        <f t="shared" ref="DV228" si="872">IF(DG228&gt;0,(Y229*DH228),0)</f>
        <v>0</v>
      </c>
      <c r="DW228" s="575">
        <f t="shared" ref="DW228" si="873">IF(DG228&gt;0,(Z229*DH228),0)</f>
        <v>0</v>
      </c>
      <c r="DX228" s="569">
        <f t="shared" ref="DX228" si="874">IF(DV228&gt;0,DJ228,0)</f>
        <v>0</v>
      </c>
      <c r="DY228" s="569">
        <f t="shared" ref="DY228" si="875">IF(DW228&gt;0,DJ228,0)</f>
        <v>0</v>
      </c>
    </row>
    <row r="229" spans="1:194" s="175" customFormat="1" ht="60" customHeight="1" x14ac:dyDescent="0.3">
      <c r="A229" s="366"/>
      <c r="B229" s="367"/>
      <c r="C229" s="393" t="s">
        <v>35</v>
      </c>
      <c r="D229" s="599" t="str">
        <f>IFERROR(VLOOKUP(D225,'BD GN'!C:E,3,),"")</f>
        <v/>
      </c>
      <c r="E229" s="599"/>
      <c r="F229" s="599"/>
      <c r="G229" s="599"/>
      <c r="H229" s="599"/>
      <c r="I229" s="599"/>
      <c r="J229" s="604"/>
      <c r="K229" s="604"/>
      <c r="L229" s="607"/>
      <c r="M229" s="559"/>
      <c r="N229" s="610"/>
      <c r="O229" s="613"/>
      <c r="P229" s="192"/>
      <c r="Q229" s="239"/>
      <c r="R229" s="221" t="s">
        <v>210</v>
      </c>
      <c r="S229" s="234" t="str">
        <f>IFERROR(IF(N225="","",N225/W229),"")</f>
        <v/>
      </c>
      <c r="T229" s="226"/>
      <c r="U229" s="206"/>
      <c r="V229" s="220"/>
      <c r="W229" s="242" t="str">
        <f>+IF(J225*K225&gt;=1,J225*K225,IF(AND(J225*K225&gt;0,J225*K225&lt;1),1,""))</f>
        <v/>
      </c>
      <c r="X229" s="221" t="s">
        <v>298</v>
      </c>
      <c r="Y229" s="461">
        <f>IFERROR(IF(D225='BD GN'!$C$25,COTIZACIÓN!W229,IF(D225='BD GN'!$C$26,COTIZACIÓN!W229,IF(D225='BD GN'!$C$27,COTIZACIÓN!W229,IF(COTIZACIÓN!D225='BD GN'!$C$28,COTIZACIÓN!W229,IF(COTIZACIÓN!D225='BD GN'!$C$29,COTIZACIÓN!W229,IF(COTIZACIÓN!D225='BD GN'!$C$35,COTIZACIÓN!W229,IF(COTIZACIÓN!D225='BD GN'!$C$36,COTIZACIÓN!W229,IF(COTIZACIÓN!D225='BD GN'!$C$37,COTIZACIÓN!W229,IF(COTIZACIÓN!D225='BD GN'!$C$38,COTIZACIÓN!W229,IF(COTIZACIÓN!D225='BD GN'!$C$39,COTIZACIÓN!W229,IF(COTIZACIÓN!D225='BD GN'!$C$40,COTIZACIÓN!W229,IF(COTIZACIÓN!D225='BD GN'!$C$41,COTIZACIÓN!W229,IF(COTIZACIÓN!D225='BD GN'!$C$42,COTIZACIÓN!W229,IF(COTIZACIÓN!D225='BD GN'!$C$49,COTIZACIÓN!W229,IF(COTIZACIÓN!D225='BD GN'!$C$50,COTIZACIÓN!W229,IF(COTIZACIÓN!D225='BD GN'!$C$51,COTIZACIÓN!W229,IF(COTIZACIÓN!D225='BD GN'!$C$67,COTIZACIÓN!W229,0))))))))))))))))),0)</f>
        <v>0</v>
      </c>
      <c r="Z229" s="461">
        <f>IFERROR(W229-Y229,0)</f>
        <v>0</v>
      </c>
      <c r="AA229" s="225"/>
      <c r="AB229" s="226"/>
      <c r="AC229" s="206"/>
      <c r="AD229" s="206"/>
      <c r="AE229" s="206"/>
      <c r="AF229" s="227"/>
      <c r="AG229" s="206"/>
      <c r="AH229" s="206"/>
      <c r="AI229" s="206"/>
      <c r="AJ229" s="206"/>
      <c r="AK229" s="227"/>
      <c r="AL229" s="210"/>
      <c r="AM229" s="206"/>
      <c r="AN229" s="206"/>
      <c r="AO229" s="228"/>
      <c r="AP229" s="229"/>
      <c r="AQ229" s="206"/>
      <c r="AR229" s="206"/>
      <c r="AS229" s="228"/>
      <c r="AT229" s="229"/>
      <c r="AU229" s="228"/>
      <c r="AV229" s="229"/>
      <c r="AW229" s="228"/>
      <c r="AX229" s="229"/>
      <c r="AY229" s="206"/>
      <c r="AZ229" s="229"/>
      <c r="BA229" s="210"/>
      <c r="BC229" s="211" t="s">
        <v>117</v>
      </c>
      <c r="BD229" s="210"/>
      <c r="BE229" s="177" t="str">
        <f>IFERROR(VLOOKUP(D225,'BD M.O'!C:I,6,FALSE),"")</f>
        <v/>
      </c>
      <c r="BF229" s="177" t="s">
        <v>261</v>
      </c>
      <c r="BI229" s="210"/>
      <c r="BO229" s="210"/>
      <c r="BP229" s="183"/>
      <c r="BQ229" s="183"/>
      <c r="BR229" s="183"/>
      <c r="BW229" s="210"/>
      <c r="CD229" s="184"/>
      <c r="CF229" s="185"/>
      <c r="CI229" s="184"/>
      <c r="CJ229" s="210"/>
      <c r="CK229" s="563"/>
      <c r="CM229" s="559"/>
      <c r="CN229" s="627"/>
      <c r="CO229" s="630"/>
      <c r="CP229" s="630"/>
      <c r="CQ229" s="630"/>
      <c r="CR229" s="630"/>
      <c r="CS229" s="630"/>
      <c r="CT229" s="633"/>
      <c r="CU229" s="563"/>
      <c r="CV229" s="561"/>
      <c r="CW229" s="563"/>
      <c r="CX229" s="561"/>
      <c r="CY229" s="563"/>
      <c r="CZ229" s="561"/>
      <c r="DA229" s="563"/>
      <c r="DB229" s="561"/>
      <c r="DC229" s="563"/>
      <c r="DD229" s="561"/>
      <c r="DG229" s="576"/>
      <c r="DH229" s="576"/>
      <c r="DI229" s="570"/>
      <c r="DJ229" s="570"/>
      <c r="DK229" s="570"/>
      <c r="DL229" s="570"/>
      <c r="DM229" s="573"/>
      <c r="DN229" s="570"/>
      <c r="DO229" s="570"/>
      <c r="DP229" s="570"/>
      <c r="DQ229" s="570"/>
      <c r="DR229" s="570"/>
      <c r="DS229" s="570"/>
      <c r="DT229" s="570"/>
      <c r="DU229" s="570"/>
      <c r="DV229" s="576"/>
      <c r="DW229" s="576"/>
      <c r="DX229" s="570"/>
      <c r="DY229" s="570"/>
    </row>
    <row r="230" spans="1:194" s="252" customFormat="1" ht="60" customHeight="1" x14ac:dyDescent="0.25">
      <c r="A230" s="368"/>
      <c r="B230" s="369"/>
      <c r="C230" s="396" t="s">
        <v>10</v>
      </c>
      <c r="D230" s="645" t="s">
        <v>32</v>
      </c>
      <c r="E230" s="645"/>
      <c r="F230" s="645"/>
      <c r="G230" s="645"/>
      <c r="H230" s="645"/>
      <c r="I230" s="645"/>
      <c r="J230" s="643"/>
      <c r="K230" s="643"/>
      <c r="L230" s="646"/>
      <c r="M230" s="648"/>
      <c r="N230" s="649"/>
      <c r="O230" s="644"/>
      <c r="P230" s="192"/>
      <c r="Q230" s="239"/>
      <c r="R230" s="334" t="s">
        <v>475</v>
      </c>
      <c r="S230" s="234" t="str">
        <f>IFERROR(IF($C$12='BD GN'!$CC$1,VLOOKUP(COTIZACIÓN!D225,'BD GN'!CB:CG,2,FALSE),IF(COTIZACIÓN!$C$12='BD GN'!$CD$1,VLOOKUP(COTIZACIÓN!D225,'BD GN'!CB:CG,3,FALSE),IF($C$12='BD GN'!$CE$1,VLOOKUP(COTIZACIÓN!D225,'BD GN'!CB:CG,4,FALSE),IF(COTIZACIÓN!$C$12='BD GN'!$CF$1,VLOOKUP(COTIZACIÓN!D225,'BD GN'!CB:CG,5,FALSE),IF(COTIZACIÓN!$C$12='BD GN'!$CG$1,VLOOKUP(COTIZACIÓN!D225,'BD GN'!CB:CG,6,FALSE),""))))),"-")</f>
        <v/>
      </c>
      <c r="T230" s="243"/>
      <c r="U230" s="244"/>
      <c r="V230" s="245"/>
      <c r="W230" s="177" t="s">
        <v>394</v>
      </c>
      <c r="X230" s="246">
        <f>IFERROR(SUM(W225:X225),"")</f>
        <v>0</v>
      </c>
      <c r="Y230" s="166" t="s">
        <v>404</v>
      </c>
      <c r="Z230" s="199" t="str">
        <f>IFERROR(Y225+Z225,"")</f>
        <v/>
      </c>
      <c r="AA230" s="247"/>
      <c r="AB230" s="243"/>
      <c r="AC230" s="244"/>
      <c r="AD230" s="244"/>
      <c r="AE230" s="244"/>
      <c r="AF230" s="227"/>
      <c r="AG230" s="206"/>
      <c r="AH230" s="206"/>
      <c r="AI230" s="206"/>
      <c r="AJ230" s="206"/>
      <c r="AK230" s="227"/>
      <c r="AL230" s="227"/>
      <c r="AM230" s="248"/>
      <c r="AN230" s="248"/>
      <c r="AO230" s="249"/>
      <c r="AP230" s="250"/>
      <c r="AQ230" s="248"/>
      <c r="AR230" s="248"/>
      <c r="AS230" s="249"/>
      <c r="AT230" s="250"/>
      <c r="AU230" s="249"/>
      <c r="AV230" s="250"/>
      <c r="AW230" s="249"/>
      <c r="AX230" s="250"/>
      <c r="AY230" s="248"/>
      <c r="AZ230" s="250"/>
      <c r="BA230" s="210"/>
      <c r="BB230" s="175"/>
      <c r="BC230" s="175" t="s">
        <v>118</v>
      </c>
      <c r="BD230" s="210"/>
      <c r="BE230" s="251" t="str">
        <f>IFERROR(VLOOKUP(D225,'BD M.O'!C:I,7,FALSE),"")</f>
        <v/>
      </c>
      <c r="BF230" s="251" t="s">
        <v>262</v>
      </c>
      <c r="BG230" s="175"/>
      <c r="BH230" s="175"/>
      <c r="BI230" s="210"/>
      <c r="BJ230" s="175"/>
      <c r="BK230" s="175"/>
      <c r="BL230" s="175"/>
      <c r="BM230" s="175"/>
      <c r="BN230" s="175"/>
      <c r="BO230" s="210"/>
      <c r="BP230" s="175"/>
      <c r="BQ230" s="175"/>
      <c r="BR230" s="175"/>
      <c r="BS230" s="183"/>
      <c r="BT230" s="183"/>
      <c r="BU230" s="183"/>
      <c r="BV230" s="183"/>
      <c r="BW230" s="210"/>
      <c r="BX230" s="175"/>
      <c r="BY230" s="175"/>
      <c r="BZ230" s="175"/>
      <c r="CA230" s="175"/>
      <c r="CB230" s="175"/>
      <c r="CC230" s="175"/>
      <c r="CD230" s="184"/>
      <c r="CE230" s="175"/>
      <c r="CF230" s="185"/>
      <c r="CG230" s="175"/>
      <c r="CH230" s="175"/>
      <c r="CI230" s="184"/>
      <c r="CJ230" s="210"/>
      <c r="CK230" s="564"/>
      <c r="CL230" s="257"/>
      <c r="CM230" s="597"/>
      <c r="CN230" s="628"/>
      <c r="CO230" s="631"/>
      <c r="CP230" s="631"/>
      <c r="CQ230" s="631"/>
      <c r="CR230" s="631"/>
      <c r="CS230" s="631"/>
      <c r="CT230" s="634"/>
      <c r="CU230" s="564"/>
      <c r="CV230" s="562"/>
      <c r="CW230" s="564"/>
      <c r="CX230" s="562"/>
      <c r="CY230" s="564"/>
      <c r="CZ230" s="562"/>
      <c r="DA230" s="564"/>
      <c r="DB230" s="562"/>
      <c r="DC230" s="564"/>
      <c r="DD230" s="562"/>
      <c r="DE230" s="175"/>
      <c r="DF230" s="175"/>
      <c r="DG230" s="577"/>
      <c r="DH230" s="577"/>
      <c r="DI230" s="571"/>
      <c r="DJ230" s="571"/>
      <c r="DK230" s="571"/>
      <c r="DL230" s="571"/>
      <c r="DM230" s="574"/>
      <c r="DN230" s="571"/>
      <c r="DO230" s="571"/>
      <c r="DP230" s="571"/>
      <c r="DQ230" s="571"/>
      <c r="DR230" s="571"/>
      <c r="DS230" s="571"/>
      <c r="DT230" s="571"/>
      <c r="DU230" s="571"/>
      <c r="DV230" s="577"/>
      <c r="DW230" s="577"/>
      <c r="DX230" s="571"/>
      <c r="DY230" s="571"/>
      <c r="DZ230" s="175"/>
      <c r="EA230" s="175"/>
      <c r="EB230" s="175"/>
      <c r="EC230" s="175"/>
      <c r="ED230" s="175"/>
      <c r="EE230" s="175"/>
      <c r="EF230" s="175"/>
      <c r="EG230" s="175"/>
      <c r="EH230" s="175"/>
      <c r="EI230" s="175"/>
      <c r="EJ230" s="175"/>
      <c r="EK230" s="175"/>
      <c r="EL230" s="175"/>
      <c r="EM230" s="175"/>
      <c r="EN230" s="175"/>
      <c r="EO230" s="175"/>
      <c r="EP230" s="175"/>
      <c r="EQ230" s="175"/>
      <c r="ER230" s="175"/>
      <c r="ES230" s="175"/>
      <c r="ET230" s="175"/>
      <c r="EU230" s="175"/>
      <c r="EV230" s="175"/>
      <c r="EW230" s="175"/>
      <c r="EX230" s="175"/>
      <c r="EY230" s="175"/>
      <c r="EZ230" s="175"/>
      <c r="FA230" s="175"/>
      <c r="FB230" s="175"/>
      <c r="FC230" s="175"/>
      <c r="FD230" s="175"/>
      <c r="FE230" s="175"/>
      <c r="FF230" s="175"/>
      <c r="FG230" s="175"/>
      <c r="FH230" s="175"/>
      <c r="FI230" s="175"/>
      <c r="FJ230" s="175"/>
      <c r="FK230" s="175"/>
      <c r="FL230" s="175"/>
      <c r="FM230" s="175"/>
      <c r="FN230" s="175"/>
      <c r="FO230" s="175"/>
      <c r="FP230" s="175"/>
      <c r="FQ230" s="175"/>
      <c r="FR230" s="175"/>
      <c r="FS230" s="175"/>
      <c r="FT230" s="175"/>
      <c r="FU230" s="175"/>
      <c r="FV230" s="175"/>
      <c r="FW230" s="175"/>
      <c r="FX230" s="175"/>
      <c r="FY230" s="175"/>
      <c r="FZ230" s="175"/>
      <c r="GA230" s="175"/>
      <c r="GB230" s="175"/>
      <c r="GC230" s="175"/>
      <c r="GD230" s="175"/>
      <c r="GE230" s="175"/>
      <c r="GF230" s="175"/>
      <c r="GG230" s="175"/>
      <c r="GH230" s="175"/>
      <c r="GI230" s="175"/>
      <c r="GJ230" s="175"/>
      <c r="GK230" s="175"/>
      <c r="GL230" s="175"/>
    </row>
    <row r="231" spans="1:194" s="255" customFormat="1" ht="60" customHeight="1" x14ac:dyDescent="0.3">
      <c r="A231" s="362" t="s">
        <v>193</v>
      </c>
      <c r="B231" s="363" t="s">
        <v>25</v>
      </c>
      <c r="C231" s="391" t="s">
        <v>174</v>
      </c>
      <c r="D231" s="640" t="s">
        <v>173</v>
      </c>
      <c r="E231" s="640"/>
      <c r="F231" s="640"/>
      <c r="G231" s="640"/>
      <c r="H231" s="640"/>
      <c r="I231" s="640"/>
      <c r="J231" s="418" t="s">
        <v>443</v>
      </c>
      <c r="K231" s="418" t="s">
        <v>444</v>
      </c>
      <c r="L231" s="418" t="s">
        <v>171</v>
      </c>
      <c r="M231" s="363" t="s">
        <v>2</v>
      </c>
      <c r="N231" s="419" t="s">
        <v>7</v>
      </c>
      <c r="O231" s="420" t="s">
        <v>8</v>
      </c>
      <c r="P231" s="159"/>
      <c r="Q231" s="164" t="s">
        <v>93</v>
      </c>
      <c r="R231" s="164" t="s">
        <v>34</v>
      </c>
      <c r="S231" s="164" t="s">
        <v>28</v>
      </c>
      <c r="T231" s="164" t="s">
        <v>95</v>
      </c>
      <c r="U231" s="164" t="s">
        <v>96</v>
      </c>
      <c r="V231" s="164" t="s">
        <v>97</v>
      </c>
      <c r="W231" s="164" t="s">
        <v>4</v>
      </c>
      <c r="X231" s="164" t="s">
        <v>103</v>
      </c>
      <c r="Y231" s="160" t="s">
        <v>402</v>
      </c>
      <c r="Z231" s="165" t="s">
        <v>403</v>
      </c>
      <c r="AA231" s="166" t="s">
        <v>404</v>
      </c>
      <c r="AB231" s="164" t="s">
        <v>99</v>
      </c>
      <c r="AC231" s="164" t="s">
        <v>395</v>
      </c>
      <c r="AD231" s="253" t="s">
        <v>36</v>
      </c>
      <c r="AE231" s="164" t="s">
        <v>389</v>
      </c>
      <c r="AF231" s="164" t="s">
        <v>390</v>
      </c>
      <c r="AG231" s="164" t="s">
        <v>164</v>
      </c>
      <c r="AH231" s="253" t="s">
        <v>396</v>
      </c>
      <c r="AI231" s="164" t="s">
        <v>190</v>
      </c>
      <c r="AJ231" s="164" t="s">
        <v>339</v>
      </c>
      <c r="AK231" s="253" t="s">
        <v>391</v>
      </c>
      <c r="AL231" s="253" t="s">
        <v>393</v>
      </c>
      <c r="AM231" s="167" t="s">
        <v>93</v>
      </c>
      <c r="AN231" s="168" t="s">
        <v>34</v>
      </c>
      <c r="AO231" s="169" t="s">
        <v>28</v>
      </c>
      <c r="AP231" s="170" t="s">
        <v>95</v>
      </c>
      <c r="AQ231" s="167" t="s">
        <v>3</v>
      </c>
      <c r="AR231" s="167" t="s">
        <v>96</v>
      </c>
      <c r="AS231" s="169" t="s">
        <v>97</v>
      </c>
      <c r="AT231" s="170" t="s">
        <v>4</v>
      </c>
      <c r="AU231" s="169" t="s">
        <v>103</v>
      </c>
      <c r="AV231" s="170" t="s">
        <v>99</v>
      </c>
      <c r="AW231" s="169" t="s">
        <v>36</v>
      </c>
      <c r="AX231" s="171" t="s">
        <v>29</v>
      </c>
      <c r="AY231" s="172" t="s">
        <v>190</v>
      </c>
      <c r="AZ231" s="173" t="s">
        <v>102</v>
      </c>
      <c r="BA231" s="174"/>
      <c r="BB231" s="183"/>
      <c r="BC231" s="211" t="s">
        <v>119</v>
      </c>
      <c r="BD231" s="174"/>
      <c r="BE231" s="176" t="s">
        <v>189</v>
      </c>
      <c r="BF231" s="177" t="str">
        <f>$BF$13</f>
        <v xml:space="preserve">VR SILICONA </v>
      </c>
      <c r="BG231" s="177" t="str">
        <f>$BG$13</f>
        <v xml:space="preserve">VR PELÍCULA </v>
      </c>
      <c r="BH231" s="254" t="str">
        <f>$BH$13</f>
        <v>VR EMBALAJE</v>
      </c>
      <c r="BI231" s="174"/>
      <c r="BJ231" s="176" t="str">
        <f>$BJ$13</f>
        <v>ESP. CRISTAL</v>
      </c>
      <c r="BK231" s="176" t="s">
        <v>130</v>
      </c>
      <c r="BL231" s="177" t="s">
        <v>28</v>
      </c>
      <c r="BM231" s="177" t="str">
        <f>BM224</f>
        <v>TOTAL</v>
      </c>
      <c r="BN231" s="177" t="s">
        <v>133</v>
      </c>
      <c r="BO231" s="174"/>
      <c r="BP231" s="175"/>
      <c r="BQ231" s="175"/>
      <c r="BR231" s="175"/>
      <c r="BS231" s="175"/>
      <c r="BT231" s="175"/>
      <c r="BU231" s="175"/>
      <c r="BV231" s="175"/>
      <c r="BW231" s="174"/>
      <c r="BX231" s="175"/>
      <c r="BY231" s="175"/>
      <c r="BZ231" s="175"/>
      <c r="CA231" s="175"/>
      <c r="CB231" s="175"/>
      <c r="CC231" s="175"/>
      <c r="CD231" s="184"/>
      <c r="CE231" s="175"/>
      <c r="CF231" s="185"/>
      <c r="CG231" s="175"/>
      <c r="CH231" s="175"/>
      <c r="CI231" s="184"/>
      <c r="CJ231" s="174"/>
      <c r="CK231" s="186" t="s">
        <v>415</v>
      </c>
      <c r="CL231" s="187" t="s">
        <v>417</v>
      </c>
      <c r="CM231" s="187" t="s">
        <v>416</v>
      </c>
      <c r="CN231" s="188" t="s">
        <v>418</v>
      </c>
      <c r="CO231" s="187" t="s">
        <v>417</v>
      </c>
      <c r="CP231" s="187" t="s">
        <v>409</v>
      </c>
      <c r="CQ231" s="187" t="s">
        <v>410</v>
      </c>
      <c r="CR231" s="187" t="s">
        <v>411</v>
      </c>
      <c r="CS231" s="187" t="s">
        <v>412</v>
      </c>
      <c r="CT231" s="187" t="s">
        <v>413</v>
      </c>
      <c r="CU231" s="189" t="s">
        <v>2</v>
      </c>
      <c r="CV231" s="190" t="s">
        <v>159</v>
      </c>
      <c r="CW231" s="189" t="s">
        <v>2</v>
      </c>
      <c r="CX231" s="190" t="s">
        <v>159</v>
      </c>
      <c r="CY231" s="189" t="s">
        <v>2</v>
      </c>
      <c r="CZ231" s="190" t="s">
        <v>159</v>
      </c>
      <c r="DA231" s="189" t="s">
        <v>2</v>
      </c>
      <c r="DB231" s="190" t="s">
        <v>159</v>
      </c>
      <c r="DC231" s="189" t="s">
        <v>2</v>
      </c>
      <c r="DD231" s="190" t="s">
        <v>159</v>
      </c>
      <c r="DE231" s="183"/>
      <c r="DF231" s="183"/>
      <c r="DG231" s="177" t="s">
        <v>505</v>
      </c>
      <c r="DH231" s="472" t="s">
        <v>509</v>
      </c>
      <c r="DI231" s="457" t="s">
        <v>506</v>
      </c>
      <c r="DJ231" s="457" t="s">
        <v>134</v>
      </c>
      <c r="DK231" s="457" t="s">
        <v>498</v>
      </c>
      <c r="DL231" s="457" t="s">
        <v>499</v>
      </c>
      <c r="DM231" s="457" t="s">
        <v>500</v>
      </c>
      <c r="DN231" s="457" t="s">
        <v>131</v>
      </c>
      <c r="DO231" s="457" t="s">
        <v>390</v>
      </c>
      <c r="DP231" s="457" t="s">
        <v>36</v>
      </c>
      <c r="DQ231" s="457" t="s">
        <v>501</v>
      </c>
      <c r="DR231" s="457" t="s">
        <v>502</v>
      </c>
      <c r="DS231" s="457" t="s">
        <v>503</v>
      </c>
      <c r="DT231" s="457" t="s">
        <v>4</v>
      </c>
      <c r="DU231" s="457" t="s">
        <v>504</v>
      </c>
      <c r="DV231" s="466" t="s">
        <v>507</v>
      </c>
      <c r="DW231" s="466" t="s">
        <v>508</v>
      </c>
      <c r="DX231" s="457" t="s">
        <v>510</v>
      </c>
      <c r="DY231" s="457" t="s">
        <v>511</v>
      </c>
      <c r="DZ231" s="183"/>
      <c r="EA231" s="183"/>
      <c r="EB231" s="183"/>
      <c r="EC231" s="183"/>
      <c r="ED231" s="183"/>
      <c r="EE231" s="183"/>
      <c r="EF231" s="183"/>
      <c r="EG231" s="183"/>
      <c r="EH231" s="183"/>
      <c r="EI231" s="183"/>
      <c r="EJ231" s="183"/>
      <c r="EK231" s="183"/>
      <c r="EL231" s="183"/>
      <c r="EM231" s="183"/>
      <c r="EN231" s="183"/>
      <c r="EO231" s="183"/>
      <c r="EP231" s="183"/>
      <c r="EQ231" s="183"/>
      <c r="ER231" s="183"/>
      <c r="ES231" s="183"/>
      <c r="ET231" s="183"/>
      <c r="EU231" s="183"/>
      <c r="EV231" s="183"/>
      <c r="EW231" s="183"/>
      <c r="EX231" s="183"/>
      <c r="EY231" s="183"/>
      <c r="EZ231" s="183"/>
      <c r="FA231" s="183"/>
      <c r="FB231" s="183"/>
      <c r="FC231" s="183"/>
      <c r="FD231" s="183"/>
      <c r="FE231" s="183"/>
      <c r="FF231" s="183"/>
      <c r="FG231" s="183"/>
      <c r="FH231" s="183"/>
      <c r="FI231" s="183"/>
      <c r="FJ231" s="183"/>
      <c r="FK231" s="183"/>
      <c r="FL231" s="183"/>
      <c r="FM231" s="183"/>
      <c r="FN231" s="183"/>
      <c r="FO231" s="183"/>
      <c r="FP231" s="183"/>
      <c r="FQ231" s="183"/>
      <c r="FR231" s="183"/>
      <c r="FS231" s="183"/>
      <c r="FT231" s="183"/>
      <c r="FU231" s="183"/>
      <c r="FV231" s="183"/>
      <c r="FW231" s="183"/>
      <c r="FX231" s="183"/>
      <c r="FY231" s="183"/>
      <c r="FZ231" s="183"/>
      <c r="GA231" s="183"/>
      <c r="GB231" s="183"/>
      <c r="GC231" s="183"/>
      <c r="GD231" s="183"/>
      <c r="GE231" s="183"/>
      <c r="GF231" s="183"/>
      <c r="GG231" s="183"/>
      <c r="GH231" s="183"/>
      <c r="GI231" s="183"/>
      <c r="GJ231" s="183"/>
      <c r="GK231" s="183"/>
      <c r="GL231" s="183"/>
    </row>
    <row r="232" spans="1:194" s="175" customFormat="1" ht="60" customHeight="1" x14ac:dyDescent="0.3">
      <c r="A232" s="364"/>
      <c r="B232" s="365"/>
      <c r="C232" s="392" t="s">
        <v>27</v>
      </c>
      <c r="D232" s="641"/>
      <c r="E232" s="641"/>
      <c r="F232" s="641"/>
      <c r="G232" s="641"/>
      <c r="H232" s="641"/>
      <c r="I232" s="641"/>
      <c r="J232" s="642"/>
      <c r="K232" s="642"/>
      <c r="L232" s="622">
        <f>J232*K232*M232</f>
        <v>0</v>
      </c>
      <c r="M232" s="623"/>
      <c r="N232" s="620">
        <f>IFERROR(AL232,"")</f>
        <v>1.0765546639999999</v>
      </c>
      <c r="O232" s="621">
        <f>IFERROR(N232*M232,"")</f>
        <v>0</v>
      </c>
      <c r="P232" s="192"/>
      <c r="Q232" s="193">
        <f>Q233+BF232+($R$350*Q233)</f>
        <v>0</v>
      </c>
      <c r="R232" s="193">
        <f>IFERROR(R233+($R$348*R233),"")</f>
        <v>0</v>
      </c>
      <c r="S232" s="194">
        <f>+IF(R234="SI",((W236*'BD GN'!$AB$2)+S233)*1,COTIZACIÓN!S233*1)+(P233*S233)</f>
        <v>0</v>
      </c>
      <c r="T232" s="195">
        <f>IFERROR(R232*IF(K232&lt;=3,$T$13,15%),"")</f>
        <v>0</v>
      </c>
      <c r="U232" s="196">
        <f>BH232+BG232</f>
        <v>0</v>
      </c>
      <c r="V232" s="197" t="str">
        <f>IFERROR(BN232,0)</f>
        <v/>
      </c>
      <c r="W232" s="198" t="str">
        <f>IFERROR(IF(X234="SI",W235*J232*K232,IF(BE232=3,BE234,IF(BE232=4,BE235,IF(BE232=5,BE236,IF(BE232&gt;5,BE236+(BE237*(BE232-5)),"")))))*0,"")</f>
        <v/>
      </c>
      <c r="X232" s="198" t="str">
        <f>IFERROR(IF(X233="NO",(VLOOKUP(D232,'BD M.O'!C:E,3,FALSE))*W236,((VLOOKUP(D232,'BD M.O'!C:E,3,FALSE))+7500)*W236),"")</f>
        <v/>
      </c>
      <c r="Y232" s="198">
        <f>IFERROR($Y$13*AK232,"")</f>
        <v>4.2084457416288003E-2</v>
      </c>
      <c r="Z232" s="332" t="str">
        <f>IFERROR(($Z$13*AK232)+X232,"")</f>
        <v/>
      </c>
      <c r="AA232" s="199" t="str">
        <f>IFERROR(Y232+Z232,"")</f>
        <v/>
      </c>
      <c r="AB232" s="200">
        <f>IFERROR((SUM(Q232:X232)-T232+T234)*$AB$13,"")</f>
        <v>0</v>
      </c>
      <c r="AC232" s="201">
        <f>IFERROR(((SUM(Q232:V232,IF(X237&gt;AA232,AVERAGE(X237,AA232),AA232))-T232+T234))*$AB$13,"")</f>
        <v>0</v>
      </c>
      <c r="AD232" s="202" t="str">
        <f>IFERROR((J232*K232*$BV$14),"")</f>
        <v/>
      </c>
      <c r="AE232" s="202">
        <f>IFERROR($AE$13*AK232,"")</f>
        <v>6.4010592649919984E-2</v>
      </c>
      <c r="AF232" s="203" t="str">
        <f>IFERROR(($CI$11+$CI$13)*W236,"")</f>
        <v/>
      </c>
      <c r="AG232" s="202">
        <f>IFERROR((SUM(Q232:X232,AB232,AD232,AF232)-T232+T234)*$AG$13,"")</f>
        <v>0</v>
      </c>
      <c r="AH232" s="202">
        <f>IFERROR((SUM(Q232:V232,(IF(X237&gt;AA232,AVERAGE(X237,AA232),AA232)),AC232,AE232,AF232)-T232+T234)*$AG$13,"")</f>
        <v>3.2005296324959992E-2</v>
      </c>
      <c r="AI232" s="204">
        <f>IFERROR(AL232*$AI$13,"")</f>
        <v>2.1531093279999997E-2</v>
      </c>
      <c r="AJ232" s="204">
        <f>IFERROR($AJ$13*AL232,"")</f>
        <v>6.007175025119999E-3</v>
      </c>
      <c r="AK232" s="205">
        <f>IFERROR(SUM(Q232:X232,AB232,AD232,AG232,AF232)/(1-$AI$13)+(1-$AJ$13)-T232+T234,"")</f>
        <v>0.99441999999999997</v>
      </c>
      <c r="AL232" s="205">
        <f>IFERROR(SUM(Q232:V232,AC232,(IF(AD232&gt;AE232,AVERAGE(AD232,AE232),AE232)),AF232,,AH232,(IF(SUM(X237)&gt;AA232,AVERAGE(AA232,X237),AA232)))/(1-$AJ$13)+(1-$AI$13)-T232+T234,"")</f>
        <v>1.0765546639999999</v>
      </c>
      <c r="AM232" s="206">
        <f>$M$15*Q232</f>
        <v>0</v>
      </c>
      <c r="AN232" s="207">
        <f>$M$15*R232</f>
        <v>0</v>
      </c>
      <c r="AO232" s="208">
        <f>$M$15*S232</f>
        <v>0</v>
      </c>
      <c r="AP232" s="207">
        <f>$M$15*T232</f>
        <v>0</v>
      </c>
      <c r="AQ232" s="207" t="e">
        <f>$M$15*#REF!</f>
        <v>#REF!</v>
      </c>
      <c r="AR232" s="207">
        <f>$M$15*U232</f>
        <v>0</v>
      </c>
      <c r="AS232" s="208" t="e">
        <f>$M$15*V232</f>
        <v>#VALUE!</v>
      </c>
      <c r="AT232" s="207" t="e">
        <f>$M$15*W232</f>
        <v>#VALUE!</v>
      </c>
      <c r="AU232" s="208" t="e">
        <f>$M$15*X232</f>
        <v>#VALUE!</v>
      </c>
      <c r="AV232" s="207">
        <f>$M$15*AB232</f>
        <v>0</v>
      </c>
      <c r="AW232" s="208">
        <f>$M$15*AE232</f>
        <v>0</v>
      </c>
      <c r="AX232" s="207">
        <f>$M$15*AG232</f>
        <v>0</v>
      </c>
      <c r="AY232" s="209">
        <f>$M$15*AI232</f>
        <v>0</v>
      </c>
      <c r="AZ232" s="207">
        <f>$M$15*AK232</f>
        <v>0</v>
      </c>
      <c r="BA232" s="210"/>
      <c r="BB232" s="175" t="s">
        <v>23</v>
      </c>
      <c r="BC232" s="211" t="s">
        <v>113</v>
      </c>
      <c r="BD232" s="210"/>
      <c r="BE232" s="212"/>
      <c r="BF232" s="213">
        <f>IF(BH233="NO",((2*J232)+(2*K232))*'BD GN'!$AU$3,((3*J232)+(2*K232))*'BD GN'!$AU$3)</f>
        <v>0</v>
      </c>
      <c r="BG232" s="213">
        <f>'BD GN'!$BB$3*J232*K232</f>
        <v>0</v>
      </c>
      <c r="BH232" s="214">
        <f>((J232*2*BE232)+(K232*2*BE232))*'BD GN'!$AN$4</f>
        <v>0</v>
      </c>
      <c r="BI232" s="210"/>
      <c r="BJ232" s="212"/>
      <c r="BK232" s="212"/>
      <c r="BL232" s="215">
        <f>J232*K232*2.5*BJ232</f>
        <v>0</v>
      </c>
      <c r="BM232" s="215">
        <f>BK232+BL232</f>
        <v>0</v>
      </c>
      <c r="BN232" s="216" t="str">
        <f>IFERROR((VLOOKUP($C$12,'BD GN'!BD:BM,10,FALSE)*BM232)+$BR$338,"")</f>
        <v/>
      </c>
      <c r="BO232" s="210"/>
      <c r="BW232" s="210"/>
      <c r="CD232" s="184"/>
      <c r="CF232" s="185"/>
      <c r="CI232" s="184"/>
      <c r="CJ232" s="210"/>
      <c r="CK232" s="565"/>
      <c r="CL232" s="256"/>
      <c r="CM232" s="596"/>
      <c r="CN232" s="626"/>
      <c r="CO232" s="629"/>
      <c r="CP232" s="629"/>
      <c r="CQ232" s="629"/>
      <c r="CR232" s="629"/>
      <c r="CS232" s="629"/>
      <c r="CT232" s="632"/>
      <c r="CU232" s="565"/>
      <c r="CV232" s="560">
        <f>IFERROR(N232*CU232,"")</f>
        <v>0</v>
      </c>
      <c r="CW232" s="565"/>
      <c r="CX232" s="560">
        <f>IFERROR(P232*CW232,"")</f>
        <v>0</v>
      </c>
      <c r="CY232" s="565"/>
      <c r="CZ232" s="560">
        <f>IFERROR(R232*CY232,"")</f>
        <v>0</v>
      </c>
      <c r="DA232" s="565">
        <f t="shared" ref="DA232" si="876">CU232+CW232+CY232</f>
        <v>0</v>
      </c>
      <c r="DB232" s="560">
        <f t="shared" ref="DB232" si="877">IFERROR(CV232+CX232+CZ232,"")</f>
        <v>0</v>
      </c>
      <c r="DC232" s="565">
        <f>M232-(CU232+CW232+CY232)</f>
        <v>0</v>
      </c>
      <c r="DD232" s="560">
        <f>IFERROR(O232-(CV232+CX232+CZ232),"")</f>
        <v>0</v>
      </c>
      <c r="DG232" s="575"/>
      <c r="DH232" s="575"/>
      <c r="DI232" s="569">
        <f t="shared" ref="DI232" si="878">IFERROR(IF(DG232&gt;0,(((N232)/(1+10%+19%*5%)+((N232)/(1+10%+19%*5%))*10%)*DH232),0),0)</f>
        <v>0</v>
      </c>
      <c r="DJ232" s="569">
        <f t="shared" ref="DJ232" si="879">IFERROR(IF(DG232&gt;0,(N232*DH232),0),0)</f>
        <v>0</v>
      </c>
      <c r="DK232" s="569">
        <f t="shared" ref="DK232" si="880">IF(DG232&gt;0,((R232+T232)*DH232),0)</f>
        <v>0</v>
      </c>
      <c r="DL232" s="569">
        <f t="shared" ref="DL232" si="881">IF(DG232&gt;0,(Q232*DH232),0)</f>
        <v>0</v>
      </c>
      <c r="DM232" s="572">
        <f t="shared" ref="DM232" si="882">IF(DG232&gt;0,(S232*DH232),0)</f>
        <v>0</v>
      </c>
      <c r="DN232" s="569">
        <f t="shared" ref="DN232" si="883">IF(DG232&gt;0,(BN232*DH232),0)</f>
        <v>0</v>
      </c>
      <c r="DO232" s="569">
        <f t="shared" ref="DO232" si="884">IF(DG232&gt;0,(AF232*DH232),0)</f>
        <v>0</v>
      </c>
      <c r="DP232" s="569">
        <f>IF(DG232&gt;0,((DI232)*('BD P&amp;G'!$E$16+'BD P&amp;G'!$E$17+'BD P&amp;G'!$E$18+'BD P&amp;G'!$E$19+'BD P&amp;G'!$E$20+'BD P&amp;G'!$E$21+'BD P&amp;G'!$E$22+'BD P&amp;G'!$E$23)*DH232),0)</f>
        <v>0</v>
      </c>
      <c r="DQ232" s="569">
        <f>IFERROR(IF(DG232&gt;0,((DI232*'BD P&amp;G'!$E$7)+(DI232*'BD P&amp;G'!$E$9)+AI232),0),0)</f>
        <v>0</v>
      </c>
      <c r="DR232" s="569">
        <f t="shared" ref="DR232" si="885">IFERROR(IF(DG232&gt;0,((DI232*1%)),0),0)</f>
        <v>0</v>
      </c>
      <c r="DS232" s="569">
        <f>IFERROR(IF(DG232&gt;0,(((DI232*'BD P&amp;G'!$E$32+DI232*'BD P&amp;G'!$E$33+DI232*'BD P&amp;G'!$E$35+DI232*'BD P&amp;G'!$E$36+DI232*'BD P&amp;G'!$E$37))),0),0)</f>
        <v>0</v>
      </c>
      <c r="DT232" s="569">
        <f t="shared" ref="DT232" si="886">IF(DG232&gt;0,(Y232*DH232),0)</f>
        <v>0</v>
      </c>
      <c r="DU232" s="569">
        <f t="shared" ref="DU232" si="887">IF(DG232&gt;0,(Z232*DH232),0)</f>
        <v>0</v>
      </c>
      <c r="DV232" s="575">
        <f t="shared" ref="DV232" si="888">IF(DG232&gt;0,(Y236*DH232),0)</f>
        <v>0</v>
      </c>
      <c r="DW232" s="575">
        <f t="shared" ref="DW232" si="889">IF(DG232&gt;0,(Z236*DH232),0)</f>
        <v>0</v>
      </c>
      <c r="DX232" s="569">
        <f t="shared" ref="DX232" si="890">IF(DV232&gt;0,DJ232,0)</f>
        <v>0</v>
      </c>
      <c r="DY232" s="569">
        <f t="shared" ref="DY232" si="891">IF(DW232&gt;0,DJ232,0)</f>
        <v>0</v>
      </c>
    </row>
    <row r="233" spans="1:194" s="175" customFormat="1" ht="60" customHeight="1" x14ac:dyDescent="0.25">
      <c r="A233" s="366"/>
      <c r="B233" s="367"/>
      <c r="C233" s="393" t="s">
        <v>28</v>
      </c>
      <c r="D233" s="598"/>
      <c r="E233" s="598"/>
      <c r="F233" s="598"/>
      <c r="G233" s="598"/>
      <c r="H233" s="598"/>
      <c r="I233" s="598"/>
      <c r="J233" s="604"/>
      <c r="K233" s="604"/>
      <c r="L233" s="607"/>
      <c r="M233" s="559"/>
      <c r="N233" s="610"/>
      <c r="O233" s="613"/>
      <c r="P233" s="192"/>
      <c r="Q233" s="217"/>
      <c r="R233" s="217"/>
      <c r="S233" s="218"/>
      <c r="T233" s="219">
        <f>IFERROR(T232/$R$353,"")</f>
        <v>0</v>
      </c>
      <c r="U233" s="206"/>
      <c r="V233" s="220"/>
      <c r="W233" s="221" t="s">
        <v>239</v>
      </c>
      <c r="X233" s="222" t="s">
        <v>204</v>
      </c>
      <c r="Y233" s="223"/>
      <c r="Z233" s="224"/>
      <c r="AA233" s="225"/>
      <c r="AB233" s="226"/>
      <c r="AC233" s="206"/>
      <c r="AD233" s="206"/>
      <c r="AE233" s="206"/>
      <c r="AF233" s="227"/>
      <c r="AG233" s="206"/>
      <c r="AH233" s="206"/>
      <c r="AI233" s="206"/>
      <c r="AJ233" s="206"/>
      <c r="AK233" s="227"/>
      <c r="AL233" s="210"/>
      <c r="AM233" s="206"/>
      <c r="AN233" s="206"/>
      <c r="AO233" s="228"/>
      <c r="AP233" s="229"/>
      <c r="AQ233" s="206"/>
      <c r="AR233" s="206"/>
      <c r="AS233" s="228"/>
      <c r="AT233" s="229"/>
      <c r="AU233" s="228"/>
      <c r="AV233" s="229"/>
      <c r="AW233" s="228"/>
      <c r="AX233" s="229"/>
      <c r="AY233" s="206"/>
      <c r="AZ233" s="229"/>
      <c r="BA233" s="210"/>
      <c r="BB233" s="175" t="s">
        <v>24</v>
      </c>
      <c r="BC233" s="175" t="s">
        <v>114</v>
      </c>
      <c r="BD233" s="210"/>
      <c r="BE233" s="176" t="s">
        <v>206</v>
      </c>
      <c r="BF233" s="230" t="s">
        <v>204</v>
      </c>
      <c r="BG233" s="176" t="s">
        <v>290</v>
      </c>
      <c r="BH233" s="231" t="s">
        <v>204</v>
      </c>
      <c r="BI233" s="210"/>
      <c r="BN233" s="232"/>
      <c r="BO233" s="210"/>
      <c r="BV233" s="184"/>
      <c r="BW233" s="210"/>
      <c r="CD233" s="184"/>
      <c r="CF233" s="185"/>
      <c r="CI233" s="184"/>
      <c r="CJ233" s="210"/>
      <c r="CK233" s="563"/>
      <c r="CM233" s="559"/>
      <c r="CN233" s="627"/>
      <c r="CO233" s="630"/>
      <c r="CP233" s="630"/>
      <c r="CQ233" s="630"/>
      <c r="CR233" s="630"/>
      <c r="CS233" s="630"/>
      <c r="CT233" s="633"/>
      <c r="CU233" s="563"/>
      <c r="CV233" s="561"/>
      <c r="CW233" s="563"/>
      <c r="CX233" s="561"/>
      <c r="CY233" s="563"/>
      <c r="CZ233" s="561"/>
      <c r="DA233" s="563"/>
      <c r="DB233" s="561"/>
      <c r="DC233" s="563"/>
      <c r="DD233" s="561"/>
      <c r="DG233" s="576"/>
      <c r="DH233" s="576"/>
      <c r="DI233" s="570"/>
      <c r="DJ233" s="570"/>
      <c r="DK233" s="570"/>
      <c r="DL233" s="570"/>
      <c r="DM233" s="573"/>
      <c r="DN233" s="570"/>
      <c r="DO233" s="570"/>
      <c r="DP233" s="570"/>
      <c r="DQ233" s="570"/>
      <c r="DR233" s="570"/>
      <c r="DS233" s="570"/>
      <c r="DT233" s="570"/>
      <c r="DU233" s="570"/>
      <c r="DV233" s="576"/>
      <c r="DW233" s="576"/>
      <c r="DX233" s="570"/>
      <c r="DY233" s="570"/>
    </row>
    <row r="234" spans="1:194" s="175" customFormat="1" ht="60" customHeight="1" x14ac:dyDescent="0.3">
      <c r="A234" s="366"/>
      <c r="B234" s="367"/>
      <c r="C234" s="393" t="s">
        <v>30</v>
      </c>
      <c r="D234" s="599"/>
      <c r="E234" s="599"/>
      <c r="F234" s="599"/>
      <c r="G234" s="599"/>
      <c r="H234" s="599"/>
      <c r="I234" s="599"/>
      <c r="J234" s="604"/>
      <c r="K234" s="604"/>
      <c r="L234" s="607"/>
      <c r="M234" s="559"/>
      <c r="N234" s="610"/>
      <c r="O234" s="613"/>
      <c r="P234" s="192"/>
      <c r="Q234" s="176" t="s">
        <v>205</v>
      </c>
      <c r="R234" s="233" t="s">
        <v>204</v>
      </c>
      <c r="S234" s="234"/>
      <c r="T234" s="235">
        <f>IFERROR(($R$353-8000)*T233,"")</f>
        <v>0</v>
      </c>
      <c r="U234" s="206"/>
      <c r="V234" s="220"/>
      <c r="W234" s="221" t="s">
        <v>258</v>
      </c>
      <c r="X234" s="222" t="s">
        <v>204</v>
      </c>
      <c r="Y234" s="236"/>
      <c r="Z234" s="237"/>
      <c r="AA234" s="225"/>
      <c r="AB234" s="226"/>
      <c r="AC234" s="206"/>
      <c r="AD234" s="206"/>
      <c r="AE234" s="206"/>
      <c r="AF234" s="227"/>
      <c r="AG234" s="206"/>
      <c r="AH234" s="206"/>
      <c r="AI234" s="206"/>
      <c r="AJ234" s="206"/>
      <c r="AK234" s="227"/>
      <c r="AL234" s="238"/>
      <c r="AM234" s="206"/>
      <c r="AN234" s="206"/>
      <c r="AO234" s="228"/>
      <c r="AP234" s="229"/>
      <c r="AQ234" s="206"/>
      <c r="AR234" s="206"/>
      <c r="AS234" s="228"/>
      <c r="AT234" s="229"/>
      <c r="AU234" s="228"/>
      <c r="AV234" s="229"/>
      <c r="AW234" s="228"/>
      <c r="AX234" s="229"/>
      <c r="AY234" s="206"/>
      <c r="AZ234" s="229"/>
      <c r="BA234" s="210"/>
      <c r="BB234" s="175" t="s">
        <v>26</v>
      </c>
      <c r="BC234" s="211" t="s">
        <v>115</v>
      </c>
      <c r="BD234" s="210"/>
      <c r="BE234" s="177" t="str">
        <f>IFERROR(VLOOKUP(D232,'BD M.O'!C:H,4,FALSE),"")</f>
        <v/>
      </c>
      <c r="BF234" s="177" t="s">
        <v>259</v>
      </c>
      <c r="BI234" s="210"/>
      <c r="BO234" s="210"/>
      <c r="BV234" s="184"/>
      <c r="BW234" s="210"/>
      <c r="CD234" s="184"/>
      <c r="CF234" s="185"/>
      <c r="CI234" s="184"/>
      <c r="CJ234" s="210"/>
      <c r="CK234" s="563"/>
      <c r="CM234" s="559"/>
      <c r="CN234" s="627"/>
      <c r="CO234" s="630"/>
      <c r="CP234" s="630"/>
      <c r="CQ234" s="630"/>
      <c r="CR234" s="630"/>
      <c r="CS234" s="630"/>
      <c r="CT234" s="633"/>
      <c r="CU234" s="563"/>
      <c r="CV234" s="561"/>
      <c r="CW234" s="563"/>
      <c r="CX234" s="561"/>
      <c r="CY234" s="563"/>
      <c r="CZ234" s="561"/>
      <c r="DA234" s="563"/>
      <c r="DB234" s="561"/>
      <c r="DC234" s="563"/>
      <c r="DD234" s="561"/>
      <c r="DG234" s="577"/>
      <c r="DH234" s="577"/>
      <c r="DI234" s="571"/>
      <c r="DJ234" s="571"/>
      <c r="DK234" s="571"/>
      <c r="DL234" s="571"/>
      <c r="DM234" s="574"/>
      <c r="DN234" s="571"/>
      <c r="DO234" s="571"/>
      <c r="DP234" s="571"/>
      <c r="DQ234" s="571"/>
      <c r="DR234" s="571"/>
      <c r="DS234" s="571"/>
      <c r="DT234" s="571"/>
      <c r="DU234" s="571"/>
      <c r="DV234" s="577"/>
      <c r="DW234" s="577"/>
      <c r="DX234" s="571"/>
      <c r="DY234" s="571"/>
    </row>
    <row r="235" spans="1:194" s="175" customFormat="1" ht="60" customHeight="1" x14ac:dyDescent="0.25">
      <c r="A235" s="366"/>
      <c r="B235" s="367"/>
      <c r="C235" s="395" t="s">
        <v>180</v>
      </c>
      <c r="D235" s="599" t="s">
        <v>31</v>
      </c>
      <c r="E235" s="599"/>
      <c r="F235" s="394" t="s">
        <v>9</v>
      </c>
      <c r="G235" s="599" t="s">
        <v>33</v>
      </c>
      <c r="H235" s="599"/>
      <c r="I235" s="394" t="str">
        <f>+IF($BG$9="SI","","X")</f>
        <v>X</v>
      </c>
      <c r="J235" s="604"/>
      <c r="K235" s="604"/>
      <c r="L235" s="607"/>
      <c r="M235" s="559"/>
      <c r="N235" s="610"/>
      <c r="O235" s="613"/>
      <c r="P235" s="192"/>
      <c r="Q235" s="239"/>
      <c r="R235" s="221" t="s">
        <v>209</v>
      </c>
      <c r="S235" s="234" t="str">
        <f>IF(S233="","",S233/(J232*K232))</f>
        <v/>
      </c>
      <c r="T235" s="226"/>
      <c r="U235" s="206"/>
      <c r="V235" s="220"/>
      <c r="W235" s="239" t="str">
        <f>IFERROR(IF(X234="SI",VLOOKUP(D232,'BD M.O'!C:F,4,FALSE),""),"")</f>
        <v/>
      </c>
      <c r="X235" s="221" t="s">
        <v>258</v>
      </c>
      <c r="Y235" s="221" t="s">
        <v>507</v>
      </c>
      <c r="Z235" s="221" t="s">
        <v>508</v>
      </c>
      <c r="AA235" s="225"/>
      <c r="AB235" s="226"/>
      <c r="AC235" s="206"/>
      <c r="AD235" s="206"/>
      <c r="AE235" s="206"/>
      <c r="AF235" s="227"/>
      <c r="AG235" s="206"/>
      <c r="AH235" s="206"/>
      <c r="AI235" s="206"/>
      <c r="AJ235" s="206"/>
      <c r="AK235" s="227"/>
      <c r="AL235" s="240"/>
      <c r="AM235" s="206"/>
      <c r="AN235" s="206"/>
      <c r="AO235" s="228"/>
      <c r="AP235" s="229"/>
      <c r="AQ235" s="206"/>
      <c r="AR235" s="206"/>
      <c r="AS235" s="228"/>
      <c r="AT235" s="229"/>
      <c r="AU235" s="228"/>
      <c r="AV235" s="229"/>
      <c r="AW235" s="228"/>
      <c r="AX235" s="229"/>
      <c r="AY235" s="206"/>
      <c r="AZ235" s="229"/>
      <c r="BA235" s="210"/>
      <c r="BC235" s="175" t="s">
        <v>116</v>
      </c>
      <c r="BD235" s="210"/>
      <c r="BE235" s="177" t="str">
        <f>IFERROR(VLOOKUP(COTIZACIÓN!D232,'BD M.O'!C:I,5,FALSE),"")</f>
        <v/>
      </c>
      <c r="BF235" s="177" t="s">
        <v>260</v>
      </c>
      <c r="BI235" s="210"/>
      <c r="BO235" s="210"/>
      <c r="BP235" s="183"/>
      <c r="BQ235" s="183"/>
      <c r="BR235" s="183"/>
      <c r="BS235" s="183"/>
      <c r="BT235" s="183"/>
      <c r="BU235" s="183"/>
      <c r="BV235" s="182"/>
      <c r="BW235" s="210"/>
      <c r="BX235" s="183"/>
      <c r="BY235" s="183"/>
      <c r="BZ235" s="183"/>
      <c r="CA235" s="183"/>
      <c r="CB235" s="183"/>
      <c r="CC235" s="183"/>
      <c r="CD235" s="182"/>
      <c r="CE235" s="183"/>
      <c r="CF235" s="241"/>
      <c r="CG235" s="183"/>
      <c r="CH235" s="183"/>
      <c r="CI235" s="182"/>
      <c r="CJ235" s="210"/>
      <c r="CK235" s="563"/>
      <c r="CM235" s="559"/>
      <c r="CN235" s="627"/>
      <c r="CO235" s="630"/>
      <c r="CP235" s="630"/>
      <c r="CQ235" s="630"/>
      <c r="CR235" s="630"/>
      <c r="CS235" s="630"/>
      <c r="CT235" s="633"/>
      <c r="CU235" s="563"/>
      <c r="CV235" s="561"/>
      <c r="CW235" s="563"/>
      <c r="CX235" s="561"/>
      <c r="CY235" s="563"/>
      <c r="CZ235" s="561"/>
      <c r="DA235" s="563"/>
      <c r="DB235" s="561"/>
      <c r="DC235" s="563"/>
      <c r="DD235" s="561"/>
      <c r="DG235" s="575"/>
      <c r="DH235" s="575"/>
      <c r="DI235" s="569">
        <f t="shared" ref="DI235" si="892">IFERROR(IF(DG235&gt;0,(((N232)/(1+10%+19%*5%)+((N232)/(1+10%+19%*5%))*10%)*DH235),0),0)</f>
        <v>0</v>
      </c>
      <c r="DJ235" s="569">
        <f t="shared" ref="DJ235" si="893">IFERROR(IF(DG235&gt;0,(N232*DH235),0),0)</f>
        <v>0</v>
      </c>
      <c r="DK235" s="569">
        <f t="shared" ref="DK235" si="894">IF(DG235&gt;0,((R232+T232)*DH235),0)</f>
        <v>0</v>
      </c>
      <c r="DL235" s="569">
        <f t="shared" ref="DL235" si="895">IF(DG235&gt;0,(Q232*DH235),0)</f>
        <v>0</v>
      </c>
      <c r="DM235" s="572">
        <f t="shared" ref="DM235" si="896">IF(DG235&gt;0,(S232*DH235),0)</f>
        <v>0</v>
      </c>
      <c r="DN235" s="569">
        <f t="shared" ref="DN235" si="897">IF(DG235&gt;0,(BN232*DH235),0)</f>
        <v>0</v>
      </c>
      <c r="DO235" s="569">
        <f t="shared" ref="DO235" si="898">IF(DG235&gt;0,(AF232*DH235),0)</f>
        <v>0</v>
      </c>
      <c r="DP235" s="569">
        <f>IF(DG235&gt;0,((DI235)*('BD P&amp;G'!$E$16+'BD P&amp;G'!$E$17+'BD P&amp;G'!$E$18+'BD P&amp;G'!$E$19+'BD P&amp;G'!$E$20+'BD P&amp;G'!$E$21+'BD P&amp;G'!$E$22+'BD P&amp;G'!$E$23)*DH235),0)</f>
        <v>0</v>
      </c>
      <c r="DQ235" s="569">
        <f>IFERROR(IF(DG235&gt;0,((DI235*'BD P&amp;G'!$E$7)+(DI235*'BD P&amp;G'!$E$9)+AI232),0),0)</f>
        <v>0</v>
      </c>
      <c r="DR235" s="569">
        <f t="shared" ref="DR235" si="899">IFERROR(IF(DG235&gt;0,((DI235*1%)),0),0)</f>
        <v>0</v>
      </c>
      <c r="DS235" s="569">
        <f>IFERROR(IF(DG235&gt;0,(((DI235*'BD P&amp;G'!$E$32+DI235*'BD P&amp;G'!$E$33+DI235*'BD P&amp;G'!$E$35+DI235*'BD P&amp;G'!$E$36+DI235*'BD P&amp;G'!$E$37))),0),0)</f>
        <v>0</v>
      </c>
      <c r="DT235" s="569">
        <f t="shared" ref="DT235" si="900">IF(DG235&gt;0,(Y232*DH235),0)</f>
        <v>0</v>
      </c>
      <c r="DU235" s="569">
        <f t="shared" ref="DU235" si="901">IF(DG235&gt;0,(Z232*DH235),0)</f>
        <v>0</v>
      </c>
      <c r="DV235" s="575">
        <f t="shared" ref="DV235" si="902">IF(DG235&gt;0,(Y236*DH235),0)</f>
        <v>0</v>
      </c>
      <c r="DW235" s="575">
        <f t="shared" ref="DW235" si="903">IF(DG235&gt;0,(Z236*DH235),0)</f>
        <v>0</v>
      </c>
      <c r="DX235" s="569">
        <f t="shared" ref="DX235" si="904">IF(DV235&gt;0,DJ235,0)</f>
        <v>0</v>
      </c>
      <c r="DY235" s="569">
        <f t="shared" ref="DY235" si="905">IF(DW235&gt;0,DJ235,0)</f>
        <v>0</v>
      </c>
    </row>
    <row r="236" spans="1:194" s="175" customFormat="1" ht="60" customHeight="1" x14ac:dyDescent="0.3">
      <c r="A236" s="366"/>
      <c r="B236" s="367"/>
      <c r="C236" s="393" t="s">
        <v>35</v>
      </c>
      <c r="D236" s="599" t="str">
        <f>IFERROR(VLOOKUP(D232,'BD GN'!C:E,3,),"")</f>
        <v/>
      </c>
      <c r="E236" s="599"/>
      <c r="F236" s="599"/>
      <c r="G236" s="599"/>
      <c r="H236" s="599"/>
      <c r="I236" s="599"/>
      <c r="J236" s="604"/>
      <c r="K236" s="604"/>
      <c r="L236" s="607"/>
      <c r="M236" s="559"/>
      <c r="N236" s="610"/>
      <c r="O236" s="613"/>
      <c r="P236" s="192"/>
      <c r="Q236" s="239"/>
      <c r="R236" s="221" t="s">
        <v>210</v>
      </c>
      <c r="S236" s="234" t="str">
        <f>IFERROR(IF(N232="","",N232/W236),"")</f>
        <v/>
      </c>
      <c r="T236" s="226"/>
      <c r="U236" s="206"/>
      <c r="V236" s="220"/>
      <c r="W236" s="242" t="str">
        <f>+IF(J232*K232&gt;=1,J232*K232,IF(AND(J232*K232&gt;0,J232*K232&lt;1),1,""))</f>
        <v/>
      </c>
      <c r="X236" s="221" t="s">
        <v>298</v>
      </c>
      <c r="Y236" s="461">
        <f>IFERROR(IF(D232='BD GN'!$C$25,COTIZACIÓN!W236,IF(D232='BD GN'!$C$26,COTIZACIÓN!W236,IF(D232='BD GN'!$C$27,COTIZACIÓN!W236,IF(COTIZACIÓN!D232='BD GN'!$C$28,COTIZACIÓN!W236,IF(COTIZACIÓN!D232='BD GN'!$C$29,COTIZACIÓN!W236,IF(COTIZACIÓN!D232='BD GN'!$C$35,COTIZACIÓN!W236,IF(COTIZACIÓN!D232='BD GN'!$C$36,COTIZACIÓN!W236,IF(COTIZACIÓN!D232='BD GN'!$C$37,COTIZACIÓN!W236,IF(COTIZACIÓN!D232='BD GN'!$C$38,COTIZACIÓN!W236,IF(COTIZACIÓN!D232='BD GN'!$C$39,COTIZACIÓN!W236,IF(COTIZACIÓN!D232='BD GN'!$C$40,COTIZACIÓN!W236,IF(COTIZACIÓN!D232='BD GN'!$C$41,COTIZACIÓN!W236,IF(COTIZACIÓN!D232='BD GN'!$C$42,COTIZACIÓN!W236,IF(COTIZACIÓN!D232='BD GN'!$C$49,COTIZACIÓN!W236,IF(COTIZACIÓN!D232='BD GN'!$C$50,COTIZACIÓN!W236,IF(COTIZACIÓN!D232='BD GN'!$C$51,COTIZACIÓN!W236,IF(COTIZACIÓN!D232='BD GN'!$C$67,COTIZACIÓN!W236,0))))))))))))))))),0)</f>
        <v>0</v>
      </c>
      <c r="Z236" s="461">
        <f>IFERROR(W236-Y236,0)</f>
        <v>0</v>
      </c>
      <c r="AA236" s="225"/>
      <c r="AB236" s="226"/>
      <c r="AC236" s="206"/>
      <c r="AD236" s="206"/>
      <c r="AE236" s="206"/>
      <c r="AF236" s="227"/>
      <c r="AG236" s="206"/>
      <c r="AH236" s="206"/>
      <c r="AI236" s="206"/>
      <c r="AJ236" s="206"/>
      <c r="AK236" s="227"/>
      <c r="AL236" s="210"/>
      <c r="AM236" s="206"/>
      <c r="AN236" s="206"/>
      <c r="AO236" s="228"/>
      <c r="AP236" s="229"/>
      <c r="AQ236" s="206"/>
      <c r="AR236" s="206"/>
      <c r="AS236" s="228"/>
      <c r="AT236" s="229"/>
      <c r="AU236" s="228"/>
      <c r="AV236" s="229"/>
      <c r="AW236" s="228"/>
      <c r="AX236" s="229"/>
      <c r="AY236" s="206"/>
      <c r="AZ236" s="229"/>
      <c r="BA236" s="210"/>
      <c r="BC236" s="211" t="s">
        <v>117</v>
      </c>
      <c r="BD236" s="210"/>
      <c r="BE236" s="177" t="str">
        <f>IFERROR(VLOOKUP(D232,'BD M.O'!C:I,6,FALSE),"")</f>
        <v/>
      </c>
      <c r="BF236" s="177" t="s">
        <v>261</v>
      </c>
      <c r="BI236" s="210"/>
      <c r="BO236" s="210"/>
      <c r="BP236" s="183"/>
      <c r="BQ236" s="183"/>
      <c r="BR236" s="183"/>
      <c r="BW236" s="210"/>
      <c r="CD236" s="184"/>
      <c r="CF236" s="185"/>
      <c r="CI236" s="184"/>
      <c r="CJ236" s="210"/>
      <c r="CK236" s="563"/>
      <c r="CM236" s="559"/>
      <c r="CN236" s="627"/>
      <c r="CO236" s="630"/>
      <c r="CP236" s="630"/>
      <c r="CQ236" s="630"/>
      <c r="CR236" s="630"/>
      <c r="CS236" s="630"/>
      <c r="CT236" s="633"/>
      <c r="CU236" s="563"/>
      <c r="CV236" s="561"/>
      <c r="CW236" s="563"/>
      <c r="CX236" s="561"/>
      <c r="CY236" s="563"/>
      <c r="CZ236" s="561"/>
      <c r="DA236" s="563"/>
      <c r="DB236" s="561"/>
      <c r="DC236" s="563"/>
      <c r="DD236" s="561"/>
      <c r="DG236" s="576"/>
      <c r="DH236" s="576"/>
      <c r="DI236" s="570"/>
      <c r="DJ236" s="570"/>
      <c r="DK236" s="570"/>
      <c r="DL236" s="570"/>
      <c r="DM236" s="573"/>
      <c r="DN236" s="570"/>
      <c r="DO236" s="570"/>
      <c r="DP236" s="570"/>
      <c r="DQ236" s="570"/>
      <c r="DR236" s="570"/>
      <c r="DS236" s="570"/>
      <c r="DT236" s="570"/>
      <c r="DU236" s="570"/>
      <c r="DV236" s="576"/>
      <c r="DW236" s="576"/>
      <c r="DX236" s="570"/>
      <c r="DY236" s="570"/>
    </row>
    <row r="237" spans="1:194" s="252" customFormat="1" ht="60" customHeight="1" x14ac:dyDescent="0.25">
      <c r="A237" s="368"/>
      <c r="B237" s="369"/>
      <c r="C237" s="396" t="s">
        <v>10</v>
      </c>
      <c r="D237" s="645" t="s">
        <v>32</v>
      </c>
      <c r="E237" s="645"/>
      <c r="F237" s="645"/>
      <c r="G237" s="645"/>
      <c r="H237" s="645"/>
      <c r="I237" s="645"/>
      <c r="J237" s="643"/>
      <c r="K237" s="643"/>
      <c r="L237" s="646"/>
      <c r="M237" s="648"/>
      <c r="N237" s="649"/>
      <c r="O237" s="644"/>
      <c r="P237" s="192"/>
      <c r="Q237" s="239"/>
      <c r="R237" s="334" t="s">
        <v>475</v>
      </c>
      <c r="S237" s="234" t="str">
        <f>IFERROR(IF($C$12='BD GN'!$CC$1,VLOOKUP(COTIZACIÓN!D232,'BD GN'!CB:CG,2,FALSE),IF(COTIZACIÓN!$C$12='BD GN'!$CD$1,VLOOKUP(COTIZACIÓN!D232,'BD GN'!CB:CG,3,FALSE),IF($C$12='BD GN'!$CE$1,VLOOKUP(COTIZACIÓN!D232,'BD GN'!CB:CG,4,FALSE),IF(COTIZACIÓN!$C$12='BD GN'!$CF$1,VLOOKUP(COTIZACIÓN!D232,'BD GN'!CB:CG,5,FALSE),IF(COTIZACIÓN!$C$12='BD GN'!$CG$1,VLOOKUP(COTIZACIÓN!D232,'BD GN'!CB:CG,6,FALSE),""))))),"-")</f>
        <v/>
      </c>
      <c r="T237" s="243"/>
      <c r="U237" s="244"/>
      <c r="V237" s="245"/>
      <c r="W237" s="177" t="s">
        <v>394</v>
      </c>
      <c r="X237" s="246">
        <f>IFERROR(SUM(W232:X232),"")</f>
        <v>0</v>
      </c>
      <c r="Y237" s="166" t="s">
        <v>404</v>
      </c>
      <c r="Z237" s="199" t="str">
        <f>IFERROR(Y232+Z232,"")</f>
        <v/>
      </c>
      <c r="AA237" s="247"/>
      <c r="AB237" s="243"/>
      <c r="AC237" s="244"/>
      <c r="AD237" s="244"/>
      <c r="AE237" s="244"/>
      <c r="AF237" s="227"/>
      <c r="AG237" s="206"/>
      <c r="AH237" s="206"/>
      <c r="AI237" s="206"/>
      <c r="AJ237" s="206"/>
      <c r="AK237" s="227"/>
      <c r="AL237" s="227"/>
      <c r="AM237" s="248"/>
      <c r="AN237" s="248"/>
      <c r="AO237" s="249"/>
      <c r="AP237" s="250"/>
      <c r="AQ237" s="248"/>
      <c r="AR237" s="248"/>
      <c r="AS237" s="249"/>
      <c r="AT237" s="250"/>
      <c r="AU237" s="249"/>
      <c r="AV237" s="250"/>
      <c r="AW237" s="249"/>
      <c r="AX237" s="250"/>
      <c r="AY237" s="248"/>
      <c r="AZ237" s="250"/>
      <c r="BA237" s="210"/>
      <c r="BB237" s="175"/>
      <c r="BC237" s="175" t="s">
        <v>118</v>
      </c>
      <c r="BD237" s="210"/>
      <c r="BE237" s="251" t="str">
        <f>IFERROR(VLOOKUP(D232,'BD M.O'!C:I,7,FALSE),"")</f>
        <v/>
      </c>
      <c r="BF237" s="251" t="s">
        <v>262</v>
      </c>
      <c r="BG237" s="175"/>
      <c r="BH237" s="175"/>
      <c r="BI237" s="210"/>
      <c r="BJ237" s="175"/>
      <c r="BK237" s="175"/>
      <c r="BL237" s="175"/>
      <c r="BM237" s="175"/>
      <c r="BN237" s="175"/>
      <c r="BO237" s="210"/>
      <c r="BP237" s="175"/>
      <c r="BQ237" s="175"/>
      <c r="BR237" s="175"/>
      <c r="BS237" s="183"/>
      <c r="BT237" s="183"/>
      <c r="BU237" s="183"/>
      <c r="BV237" s="183"/>
      <c r="BW237" s="210"/>
      <c r="BX237" s="175"/>
      <c r="BY237" s="175"/>
      <c r="BZ237" s="175"/>
      <c r="CA237" s="175"/>
      <c r="CB237" s="175"/>
      <c r="CC237" s="175"/>
      <c r="CD237" s="184"/>
      <c r="CE237" s="175"/>
      <c r="CF237" s="185"/>
      <c r="CG237" s="175"/>
      <c r="CH237" s="175"/>
      <c r="CI237" s="184"/>
      <c r="CJ237" s="210"/>
      <c r="CK237" s="564"/>
      <c r="CL237" s="257"/>
      <c r="CM237" s="597"/>
      <c r="CN237" s="628"/>
      <c r="CO237" s="631"/>
      <c r="CP237" s="631"/>
      <c r="CQ237" s="631"/>
      <c r="CR237" s="631"/>
      <c r="CS237" s="631"/>
      <c r="CT237" s="634"/>
      <c r="CU237" s="564"/>
      <c r="CV237" s="562"/>
      <c r="CW237" s="564"/>
      <c r="CX237" s="562"/>
      <c r="CY237" s="564"/>
      <c r="CZ237" s="562"/>
      <c r="DA237" s="564"/>
      <c r="DB237" s="562"/>
      <c r="DC237" s="564"/>
      <c r="DD237" s="562"/>
      <c r="DE237" s="175"/>
      <c r="DF237" s="175"/>
      <c r="DG237" s="577"/>
      <c r="DH237" s="577"/>
      <c r="DI237" s="571"/>
      <c r="DJ237" s="571"/>
      <c r="DK237" s="571"/>
      <c r="DL237" s="571"/>
      <c r="DM237" s="574"/>
      <c r="DN237" s="571"/>
      <c r="DO237" s="571"/>
      <c r="DP237" s="571"/>
      <c r="DQ237" s="571"/>
      <c r="DR237" s="571"/>
      <c r="DS237" s="571"/>
      <c r="DT237" s="571"/>
      <c r="DU237" s="571"/>
      <c r="DV237" s="577"/>
      <c r="DW237" s="577"/>
      <c r="DX237" s="571"/>
      <c r="DY237" s="571"/>
      <c r="DZ237" s="175"/>
      <c r="EA237" s="175"/>
      <c r="EB237" s="175"/>
      <c r="EC237" s="175"/>
      <c r="ED237" s="175"/>
      <c r="EE237" s="175"/>
      <c r="EF237" s="175"/>
      <c r="EG237" s="175"/>
      <c r="EH237" s="175"/>
      <c r="EI237" s="175"/>
      <c r="EJ237" s="175"/>
      <c r="EK237" s="175"/>
      <c r="EL237" s="175"/>
      <c r="EM237" s="175"/>
      <c r="EN237" s="175"/>
      <c r="EO237" s="175"/>
      <c r="EP237" s="175"/>
      <c r="EQ237" s="175"/>
      <c r="ER237" s="175"/>
      <c r="ES237" s="175"/>
      <c r="ET237" s="175"/>
      <c r="EU237" s="175"/>
      <c r="EV237" s="175"/>
      <c r="EW237" s="175"/>
      <c r="EX237" s="175"/>
      <c r="EY237" s="175"/>
      <c r="EZ237" s="175"/>
      <c r="FA237" s="175"/>
      <c r="FB237" s="175"/>
      <c r="FC237" s="175"/>
      <c r="FD237" s="175"/>
      <c r="FE237" s="175"/>
      <c r="FF237" s="175"/>
      <c r="FG237" s="175"/>
      <c r="FH237" s="175"/>
      <c r="FI237" s="175"/>
      <c r="FJ237" s="175"/>
      <c r="FK237" s="175"/>
      <c r="FL237" s="175"/>
      <c r="FM237" s="175"/>
      <c r="FN237" s="175"/>
      <c r="FO237" s="175"/>
      <c r="FP237" s="175"/>
      <c r="FQ237" s="175"/>
      <c r="FR237" s="175"/>
      <c r="FS237" s="175"/>
      <c r="FT237" s="175"/>
      <c r="FU237" s="175"/>
      <c r="FV237" s="175"/>
      <c r="FW237" s="175"/>
      <c r="FX237" s="175"/>
      <c r="FY237" s="175"/>
      <c r="FZ237" s="175"/>
      <c r="GA237" s="175"/>
      <c r="GB237" s="175"/>
      <c r="GC237" s="175"/>
      <c r="GD237" s="175"/>
      <c r="GE237" s="175"/>
      <c r="GF237" s="175"/>
      <c r="GG237" s="175"/>
      <c r="GH237" s="175"/>
      <c r="GI237" s="175"/>
      <c r="GJ237" s="175"/>
      <c r="GK237" s="175"/>
      <c r="GL237" s="175"/>
    </row>
    <row r="238" spans="1:194" s="255" customFormat="1" ht="60" customHeight="1" x14ac:dyDescent="0.3">
      <c r="A238" s="362" t="s">
        <v>193</v>
      </c>
      <c r="B238" s="363" t="s">
        <v>25</v>
      </c>
      <c r="C238" s="391" t="s">
        <v>174</v>
      </c>
      <c r="D238" s="640" t="s">
        <v>173</v>
      </c>
      <c r="E238" s="640"/>
      <c r="F238" s="640"/>
      <c r="G238" s="640"/>
      <c r="H238" s="640"/>
      <c r="I238" s="640"/>
      <c r="J238" s="418" t="s">
        <v>443</v>
      </c>
      <c r="K238" s="418" t="s">
        <v>444</v>
      </c>
      <c r="L238" s="418" t="s">
        <v>171</v>
      </c>
      <c r="M238" s="363" t="s">
        <v>2</v>
      </c>
      <c r="N238" s="419" t="s">
        <v>7</v>
      </c>
      <c r="O238" s="420" t="s">
        <v>8</v>
      </c>
      <c r="P238" s="159"/>
      <c r="Q238" s="164" t="s">
        <v>93</v>
      </c>
      <c r="R238" s="164" t="s">
        <v>34</v>
      </c>
      <c r="S238" s="164" t="s">
        <v>28</v>
      </c>
      <c r="T238" s="164" t="s">
        <v>95</v>
      </c>
      <c r="U238" s="164" t="s">
        <v>96</v>
      </c>
      <c r="V238" s="164" t="s">
        <v>97</v>
      </c>
      <c r="W238" s="164" t="s">
        <v>4</v>
      </c>
      <c r="X238" s="164" t="s">
        <v>103</v>
      </c>
      <c r="Y238" s="160" t="s">
        <v>402</v>
      </c>
      <c r="Z238" s="165" t="s">
        <v>403</v>
      </c>
      <c r="AA238" s="166" t="s">
        <v>404</v>
      </c>
      <c r="AB238" s="164" t="s">
        <v>99</v>
      </c>
      <c r="AC238" s="164" t="s">
        <v>395</v>
      </c>
      <c r="AD238" s="253" t="s">
        <v>36</v>
      </c>
      <c r="AE238" s="164" t="s">
        <v>389</v>
      </c>
      <c r="AF238" s="164" t="s">
        <v>390</v>
      </c>
      <c r="AG238" s="164" t="s">
        <v>164</v>
      </c>
      <c r="AH238" s="253" t="s">
        <v>396</v>
      </c>
      <c r="AI238" s="164" t="s">
        <v>190</v>
      </c>
      <c r="AJ238" s="164" t="s">
        <v>339</v>
      </c>
      <c r="AK238" s="253" t="s">
        <v>391</v>
      </c>
      <c r="AL238" s="253" t="s">
        <v>393</v>
      </c>
      <c r="AM238" s="167" t="s">
        <v>93</v>
      </c>
      <c r="AN238" s="168" t="s">
        <v>34</v>
      </c>
      <c r="AO238" s="169" t="s">
        <v>28</v>
      </c>
      <c r="AP238" s="170" t="s">
        <v>95</v>
      </c>
      <c r="AQ238" s="167" t="s">
        <v>3</v>
      </c>
      <c r="AR238" s="167" t="s">
        <v>96</v>
      </c>
      <c r="AS238" s="169" t="s">
        <v>97</v>
      </c>
      <c r="AT238" s="170" t="s">
        <v>4</v>
      </c>
      <c r="AU238" s="169" t="s">
        <v>103</v>
      </c>
      <c r="AV238" s="170" t="s">
        <v>99</v>
      </c>
      <c r="AW238" s="169" t="s">
        <v>36</v>
      </c>
      <c r="AX238" s="171" t="s">
        <v>29</v>
      </c>
      <c r="AY238" s="172" t="s">
        <v>190</v>
      </c>
      <c r="AZ238" s="173" t="s">
        <v>102</v>
      </c>
      <c r="BA238" s="174"/>
      <c r="BB238" s="183"/>
      <c r="BC238" s="211" t="s">
        <v>119</v>
      </c>
      <c r="BD238" s="174"/>
      <c r="BE238" s="176" t="s">
        <v>189</v>
      </c>
      <c r="BF238" s="177" t="str">
        <f>$BF$13</f>
        <v xml:space="preserve">VR SILICONA </v>
      </c>
      <c r="BG238" s="177" t="str">
        <f>$BG$13</f>
        <v xml:space="preserve">VR PELÍCULA </v>
      </c>
      <c r="BH238" s="254" t="str">
        <f>$BH$13</f>
        <v>VR EMBALAJE</v>
      </c>
      <c r="BI238" s="174"/>
      <c r="BJ238" s="176" t="str">
        <f>$BJ$13</f>
        <v>ESP. CRISTAL</v>
      </c>
      <c r="BK238" s="176" t="s">
        <v>130</v>
      </c>
      <c r="BL238" s="177" t="s">
        <v>28</v>
      </c>
      <c r="BM238" s="177" t="str">
        <f>BM231</f>
        <v>TOTAL</v>
      </c>
      <c r="BN238" s="177" t="s">
        <v>133</v>
      </c>
      <c r="BO238" s="174"/>
      <c r="BP238" s="175"/>
      <c r="BQ238" s="175"/>
      <c r="BR238" s="175"/>
      <c r="BS238" s="175"/>
      <c r="BT238" s="175"/>
      <c r="BU238" s="175"/>
      <c r="BV238" s="175"/>
      <c r="BW238" s="174"/>
      <c r="BX238" s="175"/>
      <c r="BY238" s="175"/>
      <c r="BZ238" s="175"/>
      <c r="CA238" s="175"/>
      <c r="CB238" s="175"/>
      <c r="CC238" s="175"/>
      <c r="CD238" s="184"/>
      <c r="CE238" s="175"/>
      <c r="CF238" s="185"/>
      <c r="CG238" s="175"/>
      <c r="CH238" s="175"/>
      <c r="CI238" s="184"/>
      <c r="CJ238" s="174"/>
      <c r="CK238" s="186" t="s">
        <v>415</v>
      </c>
      <c r="CL238" s="187" t="s">
        <v>417</v>
      </c>
      <c r="CM238" s="187" t="s">
        <v>416</v>
      </c>
      <c r="CN238" s="188" t="s">
        <v>418</v>
      </c>
      <c r="CO238" s="187" t="s">
        <v>417</v>
      </c>
      <c r="CP238" s="187" t="s">
        <v>409</v>
      </c>
      <c r="CQ238" s="187" t="s">
        <v>410</v>
      </c>
      <c r="CR238" s="187" t="s">
        <v>411</v>
      </c>
      <c r="CS238" s="187" t="s">
        <v>412</v>
      </c>
      <c r="CT238" s="187" t="s">
        <v>413</v>
      </c>
      <c r="CU238" s="189" t="s">
        <v>2</v>
      </c>
      <c r="CV238" s="190" t="s">
        <v>159</v>
      </c>
      <c r="CW238" s="189" t="s">
        <v>2</v>
      </c>
      <c r="CX238" s="190" t="s">
        <v>159</v>
      </c>
      <c r="CY238" s="189" t="s">
        <v>2</v>
      </c>
      <c r="CZ238" s="190" t="s">
        <v>159</v>
      </c>
      <c r="DA238" s="189" t="s">
        <v>2</v>
      </c>
      <c r="DB238" s="190" t="s">
        <v>159</v>
      </c>
      <c r="DC238" s="189" t="s">
        <v>2</v>
      </c>
      <c r="DD238" s="190" t="s">
        <v>159</v>
      </c>
      <c r="DE238" s="183"/>
      <c r="DF238" s="183"/>
      <c r="DG238" s="177" t="s">
        <v>505</v>
      </c>
      <c r="DH238" s="472" t="s">
        <v>509</v>
      </c>
      <c r="DI238" s="457" t="s">
        <v>506</v>
      </c>
      <c r="DJ238" s="457" t="s">
        <v>134</v>
      </c>
      <c r="DK238" s="457" t="s">
        <v>498</v>
      </c>
      <c r="DL238" s="457" t="s">
        <v>499</v>
      </c>
      <c r="DM238" s="457" t="s">
        <v>500</v>
      </c>
      <c r="DN238" s="457" t="s">
        <v>131</v>
      </c>
      <c r="DO238" s="457" t="s">
        <v>390</v>
      </c>
      <c r="DP238" s="457" t="s">
        <v>36</v>
      </c>
      <c r="DQ238" s="457" t="s">
        <v>501</v>
      </c>
      <c r="DR238" s="457" t="s">
        <v>502</v>
      </c>
      <c r="DS238" s="457" t="s">
        <v>503</v>
      </c>
      <c r="DT238" s="457" t="s">
        <v>4</v>
      </c>
      <c r="DU238" s="457" t="s">
        <v>504</v>
      </c>
      <c r="DV238" s="466" t="s">
        <v>507</v>
      </c>
      <c r="DW238" s="466" t="s">
        <v>508</v>
      </c>
      <c r="DX238" s="457" t="s">
        <v>510</v>
      </c>
      <c r="DY238" s="457" t="s">
        <v>511</v>
      </c>
      <c r="DZ238" s="183"/>
      <c r="EA238" s="183"/>
      <c r="EB238" s="183"/>
      <c r="EC238" s="183"/>
      <c r="ED238" s="183"/>
      <c r="EE238" s="183"/>
      <c r="EF238" s="183"/>
      <c r="EG238" s="183"/>
      <c r="EH238" s="183"/>
      <c r="EI238" s="183"/>
      <c r="EJ238" s="183"/>
      <c r="EK238" s="183"/>
      <c r="EL238" s="183"/>
      <c r="EM238" s="183"/>
      <c r="EN238" s="183"/>
      <c r="EO238" s="183"/>
      <c r="EP238" s="183"/>
      <c r="EQ238" s="183"/>
      <c r="ER238" s="183"/>
      <c r="ES238" s="183"/>
      <c r="ET238" s="183"/>
      <c r="EU238" s="183"/>
      <c r="EV238" s="183"/>
      <c r="EW238" s="183"/>
      <c r="EX238" s="183"/>
      <c r="EY238" s="183"/>
      <c r="EZ238" s="183"/>
      <c r="FA238" s="183"/>
      <c r="FB238" s="183"/>
      <c r="FC238" s="183"/>
      <c r="FD238" s="183"/>
      <c r="FE238" s="183"/>
      <c r="FF238" s="183"/>
      <c r="FG238" s="183"/>
      <c r="FH238" s="183"/>
      <c r="FI238" s="183"/>
      <c r="FJ238" s="183"/>
      <c r="FK238" s="183"/>
      <c r="FL238" s="183"/>
      <c r="FM238" s="183"/>
      <c r="FN238" s="183"/>
      <c r="FO238" s="183"/>
      <c r="FP238" s="183"/>
      <c r="FQ238" s="183"/>
      <c r="FR238" s="183"/>
      <c r="FS238" s="183"/>
      <c r="FT238" s="183"/>
      <c r="FU238" s="183"/>
      <c r="FV238" s="183"/>
      <c r="FW238" s="183"/>
      <c r="FX238" s="183"/>
      <c r="FY238" s="183"/>
      <c r="FZ238" s="183"/>
      <c r="GA238" s="183"/>
      <c r="GB238" s="183"/>
      <c r="GC238" s="183"/>
      <c r="GD238" s="183"/>
      <c r="GE238" s="183"/>
      <c r="GF238" s="183"/>
      <c r="GG238" s="183"/>
      <c r="GH238" s="183"/>
      <c r="GI238" s="183"/>
      <c r="GJ238" s="183"/>
      <c r="GK238" s="183"/>
      <c r="GL238" s="183"/>
    </row>
    <row r="239" spans="1:194" s="175" customFormat="1" ht="60" customHeight="1" x14ac:dyDescent="0.3">
      <c r="A239" s="364"/>
      <c r="B239" s="365"/>
      <c r="C239" s="392" t="s">
        <v>27</v>
      </c>
      <c r="D239" s="641"/>
      <c r="E239" s="641"/>
      <c r="F239" s="641"/>
      <c r="G239" s="641"/>
      <c r="H239" s="641"/>
      <c r="I239" s="641"/>
      <c r="J239" s="642"/>
      <c r="K239" s="642"/>
      <c r="L239" s="622">
        <f>J239*K239*M239</f>
        <v>0</v>
      </c>
      <c r="M239" s="623"/>
      <c r="N239" s="620">
        <f>IFERROR(AL239,"")</f>
        <v>1.0765546639999999</v>
      </c>
      <c r="O239" s="621">
        <f>IFERROR(N239*M239,"")</f>
        <v>0</v>
      </c>
      <c r="P239" s="192"/>
      <c r="Q239" s="193">
        <f>Q240+BF239+($R$350*Q240)</f>
        <v>0</v>
      </c>
      <c r="R239" s="193">
        <f>IFERROR(R240+($R$348*R240),"")</f>
        <v>0</v>
      </c>
      <c r="S239" s="194">
        <f>+IF(R241="SI",((W243*'BD GN'!$AB$2)+S240)*1,COTIZACIÓN!S240*1)+(P240*S240)</f>
        <v>0</v>
      </c>
      <c r="T239" s="195">
        <f>IFERROR(R239*IF(K239&lt;=3,$T$13,15%),"")</f>
        <v>0</v>
      </c>
      <c r="U239" s="196">
        <f>BH239+BG239</f>
        <v>0</v>
      </c>
      <c r="V239" s="197" t="str">
        <f>IFERROR(BN239,0)</f>
        <v/>
      </c>
      <c r="W239" s="198" t="str">
        <f>IFERROR(IF(X241="SI",W242*J239*K239,IF(BE239=3,BE241,IF(BE239=4,BE242,IF(BE239=5,BE243,IF(BE239&gt;5,BE243+(BE244*(BE239-5)),"")))))*0,"")</f>
        <v/>
      </c>
      <c r="X239" s="198" t="str">
        <f>IFERROR(IF(X240="NO",(VLOOKUP(D239,'BD M.O'!C:E,3,FALSE))*W243,((VLOOKUP(D239,'BD M.O'!C:E,3,FALSE))+7500)*W243),"")</f>
        <v/>
      </c>
      <c r="Y239" s="198">
        <f>IFERROR($Y$13*AK239,"")</f>
        <v>4.2084457416288003E-2</v>
      </c>
      <c r="Z239" s="332" t="str">
        <f>IFERROR(($Z$13*AK239)+X239,"")</f>
        <v/>
      </c>
      <c r="AA239" s="199" t="str">
        <f>IFERROR(Y239+Z239,"")</f>
        <v/>
      </c>
      <c r="AB239" s="200">
        <f>IFERROR((SUM(Q239:X239)-T239+T241)*$AB$13,"")</f>
        <v>0</v>
      </c>
      <c r="AC239" s="201">
        <f>IFERROR(((SUM(Q239:V239,IF(X244&gt;AA239,AVERAGE(X244,AA239),AA239))-T239+T241))*$AB$13,"")</f>
        <v>0</v>
      </c>
      <c r="AD239" s="202" t="str">
        <f>IFERROR((J239*K239*$BV$14),"")</f>
        <v/>
      </c>
      <c r="AE239" s="202">
        <f>IFERROR($AE$13*AK239,"")</f>
        <v>6.4010592649919984E-2</v>
      </c>
      <c r="AF239" s="203" t="str">
        <f>IFERROR(($CI$11+$CI$13)*W243,"")</f>
        <v/>
      </c>
      <c r="AG239" s="202">
        <f>IFERROR((SUM(Q239:X239,AB239,AD239,AF239)-T239+T241)*$AG$13,"")</f>
        <v>0</v>
      </c>
      <c r="AH239" s="202">
        <f>IFERROR((SUM(Q239:V239,(IF(X244&gt;AA239,AVERAGE(X244,AA239),AA239)),AC239,AE239,AF239)-T239+T241)*$AG$13,"")</f>
        <v>3.2005296324959992E-2</v>
      </c>
      <c r="AI239" s="204">
        <f>IFERROR(AL239*$AI$13,"")</f>
        <v>2.1531093279999997E-2</v>
      </c>
      <c r="AJ239" s="204">
        <f>IFERROR($AJ$13*AL239,"")</f>
        <v>6.007175025119999E-3</v>
      </c>
      <c r="AK239" s="205">
        <f>IFERROR(SUM(Q239:X239,AB239,AD239,AG239,AF239)/(1-$AI$13)+(1-$AJ$13)-T239+T241,"")</f>
        <v>0.99441999999999997</v>
      </c>
      <c r="AL239" s="205">
        <f>IFERROR(SUM(Q239:V239,AC239,(IF(AD239&gt;AE239,AVERAGE(AD239,AE239),AE239)),AF239,,AH239,(IF(SUM(X244)&gt;AA239,AVERAGE(AA239,X244),AA239)))/(1-$AJ$13)+(1-$AI$13)-T239+T241,"")</f>
        <v>1.0765546639999999</v>
      </c>
      <c r="AM239" s="206">
        <f>$M$15*Q239</f>
        <v>0</v>
      </c>
      <c r="AN239" s="207">
        <f>$M$15*R239</f>
        <v>0</v>
      </c>
      <c r="AO239" s="208">
        <f>$M$15*S239</f>
        <v>0</v>
      </c>
      <c r="AP239" s="207">
        <f>$M$15*T239</f>
        <v>0</v>
      </c>
      <c r="AQ239" s="207" t="e">
        <f>$M$15*#REF!</f>
        <v>#REF!</v>
      </c>
      <c r="AR239" s="207">
        <f>$M$15*U239</f>
        <v>0</v>
      </c>
      <c r="AS239" s="208" t="e">
        <f>$M$15*V239</f>
        <v>#VALUE!</v>
      </c>
      <c r="AT239" s="207" t="e">
        <f>$M$15*W239</f>
        <v>#VALUE!</v>
      </c>
      <c r="AU239" s="208" t="e">
        <f>$M$15*X239</f>
        <v>#VALUE!</v>
      </c>
      <c r="AV239" s="207">
        <f>$M$15*AB239</f>
        <v>0</v>
      </c>
      <c r="AW239" s="208">
        <f>$M$15*AE239</f>
        <v>0</v>
      </c>
      <c r="AX239" s="207">
        <f>$M$15*AG239</f>
        <v>0</v>
      </c>
      <c r="AY239" s="209">
        <f>$M$15*AI239</f>
        <v>0</v>
      </c>
      <c r="AZ239" s="207">
        <f>$M$15*AK239</f>
        <v>0</v>
      </c>
      <c r="BA239" s="210"/>
      <c r="BB239" s="175" t="s">
        <v>23</v>
      </c>
      <c r="BC239" s="211" t="s">
        <v>113</v>
      </c>
      <c r="BD239" s="210"/>
      <c r="BE239" s="212"/>
      <c r="BF239" s="213">
        <f>IF(BH240="NO",((2*J239)+(2*K239))*'BD GN'!$AU$3,((3*J239)+(2*K239))*'BD GN'!$AU$3)</f>
        <v>0</v>
      </c>
      <c r="BG239" s="213">
        <f>'BD GN'!$BB$3*J239*K239</f>
        <v>0</v>
      </c>
      <c r="BH239" s="214">
        <f>((J239*2*BE239)+(K239*2*BE239))*'BD GN'!$AN$4</f>
        <v>0</v>
      </c>
      <c r="BI239" s="210"/>
      <c r="BJ239" s="212"/>
      <c r="BK239" s="212"/>
      <c r="BL239" s="215">
        <f>J239*K239*2.5*BJ239</f>
        <v>0</v>
      </c>
      <c r="BM239" s="215">
        <f>BK239+BL239</f>
        <v>0</v>
      </c>
      <c r="BN239" s="216" t="str">
        <f>IFERROR((VLOOKUP($C$12,'BD GN'!BD:BM,10,FALSE)*BM239)+$BR$338,"")</f>
        <v/>
      </c>
      <c r="BO239" s="210"/>
      <c r="BW239" s="210"/>
      <c r="CD239" s="184"/>
      <c r="CF239" s="185"/>
      <c r="CI239" s="184"/>
      <c r="CJ239" s="210"/>
      <c r="CK239" s="565"/>
      <c r="CL239" s="256"/>
      <c r="CM239" s="596"/>
      <c r="CN239" s="626"/>
      <c r="CO239" s="629"/>
      <c r="CP239" s="629"/>
      <c r="CQ239" s="629"/>
      <c r="CR239" s="629"/>
      <c r="CS239" s="629"/>
      <c r="CT239" s="632"/>
      <c r="CU239" s="565"/>
      <c r="CV239" s="560">
        <f>IFERROR(N239*CU239,"")</f>
        <v>0</v>
      </c>
      <c r="CW239" s="565"/>
      <c r="CX239" s="560">
        <f>IFERROR(P239*CW239,"")</f>
        <v>0</v>
      </c>
      <c r="CY239" s="565"/>
      <c r="CZ239" s="560">
        <f>IFERROR(R239*CY239,"")</f>
        <v>0</v>
      </c>
      <c r="DA239" s="565">
        <f t="shared" ref="DA239" si="906">CU239+CW239+CY239</f>
        <v>0</v>
      </c>
      <c r="DB239" s="560">
        <f t="shared" ref="DB239" si="907">IFERROR(CV239+CX239+CZ239,"")</f>
        <v>0</v>
      </c>
      <c r="DC239" s="565">
        <f>M239-(CU239+CW239+CY239)</f>
        <v>0</v>
      </c>
      <c r="DD239" s="560">
        <f>IFERROR(O239-(CV239+CX239+CZ239),"")</f>
        <v>0</v>
      </c>
      <c r="DG239" s="575"/>
      <c r="DH239" s="575"/>
      <c r="DI239" s="569">
        <f t="shared" ref="DI239" si="908">IFERROR(IF(DG239&gt;0,(((N239)/(1+10%+19%*5%)+((N239)/(1+10%+19%*5%))*10%)*DH239),0),0)</f>
        <v>0</v>
      </c>
      <c r="DJ239" s="569">
        <f t="shared" ref="DJ239" si="909">IFERROR(IF(DG239&gt;0,(N239*DH239),0),0)</f>
        <v>0</v>
      </c>
      <c r="DK239" s="569">
        <f t="shared" ref="DK239" si="910">IF(DG239&gt;0,((R239+T239)*DH239),0)</f>
        <v>0</v>
      </c>
      <c r="DL239" s="569">
        <f t="shared" ref="DL239" si="911">IF(DG239&gt;0,(Q239*DH239),0)</f>
        <v>0</v>
      </c>
      <c r="DM239" s="572">
        <f t="shared" ref="DM239" si="912">IF(DG239&gt;0,(S239*DH239),0)</f>
        <v>0</v>
      </c>
      <c r="DN239" s="569">
        <f t="shared" ref="DN239" si="913">IF(DG239&gt;0,(BN239*DH239),0)</f>
        <v>0</v>
      </c>
      <c r="DO239" s="569">
        <f t="shared" ref="DO239" si="914">IF(DG239&gt;0,(AF239*DH239),0)</f>
        <v>0</v>
      </c>
      <c r="DP239" s="569">
        <f>IF(DG239&gt;0,((DI239)*('BD P&amp;G'!$E$16+'BD P&amp;G'!$E$17+'BD P&amp;G'!$E$18+'BD P&amp;G'!$E$19+'BD P&amp;G'!$E$20+'BD P&amp;G'!$E$21+'BD P&amp;G'!$E$22+'BD P&amp;G'!$E$23)*DH239),0)</f>
        <v>0</v>
      </c>
      <c r="DQ239" s="569">
        <f>IFERROR(IF(DG239&gt;0,((DI239*'BD P&amp;G'!$E$7)+(DI239*'BD P&amp;G'!$E$9)+AI239),0),0)</f>
        <v>0</v>
      </c>
      <c r="DR239" s="569">
        <f t="shared" ref="DR239" si="915">IFERROR(IF(DG239&gt;0,((DI239*1%)),0),0)</f>
        <v>0</v>
      </c>
      <c r="DS239" s="569">
        <f>IFERROR(IF(DG239&gt;0,(((DI239*'BD P&amp;G'!$E$32+DI239*'BD P&amp;G'!$E$33+DI239*'BD P&amp;G'!$E$35+DI239*'BD P&amp;G'!$E$36+DI239*'BD P&amp;G'!$E$37))),0),0)</f>
        <v>0</v>
      </c>
      <c r="DT239" s="569">
        <f t="shared" ref="DT239" si="916">IF(DG239&gt;0,(Y239*DH239),0)</f>
        <v>0</v>
      </c>
      <c r="DU239" s="569">
        <f t="shared" ref="DU239" si="917">IF(DG239&gt;0,(Z239*DH239),0)</f>
        <v>0</v>
      </c>
      <c r="DV239" s="575">
        <f t="shared" ref="DV239" si="918">IF(DG239&gt;0,(Y243*DH239),0)</f>
        <v>0</v>
      </c>
      <c r="DW239" s="575">
        <f t="shared" ref="DW239" si="919">IF(DG239&gt;0,(Z243*DH239),0)</f>
        <v>0</v>
      </c>
      <c r="DX239" s="569">
        <f t="shared" ref="DX239" si="920">IF(DV239&gt;0,DJ239,0)</f>
        <v>0</v>
      </c>
      <c r="DY239" s="569">
        <f t="shared" ref="DY239" si="921">IF(DW239&gt;0,DJ239,0)</f>
        <v>0</v>
      </c>
    </row>
    <row r="240" spans="1:194" s="175" customFormat="1" ht="60" customHeight="1" x14ac:dyDescent="0.25">
      <c r="A240" s="366"/>
      <c r="B240" s="367"/>
      <c r="C240" s="393" t="s">
        <v>28</v>
      </c>
      <c r="D240" s="598"/>
      <c r="E240" s="598"/>
      <c r="F240" s="598"/>
      <c r="G240" s="598"/>
      <c r="H240" s="598"/>
      <c r="I240" s="598"/>
      <c r="J240" s="604"/>
      <c r="K240" s="604"/>
      <c r="L240" s="607"/>
      <c r="M240" s="559"/>
      <c r="N240" s="610"/>
      <c r="O240" s="613"/>
      <c r="P240" s="192"/>
      <c r="Q240" s="217"/>
      <c r="R240" s="217"/>
      <c r="S240" s="218"/>
      <c r="T240" s="219">
        <f>IFERROR(T239/$R$353,"")</f>
        <v>0</v>
      </c>
      <c r="U240" s="206"/>
      <c r="V240" s="220"/>
      <c r="W240" s="221" t="s">
        <v>239</v>
      </c>
      <c r="X240" s="222" t="s">
        <v>204</v>
      </c>
      <c r="Y240" s="223"/>
      <c r="Z240" s="224"/>
      <c r="AA240" s="225"/>
      <c r="AB240" s="226"/>
      <c r="AC240" s="206"/>
      <c r="AD240" s="206"/>
      <c r="AE240" s="206"/>
      <c r="AF240" s="227"/>
      <c r="AG240" s="206"/>
      <c r="AH240" s="206"/>
      <c r="AI240" s="206"/>
      <c r="AJ240" s="206"/>
      <c r="AK240" s="227"/>
      <c r="AL240" s="210"/>
      <c r="AM240" s="206"/>
      <c r="AN240" s="206"/>
      <c r="AO240" s="228"/>
      <c r="AP240" s="229"/>
      <c r="AQ240" s="206"/>
      <c r="AR240" s="206"/>
      <c r="AS240" s="228"/>
      <c r="AT240" s="229"/>
      <c r="AU240" s="228"/>
      <c r="AV240" s="229"/>
      <c r="AW240" s="228"/>
      <c r="AX240" s="229"/>
      <c r="AY240" s="206"/>
      <c r="AZ240" s="229"/>
      <c r="BA240" s="210"/>
      <c r="BB240" s="175" t="s">
        <v>24</v>
      </c>
      <c r="BC240" s="175" t="s">
        <v>114</v>
      </c>
      <c r="BD240" s="210"/>
      <c r="BE240" s="176" t="s">
        <v>206</v>
      </c>
      <c r="BF240" s="230" t="s">
        <v>204</v>
      </c>
      <c r="BG240" s="176" t="s">
        <v>290</v>
      </c>
      <c r="BH240" s="231" t="s">
        <v>204</v>
      </c>
      <c r="BI240" s="210"/>
      <c r="BN240" s="232"/>
      <c r="BO240" s="210"/>
      <c r="BV240" s="184"/>
      <c r="BW240" s="210"/>
      <c r="CD240" s="184"/>
      <c r="CF240" s="185"/>
      <c r="CI240" s="184"/>
      <c r="CJ240" s="210"/>
      <c r="CK240" s="563"/>
      <c r="CM240" s="559"/>
      <c r="CN240" s="627"/>
      <c r="CO240" s="630"/>
      <c r="CP240" s="630"/>
      <c r="CQ240" s="630"/>
      <c r="CR240" s="630"/>
      <c r="CS240" s="630"/>
      <c r="CT240" s="633"/>
      <c r="CU240" s="563"/>
      <c r="CV240" s="561"/>
      <c r="CW240" s="563"/>
      <c r="CX240" s="561"/>
      <c r="CY240" s="563"/>
      <c r="CZ240" s="561"/>
      <c r="DA240" s="563"/>
      <c r="DB240" s="561"/>
      <c r="DC240" s="563"/>
      <c r="DD240" s="561"/>
      <c r="DG240" s="576"/>
      <c r="DH240" s="576"/>
      <c r="DI240" s="570"/>
      <c r="DJ240" s="570"/>
      <c r="DK240" s="570"/>
      <c r="DL240" s="570"/>
      <c r="DM240" s="573"/>
      <c r="DN240" s="570"/>
      <c r="DO240" s="570"/>
      <c r="DP240" s="570"/>
      <c r="DQ240" s="570"/>
      <c r="DR240" s="570"/>
      <c r="DS240" s="570"/>
      <c r="DT240" s="570"/>
      <c r="DU240" s="570"/>
      <c r="DV240" s="576"/>
      <c r="DW240" s="576"/>
      <c r="DX240" s="570"/>
      <c r="DY240" s="570"/>
    </row>
    <row r="241" spans="1:194" s="175" customFormat="1" ht="60" customHeight="1" x14ac:dyDescent="0.3">
      <c r="A241" s="366"/>
      <c r="B241" s="367"/>
      <c r="C241" s="393" t="s">
        <v>30</v>
      </c>
      <c r="D241" s="599"/>
      <c r="E241" s="599"/>
      <c r="F241" s="599"/>
      <c r="G241" s="599"/>
      <c r="H241" s="599"/>
      <c r="I241" s="599"/>
      <c r="J241" s="604"/>
      <c r="K241" s="604"/>
      <c r="L241" s="607"/>
      <c r="M241" s="559"/>
      <c r="N241" s="610"/>
      <c r="O241" s="613"/>
      <c r="P241" s="192"/>
      <c r="Q241" s="176" t="s">
        <v>205</v>
      </c>
      <c r="R241" s="233" t="s">
        <v>204</v>
      </c>
      <c r="S241" s="234"/>
      <c r="T241" s="235">
        <f>IFERROR(($R$353-8000)*T240,"")</f>
        <v>0</v>
      </c>
      <c r="U241" s="206"/>
      <c r="V241" s="220"/>
      <c r="W241" s="221" t="s">
        <v>258</v>
      </c>
      <c r="X241" s="222" t="s">
        <v>204</v>
      </c>
      <c r="Y241" s="236"/>
      <c r="Z241" s="237"/>
      <c r="AA241" s="225"/>
      <c r="AB241" s="226"/>
      <c r="AC241" s="206"/>
      <c r="AD241" s="206"/>
      <c r="AE241" s="206"/>
      <c r="AF241" s="227"/>
      <c r="AG241" s="206"/>
      <c r="AH241" s="206"/>
      <c r="AI241" s="206"/>
      <c r="AJ241" s="206"/>
      <c r="AK241" s="227"/>
      <c r="AL241" s="238"/>
      <c r="AM241" s="206"/>
      <c r="AN241" s="206"/>
      <c r="AO241" s="228"/>
      <c r="AP241" s="229"/>
      <c r="AQ241" s="206"/>
      <c r="AR241" s="206"/>
      <c r="AS241" s="228"/>
      <c r="AT241" s="229"/>
      <c r="AU241" s="228"/>
      <c r="AV241" s="229"/>
      <c r="AW241" s="228"/>
      <c r="AX241" s="229"/>
      <c r="AY241" s="206"/>
      <c r="AZ241" s="229"/>
      <c r="BA241" s="210"/>
      <c r="BB241" s="175" t="s">
        <v>26</v>
      </c>
      <c r="BC241" s="211" t="s">
        <v>115</v>
      </c>
      <c r="BD241" s="210"/>
      <c r="BE241" s="177" t="str">
        <f>IFERROR(VLOOKUP(D239,'BD M.O'!C:H,4,FALSE),"")</f>
        <v/>
      </c>
      <c r="BF241" s="177" t="s">
        <v>259</v>
      </c>
      <c r="BI241" s="210"/>
      <c r="BO241" s="210"/>
      <c r="BV241" s="184"/>
      <c r="BW241" s="210"/>
      <c r="CD241" s="184"/>
      <c r="CF241" s="185"/>
      <c r="CI241" s="184"/>
      <c r="CJ241" s="210"/>
      <c r="CK241" s="563"/>
      <c r="CM241" s="559"/>
      <c r="CN241" s="627"/>
      <c r="CO241" s="630"/>
      <c r="CP241" s="630"/>
      <c r="CQ241" s="630"/>
      <c r="CR241" s="630"/>
      <c r="CS241" s="630"/>
      <c r="CT241" s="633"/>
      <c r="CU241" s="563"/>
      <c r="CV241" s="561"/>
      <c r="CW241" s="563"/>
      <c r="CX241" s="561"/>
      <c r="CY241" s="563"/>
      <c r="CZ241" s="561"/>
      <c r="DA241" s="563"/>
      <c r="DB241" s="561"/>
      <c r="DC241" s="563"/>
      <c r="DD241" s="561"/>
      <c r="DG241" s="577"/>
      <c r="DH241" s="577"/>
      <c r="DI241" s="571"/>
      <c r="DJ241" s="571"/>
      <c r="DK241" s="571"/>
      <c r="DL241" s="571"/>
      <c r="DM241" s="574"/>
      <c r="DN241" s="571"/>
      <c r="DO241" s="571"/>
      <c r="DP241" s="571"/>
      <c r="DQ241" s="571"/>
      <c r="DR241" s="571"/>
      <c r="DS241" s="571"/>
      <c r="DT241" s="571"/>
      <c r="DU241" s="571"/>
      <c r="DV241" s="577"/>
      <c r="DW241" s="577"/>
      <c r="DX241" s="571"/>
      <c r="DY241" s="571"/>
    </row>
    <row r="242" spans="1:194" s="175" customFormat="1" ht="60" customHeight="1" x14ac:dyDescent="0.25">
      <c r="A242" s="366"/>
      <c r="B242" s="367"/>
      <c r="C242" s="395" t="s">
        <v>180</v>
      </c>
      <c r="D242" s="599" t="s">
        <v>31</v>
      </c>
      <c r="E242" s="599"/>
      <c r="F242" s="394" t="s">
        <v>9</v>
      </c>
      <c r="G242" s="599" t="s">
        <v>33</v>
      </c>
      <c r="H242" s="599"/>
      <c r="I242" s="394" t="str">
        <f>+IF($BG$9="SI","","X")</f>
        <v>X</v>
      </c>
      <c r="J242" s="604"/>
      <c r="K242" s="604"/>
      <c r="L242" s="607"/>
      <c r="M242" s="559"/>
      <c r="N242" s="610"/>
      <c r="O242" s="613"/>
      <c r="P242" s="192"/>
      <c r="Q242" s="239"/>
      <c r="R242" s="221" t="s">
        <v>209</v>
      </c>
      <c r="S242" s="234" t="str">
        <f>IF(S240="","",S240/(J239*K239))</f>
        <v/>
      </c>
      <c r="T242" s="226"/>
      <c r="U242" s="206"/>
      <c r="V242" s="220"/>
      <c r="W242" s="239" t="str">
        <f>IFERROR(IF(X241="SI",VLOOKUP(D239,'BD M.O'!C:F,4,FALSE),""),"")</f>
        <v/>
      </c>
      <c r="X242" s="221" t="s">
        <v>258</v>
      </c>
      <c r="Y242" s="221" t="s">
        <v>507</v>
      </c>
      <c r="Z242" s="221" t="s">
        <v>508</v>
      </c>
      <c r="AA242" s="225"/>
      <c r="AB242" s="226"/>
      <c r="AC242" s="206"/>
      <c r="AD242" s="206"/>
      <c r="AE242" s="206"/>
      <c r="AF242" s="227"/>
      <c r="AG242" s="206"/>
      <c r="AH242" s="206"/>
      <c r="AI242" s="206"/>
      <c r="AJ242" s="206"/>
      <c r="AK242" s="227"/>
      <c r="AL242" s="240"/>
      <c r="AM242" s="206"/>
      <c r="AN242" s="206"/>
      <c r="AO242" s="228"/>
      <c r="AP242" s="229"/>
      <c r="AQ242" s="206"/>
      <c r="AR242" s="206"/>
      <c r="AS242" s="228"/>
      <c r="AT242" s="229"/>
      <c r="AU242" s="228"/>
      <c r="AV242" s="229"/>
      <c r="AW242" s="228"/>
      <c r="AX242" s="229"/>
      <c r="AY242" s="206"/>
      <c r="AZ242" s="229"/>
      <c r="BA242" s="210"/>
      <c r="BC242" s="175" t="s">
        <v>116</v>
      </c>
      <c r="BD242" s="210"/>
      <c r="BE242" s="177" t="str">
        <f>IFERROR(VLOOKUP(COTIZACIÓN!D239,'BD M.O'!C:I,5,FALSE),"")</f>
        <v/>
      </c>
      <c r="BF242" s="177" t="s">
        <v>260</v>
      </c>
      <c r="BI242" s="210"/>
      <c r="BO242" s="210"/>
      <c r="BP242" s="183"/>
      <c r="BQ242" s="183"/>
      <c r="BR242" s="183"/>
      <c r="BS242" s="183"/>
      <c r="BT242" s="183"/>
      <c r="BU242" s="183"/>
      <c r="BV242" s="182"/>
      <c r="BW242" s="210"/>
      <c r="BX242" s="183"/>
      <c r="BY242" s="183"/>
      <c r="BZ242" s="183"/>
      <c r="CA242" s="183"/>
      <c r="CB242" s="183"/>
      <c r="CC242" s="183"/>
      <c r="CD242" s="182"/>
      <c r="CE242" s="183"/>
      <c r="CF242" s="241"/>
      <c r="CG242" s="183"/>
      <c r="CH242" s="183"/>
      <c r="CI242" s="182"/>
      <c r="CJ242" s="210"/>
      <c r="CK242" s="563"/>
      <c r="CM242" s="559"/>
      <c r="CN242" s="627"/>
      <c r="CO242" s="630"/>
      <c r="CP242" s="630"/>
      <c r="CQ242" s="630"/>
      <c r="CR242" s="630"/>
      <c r="CS242" s="630"/>
      <c r="CT242" s="633"/>
      <c r="CU242" s="563"/>
      <c r="CV242" s="561"/>
      <c r="CW242" s="563"/>
      <c r="CX242" s="561"/>
      <c r="CY242" s="563"/>
      <c r="CZ242" s="561"/>
      <c r="DA242" s="563"/>
      <c r="DB242" s="561"/>
      <c r="DC242" s="563"/>
      <c r="DD242" s="561"/>
      <c r="DG242" s="575"/>
      <c r="DH242" s="575"/>
      <c r="DI242" s="569">
        <f t="shared" ref="DI242" si="922">IFERROR(IF(DG242&gt;0,(((N239)/(1+10%+19%*5%)+((N239)/(1+10%+19%*5%))*10%)*DH242),0),0)</f>
        <v>0</v>
      </c>
      <c r="DJ242" s="569">
        <f t="shared" ref="DJ242" si="923">IFERROR(IF(DG242&gt;0,(N239*DH242),0),0)</f>
        <v>0</v>
      </c>
      <c r="DK242" s="569">
        <f t="shared" ref="DK242" si="924">IF(DG242&gt;0,((R239+T239)*DH242),0)</f>
        <v>0</v>
      </c>
      <c r="DL242" s="569">
        <f t="shared" ref="DL242" si="925">IF(DG242&gt;0,(Q239*DH242),0)</f>
        <v>0</v>
      </c>
      <c r="DM242" s="572">
        <f t="shared" ref="DM242" si="926">IF(DG242&gt;0,(S239*DH242),0)</f>
        <v>0</v>
      </c>
      <c r="DN242" s="569">
        <f t="shared" ref="DN242" si="927">IF(DG242&gt;0,(BN239*DH242),0)</f>
        <v>0</v>
      </c>
      <c r="DO242" s="569">
        <f t="shared" ref="DO242" si="928">IF(DG242&gt;0,(AF239*DH242),0)</f>
        <v>0</v>
      </c>
      <c r="DP242" s="569">
        <f>IF(DG242&gt;0,((DI242)*('BD P&amp;G'!$E$16+'BD P&amp;G'!$E$17+'BD P&amp;G'!$E$18+'BD P&amp;G'!$E$19+'BD P&amp;G'!$E$20+'BD P&amp;G'!$E$21+'BD P&amp;G'!$E$22+'BD P&amp;G'!$E$23)*DH242),0)</f>
        <v>0</v>
      </c>
      <c r="DQ242" s="569">
        <f>IFERROR(IF(DG242&gt;0,((DI242*'BD P&amp;G'!$E$7)+(DI242*'BD P&amp;G'!$E$9)+AI239),0),0)</f>
        <v>0</v>
      </c>
      <c r="DR242" s="569">
        <f t="shared" ref="DR242" si="929">IFERROR(IF(DG242&gt;0,((DI242*1%)),0),0)</f>
        <v>0</v>
      </c>
      <c r="DS242" s="569">
        <f>IFERROR(IF(DG242&gt;0,(((DI242*'BD P&amp;G'!$E$32+DI242*'BD P&amp;G'!$E$33+DI242*'BD P&amp;G'!$E$35+DI242*'BD P&amp;G'!$E$36+DI242*'BD P&amp;G'!$E$37))),0),0)</f>
        <v>0</v>
      </c>
      <c r="DT242" s="569">
        <f t="shared" ref="DT242" si="930">IF(DG242&gt;0,(Y239*DH242),0)</f>
        <v>0</v>
      </c>
      <c r="DU242" s="569">
        <f t="shared" ref="DU242" si="931">IF(DG242&gt;0,(Z239*DH242),0)</f>
        <v>0</v>
      </c>
      <c r="DV242" s="575">
        <f t="shared" ref="DV242" si="932">IF(DG242&gt;0,(Y243*DH242),0)</f>
        <v>0</v>
      </c>
      <c r="DW242" s="575">
        <f t="shared" ref="DW242" si="933">IF(DG242&gt;0,(Z243*DH242),0)</f>
        <v>0</v>
      </c>
      <c r="DX242" s="569">
        <f t="shared" ref="DX242" si="934">IF(DV242&gt;0,DJ242,0)</f>
        <v>0</v>
      </c>
      <c r="DY242" s="569">
        <f t="shared" ref="DY242" si="935">IF(DW242&gt;0,DJ242,0)</f>
        <v>0</v>
      </c>
    </row>
    <row r="243" spans="1:194" s="175" customFormat="1" ht="60" customHeight="1" x14ac:dyDescent="0.3">
      <c r="A243" s="366"/>
      <c r="B243" s="367"/>
      <c r="C243" s="393" t="s">
        <v>35</v>
      </c>
      <c r="D243" s="599" t="str">
        <f>IFERROR(VLOOKUP(D239,'BD GN'!C:E,3,),"")</f>
        <v/>
      </c>
      <c r="E243" s="599"/>
      <c r="F243" s="599"/>
      <c r="G243" s="599"/>
      <c r="H243" s="599"/>
      <c r="I243" s="599"/>
      <c r="J243" s="604"/>
      <c r="K243" s="604"/>
      <c r="L243" s="607"/>
      <c r="M243" s="559"/>
      <c r="N243" s="610"/>
      <c r="O243" s="613"/>
      <c r="P243" s="192"/>
      <c r="Q243" s="239"/>
      <c r="R243" s="221" t="s">
        <v>210</v>
      </c>
      <c r="S243" s="234" t="str">
        <f>IFERROR(IF(N239="","",N239/W243),"")</f>
        <v/>
      </c>
      <c r="T243" s="226"/>
      <c r="U243" s="206"/>
      <c r="V243" s="220"/>
      <c r="W243" s="242" t="str">
        <f>+IF(J239*K239&gt;=1,J239*K239,IF(AND(J239*K239&gt;0,J239*K239&lt;1),1,""))</f>
        <v/>
      </c>
      <c r="X243" s="221" t="s">
        <v>298</v>
      </c>
      <c r="Y243" s="461">
        <f>IFERROR(IF(D239='BD GN'!$C$25,COTIZACIÓN!W243,IF(D239='BD GN'!$C$26,COTIZACIÓN!W243,IF(D239='BD GN'!$C$27,COTIZACIÓN!W243,IF(COTIZACIÓN!D239='BD GN'!$C$28,COTIZACIÓN!W243,IF(COTIZACIÓN!D239='BD GN'!$C$29,COTIZACIÓN!W243,IF(COTIZACIÓN!D239='BD GN'!$C$35,COTIZACIÓN!W243,IF(COTIZACIÓN!D239='BD GN'!$C$36,COTIZACIÓN!W243,IF(COTIZACIÓN!D239='BD GN'!$C$37,COTIZACIÓN!W243,IF(COTIZACIÓN!D239='BD GN'!$C$38,COTIZACIÓN!W243,IF(COTIZACIÓN!D239='BD GN'!$C$39,COTIZACIÓN!W243,IF(COTIZACIÓN!D239='BD GN'!$C$40,COTIZACIÓN!W243,IF(COTIZACIÓN!D239='BD GN'!$C$41,COTIZACIÓN!W243,IF(COTIZACIÓN!D239='BD GN'!$C$42,COTIZACIÓN!W243,IF(COTIZACIÓN!D239='BD GN'!$C$49,COTIZACIÓN!W243,IF(COTIZACIÓN!D239='BD GN'!$C$50,COTIZACIÓN!W243,IF(COTIZACIÓN!D239='BD GN'!$C$51,COTIZACIÓN!W243,IF(COTIZACIÓN!D239='BD GN'!$C$67,COTIZACIÓN!W243,0))))))))))))))))),0)</f>
        <v>0</v>
      </c>
      <c r="Z243" s="461">
        <f>IFERROR(W243-Y243,0)</f>
        <v>0</v>
      </c>
      <c r="AA243" s="225"/>
      <c r="AB243" s="226"/>
      <c r="AC243" s="206"/>
      <c r="AD243" s="206"/>
      <c r="AE243" s="206"/>
      <c r="AF243" s="227"/>
      <c r="AG243" s="206"/>
      <c r="AH243" s="206"/>
      <c r="AI243" s="206"/>
      <c r="AJ243" s="206"/>
      <c r="AK243" s="227"/>
      <c r="AL243" s="210"/>
      <c r="AM243" s="206"/>
      <c r="AN243" s="206"/>
      <c r="AO243" s="228"/>
      <c r="AP243" s="229"/>
      <c r="AQ243" s="206"/>
      <c r="AR243" s="206"/>
      <c r="AS243" s="228"/>
      <c r="AT243" s="229"/>
      <c r="AU243" s="228"/>
      <c r="AV243" s="229"/>
      <c r="AW243" s="228"/>
      <c r="AX243" s="229"/>
      <c r="AY243" s="206"/>
      <c r="AZ243" s="229"/>
      <c r="BA243" s="210"/>
      <c r="BC243" s="211" t="s">
        <v>117</v>
      </c>
      <c r="BD243" s="210"/>
      <c r="BE243" s="177" t="str">
        <f>IFERROR(VLOOKUP(D239,'BD M.O'!C:I,6,FALSE),"")</f>
        <v/>
      </c>
      <c r="BF243" s="177" t="s">
        <v>261</v>
      </c>
      <c r="BI243" s="210"/>
      <c r="BO243" s="210"/>
      <c r="BP243" s="183"/>
      <c r="BQ243" s="183"/>
      <c r="BR243" s="183"/>
      <c r="BW243" s="210"/>
      <c r="CD243" s="184"/>
      <c r="CF243" s="185"/>
      <c r="CI243" s="184"/>
      <c r="CJ243" s="210"/>
      <c r="CK243" s="563"/>
      <c r="CM243" s="559"/>
      <c r="CN243" s="627"/>
      <c r="CO243" s="630"/>
      <c r="CP243" s="630"/>
      <c r="CQ243" s="630"/>
      <c r="CR243" s="630"/>
      <c r="CS243" s="630"/>
      <c r="CT243" s="633"/>
      <c r="CU243" s="563"/>
      <c r="CV243" s="561"/>
      <c r="CW243" s="563"/>
      <c r="CX243" s="561"/>
      <c r="CY243" s="563"/>
      <c r="CZ243" s="561"/>
      <c r="DA243" s="563"/>
      <c r="DB243" s="561"/>
      <c r="DC243" s="563"/>
      <c r="DD243" s="561"/>
      <c r="DG243" s="576"/>
      <c r="DH243" s="576"/>
      <c r="DI243" s="570"/>
      <c r="DJ243" s="570"/>
      <c r="DK243" s="570"/>
      <c r="DL243" s="570"/>
      <c r="DM243" s="573"/>
      <c r="DN243" s="570"/>
      <c r="DO243" s="570"/>
      <c r="DP243" s="570"/>
      <c r="DQ243" s="570"/>
      <c r="DR243" s="570"/>
      <c r="DS243" s="570"/>
      <c r="DT243" s="570"/>
      <c r="DU243" s="570"/>
      <c r="DV243" s="576"/>
      <c r="DW243" s="576"/>
      <c r="DX243" s="570"/>
      <c r="DY243" s="570"/>
    </row>
    <row r="244" spans="1:194" s="252" customFormat="1" ht="60" customHeight="1" x14ac:dyDescent="0.25">
      <c r="A244" s="368"/>
      <c r="B244" s="369"/>
      <c r="C244" s="396" t="s">
        <v>10</v>
      </c>
      <c r="D244" s="645" t="s">
        <v>32</v>
      </c>
      <c r="E244" s="645"/>
      <c r="F244" s="645"/>
      <c r="G244" s="645"/>
      <c r="H244" s="645"/>
      <c r="I244" s="645"/>
      <c r="J244" s="643"/>
      <c r="K244" s="643"/>
      <c r="L244" s="646"/>
      <c r="M244" s="648"/>
      <c r="N244" s="649"/>
      <c r="O244" s="644"/>
      <c r="P244" s="192"/>
      <c r="Q244" s="239"/>
      <c r="R244" s="334" t="s">
        <v>475</v>
      </c>
      <c r="S244" s="234" t="str">
        <f>IFERROR(IF($C$12='BD GN'!$CC$1,VLOOKUP(COTIZACIÓN!D239,'BD GN'!CB:CG,2,FALSE),IF(COTIZACIÓN!$C$12='BD GN'!$CD$1,VLOOKUP(COTIZACIÓN!D239,'BD GN'!CB:CG,3,FALSE),IF($C$12='BD GN'!$CE$1,VLOOKUP(COTIZACIÓN!D239,'BD GN'!CB:CG,4,FALSE),IF(COTIZACIÓN!$C$12='BD GN'!$CF$1,VLOOKUP(COTIZACIÓN!D239,'BD GN'!CB:CG,5,FALSE),IF(COTIZACIÓN!$C$12='BD GN'!$CG$1,VLOOKUP(COTIZACIÓN!D239,'BD GN'!CB:CG,6,FALSE),""))))),"-")</f>
        <v/>
      </c>
      <c r="T244" s="243"/>
      <c r="U244" s="244"/>
      <c r="V244" s="245"/>
      <c r="W244" s="177" t="s">
        <v>394</v>
      </c>
      <c r="X244" s="246">
        <f>IFERROR(SUM(W239:X239),"")</f>
        <v>0</v>
      </c>
      <c r="Y244" s="166" t="s">
        <v>404</v>
      </c>
      <c r="Z244" s="199" t="str">
        <f>IFERROR(Y239+Z239,"")</f>
        <v/>
      </c>
      <c r="AA244" s="247"/>
      <c r="AB244" s="243"/>
      <c r="AC244" s="244"/>
      <c r="AD244" s="244"/>
      <c r="AE244" s="244"/>
      <c r="AF244" s="227"/>
      <c r="AG244" s="206"/>
      <c r="AH244" s="206"/>
      <c r="AI244" s="206"/>
      <c r="AJ244" s="206"/>
      <c r="AK244" s="227"/>
      <c r="AL244" s="227"/>
      <c r="AM244" s="248"/>
      <c r="AN244" s="248"/>
      <c r="AO244" s="249"/>
      <c r="AP244" s="250"/>
      <c r="AQ244" s="248"/>
      <c r="AR244" s="248"/>
      <c r="AS244" s="249"/>
      <c r="AT244" s="250"/>
      <c r="AU244" s="249"/>
      <c r="AV244" s="250"/>
      <c r="AW244" s="249"/>
      <c r="AX244" s="250"/>
      <c r="AY244" s="248"/>
      <c r="AZ244" s="250"/>
      <c r="BA244" s="210"/>
      <c r="BB244" s="175"/>
      <c r="BC244" s="175" t="s">
        <v>118</v>
      </c>
      <c r="BD244" s="210"/>
      <c r="BE244" s="251" t="str">
        <f>IFERROR(VLOOKUP(D239,'BD M.O'!C:I,7,FALSE),"")</f>
        <v/>
      </c>
      <c r="BF244" s="251" t="s">
        <v>262</v>
      </c>
      <c r="BG244" s="175"/>
      <c r="BH244" s="175"/>
      <c r="BI244" s="210"/>
      <c r="BJ244" s="175"/>
      <c r="BK244" s="175"/>
      <c r="BL244" s="175"/>
      <c r="BM244" s="175"/>
      <c r="BN244" s="175"/>
      <c r="BO244" s="210"/>
      <c r="BP244" s="175"/>
      <c r="BQ244" s="175"/>
      <c r="BR244" s="175"/>
      <c r="BS244" s="183"/>
      <c r="BT244" s="183"/>
      <c r="BU244" s="183"/>
      <c r="BV244" s="183"/>
      <c r="BW244" s="210"/>
      <c r="BX244" s="175"/>
      <c r="BY244" s="175"/>
      <c r="BZ244" s="175"/>
      <c r="CA244" s="175"/>
      <c r="CB244" s="175"/>
      <c r="CC244" s="175"/>
      <c r="CD244" s="184"/>
      <c r="CE244" s="175"/>
      <c r="CF244" s="185"/>
      <c r="CG244" s="175"/>
      <c r="CH244" s="175"/>
      <c r="CI244" s="184"/>
      <c r="CJ244" s="210"/>
      <c r="CK244" s="564"/>
      <c r="CL244" s="257"/>
      <c r="CM244" s="597"/>
      <c r="CN244" s="628"/>
      <c r="CO244" s="631"/>
      <c r="CP244" s="631"/>
      <c r="CQ244" s="631"/>
      <c r="CR244" s="631"/>
      <c r="CS244" s="631"/>
      <c r="CT244" s="634"/>
      <c r="CU244" s="564"/>
      <c r="CV244" s="562"/>
      <c r="CW244" s="564"/>
      <c r="CX244" s="562"/>
      <c r="CY244" s="564"/>
      <c r="CZ244" s="562"/>
      <c r="DA244" s="564"/>
      <c r="DB244" s="562"/>
      <c r="DC244" s="564"/>
      <c r="DD244" s="562"/>
      <c r="DE244" s="175"/>
      <c r="DF244" s="175"/>
      <c r="DG244" s="577"/>
      <c r="DH244" s="577"/>
      <c r="DI244" s="571"/>
      <c r="DJ244" s="571"/>
      <c r="DK244" s="571"/>
      <c r="DL244" s="571"/>
      <c r="DM244" s="574"/>
      <c r="DN244" s="571"/>
      <c r="DO244" s="571"/>
      <c r="DP244" s="571"/>
      <c r="DQ244" s="571"/>
      <c r="DR244" s="571"/>
      <c r="DS244" s="571"/>
      <c r="DT244" s="571"/>
      <c r="DU244" s="571"/>
      <c r="DV244" s="577"/>
      <c r="DW244" s="577"/>
      <c r="DX244" s="571"/>
      <c r="DY244" s="571"/>
      <c r="DZ244" s="175"/>
      <c r="EA244" s="175"/>
      <c r="EB244" s="175"/>
      <c r="EC244" s="175"/>
      <c r="ED244" s="175"/>
      <c r="EE244" s="175"/>
      <c r="EF244" s="175"/>
      <c r="EG244" s="175"/>
      <c r="EH244" s="175"/>
      <c r="EI244" s="175"/>
      <c r="EJ244" s="175"/>
      <c r="EK244" s="175"/>
      <c r="EL244" s="175"/>
      <c r="EM244" s="175"/>
      <c r="EN244" s="175"/>
      <c r="EO244" s="175"/>
      <c r="EP244" s="175"/>
      <c r="EQ244" s="175"/>
      <c r="ER244" s="175"/>
      <c r="ES244" s="175"/>
      <c r="ET244" s="175"/>
      <c r="EU244" s="175"/>
      <c r="EV244" s="175"/>
      <c r="EW244" s="175"/>
      <c r="EX244" s="175"/>
      <c r="EY244" s="175"/>
      <c r="EZ244" s="175"/>
      <c r="FA244" s="175"/>
      <c r="FB244" s="175"/>
      <c r="FC244" s="175"/>
      <c r="FD244" s="175"/>
      <c r="FE244" s="175"/>
      <c r="FF244" s="175"/>
      <c r="FG244" s="175"/>
      <c r="FH244" s="175"/>
      <c r="FI244" s="175"/>
      <c r="FJ244" s="175"/>
      <c r="FK244" s="175"/>
      <c r="FL244" s="175"/>
      <c r="FM244" s="175"/>
      <c r="FN244" s="175"/>
      <c r="FO244" s="175"/>
      <c r="FP244" s="175"/>
      <c r="FQ244" s="175"/>
      <c r="FR244" s="175"/>
      <c r="FS244" s="175"/>
      <c r="FT244" s="175"/>
      <c r="FU244" s="175"/>
      <c r="FV244" s="175"/>
      <c r="FW244" s="175"/>
      <c r="FX244" s="175"/>
      <c r="FY244" s="175"/>
      <c r="FZ244" s="175"/>
      <c r="GA244" s="175"/>
      <c r="GB244" s="175"/>
      <c r="GC244" s="175"/>
      <c r="GD244" s="175"/>
      <c r="GE244" s="175"/>
      <c r="GF244" s="175"/>
      <c r="GG244" s="175"/>
      <c r="GH244" s="175"/>
      <c r="GI244" s="175"/>
      <c r="GJ244" s="175"/>
      <c r="GK244" s="175"/>
      <c r="GL244" s="175"/>
    </row>
    <row r="245" spans="1:194" s="255" customFormat="1" ht="60" customHeight="1" x14ac:dyDescent="0.3">
      <c r="A245" s="362" t="s">
        <v>193</v>
      </c>
      <c r="B245" s="363" t="s">
        <v>25</v>
      </c>
      <c r="C245" s="391" t="s">
        <v>174</v>
      </c>
      <c r="D245" s="640" t="s">
        <v>173</v>
      </c>
      <c r="E245" s="640"/>
      <c r="F245" s="640"/>
      <c r="G245" s="640"/>
      <c r="H245" s="640"/>
      <c r="I245" s="640"/>
      <c r="J245" s="418" t="s">
        <v>443</v>
      </c>
      <c r="K245" s="418" t="s">
        <v>444</v>
      </c>
      <c r="L245" s="418" t="s">
        <v>171</v>
      </c>
      <c r="M245" s="363" t="s">
        <v>2</v>
      </c>
      <c r="N245" s="419" t="s">
        <v>7</v>
      </c>
      <c r="O245" s="420" t="s">
        <v>8</v>
      </c>
      <c r="P245" s="159"/>
      <c r="Q245" s="164" t="s">
        <v>93</v>
      </c>
      <c r="R245" s="164" t="s">
        <v>34</v>
      </c>
      <c r="S245" s="164" t="s">
        <v>28</v>
      </c>
      <c r="T245" s="164" t="s">
        <v>95</v>
      </c>
      <c r="U245" s="164" t="s">
        <v>96</v>
      </c>
      <c r="V245" s="164" t="s">
        <v>97</v>
      </c>
      <c r="W245" s="164" t="s">
        <v>4</v>
      </c>
      <c r="X245" s="164" t="s">
        <v>103</v>
      </c>
      <c r="Y245" s="160" t="s">
        <v>402</v>
      </c>
      <c r="Z245" s="165" t="s">
        <v>403</v>
      </c>
      <c r="AA245" s="166" t="s">
        <v>404</v>
      </c>
      <c r="AB245" s="164" t="s">
        <v>99</v>
      </c>
      <c r="AC245" s="164" t="s">
        <v>395</v>
      </c>
      <c r="AD245" s="253" t="s">
        <v>36</v>
      </c>
      <c r="AE245" s="164" t="s">
        <v>389</v>
      </c>
      <c r="AF245" s="164" t="s">
        <v>390</v>
      </c>
      <c r="AG245" s="164" t="s">
        <v>164</v>
      </c>
      <c r="AH245" s="253" t="s">
        <v>396</v>
      </c>
      <c r="AI245" s="164" t="s">
        <v>190</v>
      </c>
      <c r="AJ245" s="164" t="s">
        <v>339</v>
      </c>
      <c r="AK245" s="253" t="s">
        <v>391</v>
      </c>
      <c r="AL245" s="253" t="s">
        <v>393</v>
      </c>
      <c r="AM245" s="167" t="s">
        <v>93</v>
      </c>
      <c r="AN245" s="168" t="s">
        <v>34</v>
      </c>
      <c r="AO245" s="169" t="s">
        <v>28</v>
      </c>
      <c r="AP245" s="170" t="s">
        <v>95</v>
      </c>
      <c r="AQ245" s="167" t="s">
        <v>3</v>
      </c>
      <c r="AR245" s="167" t="s">
        <v>96</v>
      </c>
      <c r="AS245" s="169" t="s">
        <v>97</v>
      </c>
      <c r="AT245" s="170" t="s">
        <v>4</v>
      </c>
      <c r="AU245" s="169" t="s">
        <v>103</v>
      </c>
      <c r="AV245" s="170" t="s">
        <v>99</v>
      </c>
      <c r="AW245" s="169" t="s">
        <v>36</v>
      </c>
      <c r="AX245" s="171" t="s">
        <v>29</v>
      </c>
      <c r="AY245" s="172" t="s">
        <v>190</v>
      </c>
      <c r="AZ245" s="173" t="s">
        <v>102</v>
      </c>
      <c r="BA245" s="174"/>
      <c r="BB245" s="183"/>
      <c r="BC245" s="211" t="s">
        <v>119</v>
      </c>
      <c r="BD245" s="174"/>
      <c r="BE245" s="176" t="s">
        <v>189</v>
      </c>
      <c r="BF245" s="177" t="str">
        <f>$BF$13</f>
        <v xml:space="preserve">VR SILICONA </v>
      </c>
      <c r="BG245" s="177" t="str">
        <f>$BG$13</f>
        <v xml:space="preserve">VR PELÍCULA </v>
      </c>
      <c r="BH245" s="254" t="str">
        <f>$BH$13</f>
        <v>VR EMBALAJE</v>
      </c>
      <c r="BI245" s="174"/>
      <c r="BJ245" s="176" t="str">
        <f>$BJ$13</f>
        <v>ESP. CRISTAL</v>
      </c>
      <c r="BK245" s="176" t="s">
        <v>130</v>
      </c>
      <c r="BL245" s="177" t="s">
        <v>28</v>
      </c>
      <c r="BM245" s="177" t="str">
        <f>BM238</f>
        <v>TOTAL</v>
      </c>
      <c r="BN245" s="177" t="s">
        <v>133</v>
      </c>
      <c r="BO245" s="174"/>
      <c r="BP245" s="175"/>
      <c r="BQ245" s="175"/>
      <c r="BR245" s="175"/>
      <c r="BS245" s="175"/>
      <c r="BT245" s="175"/>
      <c r="BU245" s="175"/>
      <c r="BV245" s="175"/>
      <c r="BW245" s="174"/>
      <c r="BX245" s="175"/>
      <c r="BY245" s="175"/>
      <c r="BZ245" s="175"/>
      <c r="CA245" s="175"/>
      <c r="CB245" s="175"/>
      <c r="CC245" s="175"/>
      <c r="CD245" s="184"/>
      <c r="CE245" s="175"/>
      <c r="CF245" s="185"/>
      <c r="CG245" s="175"/>
      <c r="CH245" s="175"/>
      <c r="CI245" s="184"/>
      <c r="CJ245" s="174"/>
      <c r="CK245" s="186" t="s">
        <v>415</v>
      </c>
      <c r="CL245" s="187" t="s">
        <v>417</v>
      </c>
      <c r="CM245" s="187" t="s">
        <v>416</v>
      </c>
      <c r="CN245" s="188" t="s">
        <v>418</v>
      </c>
      <c r="CO245" s="187" t="s">
        <v>417</v>
      </c>
      <c r="CP245" s="187" t="s">
        <v>409</v>
      </c>
      <c r="CQ245" s="187" t="s">
        <v>410</v>
      </c>
      <c r="CR245" s="187" t="s">
        <v>411</v>
      </c>
      <c r="CS245" s="187" t="s">
        <v>412</v>
      </c>
      <c r="CT245" s="187" t="s">
        <v>413</v>
      </c>
      <c r="CU245" s="189" t="s">
        <v>2</v>
      </c>
      <c r="CV245" s="190" t="s">
        <v>159</v>
      </c>
      <c r="CW245" s="189" t="s">
        <v>2</v>
      </c>
      <c r="CX245" s="190" t="s">
        <v>159</v>
      </c>
      <c r="CY245" s="189" t="s">
        <v>2</v>
      </c>
      <c r="CZ245" s="190" t="s">
        <v>159</v>
      </c>
      <c r="DA245" s="189" t="s">
        <v>2</v>
      </c>
      <c r="DB245" s="190" t="s">
        <v>159</v>
      </c>
      <c r="DC245" s="189" t="s">
        <v>2</v>
      </c>
      <c r="DD245" s="190" t="s">
        <v>159</v>
      </c>
      <c r="DE245" s="183"/>
      <c r="DF245" s="183"/>
      <c r="DG245" s="177" t="s">
        <v>505</v>
      </c>
      <c r="DH245" s="472" t="s">
        <v>509</v>
      </c>
      <c r="DI245" s="457" t="s">
        <v>506</v>
      </c>
      <c r="DJ245" s="457" t="s">
        <v>134</v>
      </c>
      <c r="DK245" s="457" t="s">
        <v>498</v>
      </c>
      <c r="DL245" s="457" t="s">
        <v>499</v>
      </c>
      <c r="DM245" s="457" t="s">
        <v>500</v>
      </c>
      <c r="DN245" s="457" t="s">
        <v>131</v>
      </c>
      <c r="DO245" s="457" t="s">
        <v>390</v>
      </c>
      <c r="DP245" s="457" t="s">
        <v>36</v>
      </c>
      <c r="DQ245" s="457" t="s">
        <v>501</v>
      </c>
      <c r="DR245" s="457" t="s">
        <v>502</v>
      </c>
      <c r="DS245" s="457" t="s">
        <v>503</v>
      </c>
      <c r="DT245" s="457" t="s">
        <v>4</v>
      </c>
      <c r="DU245" s="457" t="s">
        <v>504</v>
      </c>
      <c r="DV245" s="466" t="s">
        <v>507</v>
      </c>
      <c r="DW245" s="466" t="s">
        <v>508</v>
      </c>
      <c r="DX245" s="457" t="s">
        <v>510</v>
      </c>
      <c r="DY245" s="457" t="s">
        <v>511</v>
      </c>
      <c r="DZ245" s="183"/>
      <c r="EA245" s="183"/>
      <c r="EB245" s="183"/>
      <c r="EC245" s="183"/>
      <c r="ED245" s="183"/>
      <c r="EE245" s="183"/>
      <c r="EF245" s="183"/>
      <c r="EG245" s="183"/>
      <c r="EH245" s="183"/>
      <c r="EI245" s="183"/>
      <c r="EJ245" s="183"/>
      <c r="EK245" s="183"/>
      <c r="EL245" s="183"/>
      <c r="EM245" s="183"/>
      <c r="EN245" s="183"/>
      <c r="EO245" s="183"/>
      <c r="EP245" s="183"/>
      <c r="EQ245" s="183"/>
      <c r="ER245" s="183"/>
      <c r="ES245" s="183"/>
      <c r="ET245" s="183"/>
      <c r="EU245" s="183"/>
      <c r="EV245" s="183"/>
      <c r="EW245" s="183"/>
      <c r="EX245" s="183"/>
      <c r="EY245" s="183"/>
      <c r="EZ245" s="183"/>
      <c r="FA245" s="183"/>
      <c r="FB245" s="183"/>
      <c r="FC245" s="183"/>
      <c r="FD245" s="183"/>
      <c r="FE245" s="183"/>
      <c r="FF245" s="183"/>
      <c r="FG245" s="183"/>
      <c r="FH245" s="183"/>
      <c r="FI245" s="183"/>
      <c r="FJ245" s="183"/>
      <c r="FK245" s="183"/>
      <c r="FL245" s="183"/>
      <c r="FM245" s="183"/>
      <c r="FN245" s="183"/>
      <c r="FO245" s="183"/>
      <c r="FP245" s="183"/>
      <c r="FQ245" s="183"/>
      <c r="FR245" s="183"/>
      <c r="FS245" s="183"/>
      <c r="FT245" s="183"/>
      <c r="FU245" s="183"/>
      <c r="FV245" s="183"/>
      <c r="FW245" s="183"/>
      <c r="FX245" s="183"/>
      <c r="FY245" s="183"/>
      <c r="FZ245" s="183"/>
      <c r="GA245" s="183"/>
      <c r="GB245" s="183"/>
      <c r="GC245" s="183"/>
      <c r="GD245" s="183"/>
      <c r="GE245" s="183"/>
      <c r="GF245" s="183"/>
      <c r="GG245" s="183"/>
      <c r="GH245" s="183"/>
      <c r="GI245" s="183"/>
      <c r="GJ245" s="183"/>
      <c r="GK245" s="183"/>
      <c r="GL245" s="183"/>
    </row>
    <row r="246" spans="1:194" s="175" customFormat="1" ht="60" customHeight="1" x14ac:dyDescent="0.3">
      <c r="A246" s="364"/>
      <c r="B246" s="365"/>
      <c r="C246" s="392" t="s">
        <v>27</v>
      </c>
      <c r="D246" s="641"/>
      <c r="E246" s="641"/>
      <c r="F246" s="641"/>
      <c r="G246" s="641"/>
      <c r="H246" s="641"/>
      <c r="I246" s="641"/>
      <c r="J246" s="642"/>
      <c r="K246" s="642"/>
      <c r="L246" s="622">
        <f>J246*K246*M246</f>
        <v>0</v>
      </c>
      <c r="M246" s="623"/>
      <c r="N246" s="620">
        <f>IFERROR(AL246,"")</f>
        <v>1.0765546639999999</v>
      </c>
      <c r="O246" s="621">
        <f>IFERROR(N246*M246,"")</f>
        <v>0</v>
      </c>
      <c r="P246" s="192"/>
      <c r="Q246" s="193">
        <f>Q247+BF246+($R$350*Q247)</f>
        <v>0</v>
      </c>
      <c r="R246" s="193">
        <f>IFERROR(R247+($R$348*R247),"")</f>
        <v>0</v>
      </c>
      <c r="S246" s="194">
        <f>+IF(R248="SI",((W250*'BD GN'!$AB$2)+S247)*1,COTIZACIÓN!S247*1)+(P247*S247)</f>
        <v>0</v>
      </c>
      <c r="T246" s="195">
        <f>IFERROR(R246*IF(K246&lt;=3,$T$13,15%),"")</f>
        <v>0</v>
      </c>
      <c r="U246" s="196">
        <f>BH246+BG246</f>
        <v>0</v>
      </c>
      <c r="V246" s="197" t="str">
        <f>IFERROR(BN246,0)</f>
        <v/>
      </c>
      <c r="W246" s="198" t="str">
        <f>IFERROR(IF(X248="SI",W249*J246*K246,IF(BE246=3,BE248,IF(BE246=4,BE249,IF(BE246=5,BE250,IF(BE246&gt;5,BE250+(BE251*(BE246-5)),"")))))*0,"")</f>
        <v/>
      </c>
      <c r="X246" s="198" t="str">
        <f>IFERROR(IF(X247="NO",(VLOOKUP(D246,'BD M.O'!C:E,3,FALSE))*W250,((VLOOKUP(D246,'BD M.O'!C:E,3,FALSE))+7500)*W250),"")</f>
        <v/>
      </c>
      <c r="Y246" s="198">
        <f>IFERROR($Y$13*AK246,"")</f>
        <v>4.2084457416288003E-2</v>
      </c>
      <c r="Z246" s="332" t="str">
        <f>IFERROR(($Z$13*AK246)+X246,"")</f>
        <v/>
      </c>
      <c r="AA246" s="199" t="str">
        <f>IFERROR(Y246+Z246,"")</f>
        <v/>
      </c>
      <c r="AB246" s="200">
        <f>IFERROR((SUM(Q246:X246)-T246+T248)*$AB$13,"")</f>
        <v>0</v>
      </c>
      <c r="AC246" s="201">
        <f>IFERROR(((SUM(Q246:V246,IF(X251&gt;AA246,AVERAGE(X251,AA246),AA246))-T246+T248))*$AB$13,"")</f>
        <v>0</v>
      </c>
      <c r="AD246" s="202" t="str">
        <f>IFERROR((J246*K246*$BV$14),"")</f>
        <v/>
      </c>
      <c r="AE246" s="202">
        <f>IFERROR($AE$13*AK246,"")</f>
        <v>6.4010592649919984E-2</v>
      </c>
      <c r="AF246" s="203" t="str">
        <f>IFERROR(($CI$11+$CI$13)*W250,"")</f>
        <v/>
      </c>
      <c r="AG246" s="202">
        <f>IFERROR((SUM(Q246:X246,AB246,AD246,AF246)-T246+T248)*$AG$13,"")</f>
        <v>0</v>
      </c>
      <c r="AH246" s="202">
        <f>IFERROR((SUM(Q246:V246,(IF(X251&gt;AA246,AVERAGE(X251,AA246),AA246)),AC246,AE246,AF246)-T246+T248)*$AG$13,"")</f>
        <v>3.2005296324959992E-2</v>
      </c>
      <c r="AI246" s="204">
        <f>IFERROR(AL246*$AI$13,"")</f>
        <v>2.1531093279999997E-2</v>
      </c>
      <c r="AJ246" s="204">
        <f>IFERROR($AJ$13*AL246,"")</f>
        <v>6.007175025119999E-3</v>
      </c>
      <c r="AK246" s="205">
        <f>IFERROR(SUM(Q246:X246,AB246,AD246,AG246,AF246)/(1-$AI$13)+(1-$AJ$13)-T246+T248,"")</f>
        <v>0.99441999999999997</v>
      </c>
      <c r="AL246" s="205">
        <f>IFERROR(SUM(Q246:V246,AC246,(IF(AD246&gt;AE246,AVERAGE(AD246,AE246),AE246)),AF246,,AH246,(IF(SUM(X251)&gt;AA246,AVERAGE(AA246,X251),AA246)))/(1-$AJ$13)+(1-$AI$13)-T246+T248,"")</f>
        <v>1.0765546639999999</v>
      </c>
      <c r="AM246" s="206">
        <f>$M$15*Q246</f>
        <v>0</v>
      </c>
      <c r="AN246" s="207">
        <f>$M$15*R246</f>
        <v>0</v>
      </c>
      <c r="AO246" s="208">
        <f>$M$15*S246</f>
        <v>0</v>
      </c>
      <c r="AP246" s="207">
        <f>$M$15*T246</f>
        <v>0</v>
      </c>
      <c r="AQ246" s="207" t="e">
        <f>$M$15*#REF!</f>
        <v>#REF!</v>
      </c>
      <c r="AR246" s="207">
        <f>$M$15*U246</f>
        <v>0</v>
      </c>
      <c r="AS246" s="208" t="e">
        <f>$M$15*V246</f>
        <v>#VALUE!</v>
      </c>
      <c r="AT246" s="207" t="e">
        <f>$M$15*W246</f>
        <v>#VALUE!</v>
      </c>
      <c r="AU246" s="208" t="e">
        <f>$M$15*X246</f>
        <v>#VALUE!</v>
      </c>
      <c r="AV246" s="207">
        <f>$M$15*AB246</f>
        <v>0</v>
      </c>
      <c r="AW246" s="208">
        <f>$M$15*AE246</f>
        <v>0</v>
      </c>
      <c r="AX246" s="207">
        <f>$M$15*AG246</f>
        <v>0</v>
      </c>
      <c r="AY246" s="209">
        <f>$M$15*AI246</f>
        <v>0</v>
      </c>
      <c r="AZ246" s="207">
        <f>$M$15*AK246</f>
        <v>0</v>
      </c>
      <c r="BA246" s="210"/>
      <c r="BB246" s="175" t="s">
        <v>23</v>
      </c>
      <c r="BC246" s="211" t="s">
        <v>113</v>
      </c>
      <c r="BD246" s="210"/>
      <c r="BE246" s="212"/>
      <c r="BF246" s="213">
        <f>IF(BH247="NO",((2*J246)+(2*K246))*'BD GN'!$AU$3,((3*J246)+(2*K246))*'BD GN'!$AU$3)</f>
        <v>0</v>
      </c>
      <c r="BG246" s="213">
        <f>'BD GN'!$BB$3*J246*K246</f>
        <v>0</v>
      </c>
      <c r="BH246" s="214">
        <f>((J246*2*BE246)+(K246*2*BE246))*'BD GN'!$AN$4</f>
        <v>0</v>
      </c>
      <c r="BI246" s="210"/>
      <c r="BJ246" s="212"/>
      <c r="BK246" s="212"/>
      <c r="BL246" s="215">
        <f>J246*K246*2.5*BJ246</f>
        <v>0</v>
      </c>
      <c r="BM246" s="215">
        <f>BK246+BL246</f>
        <v>0</v>
      </c>
      <c r="BN246" s="216" t="str">
        <f>IFERROR((VLOOKUP($C$12,'BD GN'!BD:BM,10,FALSE)*BM246)+$BR$338,"")</f>
        <v/>
      </c>
      <c r="BO246" s="210"/>
      <c r="BW246" s="210"/>
      <c r="CD246" s="184"/>
      <c r="CF246" s="185"/>
      <c r="CI246" s="184"/>
      <c r="CJ246" s="210"/>
      <c r="CK246" s="565"/>
      <c r="CL246" s="256"/>
      <c r="CM246" s="596"/>
      <c r="CN246" s="626"/>
      <c r="CO246" s="629"/>
      <c r="CP246" s="629"/>
      <c r="CQ246" s="629"/>
      <c r="CR246" s="629"/>
      <c r="CS246" s="629"/>
      <c r="CT246" s="632"/>
      <c r="CU246" s="565"/>
      <c r="CV246" s="560">
        <f>IFERROR(N246*CU246,"")</f>
        <v>0</v>
      </c>
      <c r="CW246" s="565"/>
      <c r="CX246" s="560">
        <f>IFERROR(P246*CW246,"")</f>
        <v>0</v>
      </c>
      <c r="CY246" s="565"/>
      <c r="CZ246" s="560">
        <f>IFERROR(R246*CY246,"")</f>
        <v>0</v>
      </c>
      <c r="DA246" s="565">
        <f t="shared" ref="DA246" si="936">CU246+CW246+CY246</f>
        <v>0</v>
      </c>
      <c r="DB246" s="560">
        <f t="shared" ref="DB246" si="937">IFERROR(CV246+CX246+CZ246,"")</f>
        <v>0</v>
      </c>
      <c r="DC246" s="565">
        <f>M246-(CU246+CW246+CY246)</f>
        <v>0</v>
      </c>
      <c r="DD246" s="560">
        <f>IFERROR(O246-(CV246+CX246+CZ246),"")</f>
        <v>0</v>
      </c>
      <c r="DG246" s="575"/>
      <c r="DH246" s="575"/>
      <c r="DI246" s="569">
        <f t="shared" ref="DI246" si="938">IFERROR(IF(DG246&gt;0,(((N246)/(1+10%+19%*5%)+((N246)/(1+10%+19%*5%))*10%)*DH246),0),0)</f>
        <v>0</v>
      </c>
      <c r="DJ246" s="569">
        <f t="shared" ref="DJ246" si="939">IFERROR(IF(DG246&gt;0,(N246*DH246),0),0)</f>
        <v>0</v>
      </c>
      <c r="DK246" s="569">
        <f t="shared" ref="DK246" si="940">IF(DG246&gt;0,((R246+T246)*DH246),0)</f>
        <v>0</v>
      </c>
      <c r="DL246" s="569">
        <f t="shared" ref="DL246" si="941">IF(DG246&gt;0,(Q246*DH246),0)</f>
        <v>0</v>
      </c>
      <c r="DM246" s="572">
        <f t="shared" ref="DM246" si="942">IF(DG246&gt;0,(S246*DH246),0)</f>
        <v>0</v>
      </c>
      <c r="DN246" s="569">
        <f t="shared" ref="DN246" si="943">IF(DG246&gt;0,(BN246*DH246),0)</f>
        <v>0</v>
      </c>
      <c r="DO246" s="569">
        <f t="shared" ref="DO246" si="944">IF(DG246&gt;0,(AF246*DH246),0)</f>
        <v>0</v>
      </c>
      <c r="DP246" s="569">
        <f>IF(DG246&gt;0,((DI246)*('BD P&amp;G'!$E$16+'BD P&amp;G'!$E$17+'BD P&amp;G'!$E$18+'BD P&amp;G'!$E$19+'BD P&amp;G'!$E$20+'BD P&amp;G'!$E$21+'BD P&amp;G'!$E$22+'BD P&amp;G'!$E$23)*DH246),0)</f>
        <v>0</v>
      </c>
      <c r="DQ246" s="569">
        <f>IFERROR(IF(DG246&gt;0,((DI246*'BD P&amp;G'!$E$7)+(DI246*'BD P&amp;G'!$E$9)+AI246),0),0)</f>
        <v>0</v>
      </c>
      <c r="DR246" s="569">
        <f t="shared" ref="DR246" si="945">IFERROR(IF(DG246&gt;0,((DI246*1%)),0),0)</f>
        <v>0</v>
      </c>
      <c r="DS246" s="569">
        <f>IFERROR(IF(DG246&gt;0,(((DI246*'BD P&amp;G'!$E$32+DI246*'BD P&amp;G'!$E$33+DI246*'BD P&amp;G'!$E$35+DI246*'BD P&amp;G'!$E$36+DI246*'BD P&amp;G'!$E$37))),0),0)</f>
        <v>0</v>
      </c>
      <c r="DT246" s="569">
        <f t="shared" ref="DT246" si="946">IF(DG246&gt;0,(Y246*DH246),0)</f>
        <v>0</v>
      </c>
      <c r="DU246" s="569">
        <f t="shared" ref="DU246" si="947">IF(DG246&gt;0,(Z246*DH246),0)</f>
        <v>0</v>
      </c>
      <c r="DV246" s="575">
        <f t="shared" ref="DV246" si="948">IF(DG246&gt;0,(Y250*DH246),0)</f>
        <v>0</v>
      </c>
      <c r="DW246" s="575">
        <f t="shared" ref="DW246" si="949">IF(DG246&gt;0,(Z250*DH246),0)</f>
        <v>0</v>
      </c>
      <c r="DX246" s="569">
        <f t="shared" ref="DX246" si="950">IF(DV246&gt;0,DJ246,0)</f>
        <v>0</v>
      </c>
      <c r="DY246" s="569">
        <f t="shared" ref="DY246" si="951">IF(DW246&gt;0,DJ246,0)</f>
        <v>0</v>
      </c>
    </row>
    <row r="247" spans="1:194" s="175" customFormat="1" ht="60" customHeight="1" x14ac:dyDescent="0.25">
      <c r="A247" s="366"/>
      <c r="B247" s="367"/>
      <c r="C247" s="393" t="s">
        <v>28</v>
      </c>
      <c r="D247" s="598"/>
      <c r="E247" s="598"/>
      <c r="F247" s="598"/>
      <c r="G247" s="598"/>
      <c r="H247" s="598"/>
      <c r="I247" s="598"/>
      <c r="J247" s="604"/>
      <c r="K247" s="604"/>
      <c r="L247" s="607"/>
      <c r="M247" s="559"/>
      <c r="N247" s="610"/>
      <c r="O247" s="613"/>
      <c r="P247" s="192"/>
      <c r="Q247" s="217"/>
      <c r="R247" s="217"/>
      <c r="S247" s="218"/>
      <c r="T247" s="219">
        <f>IFERROR(T246/$R$353,"")</f>
        <v>0</v>
      </c>
      <c r="U247" s="206"/>
      <c r="V247" s="220"/>
      <c r="W247" s="221" t="s">
        <v>239</v>
      </c>
      <c r="X247" s="222" t="s">
        <v>204</v>
      </c>
      <c r="Y247" s="223"/>
      <c r="Z247" s="224"/>
      <c r="AA247" s="225"/>
      <c r="AB247" s="226"/>
      <c r="AC247" s="206"/>
      <c r="AD247" s="206"/>
      <c r="AE247" s="206"/>
      <c r="AF247" s="227"/>
      <c r="AG247" s="206"/>
      <c r="AH247" s="206"/>
      <c r="AI247" s="206"/>
      <c r="AJ247" s="206"/>
      <c r="AK247" s="227"/>
      <c r="AL247" s="210"/>
      <c r="AM247" s="206"/>
      <c r="AN247" s="206"/>
      <c r="AO247" s="228"/>
      <c r="AP247" s="229"/>
      <c r="AQ247" s="206"/>
      <c r="AR247" s="206"/>
      <c r="AS247" s="228"/>
      <c r="AT247" s="229"/>
      <c r="AU247" s="228"/>
      <c r="AV247" s="229"/>
      <c r="AW247" s="228"/>
      <c r="AX247" s="229"/>
      <c r="AY247" s="206"/>
      <c r="AZ247" s="229"/>
      <c r="BA247" s="210"/>
      <c r="BB247" s="175" t="s">
        <v>24</v>
      </c>
      <c r="BC247" s="175" t="s">
        <v>114</v>
      </c>
      <c r="BD247" s="210"/>
      <c r="BE247" s="176" t="s">
        <v>206</v>
      </c>
      <c r="BF247" s="230" t="s">
        <v>204</v>
      </c>
      <c r="BG247" s="176" t="s">
        <v>290</v>
      </c>
      <c r="BH247" s="231" t="s">
        <v>204</v>
      </c>
      <c r="BI247" s="210"/>
      <c r="BN247" s="232"/>
      <c r="BO247" s="210"/>
      <c r="BV247" s="184"/>
      <c r="BW247" s="210"/>
      <c r="CD247" s="184"/>
      <c r="CF247" s="185"/>
      <c r="CI247" s="184"/>
      <c r="CJ247" s="210"/>
      <c r="CK247" s="563"/>
      <c r="CM247" s="559"/>
      <c r="CN247" s="627"/>
      <c r="CO247" s="630"/>
      <c r="CP247" s="630"/>
      <c r="CQ247" s="630"/>
      <c r="CR247" s="630"/>
      <c r="CS247" s="630"/>
      <c r="CT247" s="633"/>
      <c r="CU247" s="563"/>
      <c r="CV247" s="561"/>
      <c r="CW247" s="563"/>
      <c r="CX247" s="561"/>
      <c r="CY247" s="563"/>
      <c r="CZ247" s="561"/>
      <c r="DA247" s="563"/>
      <c r="DB247" s="561"/>
      <c r="DC247" s="563"/>
      <c r="DD247" s="561"/>
      <c r="DG247" s="576"/>
      <c r="DH247" s="576"/>
      <c r="DI247" s="570"/>
      <c r="DJ247" s="570"/>
      <c r="DK247" s="570"/>
      <c r="DL247" s="570"/>
      <c r="DM247" s="573"/>
      <c r="DN247" s="570"/>
      <c r="DO247" s="570"/>
      <c r="DP247" s="570"/>
      <c r="DQ247" s="570"/>
      <c r="DR247" s="570"/>
      <c r="DS247" s="570"/>
      <c r="DT247" s="570"/>
      <c r="DU247" s="570"/>
      <c r="DV247" s="576"/>
      <c r="DW247" s="576"/>
      <c r="DX247" s="570"/>
      <c r="DY247" s="570"/>
    </row>
    <row r="248" spans="1:194" s="175" customFormat="1" ht="60" customHeight="1" x14ac:dyDescent="0.3">
      <c r="A248" s="366"/>
      <c r="B248" s="367"/>
      <c r="C248" s="393" t="s">
        <v>30</v>
      </c>
      <c r="D248" s="599"/>
      <c r="E248" s="599"/>
      <c r="F248" s="599"/>
      <c r="G248" s="599"/>
      <c r="H248" s="599"/>
      <c r="I248" s="599"/>
      <c r="J248" s="604"/>
      <c r="K248" s="604"/>
      <c r="L248" s="607"/>
      <c r="M248" s="559"/>
      <c r="N248" s="610"/>
      <c r="O248" s="613"/>
      <c r="P248" s="192"/>
      <c r="Q248" s="176" t="s">
        <v>205</v>
      </c>
      <c r="R248" s="233" t="s">
        <v>204</v>
      </c>
      <c r="S248" s="234"/>
      <c r="T248" s="235">
        <f>IFERROR(($R$353-8000)*T247,"")</f>
        <v>0</v>
      </c>
      <c r="U248" s="206"/>
      <c r="V248" s="220"/>
      <c r="W248" s="221" t="s">
        <v>258</v>
      </c>
      <c r="X248" s="222" t="s">
        <v>204</v>
      </c>
      <c r="Y248" s="236"/>
      <c r="Z248" s="237"/>
      <c r="AA248" s="225"/>
      <c r="AB248" s="226"/>
      <c r="AC248" s="206"/>
      <c r="AD248" s="206"/>
      <c r="AE248" s="206"/>
      <c r="AF248" s="227"/>
      <c r="AG248" s="206"/>
      <c r="AH248" s="206"/>
      <c r="AI248" s="206"/>
      <c r="AJ248" s="206"/>
      <c r="AK248" s="227"/>
      <c r="AL248" s="238"/>
      <c r="AM248" s="206"/>
      <c r="AN248" s="206"/>
      <c r="AO248" s="228"/>
      <c r="AP248" s="229"/>
      <c r="AQ248" s="206"/>
      <c r="AR248" s="206"/>
      <c r="AS248" s="228"/>
      <c r="AT248" s="229"/>
      <c r="AU248" s="228"/>
      <c r="AV248" s="229"/>
      <c r="AW248" s="228"/>
      <c r="AX248" s="229"/>
      <c r="AY248" s="206"/>
      <c r="AZ248" s="229"/>
      <c r="BA248" s="210"/>
      <c r="BB248" s="175" t="s">
        <v>26</v>
      </c>
      <c r="BC248" s="211" t="s">
        <v>115</v>
      </c>
      <c r="BD248" s="210"/>
      <c r="BE248" s="177" t="str">
        <f>IFERROR(VLOOKUP(D246,'BD M.O'!C:H,4,FALSE),"")</f>
        <v/>
      </c>
      <c r="BF248" s="177" t="s">
        <v>259</v>
      </c>
      <c r="BI248" s="210"/>
      <c r="BO248" s="210"/>
      <c r="BV248" s="184"/>
      <c r="BW248" s="210"/>
      <c r="CD248" s="184"/>
      <c r="CF248" s="185"/>
      <c r="CI248" s="184"/>
      <c r="CJ248" s="210"/>
      <c r="CK248" s="563"/>
      <c r="CM248" s="559"/>
      <c r="CN248" s="627"/>
      <c r="CO248" s="630"/>
      <c r="CP248" s="630"/>
      <c r="CQ248" s="630"/>
      <c r="CR248" s="630"/>
      <c r="CS248" s="630"/>
      <c r="CT248" s="633"/>
      <c r="CU248" s="563"/>
      <c r="CV248" s="561"/>
      <c r="CW248" s="563"/>
      <c r="CX248" s="561"/>
      <c r="CY248" s="563"/>
      <c r="CZ248" s="561"/>
      <c r="DA248" s="563"/>
      <c r="DB248" s="561"/>
      <c r="DC248" s="563"/>
      <c r="DD248" s="561"/>
      <c r="DG248" s="577"/>
      <c r="DH248" s="577"/>
      <c r="DI248" s="571"/>
      <c r="DJ248" s="571"/>
      <c r="DK248" s="571"/>
      <c r="DL248" s="571"/>
      <c r="DM248" s="574"/>
      <c r="DN248" s="571"/>
      <c r="DO248" s="571"/>
      <c r="DP248" s="571"/>
      <c r="DQ248" s="571"/>
      <c r="DR248" s="571"/>
      <c r="DS248" s="571"/>
      <c r="DT248" s="571"/>
      <c r="DU248" s="571"/>
      <c r="DV248" s="577"/>
      <c r="DW248" s="577"/>
      <c r="DX248" s="571"/>
      <c r="DY248" s="571"/>
    </row>
    <row r="249" spans="1:194" s="175" customFormat="1" ht="60" customHeight="1" x14ac:dyDescent="0.25">
      <c r="A249" s="366"/>
      <c r="B249" s="367"/>
      <c r="C249" s="395" t="s">
        <v>180</v>
      </c>
      <c r="D249" s="599" t="s">
        <v>31</v>
      </c>
      <c r="E249" s="599"/>
      <c r="F249" s="394" t="s">
        <v>9</v>
      </c>
      <c r="G249" s="599" t="s">
        <v>33</v>
      </c>
      <c r="H249" s="599"/>
      <c r="I249" s="394" t="str">
        <f>+IF($BG$9="SI","","X")</f>
        <v>X</v>
      </c>
      <c r="J249" s="604"/>
      <c r="K249" s="604"/>
      <c r="L249" s="607"/>
      <c r="M249" s="559"/>
      <c r="N249" s="610"/>
      <c r="O249" s="613"/>
      <c r="P249" s="192"/>
      <c r="Q249" s="239"/>
      <c r="R249" s="221" t="s">
        <v>209</v>
      </c>
      <c r="S249" s="234" t="str">
        <f>IF(S247="","",S247/(J246*K246))</f>
        <v/>
      </c>
      <c r="T249" s="226"/>
      <c r="U249" s="206"/>
      <c r="V249" s="220"/>
      <c r="W249" s="239" t="str">
        <f>IFERROR(IF(X248="SI",VLOOKUP(D246,'BD M.O'!C:F,4,FALSE),""),"")</f>
        <v/>
      </c>
      <c r="X249" s="221" t="s">
        <v>258</v>
      </c>
      <c r="Y249" s="221" t="s">
        <v>507</v>
      </c>
      <c r="Z249" s="221" t="s">
        <v>508</v>
      </c>
      <c r="AA249" s="225"/>
      <c r="AB249" s="226"/>
      <c r="AC249" s="206"/>
      <c r="AD249" s="206"/>
      <c r="AE249" s="206"/>
      <c r="AF249" s="227"/>
      <c r="AG249" s="206"/>
      <c r="AH249" s="206"/>
      <c r="AI249" s="206"/>
      <c r="AJ249" s="206"/>
      <c r="AK249" s="227"/>
      <c r="AL249" s="240"/>
      <c r="AM249" s="206"/>
      <c r="AN249" s="206"/>
      <c r="AO249" s="228"/>
      <c r="AP249" s="229"/>
      <c r="AQ249" s="206"/>
      <c r="AR249" s="206"/>
      <c r="AS249" s="228"/>
      <c r="AT249" s="229"/>
      <c r="AU249" s="228"/>
      <c r="AV249" s="229"/>
      <c r="AW249" s="228"/>
      <c r="AX249" s="229"/>
      <c r="AY249" s="206"/>
      <c r="AZ249" s="229"/>
      <c r="BA249" s="210"/>
      <c r="BC249" s="175" t="s">
        <v>116</v>
      </c>
      <c r="BD249" s="210"/>
      <c r="BE249" s="177" t="str">
        <f>IFERROR(VLOOKUP(COTIZACIÓN!D246,'BD M.O'!C:I,5,FALSE),"")</f>
        <v/>
      </c>
      <c r="BF249" s="177" t="s">
        <v>260</v>
      </c>
      <c r="BI249" s="210"/>
      <c r="BO249" s="210"/>
      <c r="BP249" s="183"/>
      <c r="BQ249" s="183"/>
      <c r="BR249" s="183"/>
      <c r="BS249" s="183"/>
      <c r="BT249" s="183"/>
      <c r="BU249" s="183"/>
      <c r="BV249" s="182"/>
      <c r="BW249" s="210"/>
      <c r="BX249" s="183"/>
      <c r="BY249" s="183"/>
      <c r="BZ249" s="183"/>
      <c r="CA249" s="183"/>
      <c r="CB249" s="183"/>
      <c r="CC249" s="183"/>
      <c r="CD249" s="182"/>
      <c r="CE249" s="183"/>
      <c r="CF249" s="241"/>
      <c r="CG249" s="183"/>
      <c r="CH249" s="183"/>
      <c r="CI249" s="182"/>
      <c r="CJ249" s="210"/>
      <c r="CK249" s="563"/>
      <c r="CM249" s="559"/>
      <c r="CN249" s="627"/>
      <c r="CO249" s="630"/>
      <c r="CP249" s="630"/>
      <c r="CQ249" s="630"/>
      <c r="CR249" s="630"/>
      <c r="CS249" s="630"/>
      <c r="CT249" s="633"/>
      <c r="CU249" s="563"/>
      <c r="CV249" s="561"/>
      <c r="CW249" s="563"/>
      <c r="CX249" s="561"/>
      <c r="CY249" s="563"/>
      <c r="CZ249" s="561"/>
      <c r="DA249" s="563"/>
      <c r="DB249" s="561"/>
      <c r="DC249" s="563"/>
      <c r="DD249" s="561"/>
      <c r="DG249" s="575"/>
      <c r="DH249" s="575"/>
      <c r="DI249" s="569">
        <f t="shared" ref="DI249" si="952">IFERROR(IF(DG249&gt;0,(((N246)/(1+10%+19%*5%)+((N246)/(1+10%+19%*5%))*10%)*DH249),0),0)</f>
        <v>0</v>
      </c>
      <c r="DJ249" s="569">
        <f t="shared" ref="DJ249" si="953">IFERROR(IF(DG249&gt;0,(N246*DH249),0),0)</f>
        <v>0</v>
      </c>
      <c r="DK249" s="569">
        <f t="shared" ref="DK249" si="954">IF(DG249&gt;0,((R246+T246)*DH249),0)</f>
        <v>0</v>
      </c>
      <c r="DL249" s="569">
        <f t="shared" ref="DL249" si="955">IF(DG249&gt;0,(Q246*DH249),0)</f>
        <v>0</v>
      </c>
      <c r="DM249" s="572">
        <f t="shared" ref="DM249" si="956">IF(DG249&gt;0,(S246*DH249),0)</f>
        <v>0</v>
      </c>
      <c r="DN249" s="569">
        <f t="shared" ref="DN249" si="957">IF(DG249&gt;0,(BN246*DH249),0)</f>
        <v>0</v>
      </c>
      <c r="DO249" s="569">
        <f t="shared" ref="DO249" si="958">IF(DG249&gt;0,(AF246*DH249),0)</f>
        <v>0</v>
      </c>
      <c r="DP249" s="569">
        <f>IF(DG249&gt;0,((DI249)*('BD P&amp;G'!$E$16+'BD P&amp;G'!$E$17+'BD P&amp;G'!$E$18+'BD P&amp;G'!$E$19+'BD P&amp;G'!$E$20+'BD P&amp;G'!$E$21+'BD P&amp;G'!$E$22+'BD P&amp;G'!$E$23)*DH249),0)</f>
        <v>0</v>
      </c>
      <c r="DQ249" s="569">
        <f>IFERROR(IF(DG249&gt;0,((DI249*'BD P&amp;G'!$E$7)+(DI249*'BD P&amp;G'!$E$9)+AI246),0),0)</f>
        <v>0</v>
      </c>
      <c r="DR249" s="569">
        <f t="shared" ref="DR249" si="959">IFERROR(IF(DG249&gt;0,((DI249*1%)),0),0)</f>
        <v>0</v>
      </c>
      <c r="DS249" s="569">
        <f>IFERROR(IF(DG249&gt;0,(((DI249*'BD P&amp;G'!$E$32+DI249*'BD P&amp;G'!$E$33+DI249*'BD P&amp;G'!$E$35+DI249*'BD P&amp;G'!$E$36+DI249*'BD P&amp;G'!$E$37))),0),0)</f>
        <v>0</v>
      </c>
      <c r="DT249" s="569">
        <f t="shared" ref="DT249" si="960">IF(DG249&gt;0,(Y246*DH249),0)</f>
        <v>0</v>
      </c>
      <c r="DU249" s="569">
        <f t="shared" ref="DU249" si="961">IF(DG249&gt;0,(Z246*DH249),0)</f>
        <v>0</v>
      </c>
      <c r="DV249" s="575">
        <f t="shared" ref="DV249" si="962">IF(DG249&gt;0,(Y250*DH249),0)</f>
        <v>0</v>
      </c>
      <c r="DW249" s="575">
        <f t="shared" ref="DW249" si="963">IF(DG249&gt;0,(Z250*DH249),0)</f>
        <v>0</v>
      </c>
      <c r="DX249" s="569">
        <f t="shared" ref="DX249" si="964">IF(DV249&gt;0,DJ249,0)</f>
        <v>0</v>
      </c>
      <c r="DY249" s="569">
        <f t="shared" ref="DY249" si="965">IF(DW249&gt;0,DJ249,0)</f>
        <v>0</v>
      </c>
    </row>
    <row r="250" spans="1:194" s="175" customFormat="1" ht="60" customHeight="1" x14ac:dyDescent="0.3">
      <c r="A250" s="366"/>
      <c r="B250" s="367"/>
      <c r="C250" s="393" t="s">
        <v>35</v>
      </c>
      <c r="D250" s="599" t="str">
        <f>IFERROR(VLOOKUP(D246,'BD GN'!C:E,3,),"")</f>
        <v/>
      </c>
      <c r="E250" s="599"/>
      <c r="F250" s="599"/>
      <c r="G250" s="599"/>
      <c r="H250" s="599"/>
      <c r="I250" s="599"/>
      <c r="J250" s="604"/>
      <c r="K250" s="604"/>
      <c r="L250" s="607"/>
      <c r="M250" s="559"/>
      <c r="N250" s="610"/>
      <c r="O250" s="613"/>
      <c r="P250" s="192"/>
      <c r="Q250" s="239"/>
      <c r="R250" s="221" t="s">
        <v>210</v>
      </c>
      <c r="S250" s="234" t="str">
        <f>IFERROR(IF(N246="","",N246/W250),"")</f>
        <v/>
      </c>
      <c r="T250" s="226"/>
      <c r="U250" s="206"/>
      <c r="V250" s="220"/>
      <c r="W250" s="242" t="str">
        <f>+IF(J246*K246&gt;=1,J246*K246,IF(AND(J246*K246&gt;0,J246*K246&lt;1),1,""))</f>
        <v/>
      </c>
      <c r="X250" s="221" t="s">
        <v>298</v>
      </c>
      <c r="Y250" s="461">
        <f>IFERROR(IF(D246='BD GN'!$C$25,COTIZACIÓN!W250,IF(D246='BD GN'!$C$26,COTIZACIÓN!W250,IF(D246='BD GN'!$C$27,COTIZACIÓN!W250,IF(COTIZACIÓN!D246='BD GN'!$C$28,COTIZACIÓN!W250,IF(COTIZACIÓN!D246='BD GN'!$C$29,COTIZACIÓN!W250,IF(COTIZACIÓN!D246='BD GN'!$C$35,COTIZACIÓN!W250,IF(COTIZACIÓN!D246='BD GN'!$C$36,COTIZACIÓN!W250,IF(COTIZACIÓN!D246='BD GN'!$C$37,COTIZACIÓN!W250,IF(COTIZACIÓN!D246='BD GN'!$C$38,COTIZACIÓN!W250,IF(COTIZACIÓN!D246='BD GN'!$C$39,COTIZACIÓN!W250,IF(COTIZACIÓN!D246='BD GN'!$C$40,COTIZACIÓN!W250,IF(COTIZACIÓN!D246='BD GN'!$C$41,COTIZACIÓN!W250,IF(COTIZACIÓN!D246='BD GN'!$C$42,COTIZACIÓN!W250,IF(COTIZACIÓN!D246='BD GN'!$C$49,COTIZACIÓN!W250,IF(COTIZACIÓN!D246='BD GN'!$C$50,COTIZACIÓN!W250,IF(COTIZACIÓN!D246='BD GN'!$C$51,COTIZACIÓN!W250,IF(COTIZACIÓN!D246='BD GN'!$C$67,COTIZACIÓN!W250,0))))))))))))))))),0)</f>
        <v>0</v>
      </c>
      <c r="Z250" s="461">
        <f>IFERROR(W250-Y250,0)</f>
        <v>0</v>
      </c>
      <c r="AA250" s="225"/>
      <c r="AB250" s="226"/>
      <c r="AC250" s="206"/>
      <c r="AD250" s="206"/>
      <c r="AE250" s="206"/>
      <c r="AF250" s="227"/>
      <c r="AG250" s="206"/>
      <c r="AH250" s="206"/>
      <c r="AI250" s="206"/>
      <c r="AJ250" s="206"/>
      <c r="AK250" s="227"/>
      <c r="AL250" s="210"/>
      <c r="AM250" s="206"/>
      <c r="AN250" s="206"/>
      <c r="AO250" s="228"/>
      <c r="AP250" s="229"/>
      <c r="AQ250" s="206"/>
      <c r="AR250" s="206"/>
      <c r="AS250" s="228"/>
      <c r="AT250" s="229"/>
      <c r="AU250" s="228"/>
      <c r="AV250" s="229"/>
      <c r="AW250" s="228"/>
      <c r="AX250" s="229"/>
      <c r="AY250" s="206"/>
      <c r="AZ250" s="229"/>
      <c r="BA250" s="210"/>
      <c r="BC250" s="211" t="s">
        <v>117</v>
      </c>
      <c r="BD250" s="210"/>
      <c r="BE250" s="177" t="str">
        <f>IFERROR(VLOOKUP(D246,'BD M.O'!C:I,6,FALSE),"")</f>
        <v/>
      </c>
      <c r="BF250" s="177" t="s">
        <v>261</v>
      </c>
      <c r="BI250" s="210"/>
      <c r="BO250" s="210"/>
      <c r="BP250" s="183"/>
      <c r="BQ250" s="183"/>
      <c r="BR250" s="183"/>
      <c r="BW250" s="210"/>
      <c r="CD250" s="184"/>
      <c r="CF250" s="185"/>
      <c r="CI250" s="184"/>
      <c r="CJ250" s="210"/>
      <c r="CK250" s="563"/>
      <c r="CM250" s="559"/>
      <c r="CN250" s="627"/>
      <c r="CO250" s="630"/>
      <c r="CP250" s="630"/>
      <c r="CQ250" s="630"/>
      <c r="CR250" s="630"/>
      <c r="CS250" s="630"/>
      <c r="CT250" s="633"/>
      <c r="CU250" s="563"/>
      <c r="CV250" s="561"/>
      <c r="CW250" s="563"/>
      <c r="CX250" s="561"/>
      <c r="CY250" s="563"/>
      <c r="CZ250" s="561"/>
      <c r="DA250" s="563"/>
      <c r="DB250" s="561"/>
      <c r="DC250" s="563"/>
      <c r="DD250" s="561"/>
      <c r="DG250" s="576"/>
      <c r="DH250" s="576"/>
      <c r="DI250" s="570"/>
      <c r="DJ250" s="570"/>
      <c r="DK250" s="570"/>
      <c r="DL250" s="570"/>
      <c r="DM250" s="573"/>
      <c r="DN250" s="570"/>
      <c r="DO250" s="570"/>
      <c r="DP250" s="570"/>
      <c r="DQ250" s="570"/>
      <c r="DR250" s="570"/>
      <c r="DS250" s="570"/>
      <c r="DT250" s="570"/>
      <c r="DU250" s="570"/>
      <c r="DV250" s="576"/>
      <c r="DW250" s="576"/>
      <c r="DX250" s="570"/>
      <c r="DY250" s="570"/>
    </row>
    <row r="251" spans="1:194" s="252" customFormat="1" ht="60" customHeight="1" x14ac:dyDescent="0.25">
      <c r="A251" s="368"/>
      <c r="B251" s="369"/>
      <c r="C251" s="396" t="s">
        <v>10</v>
      </c>
      <c r="D251" s="645" t="s">
        <v>32</v>
      </c>
      <c r="E251" s="645"/>
      <c r="F251" s="645"/>
      <c r="G251" s="645"/>
      <c r="H251" s="645"/>
      <c r="I251" s="645"/>
      <c r="J251" s="643"/>
      <c r="K251" s="643"/>
      <c r="L251" s="646"/>
      <c r="M251" s="648"/>
      <c r="N251" s="649"/>
      <c r="O251" s="644"/>
      <c r="P251" s="192"/>
      <c r="Q251" s="239"/>
      <c r="R251" s="334" t="s">
        <v>475</v>
      </c>
      <c r="S251" s="234" t="str">
        <f>IFERROR(IF($C$12='BD GN'!$CC$1,VLOOKUP(COTIZACIÓN!D246,'BD GN'!CB:CG,2,FALSE),IF(COTIZACIÓN!$C$12='BD GN'!$CD$1,VLOOKUP(COTIZACIÓN!D246,'BD GN'!CB:CG,3,FALSE),IF($C$12='BD GN'!$CE$1,VLOOKUP(COTIZACIÓN!D246,'BD GN'!CB:CG,4,FALSE),IF(COTIZACIÓN!$C$12='BD GN'!$CF$1,VLOOKUP(COTIZACIÓN!D246,'BD GN'!CB:CG,5,FALSE),IF(COTIZACIÓN!$C$12='BD GN'!$CG$1,VLOOKUP(COTIZACIÓN!D246,'BD GN'!CB:CG,6,FALSE),""))))),"-")</f>
        <v/>
      </c>
      <c r="T251" s="243"/>
      <c r="U251" s="244"/>
      <c r="V251" s="245"/>
      <c r="W251" s="177" t="s">
        <v>394</v>
      </c>
      <c r="X251" s="246">
        <f>IFERROR(SUM(W246:X246),"")</f>
        <v>0</v>
      </c>
      <c r="Y251" s="166" t="s">
        <v>404</v>
      </c>
      <c r="Z251" s="199" t="str">
        <f>IFERROR(Y246+Z246,"")</f>
        <v/>
      </c>
      <c r="AA251" s="247"/>
      <c r="AB251" s="243"/>
      <c r="AC251" s="244"/>
      <c r="AD251" s="244"/>
      <c r="AE251" s="244"/>
      <c r="AF251" s="227"/>
      <c r="AG251" s="206"/>
      <c r="AH251" s="206"/>
      <c r="AI251" s="206"/>
      <c r="AJ251" s="206"/>
      <c r="AK251" s="227"/>
      <c r="AL251" s="227"/>
      <c r="AM251" s="248"/>
      <c r="AN251" s="248"/>
      <c r="AO251" s="249"/>
      <c r="AP251" s="250"/>
      <c r="AQ251" s="248"/>
      <c r="AR251" s="248"/>
      <c r="AS251" s="249"/>
      <c r="AT251" s="250"/>
      <c r="AU251" s="249"/>
      <c r="AV251" s="250"/>
      <c r="AW251" s="249"/>
      <c r="AX251" s="250"/>
      <c r="AY251" s="248"/>
      <c r="AZ251" s="250"/>
      <c r="BA251" s="210"/>
      <c r="BB251" s="175"/>
      <c r="BC251" s="175" t="s">
        <v>118</v>
      </c>
      <c r="BD251" s="210"/>
      <c r="BE251" s="251" t="str">
        <f>IFERROR(VLOOKUP(D246,'BD M.O'!C:I,7,FALSE),"")</f>
        <v/>
      </c>
      <c r="BF251" s="251" t="s">
        <v>262</v>
      </c>
      <c r="BG251" s="175"/>
      <c r="BH251" s="175"/>
      <c r="BI251" s="210"/>
      <c r="BJ251" s="175"/>
      <c r="BK251" s="175"/>
      <c r="BL251" s="175"/>
      <c r="BM251" s="175"/>
      <c r="BN251" s="175"/>
      <c r="BO251" s="210"/>
      <c r="BP251" s="175"/>
      <c r="BQ251" s="175"/>
      <c r="BR251" s="175"/>
      <c r="BS251" s="183"/>
      <c r="BT251" s="183"/>
      <c r="BU251" s="183"/>
      <c r="BV251" s="183"/>
      <c r="BW251" s="210"/>
      <c r="BX251" s="175"/>
      <c r="BY251" s="175"/>
      <c r="BZ251" s="175"/>
      <c r="CA251" s="175"/>
      <c r="CB251" s="175"/>
      <c r="CC251" s="175"/>
      <c r="CD251" s="184"/>
      <c r="CE251" s="175"/>
      <c r="CF251" s="185"/>
      <c r="CG251" s="175"/>
      <c r="CH251" s="175"/>
      <c r="CI251" s="184"/>
      <c r="CJ251" s="210"/>
      <c r="CK251" s="564"/>
      <c r="CL251" s="257"/>
      <c r="CM251" s="597"/>
      <c r="CN251" s="628"/>
      <c r="CO251" s="631"/>
      <c r="CP251" s="631"/>
      <c r="CQ251" s="631"/>
      <c r="CR251" s="631"/>
      <c r="CS251" s="631"/>
      <c r="CT251" s="634"/>
      <c r="CU251" s="564"/>
      <c r="CV251" s="562"/>
      <c r="CW251" s="564"/>
      <c r="CX251" s="562"/>
      <c r="CY251" s="564"/>
      <c r="CZ251" s="562"/>
      <c r="DA251" s="564"/>
      <c r="DB251" s="562"/>
      <c r="DC251" s="564"/>
      <c r="DD251" s="562"/>
      <c r="DE251" s="175"/>
      <c r="DF251" s="175"/>
      <c r="DG251" s="577"/>
      <c r="DH251" s="577"/>
      <c r="DI251" s="571"/>
      <c r="DJ251" s="571"/>
      <c r="DK251" s="571"/>
      <c r="DL251" s="571"/>
      <c r="DM251" s="574"/>
      <c r="DN251" s="571"/>
      <c r="DO251" s="571"/>
      <c r="DP251" s="571"/>
      <c r="DQ251" s="571"/>
      <c r="DR251" s="571"/>
      <c r="DS251" s="571"/>
      <c r="DT251" s="571"/>
      <c r="DU251" s="571"/>
      <c r="DV251" s="577"/>
      <c r="DW251" s="577"/>
      <c r="DX251" s="571"/>
      <c r="DY251" s="571"/>
      <c r="DZ251" s="175"/>
      <c r="EA251" s="175"/>
      <c r="EB251" s="175"/>
      <c r="EC251" s="175"/>
      <c r="ED251" s="175"/>
      <c r="EE251" s="175"/>
      <c r="EF251" s="175"/>
      <c r="EG251" s="175"/>
      <c r="EH251" s="175"/>
      <c r="EI251" s="175"/>
      <c r="EJ251" s="175"/>
      <c r="EK251" s="175"/>
      <c r="EL251" s="175"/>
      <c r="EM251" s="175"/>
      <c r="EN251" s="175"/>
      <c r="EO251" s="175"/>
      <c r="EP251" s="175"/>
      <c r="EQ251" s="175"/>
      <c r="ER251" s="175"/>
      <c r="ES251" s="175"/>
      <c r="ET251" s="175"/>
      <c r="EU251" s="175"/>
      <c r="EV251" s="175"/>
      <c r="EW251" s="175"/>
      <c r="EX251" s="175"/>
      <c r="EY251" s="175"/>
      <c r="EZ251" s="175"/>
      <c r="FA251" s="175"/>
      <c r="FB251" s="175"/>
      <c r="FC251" s="175"/>
      <c r="FD251" s="175"/>
      <c r="FE251" s="175"/>
      <c r="FF251" s="175"/>
      <c r="FG251" s="175"/>
      <c r="FH251" s="175"/>
      <c r="FI251" s="175"/>
      <c r="FJ251" s="175"/>
      <c r="FK251" s="175"/>
      <c r="FL251" s="175"/>
      <c r="FM251" s="175"/>
      <c r="FN251" s="175"/>
      <c r="FO251" s="175"/>
      <c r="FP251" s="175"/>
      <c r="FQ251" s="175"/>
      <c r="FR251" s="175"/>
      <c r="FS251" s="175"/>
      <c r="FT251" s="175"/>
      <c r="FU251" s="175"/>
      <c r="FV251" s="175"/>
      <c r="FW251" s="175"/>
      <c r="FX251" s="175"/>
      <c r="FY251" s="175"/>
      <c r="FZ251" s="175"/>
      <c r="GA251" s="175"/>
      <c r="GB251" s="175"/>
      <c r="GC251" s="175"/>
      <c r="GD251" s="175"/>
      <c r="GE251" s="175"/>
      <c r="GF251" s="175"/>
      <c r="GG251" s="175"/>
      <c r="GH251" s="175"/>
      <c r="GI251" s="175"/>
      <c r="GJ251" s="175"/>
      <c r="GK251" s="175"/>
      <c r="GL251" s="175"/>
    </row>
    <row r="252" spans="1:194" s="255" customFormat="1" ht="60" customHeight="1" x14ac:dyDescent="0.3">
      <c r="A252" s="362" t="s">
        <v>193</v>
      </c>
      <c r="B252" s="363" t="s">
        <v>25</v>
      </c>
      <c r="C252" s="391" t="s">
        <v>174</v>
      </c>
      <c r="D252" s="640" t="s">
        <v>173</v>
      </c>
      <c r="E252" s="640"/>
      <c r="F252" s="640"/>
      <c r="G252" s="640"/>
      <c r="H252" s="640"/>
      <c r="I252" s="640"/>
      <c r="J252" s="418" t="s">
        <v>443</v>
      </c>
      <c r="K252" s="418" t="s">
        <v>444</v>
      </c>
      <c r="L252" s="418" t="s">
        <v>171</v>
      </c>
      <c r="M252" s="363" t="s">
        <v>2</v>
      </c>
      <c r="N252" s="419" t="s">
        <v>7</v>
      </c>
      <c r="O252" s="420" t="s">
        <v>8</v>
      </c>
      <c r="P252" s="159"/>
      <c r="Q252" s="164" t="s">
        <v>93</v>
      </c>
      <c r="R252" s="164" t="s">
        <v>34</v>
      </c>
      <c r="S252" s="164" t="s">
        <v>28</v>
      </c>
      <c r="T252" s="164" t="s">
        <v>95</v>
      </c>
      <c r="U252" s="164" t="s">
        <v>96</v>
      </c>
      <c r="V252" s="164" t="s">
        <v>97</v>
      </c>
      <c r="W252" s="164" t="s">
        <v>4</v>
      </c>
      <c r="X252" s="164" t="s">
        <v>103</v>
      </c>
      <c r="Y252" s="160" t="s">
        <v>402</v>
      </c>
      <c r="Z252" s="165" t="s">
        <v>403</v>
      </c>
      <c r="AA252" s="166" t="s">
        <v>404</v>
      </c>
      <c r="AB252" s="164" t="s">
        <v>99</v>
      </c>
      <c r="AC252" s="164" t="s">
        <v>395</v>
      </c>
      <c r="AD252" s="253" t="s">
        <v>36</v>
      </c>
      <c r="AE252" s="164" t="s">
        <v>389</v>
      </c>
      <c r="AF252" s="164" t="s">
        <v>390</v>
      </c>
      <c r="AG252" s="164" t="s">
        <v>164</v>
      </c>
      <c r="AH252" s="253" t="s">
        <v>396</v>
      </c>
      <c r="AI252" s="164" t="s">
        <v>190</v>
      </c>
      <c r="AJ252" s="164" t="s">
        <v>339</v>
      </c>
      <c r="AK252" s="253" t="s">
        <v>391</v>
      </c>
      <c r="AL252" s="253" t="s">
        <v>393</v>
      </c>
      <c r="AM252" s="167" t="s">
        <v>93</v>
      </c>
      <c r="AN252" s="168" t="s">
        <v>34</v>
      </c>
      <c r="AO252" s="169" t="s">
        <v>28</v>
      </c>
      <c r="AP252" s="170" t="s">
        <v>95</v>
      </c>
      <c r="AQ252" s="167" t="s">
        <v>3</v>
      </c>
      <c r="AR252" s="167" t="s">
        <v>96</v>
      </c>
      <c r="AS252" s="169" t="s">
        <v>97</v>
      </c>
      <c r="AT252" s="170" t="s">
        <v>4</v>
      </c>
      <c r="AU252" s="169" t="s">
        <v>103</v>
      </c>
      <c r="AV252" s="170" t="s">
        <v>99</v>
      </c>
      <c r="AW252" s="169" t="s">
        <v>36</v>
      </c>
      <c r="AX252" s="171" t="s">
        <v>29</v>
      </c>
      <c r="AY252" s="172" t="s">
        <v>190</v>
      </c>
      <c r="AZ252" s="173" t="s">
        <v>102</v>
      </c>
      <c r="BA252" s="174"/>
      <c r="BB252" s="183"/>
      <c r="BC252" s="211" t="s">
        <v>119</v>
      </c>
      <c r="BD252" s="174"/>
      <c r="BE252" s="176" t="s">
        <v>189</v>
      </c>
      <c r="BF252" s="177" t="str">
        <f>$BF$13</f>
        <v xml:space="preserve">VR SILICONA </v>
      </c>
      <c r="BG252" s="177" t="str">
        <f>$BG$13</f>
        <v xml:space="preserve">VR PELÍCULA </v>
      </c>
      <c r="BH252" s="254" t="str">
        <f>$BH$13</f>
        <v>VR EMBALAJE</v>
      </c>
      <c r="BI252" s="174"/>
      <c r="BJ252" s="176" t="str">
        <f>$BJ$13</f>
        <v>ESP. CRISTAL</v>
      </c>
      <c r="BK252" s="176" t="s">
        <v>130</v>
      </c>
      <c r="BL252" s="177" t="s">
        <v>28</v>
      </c>
      <c r="BM252" s="177" t="str">
        <f>BM245</f>
        <v>TOTAL</v>
      </c>
      <c r="BN252" s="177" t="s">
        <v>133</v>
      </c>
      <c r="BO252" s="174"/>
      <c r="BP252" s="175"/>
      <c r="BQ252" s="175"/>
      <c r="BR252" s="175"/>
      <c r="BS252" s="175"/>
      <c r="BT252" s="175"/>
      <c r="BU252" s="175"/>
      <c r="BV252" s="175"/>
      <c r="BW252" s="174"/>
      <c r="BX252" s="175"/>
      <c r="BY252" s="175"/>
      <c r="BZ252" s="175"/>
      <c r="CA252" s="175"/>
      <c r="CB252" s="175"/>
      <c r="CC252" s="175"/>
      <c r="CD252" s="184"/>
      <c r="CE252" s="175"/>
      <c r="CF252" s="185"/>
      <c r="CG252" s="175"/>
      <c r="CH252" s="175"/>
      <c r="CI252" s="184"/>
      <c r="CJ252" s="174"/>
      <c r="CK252" s="186" t="s">
        <v>415</v>
      </c>
      <c r="CL252" s="187" t="s">
        <v>417</v>
      </c>
      <c r="CM252" s="187" t="s">
        <v>416</v>
      </c>
      <c r="CN252" s="188" t="s">
        <v>418</v>
      </c>
      <c r="CO252" s="187" t="s">
        <v>417</v>
      </c>
      <c r="CP252" s="187" t="s">
        <v>409</v>
      </c>
      <c r="CQ252" s="187" t="s">
        <v>410</v>
      </c>
      <c r="CR252" s="187" t="s">
        <v>411</v>
      </c>
      <c r="CS252" s="187" t="s">
        <v>412</v>
      </c>
      <c r="CT252" s="187" t="s">
        <v>413</v>
      </c>
      <c r="CU252" s="189" t="s">
        <v>2</v>
      </c>
      <c r="CV252" s="190" t="s">
        <v>159</v>
      </c>
      <c r="CW252" s="189" t="s">
        <v>2</v>
      </c>
      <c r="CX252" s="190" t="s">
        <v>159</v>
      </c>
      <c r="CY252" s="189" t="s">
        <v>2</v>
      </c>
      <c r="CZ252" s="190" t="s">
        <v>159</v>
      </c>
      <c r="DA252" s="189" t="s">
        <v>2</v>
      </c>
      <c r="DB252" s="190" t="s">
        <v>159</v>
      </c>
      <c r="DC252" s="189" t="s">
        <v>2</v>
      </c>
      <c r="DD252" s="190" t="s">
        <v>159</v>
      </c>
      <c r="DE252" s="183"/>
      <c r="DF252" s="183"/>
      <c r="DG252" s="177" t="s">
        <v>505</v>
      </c>
      <c r="DH252" s="472" t="s">
        <v>509</v>
      </c>
      <c r="DI252" s="457" t="s">
        <v>506</v>
      </c>
      <c r="DJ252" s="457" t="s">
        <v>134</v>
      </c>
      <c r="DK252" s="457" t="s">
        <v>498</v>
      </c>
      <c r="DL252" s="457" t="s">
        <v>499</v>
      </c>
      <c r="DM252" s="457" t="s">
        <v>500</v>
      </c>
      <c r="DN252" s="457" t="s">
        <v>131</v>
      </c>
      <c r="DO252" s="457" t="s">
        <v>390</v>
      </c>
      <c r="DP252" s="457" t="s">
        <v>36</v>
      </c>
      <c r="DQ252" s="457" t="s">
        <v>501</v>
      </c>
      <c r="DR252" s="457" t="s">
        <v>502</v>
      </c>
      <c r="DS252" s="457" t="s">
        <v>503</v>
      </c>
      <c r="DT252" s="457" t="s">
        <v>4</v>
      </c>
      <c r="DU252" s="457" t="s">
        <v>504</v>
      </c>
      <c r="DV252" s="466" t="s">
        <v>507</v>
      </c>
      <c r="DW252" s="466" t="s">
        <v>508</v>
      </c>
      <c r="DX252" s="457" t="s">
        <v>510</v>
      </c>
      <c r="DY252" s="457" t="s">
        <v>511</v>
      </c>
      <c r="DZ252" s="183"/>
      <c r="EA252" s="183"/>
      <c r="EB252" s="183"/>
      <c r="EC252" s="183"/>
      <c r="ED252" s="183"/>
      <c r="EE252" s="183"/>
      <c r="EF252" s="183"/>
      <c r="EG252" s="183"/>
      <c r="EH252" s="183"/>
      <c r="EI252" s="183"/>
      <c r="EJ252" s="183"/>
      <c r="EK252" s="183"/>
      <c r="EL252" s="183"/>
      <c r="EM252" s="183"/>
      <c r="EN252" s="183"/>
      <c r="EO252" s="183"/>
      <c r="EP252" s="183"/>
      <c r="EQ252" s="183"/>
      <c r="ER252" s="183"/>
      <c r="ES252" s="183"/>
      <c r="ET252" s="183"/>
      <c r="EU252" s="183"/>
      <c r="EV252" s="183"/>
      <c r="EW252" s="183"/>
      <c r="EX252" s="183"/>
      <c r="EY252" s="183"/>
      <c r="EZ252" s="183"/>
      <c r="FA252" s="183"/>
      <c r="FB252" s="183"/>
      <c r="FC252" s="183"/>
      <c r="FD252" s="183"/>
      <c r="FE252" s="183"/>
      <c r="FF252" s="183"/>
      <c r="FG252" s="183"/>
      <c r="FH252" s="183"/>
      <c r="FI252" s="183"/>
      <c r="FJ252" s="183"/>
      <c r="FK252" s="183"/>
      <c r="FL252" s="183"/>
      <c r="FM252" s="183"/>
      <c r="FN252" s="183"/>
      <c r="FO252" s="183"/>
      <c r="FP252" s="183"/>
      <c r="FQ252" s="183"/>
      <c r="FR252" s="183"/>
      <c r="FS252" s="183"/>
      <c r="FT252" s="183"/>
      <c r="FU252" s="183"/>
      <c r="FV252" s="183"/>
      <c r="FW252" s="183"/>
      <c r="FX252" s="183"/>
      <c r="FY252" s="183"/>
      <c r="FZ252" s="183"/>
      <c r="GA252" s="183"/>
      <c r="GB252" s="183"/>
      <c r="GC252" s="183"/>
      <c r="GD252" s="183"/>
      <c r="GE252" s="183"/>
      <c r="GF252" s="183"/>
      <c r="GG252" s="183"/>
      <c r="GH252" s="183"/>
      <c r="GI252" s="183"/>
      <c r="GJ252" s="183"/>
      <c r="GK252" s="183"/>
      <c r="GL252" s="183"/>
    </row>
    <row r="253" spans="1:194" s="175" customFormat="1" ht="60" customHeight="1" x14ac:dyDescent="0.3">
      <c r="A253" s="364"/>
      <c r="B253" s="365"/>
      <c r="C253" s="392" t="s">
        <v>27</v>
      </c>
      <c r="D253" s="641"/>
      <c r="E253" s="641"/>
      <c r="F253" s="641"/>
      <c r="G253" s="641"/>
      <c r="H253" s="641"/>
      <c r="I253" s="641"/>
      <c r="J253" s="642"/>
      <c r="K253" s="642"/>
      <c r="L253" s="622">
        <f>J253*K253*M253</f>
        <v>0</v>
      </c>
      <c r="M253" s="623"/>
      <c r="N253" s="620">
        <f>IFERROR(AL253,"")</f>
        <v>1.0765546639999999</v>
      </c>
      <c r="O253" s="621">
        <f>IFERROR(N253*M253,"")</f>
        <v>0</v>
      </c>
      <c r="P253" s="192"/>
      <c r="Q253" s="193">
        <f>Q254+BF253+($R$350*Q254)</f>
        <v>0</v>
      </c>
      <c r="R253" s="193">
        <f>IFERROR(R254+($R$348*R254),"")</f>
        <v>0</v>
      </c>
      <c r="S253" s="194">
        <f>+IF(R255="SI",((W257*'BD GN'!$AB$2)+S254)*1,COTIZACIÓN!S254*1)+(P254*S254)</f>
        <v>0</v>
      </c>
      <c r="T253" s="195">
        <f>IFERROR(R253*IF(K253&lt;=3,$T$13,15%),"")</f>
        <v>0</v>
      </c>
      <c r="U253" s="196">
        <f>BH253+BG253</f>
        <v>0</v>
      </c>
      <c r="V253" s="197" t="str">
        <f>IFERROR(BN253,0)</f>
        <v/>
      </c>
      <c r="W253" s="198" t="str">
        <f>IFERROR(IF(X255="SI",W256*J253*K253,IF(BE253=3,BE255,IF(BE253=4,BE256,IF(BE253=5,BE257,IF(BE253&gt;5,BE257+(BE258*(BE253-5)),"")))))*0,"")</f>
        <v/>
      </c>
      <c r="X253" s="198" t="str">
        <f>IFERROR(IF(X254="NO",(VLOOKUP(D253,'BD M.O'!C:E,3,FALSE))*W257,((VLOOKUP(D253,'BD M.O'!C:E,3,FALSE))+7500)*W257),"")</f>
        <v/>
      </c>
      <c r="Y253" s="198">
        <f>IFERROR($Y$13*AK253,"")</f>
        <v>4.2084457416288003E-2</v>
      </c>
      <c r="Z253" s="332" t="str">
        <f>IFERROR(($Z$13*AK253)+X253,"")</f>
        <v/>
      </c>
      <c r="AA253" s="199" t="str">
        <f>IFERROR(Y253+Z253,"")</f>
        <v/>
      </c>
      <c r="AB253" s="200">
        <f>IFERROR((SUM(Q253:X253)-T253+T255)*$AB$13,"")</f>
        <v>0</v>
      </c>
      <c r="AC253" s="201">
        <f>IFERROR(((SUM(Q253:V253,IF(X258&gt;AA253,AVERAGE(X258,AA253),AA253))-T253+T255))*$AB$13,"")</f>
        <v>0</v>
      </c>
      <c r="AD253" s="202" t="str">
        <f>IFERROR((J253*K253*$BV$14),"")</f>
        <v/>
      </c>
      <c r="AE253" s="202">
        <f>IFERROR($AE$13*AK253,"")</f>
        <v>6.4010592649919984E-2</v>
      </c>
      <c r="AF253" s="203" t="str">
        <f>IFERROR(($CI$11+$CI$13)*W257,"")</f>
        <v/>
      </c>
      <c r="AG253" s="202">
        <f>IFERROR((SUM(Q253:X253,AB253,AD253,AF253)-T253+T255)*$AG$13,"")</f>
        <v>0</v>
      </c>
      <c r="AH253" s="202">
        <f>IFERROR((SUM(Q253:V253,(IF(X258&gt;AA253,AVERAGE(X258,AA253),AA253)),AC253,AE253,AF253)-T253+T255)*$AG$13,"")</f>
        <v>3.2005296324959992E-2</v>
      </c>
      <c r="AI253" s="204">
        <f>IFERROR(AL253*$AI$13,"")</f>
        <v>2.1531093279999997E-2</v>
      </c>
      <c r="AJ253" s="204">
        <f>IFERROR($AJ$13*AL253,"")</f>
        <v>6.007175025119999E-3</v>
      </c>
      <c r="AK253" s="205">
        <f>IFERROR(SUM(Q253:X253,AB253,AD253,AG253,AF253)/(1-$AI$13)+(1-$AJ$13)-T253+T255,"")</f>
        <v>0.99441999999999997</v>
      </c>
      <c r="AL253" s="205">
        <f>IFERROR(SUM(Q253:V253,AC253,(IF(AD253&gt;AE253,AVERAGE(AD253,AE253),AE253)),AF253,,AH253,(IF(SUM(X258)&gt;AA253,AVERAGE(AA253,X258),AA253)))/(1-$AJ$13)+(1-$AI$13)-T253+T255,"")</f>
        <v>1.0765546639999999</v>
      </c>
      <c r="AM253" s="206">
        <f>$M$15*Q253</f>
        <v>0</v>
      </c>
      <c r="AN253" s="207">
        <f>$M$15*R253</f>
        <v>0</v>
      </c>
      <c r="AO253" s="208">
        <f>$M$15*S253</f>
        <v>0</v>
      </c>
      <c r="AP253" s="207">
        <f>$M$15*T253</f>
        <v>0</v>
      </c>
      <c r="AQ253" s="207" t="e">
        <f>$M$15*#REF!</f>
        <v>#REF!</v>
      </c>
      <c r="AR253" s="207">
        <f>$M$15*U253</f>
        <v>0</v>
      </c>
      <c r="AS253" s="208" t="e">
        <f>$M$15*V253</f>
        <v>#VALUE!</v>
      </c>
      <c r="AT253" s="207" t="e">
        <f>$M$15*W253</f>
        <v>#VALUE!</v>
      </c>
      <c r="AU253" s="208" t="e">
        <f>$M$15*X253</f>
        <v>#VALUE!</v>
      </c>
      <c r="AV253" s="207">
        <f>$M$15*AB253</f>
        <v>0</v>
      </c>
      <c r="AW253" s="208">
        <f>$M$15*AE253</f>
        <v>0</v>
      </c>
      <c r="AX253" s="207">
        <f>$M$15*AG253</f>
        <v>0</v>
      </c>
      <c r="AY253" s="209">
        <f>$M$15*AI253</f>
        <v>0</v>
      </c>
      <c r="AZ253" s="207">
        <f>$M$15*AK253</f>
        <v>0</v>
      </c>
      <c r="BA253" s="210"/>
      <c r="BB253" s="175" t="s">
        <v>23</v>
      </c>
      <c r="BC253" s="211" t="s">
        <v>113</v>
      </c>
      <c r="BD253" s="210"/>
      <c r="BE253" s="212"/>
      <c r="BF253" s="213">
        <f>IF(BH254="NO",((2*J253)+(2*K253))*'BD GN'!$AU$3,((3*J253)+(2*K253))*'BD GN'!$AU$3)</f>
        <v>0</v>
      </c>
      <c r="BG253" s="213">
        <f>'BD GN'!$BB$3*J253*K253</f>
        <v>0</v>
      </c>
      <c r="BH253" s="214">
        <f>((J253*2*BE253)+(K253*2*BE253))*'BD GN'!$AN$4</f>
        <v>0</v>
      </c>
      <c r="BI253" s="210"/>
      <c r="BJ253" s="212"/>
      <c r="BK253" s="212"/>
      <c r="BL253" s="215">
        <f>J253*K253*2.5*BJ253</f>
        <v>0</v>
      </c>
      <c r="BM253" s="215">
        <f>BK253+BL253</f>
        <v>0</v>
      </c>
      <c r="BN253" s="216" t="str">
        <f>IFERROR((VLOOKUP($C$12,'BD GN'!BD:BM,10,FALSE)*BM253)+$BR$338,"")</f>
        <v/>
      </c>
      <c r="BO253" s="210"/>
      <c r="BW253" s="210"/>
      <c r="CD253" s="184"/>
      <c r="CF253" s="185"/>
      <c r="CI253" s="184"/>
      <c r="CJ253" s="210"/>
      <c r="CK253" s="565"/>
      <c r="CL253" s="256"/>
      <c r="CM253" s="596"/>
      <c r="CN253" s="626"/>
      <c r="CO253" s="629"/>
      <c r="CP253" s="629"/>
      <c r="CQ253" s="629"/>
      <c r="CR253" s="629"/>
      <c r="CS253" s="629"/>
      <c r="CT253" s="632"/>
      <c r="CU253" s="565"/>
      <c r="CV253" s="560">
        <f>IFERROR(N253*CU253,"")</f>
        <v>0</v>
      </c>
      <c r="CW253" s="565"/>
      <c r="CX253" s="560">
        <f>IFERROR(P253*CW253,"")</f>
        <v>0</v>
      </c>
      <c r="CY253" s="565"/>
      <c r="CZ253" s="560">
        <f>IFERROR(R253*CY253,"")</f>
        <v>0</v>
      </c>
      <c r="DA253" s="565">
        <f t="shared" ref="DA253" si="966">CU253+CW253+CY253</f>
        <v>0</v>
      </c>
      <c r="DB253" s="560">
        <f t="shared" ref="DB253" si="967">IFERROR(CV253+CX253+CZ253,"")</f>
        <v>0</v>
      </c>
      <c r="DC253" s="565">
        <f>M253-(CU253+CW253+CY253)</f>
        <v>0</v>
      </c>
      <c r="DD253" s="560">
        <f>IFERROR(O253-(CV253+CX253+CZ253),"")</f>
        <v>0</v>
      </c>
      <c r="DG253" s="575"/>
      <c r="DH253" s="575"/>
      <c r="DI253" s="569">
        <f t="shared" ref="DI253" si="968">IFERROR(IF(DG253&gt;0,(((N253)/(1+10%+19%*5%)+((N253)/(1+10%+19%*5%))*10%)*DH253),0),0)</f>
        <v>0</v>
      </c>
      <c r="DJ253" s="569">
        <f t="shared" ref="DJ253" si="969">IFERROR(IF(DG253&gt;0,(N253*DH253),0),0)</f>
        <v>0</v>
      </c>
      <c r="DK253" s="569">
        <f t="shared" ref="DK253" si="970">IF(DG253&gt;0,((R253+T253)*DH253),0)</f>
        <v>0</v>
      </c>
      <c r="DL253" s="569">
        <f t="shared" ref="DL253" si="971">IF(DG253&gt;0,(Q253*DH253),0)</f>
        <v>0</v>
      </c>
      <c r="DM253" s="572">
        <f t="shared" ref="DM253" si="972">IF(DG253&gt;0,(S253*DH253),0)</f>
        <v>0</v>
      </c>
      <c r="DN253" s="569">
        <f t="shared" ref="DN253" si="973">IF(DG253&gt;0,(BN253*DH253),0)</f>
        <v>0</v>
      </c>
      <c r="DO253" s="569">
        <f t="shared" ref="DO253" si="974">IF(DG253&gt;0,(AF253*DH253),0)</f>
        <v>0</v>
      </c>
      <c r="DP253" s="569">
        <f>IF(DG253&gt;0,((DI253)*('BD P&amp;G'!$E$16+'BD P&amp;G'!$E$17+'BD P&amp;G'!$E$18+'BD P&amp;G'!$E$19+'BD P&amp;G'!$E$20+'BD P&amp;G'!$E$21+'BD P&amp;G'!$E$22+'BD P&amp;G'!$E$23)*DH253),0)</f>
        <v>0</v>
      </c>
      <c r="DQ253" s="569">
        <f>IFERROR(IF(DG253&gt;0,((DI253*'BD P&amp;G'!$E$7)+(DI253*'BD P&amp;G'!$E$9)+AI253),0),0)</f>
        <v>0</v>
      </c>
      <c r="DR253" s="569">
        <f t="shared" ref="DR253" si="975">IFERROR(IF(DG253&gt;0,((DI253*1%)),0),0)</f>
        <v>0</v>
      </c>
      <c r="DS253" s="569">
        <f>IFERROR(IF(DG253&gt;0,(((DI253*'BD P&amp;G'!$E$32+DI253*'BD P&amp;G'!$E$33+DI253*'BD P&amp;G'!$E$35+DI253*'BD P&amp;G'!$E$36+DI253*'BD P&amp;G'!$E$37))),0),0)</f>
        <v>0</v>
      </c>
      <c r="DT253" s="569">
        <f t="shared" ref="DT253" si="976">IF(DG253&gt;0,(Y253*DH253),0)</f>
        <v>0</v>
      </c>
      <c r="DU253" s="569">
        <f t="shared" ref="DU253" si="977">IF(DG253&gt;0,(Z253*DH253),0)</f>
        <v>0</v>
      </c>
      <c r="DV253" s="575">
        <f t="shared" ref="DV253" si="978">IF(DG253&gt;0,(Y257*DH253),0)</f>
        <v>0</v>
      </c>
      <c r="DW253" s="575">
        <f t="shared" ref="DW253" si="979">IF(DG253&gt;0,(Z257*DH253),0)</f>
        <v>0</v>
      </c>
      <c r="DX253" s="569">
        <f t="shared" ref="DX253" si="980">IF(DV253&gt;0,DJ253,0)</f>
        <v>0</v>
      </c>
      <c r="DY253" s="569">
        <f t="shared" ref="DY253" si="981">IF(DW253&gt;0,DJ253,0)</f>
        <v>0</v>
      </c>
    </row>
    <row r="254" spans="1:194" s="175" customFormat="1" ht="60" customHeight="1" x14ac:dyDescent="0.25">
      <c r="A254" s="366"/>
      <c r="B254" s="367"/>
      <c r="C254" s="393" t="s">
        <v>28</v>
      </c>
      <c r="D254" s="598"/>
      <c r="E254" s="598"/>
      <c r="F254" s="598"/>
      <c r="G254" s="598"/>
      <c r="H254" s="598"/>
      <c r="I254" s="598"/>
      <c r="J254" s="604"/>
      <c r="K254" s="604"/>
      <c r="L254" s="607"/>
      <c r="M254" s="559"/>
      <c r="N254" s="610"/>
      <c r="O254" s="613"/>
      <c r="P254" s="192"/>
      <c r="Q254" s="217"/>
      <c r="R254" s="217"/>
      <c r="S254" s="218"/>
      <c r="T254" s="219">
        <f>IFERROR(T253/$R$353,"")</f>
        <v>0</v>
      </c>
      <c r="U254" s="206"/>
      <c r="V254" s="220"/>
      <c r="W254" s="221" t="s">
        <v>239</v>
      </c>
      <c r="X254" s="222" t="s">
        <v>204</v>
      </c>
      <c r="Y254" s="223"/>
      <c r="Z254" s="224"/>
      <c r="AA254" s="225"/>
      <c r="AB254" s="226"/>
      <c r="AC254" s="206"/>
      <c r="AD254" s="206"/>
      <c r="AE254" s="206"/>
      <c r="AF254" s="227"/>
      <c r="AG254" s="206"/>
      <c r="AH254" s="206"/>
      <c r="AI254" s="206"/>
      <c r="AJ254" s="206"/>
      <c r="AK254" s="227"/>
      <c r="AL254" s="210"/>
      <c r="AM254" s="206"/>
      <c r="AN254" s="206"/>
      <c r="AO254" s="228"/>
      <c r="AP254" s="229"/>
      <c r="AQ254" s="206"/>
      <c r="AR254" s="206"/>
      <c r="AS254" s="228"/>
      <c r="AT254" s="229"/>
      <c r="AU254" s="228"/>
      <c r="AV254" s="229"/>
      <c r="AW254" s="228"/>
      <c r="AX254" s="229"/>
      <c r="AY254" s="206"/>
      <c r="AZ254" s="229"/>
      <c r="BA254" s="210"/>
      <c r="BB254" s="175" t="s">
        <v>24</v>
      </c>
      <c r="BC254" s="175" t="s">
        <v>114</v>
      </c>
      <c r="BD254" s="210"/>
      <c r="BE254" s="176" t="s">
        <v>206</v>
      </c>
      <c r="BF254" s="230" t="s">
        <v>204</v>
      </c>
      <c r="BG254" s="176" t="s">
        <v>290</v>
      </c>
      <c r="BH254" s="231" t="s">
        <v>204</v>
      </c>
      <c r="BI254" s="210"/>
      <c r="BN254" s="232"/>
      <c r="BO254" s="210"/>
      <c r="BV254" s="184"/>
      <c r="BW254" s="210"/>
      <c r="CD254" s="184"/>
      <c r="CF254" s="185"/>
      <c r="CI254" s="184"/>
      <c r="CJ254" s="210"/>
      <c r="CK254" s="563"/>
      <c r="CM254" s="559"/>
      <c r="CN254" s="627"/>
      <c r="CO254" s="630"/>
      <c r="CP254" s="630"/>
      <c r="CQ254" s="630"/>
      <c r="CR254" s="630"/>
      <c r="CS254" s="630"/>
      <c r="CT254" s="633"/>
      <c r="CU254" s="563"/>
      <c r="CV254" s="561"/>
      <c r="CW254" s="563"/>
      <c r="CX254" s="561"/>
      <c r="CY254" s="563"/>
      <c r="CZ254" s="561"/>
      <c r="DA254" s="563"/>
      <c r="DB254" s="561"/>
      <c r="DC254" s="563"/>
      <c r="DD254" s="561"/>
      <c r="DG254" s="576"/>
      <c r="DH254" s="576"/>
      <c r="DI254" s="570"/>
      <c r="DJ254" s="570"/>
      <c r="DK254" s="570"/>
      <c r="DL254" s="570"/>
      <c r="DM254" s="573"/>
      <c r="DN254" s="570"/>
      <c r="DO254" s="570"/>
      <c r="DP254" s="570"/>
      <c r="DQ254" s="570"/>
      <c r="DR254" s="570"/>
      <c r="DS254" s="570"/>
      <c r="DT254" s="570"/>
      <c r="DU254" s="570"/>
      <c r="DV254" s="576"/>
      <c r="DW254" s="576"/>
      <c r="DX254" s="570"/>
      <c r="DY254" s="570"/>
    </row>
    <row r="255" spans="1:194" s="175" customFormat="1" ht="60" customHeight="1" x14ac:dyDescent="0.3">
      <c r="A255" s="366"/>
      <c r="B255" s="367"/>
      <c r="C255" s="393" t="s">
        <v>30</v>
      </c>
      <c r="D255" s="599"/>
      <c r="E255" s="599"/>
      <c r="F255" s="599"/>
      <c r="G255" s="599"/>
      <c r="H255" s="599"/>
      <c r="I255" s="599"/>
      <c r="J255" s="604"/>
      <c r="K255" s="604"/>
      <c r="L255" s="607"/>
      <c r="M255" s="559"/>
      <c r="N255" s="610"/>
      <c r="O255" s="613"/>
      <c r="P255" s="192"/>
      <c r="Q255" s="176" t="s">
        <v>205</v>
      </c>
      <c r="R255" s="233" t="s">
        <v>204</v>
      </c>
      <c r="S255" s="234"/>
      <c r="T255" s="235">
        <f>IFERROR(($R$353-8000)*T254,"")</f>
        <v>0</v>
      </c>
      <c r="U255" s="206"/>
      <c r="V255" s="220"/>
      <c r="W255" s="221" t="s">
        <v>258</v>
      </c>
      <c r="X255" s="222" t="s">
        <v>204</v>
      </c>
      <c r="Y255" s="236"/>
      <c r="Z255" s="237"/>
      <c r="AA255" s="225"/>
      <c r="AB255" s="226"/>
      <c r="AC255" s="206"/>
      <c r="AD255" s="206"/>
      <c r="AE255" s="206"/>
      <c r="AF255" s="227"/>
      <c r="AG255" s="206"/>
      <c r="AH255" s="206"/>
      <c r="AI255" s="206"/>
      <c r="AJ255" s="206"/>
      <c r="AK255" s="227"/>
      <c r="AL255" s="238"/>
      <c r="AM255" s="206"/>
      <c r="AN255" s="206"/>
      <c r="AO255" s="228"/>
      <c r="AP255" s="229"/>
      <c r="AQ255" s="206"/>
      <c r="AR255" s="206"/>
      <c r="AS255" s="228"/>
      <c r="AT255" s="229"/>
      <c r="AU255" s="228"/>
      <c r="AV255" s="229"/>
      <c r="AW255" s="228"/>
      <c r="AX255" s="229"/>
      <c r="AY255" s="206"/>
      <c r="AZ255" s="229"/>
      <c r="BA255" s="210"/>
      <c r="BB255" s="175" t="s">
        <v>26</v>
      </c>
      <c r="BC255" s="211" t="s">
        <v>115</v>
      </c>
      <c r="BD255" s="210"/>
      <c r="BE255" s="177" t="str">
        <f>IFERROR(VLOOKUP(D253,'BD M.O'!C:H,4,FALSE),"")</f>
        <v/>
      </c>
      <c r="BF255" s="177" t="s">
        <v>259</v>
      </c>
      <c r="BI255" s="210"/>
      <c r="BO255" s="210"/>
      <c r="BV255" s="184"/>
      <c r="BW255" s="210"/>
      <c r="CD255" s="184"/>
      <c r="CF255" s="185"/>
      <c r="CI255" s="184"/>
      <c r="CJ255" s="210"/>
      <c r="CK255" s="563"/>
      <c r="CM255" s="559"/>
      <c r="CN255" s="627"/>
      <c r="CO255" s="630"/>
      <c r="CP255" s="630"/>
      <c r="CQ255" s="630"/>
      <c r="CR255" s="630"/>
      <c r="CS255" s="630"/>
      <c r="CT255" s="633"/>
      <c r="CU255" s="563"/>
      <c r="CV255" s="561"/>
      <c r="CW255" s="563"/>
      <c r="CX255" s="561"/>
      <c r="CY255" s="563"/>
      <c r="CZ255" s="561"/>
      <c r="DA255" s="563"/>
      <c r="DB255" s="561"/>
      <c r="DC255" s="563"/>
      <c r="DD255" s="561"/>
      <c r="DG255" s="577"/>
      <c r="DH255" s="577"/>
      <c r="DI255" s="571"/>
      <c r="DJ255" s="571"/>
      <c r="DK255" s="571"/>
      <c r="DL255" s="571"/>
      <c r="DM255" s="574"/>
      <c r="DN255" s="571"/>
      <c r="DO255" s="571"/>
      <c r="DP255" s="571"/>
      <c r="DQ255" s="571"/>
      <c r="DR255" s="571"/>
      <c r="DS255" s="571"/>
      <c r="DT255" s="571"/>
      <c r="DU255" s="571"/>
      <c r="DV255" s="577"/>
      <c r="DW255" s="577"/>
      <c r="DX255" s="571"/>
      <c r="DY255" s="571"/>
    </row>
    <row r="256" spans="1:194" s="175" customFormat="1" ht="60" customHeight="1" x14ac:dyDescent="0.25">
      <c r="A256" s="366"/>
      <c r="B256" s="367"/>
      <c r="C256" s="395" t="s">
        <v>180</v>
      </c>
      <c r="D256" s="599" t="s">
        <v>31</v>
      </c>
      <c r="E256" s="599"/>
      <c r="F256" s="394" t="s">
        <v>9</v>
      </c>
      <c r="G256" s="599" t="s">
        <v>33</v>
      </c>
      <c r="H256" s="599"/>
      <c r="I256" s="394" t="str">
        <f>+IF($BG$9="SI","","X")</f>
        <v>X</v>
      </c>
      <c r="J256" s="604"/>
      <c r="K256" s="604"/>
      <c r="L256" s="607"/>
      <c r="M256" s="559"/>
      <c r="N256" s="610"/>
      <c r="O256" s="613"/>
      <c r="P256" s="192"/>
      <c r="Q256" s="239"/>
      <c r="R256" s="221" t="s">
        <v>209</v>
      </c>
      <c r="S256" s="234" t="str">
        <f>IF(S254="","",S254/(J253*K253))</f>
        <v/>
      </c>
      <c r="T256" s="226"/>
      <c r="U256" s="206"/>
      <c r="V256" s="220"/>
      <c r="W256" s="239" t="str">
        <f>IFERROR(IF(X255="SI",VLOOKUP(D253,'BD M.O'!C:F,4,FALSE),""),"")</f>
        <v/>
      </c>
      <c r="X256" s="221" t="s">
        <v>258</v>
      </c>
      <c r="Y256" s="221" t="s">
        <v>507</v>
      </c>
      <c r="Z256" s="221" t="s">
        <v>508</v>
      </c>
      <c r="AA256" s="225"/>
      <c r="AB256" s="226"/>
      <c r="AC256" s="206"/>
      <c r="AD256" s="206"/>
      <c r="AE256" s="206"/>
      <c r="AF256" s="227"/>
      <c r="AG256" s="206"/>
      <c r="AH256" s="206"/>
      <c r="AI256" s="206"/>
      <c r="AJ256" s="206"/>
      <c r="AK256" s="227"/>
      <c r="AL256" s="240"/>
      <c r="AM256" s="206"/>
      <c r="AN256" s="206"/>
      <c r="AO256" s="228"/>
      <c r="AP256" s="229"/>
      <c r="AQ256" s="206"/>
      <c r="AR256" s="206"/>
      <c r="AS256" s="228"/>
      <c r="AT256" s="229"/>
      <c r="AU256" s="228"/>
      <c r="AV256" s="229"/>
      <c r="AW256" s="228"/>
      <c r="AX256" s="229"/>
      <c r="AY256" s="206"/>
      <c r="AZ256" s="229"/>
      <c r="BA256" s="210"/>
      <c r="BC256" s="175" t="s">
        <v>116</v>
      </c>
      <c r="BD256" s="210"/>
      <c r="BE256" s="177" t="str">
        <f>IFERROR(VLOOKUP(COTIZACIÓN!D253,'BD M.O'!C:I,5,FALSE),"")</f>
        <v/>
      </c>
      <c r="BF256" s="177" t="s">
        <v>260</v>
      </c>
      <c r="BI256" s="210"/>
      <c r="BO256" s="210"/>
      <c r="BP256" s="183"/>
      <c r="BQ256" s="183"/>
      <c r="BR256" s="183"/>
      <c r="BS256" s="183"/>
      <c r="BT256" s="183"/>
      <c r="BU256" s="183"/>
      <c r="BV256" s="182"/>
      <c r="BW256" s="210"/>
      <c r="BX256" s="183"/>
      <c r="BY256" s="183"/>
      <c r="BZ256" s="183"/>
      <c r="CA256" s="183"/>
      <c r="CB256" s="183"/>
      <c r="CC256" s="183"/>
      <c r="CD256" s="182"/>
      <c r="CE256" s="183"/>
      <c r="CF256" s="241"/>
      <c r="CG256" s="183"/>
      <c r="CH256" s="183"/>
      <c r="CI256" s="182"/>
      <c r="CJ256" s="210"/>
      <c r="CK256" s="563"/>
      <c r="CM256" s="559"/>
      <c r="CN256" s="627"/>
      <c r="CO256" s="630"/>
      <c r="CP256" s="630"/>
      <c r="CQ256" s="630"/>
      <c r="CR256" s="630"/>
      <c r="CS256" s="630"/>
      <c r="CT256" s="633"/>
      <c r="CU256" s="563"/>
      <c r="CV256" s="561"/>
      <c r="CW256" s="563"/>
      <c r="CX256" s="561"/>
      <c r="CY256" s="563"/>
      <c r="CZ256" s="561"/>
      <c r="DA256" s="563"/>
      <c r="DB256" s="561"/>
      <c r="DC256" s="563"/>
      <c r="DD256" s="561"/>
      <c r="DG256" s="575"/>
      <c r="DH256" s="575"/>
      <c r="DI256" s="569">
        <f t="shared" ref="DI256" si="982">IFERROR(IF(DG256&gt;0,(((N253)/(1+10%+19%*5%)+((N253)/(1+10%+19%*5%))*10%)*DH256),0),0)</f>
        <v>0</v>
      </c>
      <c r="DJ256" s="569">
        <f t="shared" ref="DJ256" si="983">IFERROR(IF(DG256&gt;0,(N253*DH256),0),0)</f>
        <v>0</v>
      </c>
      <c r="DK256" s="569">
        <f t="shared" ref="DK256" si="984">IF(DG256&gt;0,((R253+T253)*DH256),0)</f>
        <v>0</v>
      </c>
      <c r="DL256" s="569">
        <f t="shared" ref="DL256" si="985">IF(DG256&gt;0,(Q253*DH256),0)</f>
        <v>0</v>
      </c>
      <c r="DM256" s="572">
        <f t="shared" ref="DM256" si="986">IF(DG256&gt;0,(S253*DH256),0)</f>
        <v>0</v>
      </c>
      <c r="DN256" s="569">
        <f t="shared" ref="DN256" si="987">IF(DG256&gt;0,(BN253*DH256),0)</f>
        <v>0</v>
      </c>
      <c r="DO256" s="569">
        <f t="shared" ref="DO256" si="988">IF(DG256&gt;0,(AF253*DH256),0)</f>
        <v>0</v>
      </c>
      <c r="DP256" s="569">
        <f>IF(DG256&gt;0,((DI256)*('BD P&amp;G'!$E$16+'BD P&amp;G'!$E$17+'BD P&amp;G'!$E$18+'BD P&amp;G'!$E$19+'BD P&amp;G'!$E$20+'BD P&amp;G'!$E$21+'BD P&amp;G'!$E$22+'BD P&amp;G'!$E$23)*DH256),0)</f>
        <v>0</v>
      </c>
      <c r="DQ256" s="569">
        <f>IFERROR(IF(DG256&gt;0,((DI256*'BD P&amp;G'!$E$7)+(DI256*'BD P&amp;G'!$E$9)+AI253),0),0)</f>
        <v>0</v>
      </c>
      <c r="DR256" s="569">
        <f t="shared" ref="DR256" si="989">IFERROR(IF(DG256&gt;0,((DI256*1%)),0),0)</f>
        <v>0</v>
      </c>
      <c r="DS256" s="569">
        <f>IFERROR(IF(DG256&gt;0,(((DI256*'BD P&amp;G'!$E$32+DI256*'BD P&amp;G'!$E$33+DI256*'BD P&amp;G'!$E$35+DI256*'BD P&amp;G'!$E$36+DI256*'BD P&amp;G'!$E$37))),0),0)</f>
        <v>0</v>
      </c>
      <c r="DT256" s="569">
        <f t="shared" ref="DT256" si="990">IF(DG256&gt;0,(Y253*DH256),0)</f>
        <v>0</v>
      </c>
      <c r="DU256" s="569">
        <f t="shared" ref="DU256" si="991">IF(DG256&gt;0,(Z253*DH256),0)</f>
        <v>0</v>
      </c>
      <c r="DV256" s="575">
        <f t="shared" ref="DV256" si="992">IF(DG256&gt;0,(Y257*DH256),0)</f>
        <v>0</v>
      </c>
      <c r="DW256" s="575">
        <f t="shared" ref="DW256" si="993">IF(DG256&gt;0,(Z257*DH256),0)</f>
        <v>0</v>
      </c>
      <c r="DX256" s="569">
        <f t="shared" ref="DX256" si="994">IF(DV256&gt;0,DJ256,0)</f>
        <v>0</v>
      </c>
      <c r="DY256" s="569">
        <f t="shared" ref="DY256" si="995">IF(DW256&gt;0,DJ256,0)</f>
        <v>0</v>
      </c>
    </row>
    <row r="257" spans="1:194" s="175" customFormat="1" ht="60" customHeight="1" x14ac:dyDescent="0.3">
      <c r="A257" s="366"/>
      <c r="B257" s="367"/>
      <c r="C257" s="393" t="s">
        <v>35</v>
      </c>
      <c r="D257" s="599" t="str">
        <f>IFERROR(VLOOKUP(D253,'BD GN'!C:E,3,),"")</f>
        <v/>
      </c>
      <c r="E257" s="599"/>
      <c r="F257" s="599"/>
      <c r="G257" s="599"/>
      <c r="H257" s="599"/>
      <c r="I257" s="599"/>
      <c r="J257" s="604"/>
      <c r="K257" s="604"/>
      <c r="L257" s="607"/>
      <c r="M257" s="559"/>
      <c r="N257" s="610"/>
      <c r="O257" s="613"/>
      <c r="P257" s="192"/>
      <c r="Q257" s="239"/>
      <c r="R257" s="221" t="s">
        <v>210</v>
      </c>
      <c r="S257" s="234" t="str">
        <f>IFERROR(IF(N253="","",N253/W257),"")</f>
        <v/>
      </c>
      <c r="T257" s="226"/>
      <c r="U257" s="206"/>
      <c r="V257" s="220"/>
      <c r="W257" s="242" t="str">
        <f>+IF(J253*K253&gt;=1,J253*K253,IF(AND(J253*K253&gt;0,J253*K253&lt;1),1,""))</f>
        <v/>
      </c>
      <c r="X257" s="221" t="s">
        <v>298</v>
      </c>
      <c r="Y257" s="461">
        <f>IFERROR(IF(D253='BD GN'!$C$25,COTIZACIÓN!W257,IF(D253='BD GN'!$C$26,COTIZACIÓN!W257,IF(D253='BD GN'!$C$27,COTIZACIÓN!W257,IF(COTIZACIÓN!D253='BD GN'!$C$28,COTIZACIÓN!W257,IF(COTIZACIÓN!D253='BD GN'!$C$29,COTIZACIÓN!W257,IF(COTIZACIÓN!D253='BD GN'!$C$35,COTIZACIÓN!W257,IF(COTIZACIÓN!D253='BD GN'!$C$36,COTIZACIÓN!W257,IF(COTIZACIÓN!D253='BD GN'!$C$37,COTIZACIÓN!W257,IF(COTIZACIÓN!D253='BD GN'!$C$38,COTIZACIÓN!W257,IF(COTIZACIÓN!D253='BD GN'!$C$39,COTIZACIÓN!W257,IF(COTIZACIÓN!D253='BD GN'!$C$40,COTIZACIÓN!W257,IF(COTIZACIÓN!D253='BD GN'!$C$41,COTIZACIÓN!W257,IF(COTIZACIÓN!D253='BD GN'!$C$42,COTIZACIÓN!W257,IF(COTIZACIÓN!D253='BD GN'!$C$49,COTIZACIÓN!W257,IF(COTIZACIÓN!D253='BD GN'!$C$50,COTIZACIÓN!W257,IF(COTIZACIÓN!D253='BD GN'!$C$51,COTIZACIÓN!W257,IF(COTIZACIÓN!D253='BD GN'!$C$67,COTIZACIÓN!W257,0))))))))))))))))),0)</f>
        <v>0</v>
      </c>
      <c r="Z257" s="461">
        <f>IFERROR(W257-Y257,0)</f>
        <v>0</v>
      </c>
      <c r="AA257" s="225"/>
      <c r="AB257" s="226"/>
      <c r="AC257" s="206"/>
      <c r="AD257" s="206"/>
      <c r="AE257" s="206"/>
      <c r="AF257" s="227"/>
      <c r="AG257" s="206"/>
      <c r="AH257" s="206"/>
      <c r="AI257" s="206"/>
      <c r="AJ257" s="206"/>
      <c r="AK257" s="227"/>
      <c r="AL257" s="210"/>
      <c r="AM257" s="206"/>
      <c r="AN257" s="206"/>
      <c r="AO257" s="228"/>
      <c r="AP257" s="229"/>
      <c r="AQ257" s="206"/>
      <c r="AR257" s="206"/>
      <c r="AS257" s="228"/>
      <c r="AT257" s="229"/>
      <c r="AU257" s="228"/>
      <c r="AV257" s="229"/>
      <c r="AW257" s="228"/>
      <c r="AX257" s="229"/>
      <c r="AY257" s="206"/>
      <c r="AZ257" s="229"/>
      <c r="BA257" s="210"/>
      <c r="BC257" s="211" t="s">
        <v>117</v>
      </c>
      <c r="BD257" s="210"/>
      <c r="BE257" s="177" t="str">
        <f>IFERROR(VLOOKUP(D253,'BD M.O'!C:I,6,FALSE),"")</f>
        <v/>
      </c>
      <c r="BF257" s="177" t="s">
        <v>261</v>
      </c>
      <c r="BI257" s="210"/>
      <c r="BO257" s="210"/>
      <c r="BP257" s="183"/>
      <c r="BQ257" s="183"/>
      <c r="BR257" s="183"/>
      <c r="BW257" s="210"/>
      <c r="CD257" s="184"/>
      <c r="CF257" s="185"/>
      <c r="CI257" s="184"/>
      <c r="CJ257" s="210"/>
      <c r="CK257" s="563"/>
      <c r="CM257" s="559"/>
      <c r="CN257" s="627"/>
      <c r="CO257" s="630"/>
      <c r="CP257" s="630"/>
      <c r="CQ257" s="630"/>
      <c r="CR257" s="630"/>
      <c r="CS257" s="630"/>
      <c r="CT257" s="633"/>
      <c r="CU257" s="563"/>
      <c r="CV257" s="561"/>
      <c r="CW257" s="563"/>
      <c r="CX257" s="561"/>
      <c r="CY257" s="563"/>
      <c r="CZ257" s="561"/>
      <c r="DA257" s="563"/>
      <c r="DB257" s="561"/>
      <c r="DC257" s="563"/>
      <c r="DD257" s="561"/>
      <c r="DG257" s="576"/>
      <c r="DH257" s="576"/>
      <c r="DI257" s="570"/>
      <c r="DJ257" s="570"/>
      <c r="DK257" s="570"/>
      <c r="DL257" s="570"/>
      <c r="DM257" s="573"/>
      <c r="DN257" s="570"/>
      <c r="DO257" s="570"/>
      <c r="DP257" s="570"/>
      <c r="DQ257" s="570"/>
      <c r="DR257" s="570"/>
      <c r="DS257" s="570"/>
      <c r="DT257" s="570"/>
      <c r="DU257" s="570"/>
      <c r="DV257" s="576"/>
      <c r="DW257" s="576"/>
      <c r="DX257" s="570"/>
      <c r="DY257" s="570"/>
    </row>
    <row r="258" spans="1:194" s="252" customFormat="1" ht="60" customHeight="1" x14ac:dyDescent="0.25">
      <c r="A258" s="368"/>
      <c r="B258" s="369"/>
      <c r="C258" s="396" t="s">
        <v>10</v>
      </c>
      <c r="D258" s="645" t="s">
        <v>32</v>
      </c>
      <c r="E258" s="645"/>
      <c r="F258" s="645"/>
      <c r="G258" s="645"/>
      <c r="H258" s="645"/>
      <c r="I258" s="645"/>
      <c r="J258" s="643"/>
      <c r="K258" s="643"/>
      <c r="L258" s="646"/>
      <c r="M258" s="648"/>
      <c r="N258" s="649"/>
      <c r="O258" s="644"/>
      <c r="P258" s="192"/>
      <c r="Q258" s="239"/>
      <c r="R258" s="334" t="s">
        <v>475</v>
      </c>
      <c r="S258" s="234" t="str">
        <f>IFERROR(IF($C$12='BD GN'!$CC$1,VLOOKUP(COTIZACIÓN!D253,'BD GN'!CB:CG,2,FALSE),IF(COTIZACIÓN!$C$12='BD GN'!$CD$1,VLOOKUP(COTIZACIÓN!D253,'BD GN'!CB:CG,3,FALSE),IF($C$12='BD GN'!$CE$1,VLOOKUP(COTIZACIÓN!D253,'BD GN'!CB:CG,4,FALSE),IF(COTIZACIÓN!$C$12='BD GN'!$CF$1,VLOOKUP(COTIZACIÓN!D253,'BD GN'!CB:CG,5,FALSE),IF(COTIZACIÓN!$C$12='BD GN'!$CG$1,VLOOKUP(COTIZACIÓN!D253,'BD GN'!CB:CG,6,FALSE),""))))),"-")</f>
        <v/>
      </c>
      <c r="T258" s="243"/>
      <c r="U258" s="244"/>
      <c r="V258" s="245"/>
      <c r="W258" s="177" t="s">
        <v>394</v>
      </c>
      <c r="X258" s="246">
        <f>IFERROR(SUM(W253:X253),"")</f>
        <v>0</v>
      </c>
      <c r="Y258" s="166" t="s">
        <v>404</v>
      </c>
      <c r="Z258" s="199" t="str">
        <f>IFERROR(Y253+Z253,"")</f>
        <v/>
      </c>
      <c r="AA258" s="247"/>
      <c r="AB258" s="243"/>
      <c r="AC258" s="244"/>
      <c r="AD258" s="244"/>
      <c r="AE258" s="244"/>
      <c r="AF258" s="227"/>
      <c r="AG258" s="206"/>
      <c r="AH258" s="206"/>
      <c r="AI258" s="206"/>
      <c r="AJ258" s="206"/>
      <c r="AK258" s="227"/>
      <c r="AL258" s="227"/>
      <c r="AM258" s="248"/>
      <c r="AN258" s="248"/>
      <c r="AO258" s="249"/>
      <c r="AP258" s="250"/>
      <c r="AQ258" s="248"/>
      <c r="AR258" s="248"/>
      <c r="AS258" s="249"/>
      <c r="AT258" s="250"/>
      <c r="AU258" s="249"/>
      <c r="AV258" s="250"/>
      <c r="AW258" s="249"/>
      <c r="AX258" s="250"/>
      <c r="AY258" s="248"/>
      <c r="AZ258" s="250"/>
      <c r="BA258" s="210"/>
      <c r="BB258" s="175"/>
      <c r="BC258" s="175" t="s">
        <v>118</v>
      </c>
      <c r="BD258" s="210"/>
      <c r="BE258" s="251" t="str">
        <f>IFERROR(VLOOKUP(D253,'BD M.O'!C:I,7,FALSE),"")</f>
        <v/>
      </c>
      <c r="BF258" s="251" t="s">
        <v>262</v>
      </c>
      <c r="BG258" s="175"/>
      <c r="BH258" s="175"/>
      <c r="BI258" s="210"/>
      <c r="BJ258" s="175"/>
      <c r="BK258" s="175"/>
      <c r="BL258" s="175"/>
      <c r="BM258" s="175"/>
      <c r="BN258" s="175"/>
      <c r="BO258" s="210"/>
      <c r="BP258" s="175"/>
      <c r="BQ258" s="175"/>
      <c r="BR258" s="175"/>
      <c r="BS258" s="183"/>
      <c r="BT258" s="183"/>
      <c r="BU258" s="183"/>
      <c r="BV258" s="183"/>
      <c r="BW258" s="210"/>
      <c r="BX258" s="175"/>
      <c r="BY258" s="175"/>
      <c r="BZ258" s="175"/>
      <c r="CA258" s="175"/>
      <c r="CB258" s="175"/>
      <c r="CC258" s="175"/>
      <c r="CD258" s="184"/>
      <c r="CE258" s="175"/>
      <c r="CF258" s="185"/>
      <c r="CG258" s="175"/>
      <c r="CH258" s="175"/>
      <c r="CI258" s="184"/>
      <c r="CJ258" s="210"/>
      <c r="CK258" s="564"/>
      <c r="CL258" s="257"/>
      <c r="CM258" s="597"/>
      <c r="CN258" s="628"/>
      <c r="CO258" s="631"/>
      <c r="CP258" s="631"/>
      <c r="CQ258" s="631"/>
      <c r="CR258" s="631"/>
      <c r="CS258" s="631"/>
      <c r="CT258" s="634"/>
      <c r="CU258" s="564"/>
      <c r="CV258" s="562"/>
      <c r="CW258" s="564"/>
      <c r="CX258" s="562"/>
      <c r="CY258" s="564"/>
      <c r="CZ258" s="562"/>
      <c r="DA258" s="564"/>
      <c r="DB258" s="562"/>
      <c r="DC258" s="564"/>
      <c r="DD258" s="562"/>
      <c r="DE258" s="175"/>
      <c r="DF258" s="175"/>
      <c r="DG258" s="577"/>
      <c r="DH258" s="577"/>
      <c r="DI258" s="571"/>
      <c r="DJ258" s="571"/>
      <c r="DK258" s="571"/>
      <c r="DL258" s="571"/>
      <c r="DM258" s="574"/>
      <c r="DN258" s="571"/>
      <c r="DO258" s="571"/>
      <c r="DP258" s="571"/>
      <c r="DQ258" s="571"/>
      <c r="DR258" s="571"/>
      <c r="DS258" s="571"/>
      <c r="DT258" s="571"/>
      <c r="DU258" s="571"/>
      <c r="DV258" s="577"/>
      <c r="DW258" s="577"/>
      <c r="DX258" s="571"/>
      <c r="DY258" s="571"/>
      <c r="DZ258" s="175"/>
      <c r="EA258" s="175"/>
      <c r="EB258" s="175"/>
      <c r="EC258" s="175"/>
      <c r="ED258" s="175"/>
      <c r="EE258" s="175"/>
      <c r="EF258" s="175"/>
      <c r="EG258" s="175"/>
      <c r="EH258" s="175"/>
      <c r="EI258" s="175"/>
      <c r="EJ258" s="175"/>
      <c r="EK258" s="175"/>
      <c r="EL258" s="175"/>
      <c r="EM258" s="175"/>
      <c r="EN258" s="175"/>
      <c r="EO258" s="175"/>
      <c r="EP258" s="175"/>
      <c r="EQ258" s="175"/>
      <c r="ER258" s="175"/>
      <c r="ES258" s="175"/>
      <c r="ET258" s="175"/>
      <c r="EU258" s="175"/>
      <c r="EV258" s="175"/>
      <c r="EW258" s="175"/>
      <c r="EX258" s="175"/>
      <c r="EY258" s="175"/>
      <c r="EZ258" s="175"/>
      <c r="FA258" s="175"/>
      <c r="FB258" s="175"/>
      <c r="FC258" s="175"/>
      <c r="FD258" s="175"/>
      <c r="FE258" s="175"/>
      <c r="FF258" s="175"/>
      <c r="FG258" s="175"/>
      <c r="FH258" s="175"/>
      <c r="FI258" s="175"/>
      <c r="FJ258" s="175"/>
      <c r="FK258" s="175"/>
      <c r="FL258" s="175"/>
      <c r="FM258" s="175"/>
      <c r="FN258" s="175"/>
      <c r="FO258" s="175"/>
      <c r="FP258" s="175"/>
      <c r="FQ258" s="175"/>
      <c r="FR258" s="175"/>
      <c r="FS258" s="175"/>
      <c r="FT258" s="175"/>
      <c r="FU258" s="175"/>
      <c r="FV258" s="175"/>
      <c r="FW258" s="175"/>
      <c r="FX258" s="175"/>
      <c r="FY258" s="175"/>
      <c r="FZ258" s="175"/>
      <c r="GA258" s="175"/>
      <c r="GB258" s="175"/>
      <c r="GC258" s="175"/>
      <c r="GD258" s="175"/>
      <c r="GE258" s="175"/>
      <c r="GF258" s="175"/>
      <c r="GG258" s="175"/>
      <c r="GH258" s="175"/>
      <c r="GI258" s="175"/>
      <c r="GJ258" s="175"/>
      <c r="GK258" s="175"/>
      <c r="GL258" s="175"/>
    </row>
    <row r="259" spans="1:194" s="255" customFormat="1" ht="60" customHeight="1" x14ac:dyDescent="0.3">
      <c r="A259" s="362" t="s">
        <v>193</v>
      </c>
      <c r="B259" s="363" t="s">
        <v>25</v>
      </c>
      <c r="C259" s="391" t="s">
        <v>174</v>
      </c>
      <c r="D259" s="640" t="s">
        <v>173</v>
      </c>
      <c r="E259" s="640"/>
      <c r="F259" s="640"/>
      <c r="G259" s="640"/>
      <c r="H259" s="640"/>
      <c r="I259" s="640"/>
      <c r="J259" s="418" t="s">
        <v>443</v>
      </c>
      <c r="K259" s="418" t="s">
        <v>444</v>
      </c>
      <c r="L259" s="418" t="s">
        <v>171</v>
      </c>
      <c r="M259" s="363" t="s">
        <v>2</v>
      </c>
      <c r="N259" s="419" t="s">
        <v>7</v>
      </c>
      <c r="O259" s="420" t="s">
        <v>8</v>
      </c>
      <c r="P259" s="159"/>
      <c r="Q259" s="164" t="s">
        <v>93</v>
      </c>
      <c r="R259" s="164" t="s">
        <v>34</v>
      </c>
      <c r="S259" s="164" t="s">
        <v>28</v>
      </c>
      <c r="T259" s="164" t="s">
        <v>95</v>
      </c>
      <c r="U259" s="164" t="s">
        <v>96</v>
      </c>
      <c r="V259" s="164" t="s">
        <v>97</v>
      </c>
      <c r="W259" s="164" t="s">
        <v>4</v>
      </c>
      <c r="X259" s="164" t="s">
        <v>103</v>
      </c>
      <c r="Y259" s="160" t="s">
        <v>402</v>
      </c>
      <c r="Z259" s="165" t="s">
        <v>403</v>
      </c>
      <c r="AA259" s="166" t="s">
        <v>404</v>
      </c>
      <c r="AB259" s="164" t="s">
        <v>99</v>
      </c>
      <c r="AC259" s="164" t="s">
        <v>395</v>
      </c>
      <c r="AD259" s="253" t="s">
        <v>36</v>
      </c>
      <c r="AE259" s="164" t="s">
        <v>389</v>
      </c>
      <c r="AF259" s="164" t="s">
        <v>390</v>
      </c>
      <c r="AG259" s="164" t="s">
        <v>164</v>
      </c>
      <c r="AH259" s="253" t="s">
        <v>396</v>
      </c>
      <c r="AI259" s="164" t="s">
        <v>190</v>
      </c>
      <c r="AJ259" s="164" t="s">
        <v>339</v>
      </c>
      <c r="AK259" s="253" t="s">
        <v>391</v>
      </c>
      <c r="AL259" s="253" t="s">
        <v>393</v>
      </c>
      <c r="AM259" s="167" t="s">
        <v>93</v>
      </c>
      <c r="AN259" s="168" t="s">
        <v>34</v>
      </c>
      <c r="AO259" s="169" t="s">
        <v>28</v>
      </c>
      <c r="AP259" s="170" t="s">
        <v>95</v>
      </c>
      <c r="AQ259" s="167" t="s">
        <v>3</v>
      </c>
      <c r="AR259" s="167" t="s">
        <v>96</v>
      </c>
      <c r="AS259" s="169" t="s">
        <v>97</v>
      </c>
      <c r="AT259" s="170" t="s">
        <v>4</v>
      </c>
      <c r="AU259" s="169" t="s">
        <v>103</v>
      </c>
      <c r="AV259" s="170" t="s">
        <v>99</v>
      </c>
      <c r="AW259" s="169" t="s">
        <v>36</v>
      </c>
      <c r="AX259" s="171" t="s">
        <v>29</v>
      </c>
      <c r="AY259" s="172" t="s">
        <v>190</v>
      </c>
      <c r="AZ259" s="173" t="s">
        <v>102</v>
      </c>
      <c r="BA259" s="174"/>
      <c r="BB259" s="183"/>
      <c r="BC259" s="211" t="s">
        <v>119</v>
      </c>
      <c r="BD259" s="174"/>
      <c r="BE259" s="176" t="s">
        <v>189</v>
      </c>
      <c r="BF259" s="177" t="str">
        <f>$BF$13</f>
        <v xml:space="preserve">VR SILICONA </v>
      </c>
      <c r="BG259" s="177" t="str">
        <f>$BG$13</f>
        <v xml:space="preserve">VR PELÍCULA </v>
      </c>
      <c r="BH259" s="254" t="str">
        <f>$BH$13</f>
        <v>VR EMBALAJE</v>
      </c>
      <c r="BI259" s="174"/>
      <c r="BJ259" s="176" t="str">
        <f>$BJ$13</f>
        <v>ESP. CRISTAL</v>
      </c>
      <c r="BK259" s="176" t="s">
        <v>130</v>
      </c>
      <c r="BL259" s="177" t="s">
        <v>28</v>
      </c>
      <c r="BM259" s="177" t="str">
        <f>BM252</f>
        <v>TOTAL</v>
      </c>
      <c r="BN259" s="177" t="s">
        <v>133</v>
      </c>
      <c r="BO259" s="174"/>
      <c r="BP259" s="175"/>
      <c r="BQ259" s="175"/>
      <c r="BR259" s="175"/>
      <c r="BS259" s="175"/>
      <c r="BT259" s="175"/>
      <c r="BU259" s="175"/>
      <c r="BV259" s="175"/>
      <c r="BW259" s="174"/>
      <c r="BX259" s="175"/>
      <c r="BY259" s="175"/>
      <c r="BZ259" s="175"/>
      <c r="CA259" s="175"/>
      <c r="CB259" s="175"/>
      <c r="CC259" s="175"/>
      <c r="CD259" s="184"/>
      <c r="CE259" s="175"/>
      <c r="CF259" s="185"/>
      <c r="CG259" s="175"/>
      <c r="CH259" s="175"/>
      <c r="CI259" s="184"/>
      <c r="CJ259" s="174"/>
      <c r="CK259" s="186" t="s">
        <v>415</v>
      </c>
      <c r="CL259" s="187" t="s">
        <v>417</v>
      </c>
      <c r="CM259" s="187" t="s">
        <v>416</v>
      </c>
      <c r="CN259" s="188" t="s">
        <v>418</v>
      </c>
      <c r="CO259" s="187" t="s">
        <v>417</v>
      </c>
      <c r="CP259" s="187" t="s">
        <v>409</v>
      </c>
      <c r="CQ259" s="187" t="s">
        <v>410</v>
      </c>
      <c r="CR259" s="187" t="s">
        <v>411</v>
      </c>
      <c r="CS259" s="187" t="s">
        <v>412</v>
      </c>
      <c r="CT259" s="187" t="s">
        <v>413</v>
      </c>
      <c r="CU259" s="189" t="s">
        <v>2</v>
      </c>
      <c r="CV259" s="190" t="s">
        <v>159</v>
      </c>
      <c r="CW259" s="189" t="s">
        <v>2</v>
      </c>
      <c r="CX259" s="190" t="s">
        <v>159</v>
      </c>
      <c r="CY259" s="189" t="s">
        <v>2</v>
      </c>
      <c r="CZ259" s="190" t="s">
        <v>159</v>
      </c>
      <c r="DA259" s="189" t="s">
        <v>2</v>
      </c>
      <c r="DB259" s="190" t="s">
        <v>159</v>
      </c>
      <c r="DC259" s="189" t="s">
        <v>2</v>
      </c>
      <c r="DD259" s="190" t="s">
        <v>159</v>
      </c>
      <c r="DE259" s="183"/>
      <c r="DF259" s="183"/>
      <c r="DG259" s="177" t="s">
        <v>505</v>
      </c>
      <c r="DH259" s="472" t="s">
        <v>509</v>
      </c>
      <c r="DI259" s="457" t="s">
        <v>506</v>
      </c>
      <c r="DJ259" s="457" t="s">
        <v>134</v>
      </c>
      <c r="DK259" s="457" t="s">
        <v>498</v>
      </c>
      <c r="DL259" s="457" t="s">
        <v>499</v>
      </c>
      <c r="DM259" s="457" t="s">
        <v>500</v>
      </c>
      <c r="DN259" s="457" t="s">
        <v>131</v>
      </c>
      <c r="DO259" s="457" t="s">
        <v>390</v>
      </c>
      <c r="DP259" s="457" t="s">
        <v>36</v>
      </c>
      <c r="DQ259" s="457" t="s">
        <v>501</v>
      </c>
      <c r="DR259" s="457" t="s">
        <v>502</v>
      </c>
      <c r="DS259" s="457" t="s">
        <v>503</v>
      </c>
      <c r="DT259" s="457" t="s">
        <v>4</v>
      </c>
      <c r="DU259" s="457" t="s">
        <v>504</v>
      </c>
      <c r="DV259" s="466" t="s">
        <v>507</v>
      </c>
      <c r="DW259" s="466" t="s">
        <v>508</v>
      </c>
      <c r="DX259" s="457" t="s">
        <v>510</v>
      </c>
      <c r="DY259" s="457" t="s">
        <v>511</v>
      </c>
      <c r="DZ259" s="183"/>
      <c r="EA259" s="183"/>
      <c r="EB259" s="183"/>
      <c r="EC259" s="183"/>
      <c r="ED259" s="183"/>
      <c r="EE259" s="183"/>
      <c r="EF259" s="183"/>
      <c r="EG259" s="183"/>
      <c r="EH259" s="183"/>
      <c r="EI259" s="183"/>
      <c r="EJ259" s="183"/>
      <c r="EK259" s="183"/>
      <c r="EL259" s="183"/>
      <c r="EM259" s="183"/>
      <c r="EN259" s="183"/>
      <c r="EO259" s="183"/>
      <c r="EP259" s="183"/>
      <c r="EQ259" s="183"/>
      <c r="ER259" s="183"/>
      <c r="ES259" s="183"/>
      <c r="ET259" s="183"/>
      <c r="EU259" s="183"/>
      <c r="EV259" s="183"/>
      <c r="EW259" s="183"/>
      <c r="EX259" s="183"/>
      <c r="EY259" s="183"/>
      <c r="EZ259" s="183"/>
      <c r="FA259" s="183"/>
      <c r="FB259" s="183"/>
      <c r="FC259" s="183"/>
      <c r="FD259" s="183"/>
      <c r="FE259" s="183"/>
      <c r="FF259" s="183"/>
      <c r="FG259" s="183"/>
      <c r="FH259" s="183"/>
      <c r="FI259" s="183"/>
      <c r="FJ259" s="183"/>
      <c r="FK259" s="183"/>
      <c r="FL259" s="183"/>
      <c r="FM259" s="183"/>
      <c r="FN259" s="183"/>
      <c r="FO259" s="183"/>
      <c r="FP259" s="183"/>
      <c r="FQ259" s="183"/>
      <c r="FR259" s="183"/>
      <c r="FS259" s="183"/>
      <c r="FT259" s="183"/>
      <c r="FU259" s="183"/>
      <c r="FV259" s="183"/>
      <c r="FW259" s="183"/>
      <c r="FX259" s="183"/>
      <c r="FY259" s="183"/>
      <c r="FZ259" s="183"/>
      <c r="GA259" s="183"/>
      <c r="GB259" s="183"/>
      <c r="GC259" s="183"/>
      <c r="GD259" s="183"/>
      <c r="GE259" s="183"/>
      <c r="GF259" s="183"/>
      <c r="GG259" s="183"/>
      <c r="GH259" s="183"/>
      <c r="GI259" s="183"/>
      <c r="GJ259" s="183"/>
      <c r="GK259" s="183"/>
      <c r="GL259" s="183"/>
    </row>
    <row r="260" spans="1:194" s="175" customFormat="1" ht="60" customHeight="1" x14ac:dyDescent="0.3">
      <c r="A260" s="364"/>
      <c r="B260" s="365"/>
      <c r="C260" s="392" t="s">
        <v>27</v>
      </c>
      <c r="D260" s="641"/>
      <c r="E260" s="641"/>
      <c r="F260" s="641"/>
      <c r="G260" s="641"/>
      <c r="H260" s="641"/>
      <c r="I260" s="641"/>
      <c r="J260" s="642"/>
      <c r="K260" s="642"/>
      <c r="L260" s="622">
        <f>J260*K260*M260</f>
        <v>0</v>
      </c>
      <c r="M260" s="623"/>
      <c r="N260" s="620">
        <f>IFERROR(AL260,"")</f>
        <v>1.0765546639999999</v>
      </c>
      <c r="O260" s="621">
        <f>IFERROR(N260*M260,"")</f>
        <v>0</v>
      </c>
      <c r="P260" s="192"/>
      <c r="Q260" s="193">
        <f>Q261+BF260+($R$350*Q261)</f>
        <v>0</v>
      </c>
      <c r="R260" s="193">
        <f>IFERROR(R261+($R$348*R261),"")</f>
        <v>0</v>
      </c>
      <c r="S260" s="194">
        <f>+IF(R262="SI",((W264*'BD GN'!$AB$2)+S261)*1,COTIZACIÓN!S261*1)+(P261*S261)</f>
        <v>0</v>
      </c>
      <c r="T260" s="195">
        <f>IFERROR(R260*IF(K260&lt;=3,$T$13,15%),"")</f>
        <v>0</v>
      </c>
      <c r="U260" s="196">
        <f>BH260+BG260</f>
        <v>0</v>
      </c>
      <c r="V260" s="197" t="str">
        <f>IFERROR(BN260,0)</f>
        <v/>
      </c>
      <c r="W260" s="198" t="str">
        <f>IFERROR(IF(X262="SI",W263*J260*K260,IF(BE260=3,BE262,IF(BE260=4,BE263,IF(BE260=5,BE264,IF(BE260&gt;5,BE264+(BE265*(BE260-5)),"")))))*0,"")</f>
        <v/>
      </c>
      <c r="X260" s="198" t="str">
        <f>IFERROR(IF(X261="NO",(VLOOKUP(D260,'BD M.O'!C:E,3,FALSE))*W264,((VLOOKUP(D260,'BD M.O'!C:E,3,FALSE))+7500)*W264),"")</f>
        <v/>
      </c>
      <c r="Y260" s="198">
        <f>IFERROR($Y$13*AK260,"")</f>
        <v>4.2084457416288003E-2</v>
      </c>
      <c r="Z260" s="332" t="str">
        <f>IFERROR(($Z$13*AK260)+X260,"")</f>
        <v/>
      </c>
      <c r="AA260" s="199" t="str">
        <f>IFERROR(Y260+Z260,"")</f>
        <v/>
      </c>
      <c r="AB260" s="200">
        <f>IFERROR((SUM(Q260:X260)-T260+T262)*$AB$13,"")</f>
        <v>0</v>
      </c>
      <c r="AC260" s="201">
        <f>IFERROR(((SUM(Q260:V260,IF(X265&gt;AA260,AVERAGE(X265,AA260),AA260))-T260+T262))*$AB$13,"")</f>
        <v>0</v>
      </c>
      <c r="AD260" s="202" t="str">
        <f>IFERROR((J260*K260*$BV$14),"")</f>
        <v/>
      </c>
      <c r="AE260" s="202">
        <f>IFERROR($AE$13*AK260,"")</f>
        <v>6.4010592649919984E-2</v>
      </c>
      <c r="AF260" s="203" t="str">
        <f>IFERROR(($CI$11+$CI$13)*W264,"")</f>
        <v/>
      </c>
      <c r="AG260" s="202">
        <f>IFERROR((SUM(Q260:X260,AB260,AD260,AF260)-T260+T262)*$AG$13,"")</f>
        <v>0</v>
      </c>
      <c r="AH260" s="202">
        <f>IFERROR((SUM(Q260:V260,(IF(X265&gt;AA260,AVERAGE(X265,AA260),AA260)),AC260,AE260,AF260)-T260+T262)*$AG$13,"")</f>
        <v>3.2005296324959992E-2</v>
      </c>
      <c r="AI260" s="204">
        <f>IFERROR(AL260*$AI$13,"")</f>
        <v>2.1531093279999997E-2</v>
      </c>
      <c r="AJ260" s="204">
        <f>IFERROR($AJ$13*AL260,"")</f>
        <v>6.007175025119999E-3</v>
      </c>
      <c r="AK260" s="205">
        <f>IFERROR(SUM(Q260:X260,AB260,AD260,AG260,AF260)/(1-$AI$13)+(1-$AJ$13)-T260+T262,"")</f>
        <v>0.99441999999999997</v>
      </c>
      <c r="AL260" s="205">
        <f>IFERROR(SUM(Q260:V260,AC260,(IF(AD260&gt;AE260,AVERAGE(AD260,AE260),AE260)),AF260,,AH260,(IF(SUM(X265)&gt;AA260,AVERAGE(AA260,X265),AA260)))/(1-$AJ$13)+(1-$AI$13)-T260+T262,"")</f>
        <v>1.0765546639999999</v>
      </c>
      <c r="AM260" s="206">
        <f>$M$15*Q260</f>
        <v>0</v>
      </c>
      <c r="AN260" s="207">
        <f>$M$15*R260</f>
        <v>0</v>
      </c>
      <c r="AO260" s="208">
        <f>$M$15*S260</f>
        <v>0</v>
      </c>
      <c r="AP260" s="207">
        <f>$M$15*T260</f>
        <v>0</v>
      </c>
      <c r="AQ260" s="207" t="e">
        <f>$M$15*#REF!</f>
        <v>#REF!</v>
      </c>
      <c r="AR260" s="207">
        <f>$M$15*U260</f>
        <v>0</v>
      </c>
      <c r="AS260" s="208" t="e">
        <f>$M$15*V260</f>
        <v>#VALUE!</v>
      </c>
      <c r="AT260" s="207" t="e">
        <f>$M$15*W260</f>
        <v>#VALUE!</v>
      </c>
      <c r="AU260" s="208" t="e">
        <f>$M$15*X260</f>
        <v>#VALUE!</v>
      </c>
      <c r="AV260" s="207">
        <f>$M$15*AB260</f>
        <v>0</v>
      </c>
      <c r="AW260" s="208">
        <f>$M$15*AE260</f>
        <v>0</v>
      </c>
      <c r="AX260" s="207">
        <f>$M$15*AG260</f>
        <v>0</v>
      </c>
      <c r="AY260" s="209">
        <f>$M$15*AI260</f>
        <v>0</v>
      </c>
      <c r="AZ260" s="207">
        <f>$M$15*AK260</f>
        <v>0</v>
      </c>
      <c r="BA260" s="210"/>
      <c r="BB260" s="175" t="s">
        <v>23</v>
      </c>
      <c r="BC260" s="211" t="s">
        <v>113</v>
      </c>
      <c r="BD260" s="210"/>
      <c r="BE260" s="212"/>
      <c r="BF260" s="213">
        <f>IF(BH261="NO",((2*J260)+(2*K260))*'BD GN'!$AU$3,((3*J260)+(2*K260))*'BD GN'!$AU$3)</f>
        <v>0</v>
      </c>
      <c r="BG260" s="213">
        <f>'BD GN'!$BB$3*J260*K260</f>
        <v>0</v>
      </c>
      <c r="BH260" s="214">
        <f>((J260*2*BE260)+(K260*2*BE260))*'BD GN'!$AN$4</f>
        <v>0</v>
      </c>
      <c r="BI260" s="210"/>
      <c r="BJ260" s="212"/>
      <c r="BK260" s="212"/>
      <c r="BL260" s="215">
        <f>J260*K260*2.5*BJ260</f>
        <v>0</v>
      </c>
      <c r="BM260" s="215">
        <f>BK260+BL260</f>
        <v>0</v>
      </c>
      <c r="BN260" s="216" t="str">
        <f>IFERROR((VLOOKUP($C$12,'BD GN'!BD:BM,10,FALSE)*BM260)+$BR$338,"")</f>
        <v/>
      </c>
      <c r="BO260" s="210"/>
      <c r="BW260" s="210"/>
      <c r="CD260" s="184"/>
      <c r="CF260" s="185"/>
      <c r="CI260" s="184"/>
      <c r="CJ260" s="210"/>
      <c r="CK260" s="565"/>
      <c r="CL260" s="256"/>
      <c r="CM260" s="596"/>
      <c r="CN260" s="626"/>
      <c r="CO260" s="629"/>
      <c r="CP260" s="629"/>
      <c r="CQ260" s="629"/>
      <c r="CR260" s="629"/>
      <c r="CS260" s="629"/>
      <c r="CT260" s="632"/>
      <c r="CU260" s="565"/>
      <c r="CV260" s="560">
        <f>IFERROR(N260*CU260,"")</f>
        <v>0</v>
      </c>
      <c r="CW260" s="565"/>
      <c r="CX260" s="560">
        <f>IFERROR(P260*CW260,"")</f>
        <v>0</v>
      </c>
      <c r="CY260" s="565"/>
      <c r="CZ260" s="560">
        <f>IFERROR(R260*CY260,"")</f>
        <v>0</v>
      </c>
      <c r="DA260" s="565">
        <f t="shared" ref="DA260" si="996">CU260+CW260+CY260</f>
        <v>0</v>
      </c>
      <c r="DB260" s="560">
        <f t="shared" ref="DB260" si="997">IFERROR(CV260+CX260+CZ260,"")</f>
        <v>0</v>
      </c>
      <c r="DC260" s="565">
        <f>M260-(CU260+CW260+CY260)</f>
        <v>0</v>
      </c>
      <c r="DD260" s="560">
        <f>IFERROR(O260-(CV260+CX260+CZ260),"")</f>
        <v>0</v>
      </c>
      <c r="DG260" s="575"/>
      <c r="DH260" s="575"/>
      <c r="DI260" s="569">
        <f t="shared" ref="DI260" si="998">IFERROR(IF(DG260&gt;0,(((N260)/(1+10%+19%*5%)+((N260)/(1+10%+19%*5%))*10%)*DH260),0),0)</f>
        <v>0</v>
      </c>
      <c r="DJ260" s="569">
        <f t="shared" ref="DJ260" si="999">IFERROR(IF(DG260&gt;0,(N260*DH260),0),0)</f>
        <v>0</v>
      </c>
      <c r="DK260" s="569">
        <f t="shared" ref="DK260" si="1000">IF(DG260&gt;0,((R260+T260)*DH260),0)</f>
        <v>0</v>
      </c>
      <c r="DL260" s="569">
        <f t="shared" ref="DL260" si="1001">IF(DG260&gt;0,(Q260*DH260),0)</f>
        <v>0</v>
      </c>
      <c r="DM260" s="572">
        <f t="shared" ref="DM260" si="1002">IF(DG260&gt;0,(S260*DH260),0)</f>
        <v>0</v>
      </c>
      <c r="DN260" s="569">
        <f t="shared" ref="DN260" si="1003">IF(DG260&gt;0,(BN260*DH260),0)</f>
        <v>0</v>
      </c>
      <c r="DO260" s="569">
        <f t="shared" ref="DO260" si="1004">IF(DG260&gt;0,(AF260*DH260),0)</f>
        <v>0</v>
      </c>
      <c r="DP260" s="569">
        <f>IF(DG260&gt;0,((DI260)*('BD P&amp;G'!$E$16+'BD P&amp;G'!$E$17+'BD P&amp;G'!$E$18+'BD P&amp;G'!$E$19+'BD P&amp;G'!$E$20+'BD P&amp;G'!$E$21+'BD P&amp;G'!$E$22+'BD P&amp;G'!$E$23)*DH260),0)</f>
        <v>0</v>
      </c>
      <c r="DQ260" s="569">
        <f>IFERROR(IF(DG260&gt;0,((DI260*'BD P&amp;G'!$E$7)+(DI260*'BD P&amp;G'!$E$9)+AI260),0),0)</f>
        <v>0</v>
      </c>
      <c r="DR260" s="569">
        <f t="shared" ref="DR260" si="1005">IFERROR(IF(DG260&gt;0,((DI260*1%)),0),0)</f>
        <v>0</v>
      </c>
      <c r="DS260" s="569">
        <f>IFERROR(IF(DG260&gt;0,(((DI260*'BD P&amp;G'!$E$32+DI260*'BD P&amp;G'!$E$33+DI260*'BD P&amp;G'!$E$35+DI260*'BD P&amp;G'!$E$36+DI260*'BD P&amp;G'!$E$37))),0),0)</f>
        <v>0</v>
      </c>
      <c r="DT260" s="569">
        <f t="shared" ref="DT260" si="1006">IF(DG260&gt;0,(Y260*DH260),0)</f>
        <v>0</v>
      </c>
      <c r="DU260" s="569">
        <f t="shared" ref="DU260" si="1007">IF(DG260&gt;0,(Z260*DH260),0)</f>
        <v>0</v>
      </c>
      <c r="DV260" s="575">
        <f t="shared" ref="DV260" si="1008">IF(DG260&gt;0,(Y264*DH260),0)</f>
        <v>0</v>
      </c>
      <c r="DW260" s="575">
        <f t="shared" ref="DW260" si="1009">IF(DG260&gt;0,(Z264*DH260),0)</f>
        <v>0</v>
      </c>
      <c r="DX260" s="569">
        <f t="shared" ref="DX260" si="1010">IF(DV260&gt;0,DJ260,0)</f>
        <v>0</v>
      </c>
      <c r="DY260" s="569">
        <f t="shared" ref="DY260" si="1011">IF(DW260&gt;0,DJ260,0)</f>
        <v>0</v>
      </c>
    </row>
    <row r="261" spans="1:194" s="175" customFormat="1" ht="60" customHeight="1" x14ac:dyDescent="0.25">
      <c r="A261" s="366"/>
      <c r="B261" s="367"/>
      <c r="C261" s="393" t="s">
        <v>28</v>
      </c>
      <c r="D261" s="598"/>
      <c r="E261" s="598"/>
      <c r="F261" s="598"/>
      <c r="G261" s="598"/>
      <c r="H261" s="598"/>
      <c r="I261" s="598"/>
      <c r="J261" s="604"/>
      <c r="K261" s="604"/>
      <c r="L261" s="607"/>
      <c r="M261" s="559"/>
      <c r="N261" s="610"/>
      <c r="O261" s="613"/>
      <c r="P261" s="192"/>
      <c r="Q261" s="217"/>
      <c r="R261" s="217"/>
      <c r="S261" s="218"/>
      <c r="T261" s="219">
        <f>IFERROR(T260/$R$353,"")</f>
        <v>0</v>
      </c>
      <c r="U261" s="206"/>
      <c r="V261" s="220"/>
      <c r="W261" s="221" t="s">
        <v>239</v>
      </c>
      <c r="X261" s="222" t="s">
        <v>204</v>
      </c>
      <c r="Y261" s="223"/>
      <c r="Z261" s="224"/>
      <c r="AA261" s="225"/>
      <c r="AB261" s="226"/>
      <c r="AC261" s="206"/>
      <c r="AD261" s="206"/>
      <c r="AE261" s="206"/>
      <c r="AF261" s="227"/>
      <c r="AG261" s="206"/>
      <c r="AH261" s="206"/>
      <c r="AI261" s="206"/>
      <c r="AJ261" s="206"/>
      <c r="AK261" s="227"/>
      <c r="AL261" s="210"/>
      <c r="AM261" s="206"/>
      <c r="AN261" s="206"/>
      <c r="AO261" s="228"/>
      <c r="AP261" s="229"/>
      <c r="AQ261" s="206"/>
      <c r="AR261" s="206"/>
      <c r="AS261" s="228"/>
      <c r="AT261" s="229"/>
      <c r="AU261" s="228"/>
      <c r="AV261" s="229"/>
      <c r="AW261" s="228"/>
      <c r="AX261" s="229"/>
      <c r="AY261" s="206"/>
      <c r="AZ261" s="229"/>
      <c r="BA261" s="210"/>
      <c r="BB261" s="175" t="s">
        <v>24</v>
      </c>
      <c r="BC261" s="175" t="s">
        <v>114</v>
      </c>
      <c r="BD261" s="210"/>
      <c r="BE261" s="176" t="s">
        <v>206</v>
      </c>
      <c r="BF261" s="230" t="s">
        <v>204</v>
      </c>
      <c r="BG261" s="176" t="s">
        <v>290</v>
      </c>
      <c r="BH261" s="231" t="s">
        <v>204</v>
      </c>
      <c r="BI261" s="210"/>
      <c r="BN261" s="232"/>
      <c r="BO261" s="210"/>
      <c r="BV261" s="184"/>
      <c r="BW261" s="210"/>
      <c r="CD261" s="184"/>
      <c r="CF261" s="185"/>
      <c r="CI261" s="184"/>
      <c r="CJ261" s="210"/>
      <c r="CK261" s="563"/>
      <c r="CM261" s="559"/>
      <c r="CN261" s="627"/>
      <c r="CO261" s="630"/>
      <c r="CP261" s="630"/>
      <c r="CQ261" s="630"/>
      <c r="CR261" s="630"/>
      <c r="CS261" s="630"/>
      <c r="CT261" s="633"/>
      <c r="CU261" s="563"/>
      <c r="CV261" s="561"/>
      <c r="CW261" s="563"/>
      <c r="CX261" s="561"/>
      <c r="CY261" s="563"/>
      <c r="CZ261" s="561"/>
      <c r="DA261" s="563"/>
      <c r="DB261" s="561"/>
      <c r="DC261" s="563"/>
      <c r="DD261" s="561"/>
      <c r="DG261" s="576"/>
      <c r="DH261" s="576"/>
      <c r="DI261" s="570"/>
      <c r="DJ261" s="570"/>
      <c r="DK261" s="570"/>
      <c r="DL261" s="570"/>
      <c r="DM261" s="573"/>
      <c r="DN261" s="570"/>
      <c r="DO261" s="570"/>
      <c r="DP261" s="570"/>
      <c r="DQ261" s="570"/>
      <c r="DR261" s="570"/>
      <c r="DS261" s="570"/>
      <c r="DT261" s="570"/>
      <c r="DU261" s="570"/>
      <c r="DV261" s="576"/>
      <c r="DW261" s="576"/>
      <c r="DX261" s="570"/>
      <c r="DY261" s="570"/>
    </row>
    <row r="262" spans="1:194" s="175" customFormat="1" ht="60" customHeight="1" x14ac:dyDescent="0.3">
      <c r="A262" s="366"/>
      <c r="B262" s="367"/>
      <c r="C262" s="393" t="s">
        <v>30</v>
      </c>
      <c r="D262" s="599"/>
      <c r="E262" s="599"/>
      <c r="F262" s="599"/>
      <c r="G262" s="599"/>
      <c r="H262" s="599"/>
      <c r="I262" s="599"/>
      <c r="J262" s="604"/>
      <c r="K262" s="604"/>
      <c r="L262" s="607"/>
      <c r="M262" s="559"/>
      <c r="N262" s="610"/>
      <c r="O262" s="613"/>
      <c r="P262" s="192"/>
      <c r="Q262" s="176" t="s">
        <v>205</v>
      </c>
      <c r="R262" s="233" t="s">
        <v>204</v>
      </c>
      <c r="S262" s="234"/>
      <c r="T262" s="235">
        <f>IFERROR(($R$353-8000)*T261,"")</f>
        <v>0</v>
      </c>
      <c r="U262" s="206"/>
      <c r="V262" s="220"/>
      <c r="W262" s="221" t="s">
        <v>258</v>
      </c>
      <c r="X262" s="222" t="s">
        <v>204</v>
      </c>
      <c r="Y262" s="236"/>
      <c r="Z262" s="237"/>
      <c r="AA262" s="225"/>
      <c r="AB262" s="226"/>
      <c r="AC262" s="206"/>
      <c r="AD262" s="206"/>
      <c r="AE262" s="206"/>
      <c r="AF262" s="227"/>
      <c r="AG262" s="206"/>
      <c r="AH262" s="206"/>
      <c r="AI262" s="206"/>
      <c r="AJ262" s="206"/>
      <c r="AK262" s="227"/>
      <c r="AL262" s="238"/>
      <c r="AM262" s="206"/>
      <c r="AN262" s="206"/>
      <c r="AO262" s="228"/>
      <c r="AP262" s="229"/>
      <c r="AQ262" s="206"/>
      <c r="AR262" s="206"/>
      <c r="AS262" s="228"/>
      <c r="AT262" s="229"/>
      <c r="AU262" s="228"/>
      <c r="AV262" s="229"/>
      <c r="AW262" s="228"/>
      <c r="AX262" s="229"/>
      <c r="AY262" s="206"/>
      <c r="AZ262" s="229"/>
      <c r="BA262" s="210"/>
      <c r="BB262" s="175" t="s">
        <v>26</v>
      </c>
      <c r="BC262" s="211" t="s">
        <v>115</v>
      </c>
      <c r="BD262" s="210"/>
      <c r="BE262" s="177" t="str">
        <f>IFERROR(VLOOKUP(D260,'BD M.O'!C:H,4,FALSE),"")</f>
        <v/>
      </c>
      <c r="BF262" s="177" t="s">
        <v>259</v>
      </c>
      <c r="BI262" s="210"/>
      <c r="BO262" s="210"/>
      <c r="BV262" s="184"/>
      <c r="BW262" s="210"/>
      <c r="CD262" s="184"/>
      <c r="CF262" s="185"/>
      <c r="CI262" s="184"/>
      <c r="CJ262" s="210"/>
      <c r="CK262" s="563"/>
      <c r="CM262" s="559"/>
      <c r="CN262" s="627"/>
      <c r="CO262" s="630"/>
      <c r="CP262" s="630"/>
      <c r="CQ262" s="630"/>
      <c r="CR262" s="630"/>
      <c r="CS262" s="630"/>
      <c r="CT262" s="633"/>
      <c r="CU262" s="563"/>
      <c r="CV262" s="561"/>
      <c r="CW262" s="563"/>
      <c r="CX262" s="561"/>
      <c r="CY262" s="563"/>
      <c r="CZ262" s="561"/>
      <c r="DA262" s="563"/>
      <c r="DB262" s="561"/>
      <c r="DC262" s="563"/>
      <c r="DD262" s="561"/>
      <c r="DG262" s="577"/>
      <c r="DH262" s="577"/>
      <c r="DI262" s="571"/>
      <c r="DJ262" s="571"/>
      <c r="DK262" s="571"/>
      <c r="DL262" s="571"/>
      <c r="DM262" s="574"/>
      <c r="DN262" s="571"/>
      <c r="DO262" s="571"/>
      <c r="DP262" s="571"/>
      <c r="DQ262" s="571"/>
      <c r="DR262" s="571"/>
      <c r="DS262" s="571"/>
      <c r="DT262" s="571"/>
      <c r="DU262" s="571"/>
      <c r="DV262" s="577"/>
      <c r="DW262" s="577"/>
      <c r="DX262" s="571"/>
      <c r="DY262" s="571"/>
    </row>
    <row r="263" spans="1:194" s="175" customFormat="1" ht="60" customHeight="1" x14ac:dyDescent="0.25">
      <c r="A263" s="366"/>
      <c r="B263" s="367"/>
      <c r="C263" s="395" t="s">
        <v>180</v>
      </c>
      <c r="D263" s="599" t="s">
        <v>31</v>
      </c>
      <c r="E263" s="599"/>
      <c r="F263" s="394" t="s">
        <v>9</v>
      </c>
      <c r="G263" s="599" t="s">
        <v>33</v>
      </c>
      <c r="H263" s="599"/>
      <c r="I263" s="394" t="str">
        <f>+IF($BG$9="SI","","X")</f>
        <v>X</v>
      </c>
      <c r="J263" s="604"/>
      <c r="K263" s="604"/>
      <c r="L263" s="607"/>
      <c r="M263" s="559"/>
      <c r="N263" s="610"/>
      <c r="O263" s="613"/>
      <c r="P263" s="192"/>
      <c r="Q263" s="239"/>
      <c r="R263" s="221" t="s">
        <v>209</v>
      </c>
      <c r="S263" s="234" t="str">
        <f>IF(S261="","",S261/(J260*K260))</f>
        <v/>
      </c>
      <c r="T263" s="226"/>
      <c r="U263" s="206"/>
      <c r="V263" s="220"/>
      <c r="W263" s="239" t="str">
        <f>IFERROR(IF(X262="SI",VLOOKUP(D260,'BD M.O'!C:F,4,FALSE),""),"")</f>
        <v/>
      </c>
      <c r="X263" s="221" t="s">
        <v>258</v>
      </c>
      <c r="Y263" s="221" t="s">
        <v>507</v>
      </c>
      <c r="Z263" s="221" t="s">
        <v>508</v>
      </c>
      <c r="AA263" s="225"/>
      <c r="AB263" s="226"/>
      <c r="AC263" s="206"/>
      <c r="AD263" s="206"/>
      <c r="AE263" s="206"/>
      <c r="AF263" s="227"/>
      <c r="AG263" s="206"/>
      <c r="AH263" s="206"/>
      <c r="AI263" s="206"/>
      <c r="AJ263" s="206"/>
      <c r="AK263" s="227"/>
      <c r="AL263" s="240"/>
      <c r="AM263" s="206"/>
      <c r="AN263" s="206"/>
      <c r="AO263" s="228"/>
      <c r="AP263" s="229"/>
      <c r="AQ263" s="206"/>
      <c r="AR263" s="206"/>
      <c r="AS263" s="228"/>
      <c r="AT263" s="229"/>
      <c r="AU263" s="228"/>
      <c r="AV263" s="229"/>
      <c r="AW263" s="228"/>
      <c r="AX263" s="229"/>
      <c r="AY263" s="206"/>
      <c r="AZ263" s="229"/>
      <c r="BA263" s="210"/>
      <c r="BC263" s="175" t="s">
        <v>116</v>
      </c>
      <c r="BD263" s="210"/>
      <c r="BE263" s="177" t="str">
        <f>IFERROR(VLOOKUP(COTIZACIÓN!D260,'BD M.O'!C:I,5,FALSE),"")</f>
        <v/>
      </c>
      <c r="BF263" s="177" t="s">
        <v>260</v>
      </c>
      <c r="BI263" s="210"/>
      <c r="BO263" s="210"/>
      <c r="BP263" s="183"/>
      <c r="BQ263" s="183"/>
      <c r="BR263" s="183"/>
      <c r="BS263" s="183"/>
      <c r="BT263" s="183"/>
      <c r="BU263" s="183"/>
      <c r="BV263" s="182"/>
      <c r="BW263" s="210"/>
      <c r="BX263" s="183"/>
      <c r="BY263" s="183"/>
      <c r="BZ263" s="183"/>
      <c r="CA263" s="183"/>
      <c r="CB263" s="183"/>
      <c r="CC263" s="183"/>
      <c r="CD263" s="182"/>
      <c r="CE263" s="183"/>
      <c r="CF263" s="241"/>
      <c r="CG263" s="183"/>
      <c r="CH263" s="183"/>
      <c r="CI263" s="182"/>
      <c r="CJ263" s="210"/>
      <c r="CK263" s="563"/>
      <c r="CM263" s="559"/>
      <c r="CN263" s="627"/>
      <c r="CO263" s="630"/>
      <c r="CP263" s="630"/>
      <c r="CQ263" s="630"/>
      <c r="CR263" s="630"/>
      <c r="CS263" s="630"/>
      <c r="CT263" s="633"/>
      <c r="CU263" s="563"/>
      <c r="CV263" s="561"/>
      <c r="CW263" s="563"/>
      <c r="CX263" s="561"/>
      <c r="CY263" s="563"/>
      <c r="CZ263" s="561"/>
      <c r="DA263" s="563"/>
      <c r="DB263" s="561"/>
      <c r="DC263" s="563"/>
      <c r="DD263" s="561"/>
      <c r="DG263" s="575"/>
      <c r="DH263" s="575"/>
      <c r="DI263" s="569">
        <f t="shared" ref="DI263" si="1012">IFERROR(IF(DG263&gt;0,(((N260)/(1+10%+19%*5%)+((N260)/(1+10%+19%*5%))*10%)*DH263),0),0)</f>
        <v>0</v>
      </c>
      <c r="DJ263" s="569">
        <f t="shared" ref="DJ263" si="1013">IFERROR(IF(DG263&gt;0,(N260*DH263),0),0)</f>
        <v>0</v>
      </c>
      <c r="DK263" s="569">
        <f t="shared" ref="DK263" si="1014">IF(DG263&gt;0,((R260+T260)*DH263),0)</f>
        <v>0</v>
      </c>
      <c r="DL263" s="569">
        <f t="shared" ref="DL263" si="1015">IF(DG263&gt;0,(Q260*DH263),0)</f>
        <v>0</v>
      </c>
      <c r="DM263" s="572">
        <f t="shared" ref="DM263" si="1016">IF(DG263&gt;0,(S260*DH263),0)</f>
        <v>0</v>
      </c>
      <c r="DN263" s="569">
        <f t="shared" ref="DN263" si="1017">IF(DG263&gt;0,(BN260*DH263),0)</f>
        <v>0</v>
      </c>
      <c r="DO263" s="569">
        <f t="shared" ref="DO263" si="1018">IF(DG263&gt;0,(AF260*DH263),0)</f>
        <v>0</v>
      </c>
      <c r="DP263" s="569">
        <f>IF(DG263&gt;0,((DI263)*('BD P&amp;G'!$E$16+'BD P&amp;G'!$E$17+'BD P&amp;G'!$E$18+'BD P&amp;G'!$E$19+'BD P&amp;G'!$E$20+'BD P&amp;G'!$E$21+'BD P&amp;G'!$E$22+'BD P&amp;G'!$E$23)*DH263),0)</f>
        <v>0</v>
      </c>
      <c r="DQ263" s="569">
        <f>IFERROR(IF(DG263&gt;0,((DI263*'BD P&amp;G'!$E$7)+(DI263*'BD P&amp;G'!$E$9)+AI260),0),0)</f>
        <v>0</v>
      </c>
      <c r="DR263" s="569">
        <f t="shared" ref="DR263" si="1019">IFERROR(IF(DG263&gt;0,((DI263*1%)),0),0)</f>
        <v>0</v>
      </c>
      <c r="DS263" s="569">
        <f>IFERROR(IF(DG263&gt;0,(((DI263*'BD P&amp;G'!$E$32+DI263*'BD P&amp;G'!$E$33+DI263*'BD P&amp;G'!$E$35+DI263*'BD P&amp;G'!$E$36+DI263*'BD P&amp;G'!$E$37))),0),0)</f>
        <v>0</v>
      </c>
      <c r="DT263" s="569">
        <f t="shared" ref="DT263" si="1020">IF(DG263&gt;0,(Y260*DH263),0)</f>
        <v>0</v>
      </c>
      <c r="DU263" s="569">
        <f t="shared" ref="DU263" si="1021">IF(DG263&gt;0,(Z260*DH263),0)</f>
        <v>0</v>
      </c>
      <c r="DV263" s="575">
        <f t="shared" ref="DV263" si="1022">IF(DG263&gt;0,(Y264*DH263),0)</f>
        <v>0</v>
      </c>
      <c r="DW263" s="575">
        <f t="shared" ref="DW263" si="1023">IF(DG263&gt;0,(Z264*DH263),0)</f>
        <v>0</v>
      </c>
      <c r="DX263" s="569">
        <f t="shared" ref="DX263" si="1024">IF(DV263&gt;0,DJ263,0)</f>
        <v>0</v>
      </c>
      <c r="DY263" s="569">
        <f t="shared" ref="DY263" si="1025">IF(DW263&gt;0,DJ263,0)</f>
        <v>0</v>
      </c>
    </row>
    <row r="264" spans="1:194" s="175" customFormat="1" ht="60" customHeight="1" x14ac:dyDescent="0.3">
      <c r="A264" s="366"/>
      <c r="B264" s="367"/>
      <c r="C264" s="393" t="s">
        <v>35</v>
      </c>
      <c r="D264" s="599" t="str">
        <f>IFERROR(VLOOKUP(D260,'BD GN'!C:E,3,),"")</f>
        <v/>
      </c>
      <c r="E264" s="599"/>
      <c r="F264" s="599"/>
      <c r="G264" s="599"/>
      <c r="H264" s="599"/>
      <c r="I264" s="599"/>
      <c r="J264" s="604"/>
      <c r="K264" s="604"/>
      <c r="L264" s="607"/>
      <c r="M264" s="559"/>
      <c r="N264" s="610"/>
      <c r="O264" s="613"/>
      <c r="P264" s="192"/>
      <c r="Q264" s="239"/>
      <c r="R264" s="221" t="s">
        <v>210</v>
      </c>
      <c r="S264" s="234" t="str">
        <f>IFERROR(IF(N260="","",N260/W264),"")</f>
        <v/>
      </c>
      <c r="T264" s="226"/>
      <c r="U264" s="206"/>
      <c r="V264" s="220"/>
      <c r="W264" s="242" t="str">
        <f>+IF(J260*K260&gt;=1,J260*K260,IF(AND(J260*K260&gt;0,J260*K260&lt;1),1,""))</f>
        <v/>
      </c>
      <c r="X264" s="221" t="s">
        <v>298</v>
      </c>
      <c r="Y264" s="461">
        <f>IFERROR(IF(D260='BD GN'!$C$25,COTIZACIÓN!W264,IF(D260='BD GN'!$C$26,COTIZACIÓN!W264,IF(D260='BD GN'!$C$27,COTIZACIÓN!W264,IF(COTIZACIÓN!D260='BD GN'!$C$28,COTIZACIÓN!W264,IF(COTIZACIÓN!D260='BD GN'!$C$29,COTIZACIÓN!W264,IF(COTIZACIÓN!D260='BD GN'!$C$35,COTIZACIÓN!W264,IF(COTIZACIÓN!D260='BD GN'!$C$36,COTIZACIÓN!W264,IF(COTIZACIÓN!D260='BD GN'!$C$37,COTIZACIÓN!W264,IF(COTIZACIÓN!D260='BD GN'!$C$38,COTIZACIÓN!W264,IF(COTIZACIÓN!D260='BD GN'!$C$39,COTIZACIÓN!W264,IF(COTIZACIÓN!D260='BD GN'!$C$40,COTIZACIÓN!W264,IF(COTIZACIÓN!D260='BD GN'!$C$41,COTIZACIÓN!W264,IF(COTIZACIÓN!D260='BD GN'!$C$42,COTIZACIÓN!W264,IF(COTIZACIÓN!D260='BD GN'!$C$49,COTIZACIÓN!W264,IF(COTIZACIÓN!D260='BD GN'!$C$50,COTIZACIÓN!W264,IF(COTIZACIÓN!D260='BD GN'!$C$51,COTIZACIÓN!W264,IF(COTIZACIÓN!D260='BD GN'!$C$67,COTIZACIÓN!W264,0))))))))))))))))),0)</f>
        <v>0</v>
      </c>
      <c r="Z264" s="461">
        <f>IFERROR(W264-Y264,0)</f>
        <v>0</v>
      </c>
      <c r="AA264" s="225"/>
      <c r="AB264" s="226"/>
      <c r="AC264" s="206"/>
      <c r="AD264" s="206"/>
      <c r="AE264" s="206"/>
      <c r="AF264" s="227"/>
      <c r="AG264" s="206"/>
      <c r="AH264" s="206"/>
      <c r="AI264" s="206"/>
      <c r="AJ264" s="206"/>
      <c r="AK264" s="227"/>
      <c r="AL264" s="210"/>
      <c r="AM264" s="206"/>
      <c r="AN264" s="206"/>
      <c r="AO264" s="228"/>
      <c r="AP264" s="229"/>
      <c r="AQ264" s="206"/>
      <c r="AR264" s="206"/>
      <c r="AS264" s="228"/>
      <c r="AT264" s="229"/>
      <c r="AU264" s="228"/>
      <c r="AV264" s="229"/>
      <c r="AW264" s="228"/>
      <c r="AX264" s="229"/>
      <c r="AY264" s="206"/>
      <c r="AZ264" s="229"/>
      <c r="BA264" s="210"/>
      <c r="BC264" s="211" t="s">
        <v>117</v>
      </c>
      <c r="BD264" s="210"/>
      <c r="BE264" s="177" t="str">
        <f>IFERROR(VLOOKUP(D260,'BD M.O'!C:I,6,FALSE),"")</f>
        <v/>
      </c>
      <c r="BF264" s="177" t="s">
        <v>261</v>
      </c>
      <c r="BI264" s="210"/>
      <c r="BO264" s="210"/>
      <c r="BP264" s="183"/>
      <c r="BQ264" s="183"/>
      <c r="BR264" s="183"/>
      <c r="BW264" s="210"/>
      <c r="CD264" s="184"/>
      <c r="CF264" s="185"/>
      <c r="CI264" s="184"/>
      <c r="CJ264" s="210"/>
      <c r="CK264" s="563"/>
      <c r="CM264" s="559"/>
      <c r="CN264" s="627"/>
      <c r="CO264" s="630"/>
      <c r="CP264" s="630"/>
      <c r="CQ264" s="630"/>
      <c r="CR264" s="630"/>
      <c r="CS264" s="630"/>
      <c r="CT264" s="633"/>
      <c r="CU264" s="563"/>
      <c r="CV264" s="561"/>
      <c r="CW264" s="563"/>
      <c r="CX264" s="561"/>
      <c r="CY264" s="563"/>
      <c r="CZ264" s="561"/>
      <c r="DA264" s="563"/>
      <c r="DB264" s="561"/>
      <c r="DC264" s="563"/>
      <c r="DD264" s="561"/>
      <c r="DG264" s="576"/>
      <c r="DH264" s="576"/>
      <c r="DI264" s="570"/>
      <c r="DJ264" s="570"/>
      <c r="DK264" s="570"/>
      <c r="DL264" s="570"/>
      <c r="DM264" s="573"/>
      <c r="DN264" s="570"/>
      <c r="DO264" s="570"/>
      <c r="DP264" s="570"/>
      <c r="DQ264" s="570"/>
      <c r="DR264" s="570"/>
      <c r="DS264" s="570"/>
      <c r="DT264" s="570"/>
      <c r="DU264" s="570"/>
      <c r="DV264" s="576"/>
      <c r="DW264" s="576"/>
      <c r="DX264" s="570"/>
      <c r="DY264" s="570"/>
    </row>
    <row r="265" spans="1:194" s="252" customFormat="1" ht="60" customHeight="1" x14ac:dyDescent="0.25">
      <c r="A265" s="368"/>
      <c r="B265" s="369"/>
      <c r="C265" s="396" t="s">
        <v>10</v>
      </c>
      <c r="D265" s="645" t="s">
        <v>32</v>
      </c>
      <c r="E265" s="645"/>
      <c r="F265" s="645"/>
      <c r="G265" s="645"/>
      <c r="H265" s="645"/>
      <c r="I265" s="645"/>
      <c r="J265" s="643"/>
      <c r="K265" s="643"/>
      <c r="L265" s="646"/>
      <c r="M265" s="648"/>
      <c r="N265" s="649"/>
      <c r="O265" s="644"/>
      <c r="P265" s="192"/>
      <c r="Q265" s="239"/>
      <c r="R265" s="334" t="s">
        <v>475</v>
      </c>
      <c r="S265" s="234" t="str">
        <f>IFERROR(IF($C$12='BD GN'!$CC$1,VLOOKUP(COTIZACIÓN!D260,'BD GN'!CB:CG,2,FALSE),IF(COTIZACIÓN!$C$12='BD GN'!$CD$1,VLOOKUP(COTIZACIÓN!D260,'BD GN'!CB:CG,3,FALSE),IF($C$12='BD GN'!$CE$1,VLOOKUP(COTIZACIÓN!D260,'BD GN'!CB:CG,4,FALSE),IF(COTIZACIÓN!$C$12='BD GN'!$CF$1,VLOOKUP(COTIZACIÓN!D260,'BD GN'!CB:CG,5,FALSE),IF(COTIZACIÓN!$C$12='BD GN'!$CG$1,VLOOKUP(COTIZACIÓN!D260,'BD GN'!CB:CG,6,FALSE),""))))),"-")</f>
        <v/>
      </c>
      <c r="T265" s="243"/>
      <c r="U265" s="244"/>
      <c r="V265" s="245"/>
      <c r="W265" s="177" t="s">
        <v>394</v>
      </c>
      <c r="X265" s="246">
        <f>IFERROR(SUM(W260:X260),"")</f>
        <v>0</v>
      </c>
      <c r="Y265" s="166" t="s">
        <v>404</v>
      </c>
      <c r="Z265" s="199" t="str">
        <f>IFERROR(Y260+Z260,"")</f>
        <v/>
      </c>
      <c r="AA265" s="247"/>
      <c r="AB265" s="243"/>
      <c r="AC265" s="244"/>
      <c r="AD265" s="244"/>
      <c r="AE265" s="244"/>
      <c r="AF265" s="227"/>
      <c r="AG265" s="206"/>
      <c r="AH265" s="206"/>
      <c r="AI265" s="206"/>
      <c r="AJ265" s="206"/>
      <c r="AK265" s="227"/>
      <c r="AL265" s="227"/>
      <c r="AM265" s="248"/>
      <c r="AN265" s="248"/>
      <c r="AO265" s="249"/>
      <c r="AP265" s="250"/>
      <c r="AQ265" s="248"/>
      <c r="AR265" s="248"/>
      <c r="AS265" s="249"/>
      <c r="AT265" s="250"/>
      <c r="AU265" s="249"/>
      <c r="AV265" s="250"/>
      <c r="AW265" s="249"/>
      <c r="AX265" s="250"/>
      <c r="AY265" s="248"/>
      <c r="AZ265" s="250"/>
      <c r="BA265" s="210"/>
      <c r="BB265" s="175"/>
      <c r="BC265" s="175" t="s">
        <v>118</v>
      </c>
      <c r="BD265" s="210"/>
      <c r="BE265" s="251" t="str">
        <f>IFERROR(VLOOKUP(D260,'BD M.O'!C:I,7,FALSE),"")</f>
        <v/>
      </c>
      <c r="BF265" s="251" t="s">
        <v>262</v>
      </c>
      <c r="BG265" s="175"/>
      <c r="BH265" s="175"/>
      <c r="BI265" s="210"/>
      <c r="BJ265" s="175"/>
      <c r="BK265" s="175"/>
      <c r="BL265" s="175"/>
      <c r="BM265" s="175"/>
      <c r="BN265" s="175"/>
      <c r="BO265" s="210"/>
      <c r="BP265" s="175"/>
      <c r="BQ265" s="175"/>
      <c r="BR265" s="175"/>
      <c r="BS265" s="183"/>
      <c r="BT265" s="183"/>
      <c r="BU265" s="183"/>
      <c r="BV265" s="183"/>
      <c r="BW265" s="210"/>
      <c r="BX265" s="175"/>
      <c r="BY265" s="175"/>
      <c r="BZ265" s="175"/>
      <c r="CA265" s="175"/>
      <c r="CB265" s="175"/>
      <c r="CC265" s="175"/>
      <c r="CD265" s="184"/>
      <c r="CE265" s="175"/>
      <c r="CF265" s="185"/>
      <c r="CG265" s="175"/>
      <c r="CH265" s="175"/>
      <c r="CI265" s="184"/>
      <c r="CJ265" s="210"/>
      <c r="CK265" s="564"/>
      <c r="CL265" s="257"/>
      <c r="CM265" s="597"/>
      <c r="CN265" s="628"/>
      <c r="CO265" s="631"/>
      <c r="CP265" s="631"/>
      <c r="CQ265" s="631"/>
      <c r="CR265" s="631"/>
      <c r="CS265" s="631"/>
      <c r="CT265" s="634"/>
      <c r="CU265" s="564"/>
      <c r="CV265" s="562"/>
      <c r="CW265" s="564"/>
      <c r="CX265" s="562"/>
      <c r="CY265" s="564"/>
      <c r="CZ265" s="562"/>
      <c r="DA265" s="564"/>
      <c r="DB265" s="562"/>
      <c r="DC265" s="564"/>
      <c r="DD265" s="562"/>
      <c r="DE265" s="175"/>
      <c r="DF265" s="175"/>
      <c r="DG265" s="577"/>
      <c r="DH265" s="577"/>
      <c r="DI265" s="571"/>
      <c r="DJ265" s="571"/>
      <c r="DK265" s="571"/>
      <c r="DL265" s="571"/>
      <c r="DM265" s="574"/>
      <c r="DN265" s="571"/>
      <c r="DO265" s="571"/>
      <c r="DP265" s="571"/>
      <c r="DQ265" s="571"/>
      <c r="DR265" s="571"/>
      <c r="DS265" s="571"/>
      <c r="DT265" s="571"/>
      <c r="DU265" s="571"/>
      <c r="DV265" s="577"/>
      <c r="DW265" s="577"/>
      <c r="DX265" s="571"/>
      <c r="DY265" s="571"/>
      <c r="DZ265" s="175"/>
      <c r="EA265" s="175"/>
      <c r="EB265" s="175"/>
      <c r="EC265" s="175"/>
      <c r="ED265" s="175"/>
      <c r="EE265" s="175"/>
      <c r="EF265" s="175"/>
      <c r="EG265" s="175"/>
      <c r="EH265" s="175"/>
      <c r="EI265" s="175"/>
      <c r="EJ265" s="175"/>
      <c r="EK265" s="175"/>
      <c r="EL265" s="175"/>
      <c r="EM265" s="175"/>
      <c r="EN265" s="175"/>
      <c r="EO265" s="175"/>
      <c r="EP265" s="175"/>
      <c r="EQ265" s="175"/>
      <c r="ER265" s="175"/>
      <c r="ES265" s="175"/>
      <c r="ET265" s="175"/>
      <c r="EU265" s="175"/>
      <c r="EV265" s="175"/>
      <c r="EW265" s="175"/>
      <c r="EX265" s="175"/>
      <c r="EY265" s="175"/>
      <c r="EZ265" s="175"/>
      <c r="FA265" s="175"/>
      <c r="FB265" s="175"/>
      <c r="FC265" s="175"/>
      <c r="FD265" s="175"/>
      <c r="FE265" s="175"/>
      <c r="FF265" s="175"/>
      <c r="FG265" s="175"/>
      <c r="FH265" s="175"/>
      <c r="FI265" s="175"/>
      <c r="FJ265" s="175"/>
      <c r="FK265" s="175"/>
      <c r="FL265" s="175"/>
      <c r="FM265" s="175"/>
      <c r="FN265" s="175"/>
      <c r="FO265" s="175"/>
      <c r="FP265" s="175"/>
      <c r="FQ265" s="175"/>
      <c r="FR265" s="175"/>
      <c r="FS265" s="175"/>
      <c r="FT265" s="175"/>
      <c r="FU265" s="175"/>
      <c r="FV265" s="175"/>
      <c r="FW265" s="175"/>
      <c r="FX265" s="175"/>
      <c r="FY265" s="175"/>
      <c r="FZ265" s="175"/>
      <c r="GA265" s="175"/>
      <c r="GB265" s="175"/>
      <c r="GC265" s="175"/>
      <c r="GD265" s="175"/>
      <c r="GE265" s="175"/>
      <c r="GF265" s="175"/>
      <c r="GG265" s="175"/>
      <c r="GH265" s="175"/>
      <c r="GI265" s="175"/>
      <c r="GJ265" s="175"/>
      <c r="GK265" s="175"/>
      <c r="GL265" s="175"/>
    </row>
    <row r="266" spans="1:194" s="255" customFormat="1" ht="60" customHeight="1" x14ac:dyDescent="0.3">
      <c r="A266" s="362" t="s">
        <v>193</v>
      </c>
      <c r="B266" s="363" t="s">
        <v>25</v>
      </c>
      <c r="C266" s="391" t="s">
        <v>174</v>
      </c>
      <c r="D266" s="640" t="s">
        <v>173</v>
      </c>
      <c r="E266" s="640"/>
      <c r="F266" s="640"/>
      <c r="G266" s="640"/>
      <c r="H266" s="640"/>
      <c r="I266" s="640"/>
      <c r="J266" s="418" t="s">
        <v>443</v>
      </c>
      <c r="K266" s="418" t="s">
        <v>444</v>
      </c>
      <c r="L266" s="418" t="s">
        <v>171</v>
      </c>
      <c r="M266" s="363" t="s">
        <v>2</v>
      </c>
      <c r="N266" s="419" t="s">
        <v>7</v>
      </c>
      <c r="O266" s="420" t="s">
        <v>8</v>
      </c>
      <c r="P266" s="159"/>
      <c r="Q266" s="164" t="s">
        <v>93</v>
      </c>
      <c r="R266" s="164" t="s">
        <v>34</v>
      </c>
      <c r="S266" s="164" t="s">
        <v>28</v>
      </c>
      <c r="T266" s="164" t="s">
        <v>95</v>
      </c>
      <c r="U266" s="164" t="s">
        <v>96</v>
      </c>
      <c r="V266" s="164" t="s">
        <v>97</v>
      </c>
      <c r="W266" s="164" t="s">
        <v>4</v>
      </c>
      <c r="X266" s="164" t="s">
        <v>103</v>
      </c>
      <c r="Y266" s="160" t="s">
        <v>402</v>
      </c>
      <c r="Z266" s="165" t="s">
        <v>403</v>
      </c>
      <c r="AA266" s="166" t="s">
        <v>404</v>
      </c>
      <c r="AB266" s="164" t="s">
        <v>99</v>
      </c>
      <c r="AC266" s="164" t="s">
        <v>395</v>
      </c>
      <c r="AD266" s="253" t="s">
        <v>36</v>
      </c>
      <c r="AE266" s="164" t="s">
        <v>389</v>
      </c>
      <c r="AF266" s="164" t="s">
        <v>390</v>
      </c>
      <c r="AG266" s="164" t="s">
        <v>164</v>
      </c>
      <c r="AH266" s="253" t="s">
        <v>396</v>
      </c>
      <c r="AI266" s="164" t="s">
        <v>190</v>
      </c>
      <c r="AJ266" s="164" t="s">
        <v>339</v>
      </c>
      <c r="AK266" s="253" t="s">
        <v>391</v>
      </c>
      <c r="AL266" s="253" t="s">
        <v>393</v>
      </c>
      <c r="AM266" s="167" t="s">
        <v>93</v>
      </c>
      <c r="AN266" s="168" t="s">
        <v>34</v>
      </c>
      <c r="AO266" s="169" t="s">
        <v>28</v>
      </c>
      <c r="AP266" s="170" t="s">
        <v>95</v>
      </c>
      <c r="AQ266" s="167" t="s">
        <v>3</v>
      </c>
      <c r="AR266" s="167" t="s">
        <v>96</v>
      </c>
      <c r="AS266" s="169" t="s">
        <v>97</v>
      </c>
      <c r="AT266" s="170" t="s">
        <v>4</v>
      </c>
      <c r="AU266" s="169" t="s">
        <v>103</v>
      </c>
      <c r="AV266" s="170" t="s">
        <v>99</v>
      </c>
      <c r="AW266" s="169" t="s">
        <v>36</v>
      </c>
      <c r="AX266" s="171" t="s">
        <v>29</v>
      </c>
      <c r="AY266" s="172" t="s">
        <v>190</v>
      </c>
      <c r="AZ266" s="173" t="s">
        <v>102</v>
      </c>
      <c r="BA266" s="174"/>
      <c r="BB266" s="183"/>
      <c r="BC266" s="211" t="s">
        <v>119</v>
      </c>
      <c r="BD266" s="174"/>
      <c r="BE266" s="176" t="s">
        <v>189</v>
      </c>
      <c r="BF266" s="177" t="str">
        <f>$BF$13</f>
        <v xml:space="preserve">VR SILICONA </v>
      </c>
      <c r="BG266" s="177" t="str">
        <f>$BG$13</f>
        <v xml:space="preserve">VR PELÍCULA </v>
      </c>
      <c r="BH266" s="254" t="str">
        <f>$BH$13</f>
        <v>VR EMBALAJE</v>
      </c>
      <c r="BI266" s="174"/>
      <c r="BJ266" s="176" t="str">
        <f>$BJ$13</f>
        <v>ESP. CRISTAL</v>
      </c>
      <c r="BK266" s="176" t="s">
        <v>130</v>
      </c>
      <c r="BL266" s="177" t="s">
        <v>28</v>
      </c>
      <c r="BM266" s="177" t="str">
        <f>BM259</f>
        <v>TOTAL</v>
      </c>
      <c r="BN266" s="177" t="s">
        <v>133</v>
      </c>
      <c r="BO266" s="174"/>
      <c r="BP266" s="175"/>
      <c r="BQ266" s="175"/>
      <c r="BR266" s="175"/>
      <c r="BS266" s="175"/>
      <c r="BT266" s="175"/>
      <c r="BU266" s="175"/>
      <c r="BV266" s="175"/>
      <c r="BW266" s="174"/>
      <c r="BX266" s="175"/>
      <c r="BY266" s="175"/>
      <c r="BZ266" s="175"/>
      <c r="CA266" s="175"/>
      <c r="CB266" s="175"/>
      <c r="CC266" s="175"/>
      <c r="CD266" s="184"/>
      <c r="CE266" s="175"/>
      <c r="CF266" s="185"/>
      <c r="CG266" s="175"/>
      <c r="CH266" s="175"/>
      <c r="CI266" s="184"/>
      <c r="CJ266" s="174"/>
      <c r="CK266" s="186" t="s">
        <v>415</v>
      </c>
      <c r="CL266" s="187" t="s">
        <v>417</v>
      </c>
      <c r="CM266" s="187" t="s">
        <v>416</v>
      </c>
      <c r="CN266" s="188" t="s">
        <v>418</v>
      </c>
      <c r="CO266" s="187" t="s">
        <v>417</v>
      </c>
      <c r="CP266" s="187" t="s">
        <v>409</v>
      </c>
      <c r="CQ266" s="187" t="s">
        <v>410</v>
      </c>
      <c r="CR266" s="187" t="s">
        <v>411</v>
      </c>
      <c r="CS266" s="187" t="s">
        <v>412</v>
      </c>
      <c r="CT266" s="187" t="s">
        <v>413</v>
      </c>
      <c r="CU266" s="189" t="s">
        <v>2</v>
      </c>
      <c r="CV266" s="190" t="s">
        <v>159</v>
      </c>
      <c r="CW266" s="189" t="s">
        <v>2</v>
      </c>
      <c r="CX266" s="190" t="s">
        <v>159</v>
      </c>
      <c r="CY266" s="189" t="s">
        <v>2</v>
      </c>
      <c r="CZ266" s="190" t="s">
        <v>159</v>
      </c>
      <c r="DA266" s="189" t="s">
        <v>2</v>
      </c>
      <c r="DB266" s="190" t="s">
        <v>159</v>
      </c>
      <c r="DC266" s="189" t="s">
        <v>2</v>
      </c>
      <c r="DD266" s="190" t="s">
        <v>159</v>
      </c>
      <c r="DE266" s="183"/>
      <c r="DF266" s="183"/>
      <c r="DG266" s="177" t="s">
        <v>505</v>
      </c>
      <c r="DH266" s="472" t="s">
        <v>509</v>
      </c>
      <c r="DI266" s="457" t="s">
        <v>506</v>
      </c>
      <c r="DJ266" s="457" t="s">
        <v>134</v>
      </c>
      <c r="DK266" s="457" t="s">
        <v>498</v>
      </c>
      <c r="DL266" s="457" t="s">
        <v>499</v>
      </c>
      <c r="DM266" s="457" t="s">
        <v>500</v>
      </c>
      <c r="DN266" s="457" t="s">
        <v>131</v>
      </c>
      <c r="DO266" s="457" t="s">
        <v>390</v>
      </c>
      <c r="DP266" s="457" t="s">
        <v>36</v>
      </c>
      <c r="DQ266" s="457" t="s">
        <v>501</v>
      </c>
      <c r="DR266" s="457" t="s">
        <v>502</v>
      </c>
      <c r="DS266" s="457" t="s">
        <v>503</v>
      </c>
      <c r="DT266" s="457" t="s">
        <v>4</v>
      </c>
      <c r="DU266" s="457" t="s">
        <v>504</v>
      </c>
      <c r="DV266" s="466" t="s">
        <v>507</v>
      </c>
      <c r="DW266" s="466" t="s">
        <v>508</v>
      </c>
      <c r="DX266" s="457" t="s">
        <v>510</v>
      </c>
      <c r="DY266" s="457" t="s">
        <v>511</v>
      </c>
      <c r="DZ266" s="183"/>
      <c r="EA266" s="183"/>
      <c r="EB266" s="183"/>
      <c r="EC266" s="183"/>
      <c r="ED266" s="183"/>
      <c r="EE266" s="183"/>
      <c r="EF266" s="183"/>
      <c r="EG266" s="183"/>
      <c r="EH266" s="183"/>
      <c r="EI266" s="183"/>
      <c r="EJ266" s="183"/>
      <c r="EK266" s="183"/>
      <c r="EL266" s="183"/>
      <c r="EM266" s="183"/>
      <c r="EN266" s="183"/>
      <c r="EO266" s="183"/>
      <c r="EP266" s="183"/>
      <c r="EQ266" s="183"/>
      <c r="ER266" s="183"/>
      <c r="ES266" s="183"/>
      <c r="ET266" s="183"/>
      <c r="EU266" s="183"/>
      <c r="EV266" s="183"/>
      <c r="EW266" s="183"/>
      <c r="EX266" s="183"/>
      <c r="EY266" s="183"/>
      <c r="EZ266" s="183"/>
      <c r="FA266" s="183"/>
      <c r="FB266" s="183"/>
      <c r="FC266" s="183"/>
      <c r="FD266" s="183"/>
      <c r="FE266" s="183"/>
      <c r="FF266" s="183"/>
      <c r="FG266" s="183"/>
      <c r="FH266" s="183"/>
      <c r="FI266" s="183"/>
      <c r="FJ266" s="183"/>
      <c r="FK266" s="183"/>
      <c r="FL266" s="183"/>
      <c r="FM266" s="183"/>
      <c r="FN266" s="183"/>
      <c r="FO266" s="183"/>
      <c r="FP266" s="183"/>
      <c r="FQ266" s="183"/>
      <c r="FR266" s="183"/>
      <c r="FS266" s="183"/>
      <c r="FT266" s="183"/>
      <c r="FU266" s="183"/>
      <c r="FV266" s="183"/>
      <c r="FW266" s="183"/>
      <c r="FX266" s="183"/>
      <c r="FY266" s="183"/>
      <c r="FZ266" s="183"/>
      <c r="GA266" s="183"/>
      <c r="GB266" s="183"/>
      <c r="GC266" s="183"/>
      <c r="GD266" s="183"/>
      <c r="GE266" s="183"/>
      <c r="GF266" s="183"/>
      <c r="GG266" s="183"/>
      <c r="GH266" s="183"/>
      <c r="GI266" s="183"/>
      <c r="GJ266" s="183"/>
      <c r="GK266" s="183"/>
      <c r="GL266" s="183"/>
    </row>
    <row r="267" spans="1:194" s="175" customFormat="1" ht="60" customHeight="1" x14ac:dyDescent="0.3">
      <c r="A267" s="364"/>
      <c r="B267" s="365"/>
      <c r="C267" s="392" t="s">
        <v>27</v>
      </c>
      <c r="D267" s="641"/>
      <c r="E267" s="641"/>
      <c r="F267" s="641"/>
      <c r="G267" s="641"/>
      <c r="H267" s="641"/>
      <c r="I267" s="641"/>
      <c r="J267" s="642"/>
      <c r="K267" s="642"/>
      <c r="L267" s="622">
        <f>J267*K267*M267</f>
        <v>0</v>
      </c>
      <c r="M267" s="623"/>
      <c r="N267" s="620">
        <f>IFERROR(AL267,"")</f>
        <v>1.0765546639999999</v>
      </c>
      <c r="O267" s="621">
        <f>IFERROR(N267*M267,"")</f>
        <v>0</v>
      </c>
      <c r="P267" s="192"/>
      <c r="Q267" s="193">
        <f>Q268+BF267+($R$350*Q268)</f>
        <v>0</v>
      </c>
      <c r="R267" s="193">
        <f>IFERROR(R268+($R$348*R268),"")</f>
        <v>0</v>
      </c>
      <c r="S267" s="194">
        <f>+IF(R269="SI",((W271*'BD GN'!$AB$2)+S268)*1,COTIZACIÓN!S268*1)+(P268*S268)</f>
        <v>0</v>
      </c>
      <c r="T267" s="195">
        <f>IFERROR(R267*IF(K267&lt;=3,$T$13,15%),"")</f>
        <v>0</v>
      </c>
      <c r="U267" s="196">
        <f>BH267+BG267</f>
        <v>0</v>
      </c>
      <c r="V267" s="197" t="str">
        <f>IFERROR(BN267,0)</f>
        <v/>
      </c>
      <c r="W267" s="198" t="str">
        <f>IFERROR(IF(X269="SI",W270*J267*K267,IF(BE267=3,BE269,IF(BE267=4,BE270,IF(BE267=5,BE271,IF(BE267&gt;5,BE271+(BE272*(BE267-5)),"")))))*0,"")</f>
        <v/>
      </c>
      <c r="X267" s="198" t="str">
        <f>IFERROR(IF(X268="NO",(VLOOKUP(D267,'BD M.O'!C:E,3,FALSE))*W271,((VLOOKUP(D267,'BD M.O'!C:E,3,FALSE))+7500)*W271),"")</f>
        <v/>
      </c>
      <c r="Y267" s="198">
        <f>IFERROR($Y$13*AK267,"")</f>
        <v>4.2084457416288003E-2</v>
      </c>
      <c r="Z267" s="332" t="str">
        <f>IFERROR(($Z$13*AK267)+X267,"")</f>
        <v/>
      </c>
      <c r="AA267" s="199" t="str">
        <f>IFERROR(Y267+Z267,"")</f>
        <v/>
      </c>
      <c r="AB267" s="200">
        <f>IFERROR((SUM(Q267:X267)-T267+T269)*$AB$13,"")</f>
        <v>0</v>
      </c>
      <c r="AC267" s="201">
        <f>IFERROR(((SUM(Q267:V267,IF(X272&gt;AA267,AVERAGE(X272,AA267),AA267))-T267+T269))*$AB$13,"")</f>
        <v>0</v>
      </c>
      <c r="AD267" s="202" t="str">
        <f>IFERROR((J267*K267*$BV$14),"")</f>
        <v/>
      </c>
      <c r="AE267" s="202">
        <f>IFERROR($AE$13*AK267,"")</f>
        <v>6.4010592649919984E-2</v>
      </c>
      <c r="AF267" s="203" t="str">
        <f>IFERROR(($CI$11+$CI$13)*W271,"")</f>
        <v/>
      </c>
      <c r="AG267" s="202">
        <f>IFERROR((SUM(Q267:X267,AB267,AD267,AF267)-T267+T269)*$AG$13,"")</f>
        <v>0</v>
      </c>
      <c r="AH267" s="202">
        <f>IFERROR((SUM(Q267:V267,(IF(X272&gt;AA267,AVERAGE(X272,AA267),AA267)),AC267,AE267,AF267)-T267+T269)*$AG$13,"")</f>
        <v>3.2005296324959992E-2</v>
      </c>
      <c r="AI267" s="204">
        <f>IFERROR(AL267*$AI$13,"")</f>
        <v>2.1531093279999997E-2</v>
      </c>
      <c r="AJ267" s="204">
        <f>IFERROR($AJ$13*AL267,"")</f>
        <v>6.007175025119999E-3</v>
      </c>
      <c r="AK267" s="205">
        <f>IFERROR(SUM(Q267:X267,AB267,AD267,AG267,AF267)/(1-$AI$13)+(1-$AJ$13)-T267+T269,"")</f>
        <v>0.99441999999999997</v>
      </c>
      <c r="AL267" s="205">
        <f>IFERROR(SUM(Q267:V267,AC267,(IF(AD267&gt;AE267,AVERAGE(AD267,AE267),AE267)),AF267,,AH267,(IF(SUM(X272)&gt;AA267,AVERAGE(AA267,X272),AA267)))/(1-$AJ$13)+(1-$AI$13)-T267+T269,"")</f>
        <v>1.0765546639999999</v>
      </c>
      <c r="AM267" s="206">
        <f>$M$15*Q267</f>
        <v>0</v>
      </c>
      <c r="AN267" s="207">
        <f>$M$15*R267</f>
        <v>0</v>
      </c>
      <c r="AO267" s="208">
        <f>$M$15*S267</f>
        <v>0</v>
      </c>
      <c r="AP267" s="207">
        <f>$M$15*T267</f>
        <v>0</v>
      </c>
      <c r="AQ267" s="207" t="e">
        <f>$M$15*#REF!</f>
        <v>#REF!</v>
      </c>
      <c r="AR267" s="207">
        <f>$M$15*U267</f>
        <v>0</v>
      </c>
      <c r="AS267" s="208" t="e">
        <f>$M$15*V267</f>
        <v>#VALUE!</v>
      </c>
      <c r="AT267" s="207" t="e">
        <f>$M$15*W267</f>
        <v>#VALUE!</v>
      </c>
      <c r="AU267" s="208" t="e">
        <f>$M$15*X267</f>
        <v>#VALUE!</v>
      </c>
      <c r="AV267" s="207">
        <f>$M$15*AB267</f>
        <v>0</v>
      </c>
      <c r="AW267" s="208">
        <f>$M$15*AE267</f>
        <v>0</v>
      </c>
      <c r="AX267" s="207">
        <f>$M$15*AG267</f>
        <v>0</v>
      </c>
      <c r="AY267" s="209">
        <f>$M$15*AI267</f>
        <v>0</v>
      </c>
      <c r="AZ267" s="207">
        <f>$M$15*AK267</f>
        <v>0</v>
      </c>
      <c r="BA267" s="210"/>
      <c r="BB267" s="175" t="s">
        <v>23</v>
      </c>
      <c r="BC267" s="211" t="s">
        <v>113</v>
      </c>
      <c r="BD267" s="210"/>
      <c r="BE267" s="212"/>
      <c r="BF267" s="213">
        <f>IF(BH268="NO",((2*J267)+(2*K267))*'BD GN'!$AU$3,((3*J267)+(2*K267))*'BD GN'!$AU$3)</f>
        <v>0</v>
      </c>
      <c r="BG267" s="213">
        <f>'BD GN'!$BB$3*J267*K267</f>
        <v>0</v>
      </c>
      <c r="BH267" s="214">
        <f>((J267*2*BE267)+(K267*2*BE267))*'BD GN'!$AN$4</f>
        <v>0</v>
      </c>
      <c r="BI267" s="210"/>
      <c r="BJ267" s="212"/>
      <c r="BK267" s="212"/>
      <c r="BL267" s="215">
        <f>J267*K267*2.5*BJ267</f>
        <v>0</v>
      </c>
      <c r="BM267" s="215">
        <f>BK267+BL267</f>
        <v>0</v>
      </c>
      <c r="BN267" s="216" t="str">
        <f>IFERROR((VLOOKUP($C$12,'BD GN'!BD:BM,10,FALSE)*BM267)+$BR$338,"")</f>
        <v/>
      </c>
      <c r="BO267" s="210"/>
      <c r="BW267" s="210"/>
      <c r="CD267" s="184"/>
      <c r="CF267" s="185"/>
      <c r="CI267" s="184"/>
      <c r="CJ267" s="210"/>
      <c r="CK267" s="565"/>
      <c r="CL267" s="256"/>
      <c r="CM267" s="596"/>
      <c r="CN267" s="626"/>
      <c r="CO267" s="629"/>
      <c r="CP267" s="629"/>
      <c r="CQ267" s="629"/>
      <c r="CR267" s="629"/>
      <c r="CS267" s="629"/>
      <c r="CT267" s="632"/>
      <c r="CU267" s="565"/>
      <c r="CV267" s="560">
        <f>IFERROR(N267*CU267,"")</f>
        <v>0</v>
      </c>
      <c r="CW267" s="565"/>
      <c r="CX267" s="560">
        <f>IFERROR(P267*CW267,"")</f>
        <v>0</v>
      </c>
      <c r="CY267" s="565"/>
      <c r="CZ267" s="560">
        <f>IFERROR(R267*CY267,"")</f>
        <v>0</v>
      </c>
      <c r="DA267" s="565">
        <f t="shared" ref="DA267" si="1026">CU267+CW267+CY267</f>
        <v>0</v>
      </c>
      <c r="DB267" s="560">
        <f t="shared" ref="DB267" si="1027">IFERROR(CV267+CX267+CZ267,"")</f>
        <v>0</v>
      </c>
      <c r="DC267" s="565">
        <f>M267-(CU267+CW267+CY267)</f>
        <v>0</v>
      </c>
      <c r="DD267" s="560">
        <f>IFERROR(O267-(CV267+CX267+CZ267),"")</f>
        <v>0</v>
      </c>
      <c r="DG267" s="575"/>
      <c r="DH267" s="575"/>
      <c r="DI267" s="569">
        <f t="shared" ref="DI267" si="1028">IFERROR(IF(DG267&gt;0,(((N267)/(1+10%+19%*5%)+((N267)/(1+10%+19%*5%))*10%)*DH267),0),0)</f>
        <v>0</v>
      </c>
      <c r="DJ267" s="569">
        <f t="shared" ref="DJ267" si="1029">IFERROR(IF(DG267&gt;0,(N267*DH267),0),0)</f>
        <v>0</v>
      </c>
      <c r="DK267" s="569">
        <f t="shared" ref="DK267" si="1030">IF(DG267&gt;0,((R267+T267)*DH267),0)</f>
        <v>0</v>
      </c>
      <c r="DL267" s="569">
        <f t="shared" ref="DL267" si="1031">IF(DG267&gt;0,(Q267*DH267),0)</f>
        <v>0</v>
      </c>
      <c r="DM267" s="572">
        <f t="shared" ref="DM267" si="1032">IF(DG267&gt;0,(S267*DH267),0)</f>
        <v>0</v>
      </c>
      <c r="DN267" s="569">
        <f t="shared" ref="DN267" si="1033">IF(DG267&gt;0,(BN267*DH267),0)</f>
        <v>0</v>
      </c>
      <c r="DO267" s="569">
        <f t="shared" ref="DO267" si="1034">IF(DG267&gt;0,(AF267*DH267),0)</f>
        <v>0</v>
      </c>
      <c r="DP267" s="569">
        <f>IF(DG267&gt;0,((DI267)*('BD P&amp;G'!$E$16+'BD P&amp;G'!$E$17+'BD P&amp;G'!$E$18+'BD P&amp;G'!$E$19+'BD P&amp;G'!$E$20+'BD P&amp;G'!$E$21+'BD P&amp;G'!$E$22+'BD P&amp;G'!$E$23)*DH267),0)</f>
        <v>0</v>
      </c>
      <c r="DQ267" s="569">
        <f>IFERROR(IF(DG267&gt;0,((DI267*'BD P&amp;G'!$E$7)+(DI267*'BD P&amp;G'!$E$9)+AI267),0),0)</f>
        <v>0</v>
      </c>
      <c r="DR267" s="569">
        <f t="shared" ref="DR267" si="1035">IFERROR(IF(DG267&gt;0,((DI267*1%)),0),0)</f>
        <v>0</v>
      </c>
      <c r="DS267" s="569">
        <f>IFERROR(IF(DG267&gt;0,(((DI267*'BD P&amp;G'!$E$32+DI267*'BD P&amp;G'!$E$33+DI267*'BD P&amp;G'!$E$35+DI267*'BD P&amp;G'!$E$36+DI267*'BD P&amp;G'!$E$37))),0),0)</f>
        <v>0</v>
      </c>
      <c r="DT267" s="569">
        <f t="shared" ref="DT267" si="1036">IF(DG267&gt;0,(Y267*DH267),0)</f>
        <v>0</v>
      </c>
      <c r="DU267" s="569">
        <f t="shared" ref="DU267" si="1037">IF(DG267&gt;0,(Z267*DH267),0)</f>
        <v>0</v>
      </c>
      <c r="DV267" s="575">
        <f t="shared" ref="DV267" si="1038">IF(DG267&gt;0,(Y271*DH267),0)</f>
        <v>0</v>
      </c>
      <c r="DW267" s="575">
        <f t="shared" ref="DW267" si="1039">IF(DG267&gt;0,(Z271*DH267),0)</f>
        <v>0</v>
      </c>
      <c r="DX267" s="569">
        <f t="shared" ref="DX267" si="1040">IF(DV267&gt;0,DJ267,0)</f>
        <v>0</v>
      </c>
      <c r="DY267" s="569">
        <f t="shared" ref="DY267" si="1041">IF(DW267&gt;0,DJ267,0)</f>
        <v>0</v>
      </c>
    </row>
    <row r="268" spans="1:194" s="175" customFormat="1" ht="60" customHeight="1" x14ac:dyDescent="0.25">
      <c r="A268" s="366"/>
      <c r="B268" s="367"/>
      <c r="C268" s="393" t="s">
        <v>28</v>
      </c>
      <c r="D268" s="598"/>
      <c r="E268" s="598"/>
      <c r="F268" s="598"/>
      <c r="G268" s="598"/>
      <c r="H268" s="598"/>
      <c r="I268" s="598"/>
      <c r="J268" s="604"/>
      <c r="K268" s="604"/>
      <c r="L268" s="607"/>
      <c r="M268" s="559"/>
      <c r="N268" s="610"/>
      <c r="O268" s="613"/>
      <c r="P268" s="192"/>
      <c r="Q268" s="217"/>
      <c r="R268" s="217"/>
      <c r="S268" s="218"/>
      <c r="T268" s="219">
        <f>IFERROR(T267/$R$353,"")</f>
        <v>0</v>
      </c>
      <c r="U268" s="206"/>
      <c r="V268" s="220"/>
      <c r="W268" s="221" t="s">
        <v>239</v>
      </c>
      <c r="X268" s="222" t="s">
        <v>204</v>
      </c>
      <c r="Y268" s="223"/>
      <c r="Z268" s="224"/>
      <c r="AA268" s="225"/>
      <c r="AB268" s="226"/>
      <c r="AC268" s="206"/>
      <c r="AD268" s="206"/>
      <c r="AE268" s="206"/>
      <c r="AF268" s="227"/>
      <c r="AG268" s="206"/>
      <c r="AH268" s="206"/>
      <c r="AI268" s="206"/>
      <c r="AJ268" s="206"/>
      <c r="AK268" s="227"/>
      <c r="AL268" s="210"/>
      <c r="AM268" s="206"/>
      <c r="AN268" s="206"/>
      <c r="AO268" s="228"/>
      <c r="AP268" s="229"/>
      <c r="AQ268" s="206"/>
      <c r="AR268" s="206"/>
      <c r="AS268" s="228"/>
      <c r="AT268" s="229"/>
      <c r="AU268" s="228"/>
      <c r="AV268" s="229"/>
      <c r="AW268" s="228"/>
      <c r="AX268" s="229"/>
      <c r="AY268" s="206"/>
      <c r="AZ268" s="229"/>
      <c r="BA268" s="210"/>
      <c r="BB268" s="175" t="s">
        <v>24</v>
      </c>
      <c r="BC268" s="175" t="s">
        <v>114</v>
      </c>
      <c r="BD268" s="210"/>
      <c r="BE268" s="176" t="s">
        <v>206</v>
      </c>
      <c r="BF268" s="230" t="s">
        <v>204</v>
      </c>
      <c r="BG268" s="176" t="s">
        <v>290</v>
      </c>
      <c r="BH268" s="231" t="s">
        <v>204</v>
      </c>
      <c r="BI268" s="210"/>
      <c r="BN268" s="232"/>
      <c r="BO268" s="210"/>
      <c r="BV268" s="184"/>
      <c r="BW268" s="210"/>
      <c r="CD268" s="184"/>
      <c r="CF268" s="185"/>
      <c r="CI268" s="184"/>
      <c r="CJ268" s="210"/>
      <c r="CK268" s="563"/>
      <c r="CM268" s="559"/>
      <c r="CN268" s="627"/>
      <c r="CO268" s="630"/>
      <c r="CP268" s="630"/>
      <c r="CQ268" s="630"/>
      <c r="CR268" s="630"/>
      <c r="CS268" s="630"/>
      <c r="CT268" s="633"/>
      <c r="CU268" s="563"/>
      <c r="CV268" s="561"/>
      <c r="CW268" s="563"/>
      <c r="CX268" s="561"/>
      <c r="CY268" s="563"/>
      <c r="CZ268" s="561"/>
      <c r="DA268" s="563"/>
      <c r="DB268" s="561"/>
      <c r="DC268" s="563"/>
      <c r="DD268" s="561"/>
      <c r="DG268" s="576"/>
      <c r="DH268" s="576"/>
      <c r="DI268" s="570"/>
      <c r="DJ268" s="570"/>
      <c r="DK268" s="570"/>
      <c r="DL268" s="570"/>
      <c r="DM268" s="573"/>
      <c r="DN268" s="570"/>
      <c r="DO268" s="570"/>
      <c r="DP268" s="570"/>
      <c r="DQ268" s="570"/>
      <c r="DR268" s="570"/>
      <c r="DS268" s="570"/>
      <c r="DT268" s="570"/>
      <c r="DU268" s="570"/>
      <c r="DV268" s="576"/>
      <c r="DW268" s="576"/>
      <c r="DX268" s="570"/>
      <c r="DY268" s="570"/>
    </row>
    <row r="269" spans="1:194" s="175" customFormat="1" ht="60" customHeight="1" x14ac:dyDescent="0.3">
      <c r="A269" s="366"/>
      <c r="B269" s="367"/>
      <c r="C269" s="393" t="s">
        <v>30</v>
      </c>
      <c r="D269" s="599"/>
      <c r="E269" s="599"/>
      <c r="F269" s="599"/>
      <c r="G269" s="599"/>
      <c r="H269" s="599"/>
      <c r="I269" s="599"/>
      <c r="J269" s="604"/>
      <c r="K269" s="604"/>
      <c r="L269" s="607"/>
      <c r="M269" s="559"/>
      <c r="N269" s="610"/>
      <c r="O269" s="613"/>
      <c r="P269" s="192"/>
      <c r="Q269" s="176" t="s">
        <v>205</v>
      </c>
      <c r="R269" s="233" t="s">
        <v>204</v>
      </c>
      <c r="S269" s="234"/>
      <c r="T269" s="235">
        <f>IFERROR(($R$353-8000)*T268,"")</f>
        <v>0</v>
      </c>
      <c r="U269" s="206"/>
      <c r="V269" s="220"/>
      <c r="W269" s="221" t="s">
        <v>258</v>
      </c>
      <c r="X269" s="222" t="s">
        <v>204</v>
      </c>
      <c r="Y269" s="236"/>
      <c r="Z269" s="237"/>
      <c r="AA269" s="225"/>
      <c r="AB269" s="226"/>
      <c r="AC269" s="206"/>
      <c r="AD269" s="206"/>
      <c r="AE269" s="206"/>
      <c r="AF269" s="227"/>
      <c r="AG269" s="206"/>
      <c r="AH269" s="206"/>
      <c r="AI269" s="206"/>
      <c r="AJ269" s="206"/>
      <c r="AK269" s="227"/>
      <c r="AL269" s="238"/>
      <c r="AM269" s="206"/>
      <c r="AN269" s="206"/>
      <c r="AO269" s="228"/>
      <c r="AP269" s="229"/>
      <c r="AQ269" s="206"/>
      <c r="AR269" s="206"/>
      <c r="AS269" s="228"/>
      <c r="AT269" s="229"/>
      <c r="AU269" s="228"/>
      <c r="AV269" s="229"/>
      <c r="AW269" s="228"/>
      <c r="AX269" s="229"/>
      <c r="AY269" s="206"/>
      <c r="AZ269" s="229"/>
      <c r="BA269" s="210"/>
      <c r="BB269" s="175" t="s">
        <v>26</v>
      </c>
      <c r="BC269" s="211" t="s">
        <v>115</v>
      </c>
      <c r="BD269" s="210"/>
      <c r="BE269" s="177" t="str">
        <f>IFERROR(VLOOKUP(D267,'BD M.O'!C:H,4,FALSE),"")</f>
        <v/>
      </c>
      <c r="BF269" s="177" t="s">
        <v>259</v>
      </c>
      <c r="BI269" s="210"/>
      <c r="BO269" s="210"/>
      <c r="BV269" s="184"/>
      <c r="BW269" s="210"/>
      <c r="CD269" s="184"/>
      <c r="CF269" s="185"/>
      <c r="CI269" s="184"/>
      <c r="CJ269" s="210"/>
      <c r="CK269" s="563"/>
      <c r="CM269" s="559"/>
      <c r="CN269" s="627"/>
      <c r="CO269" s="630"/>
      <c r="CP269" s="630"/>
      <c r="CQ269" s="630"/>
      <c r="CR269" s="630"/>
      <c r="CS269" s="630"/>
      <c r="CT269" s="633"/>
      <c r="CU269" s="563"/>
      <c r="CV269" s="561"/>
      <c r="CW269" s="563"/>
      <c r="CX269" s="561"/>
      <c r="CY269" s="563"/>
      <c r="CZ269" s="561"/>
      <c r="DA269" s="563"/>
      <c r="DB269" s="561"/>
      <c r="DC269" s="563"/>
      <c r="DD269" s="561"/>
      <c r="DG269" s="577"/>
      <c r="DH269" s="577"/>
      <c r="DI269" s="571"/>
      <c r="DJ269" s="571"/>
      <c r="DK269" s="571"/>
      <c r="DL269" s="571"/>
      <c r="DM269" s="574"/>
      <c r="DN269" s="571"/>
      <c r="DO269" s="571"/>
      <c r="DP269" s="571"/>
      <c r="DQ269" s="571"/>
      <c r="DR269" s="571"/>
      <c r="DS269" s="571"/>
      <c r="DT269" s="571"/>
      <c r="DU269" s="571"/>
      <c r="DV269" s="577"/>
      <c r="DW269" s="577"/>
      <c r="DX269" s="571"/>
      <c r="DY269" s="571"/>
    </row>
    <row r="270" spans="1:194" s="175" customFormat="1" ht="60" customHeight="1" x14ac:dyDescent="0.25">
      <c r="A270" s="366"/>
      <c r="B270" s="367"/>
      <c r="C270" s="395" t="s">
        <v>180</v>
      </c>
      <c r="D270" s="599" t="s">
        <v>31</v>
      </c>
      <c r="E270" s="599"/>
      <c r="F270" s="394" t="s">
        <v>9</v>
      </c>
      <c r="G270" s="599" t="s">
        <v>33</v>
      </c>
      <c r="H270" s="599"/>
      <c r="I270" s="394" t="str">
        <f>+IF($BG$9="SI","","X")</f>
        <v>X</v>
      </c>
      <c r="J270" s="604"/>
      <c r="K270" s="604"/>
      <c r="L270" s="607"/>
      <c r="M270" s="559"/>
      <c r="N270" s="610"/>
      <c r="O270" s="613"/>
      <c r="P270" s="192"/>
      <c r="Q270" s="239"/>
      <c r="R270" s="221" t="s">
        <v>209</v>
      </c>
      <c r="S270" s="234" t="str">
        <f>IF(S268="","",S268/(J267*K267))</f>
        <v/>
      </c>
      <c r="T270" s="226"/>
      <c r="U270" s="206"/>
      <c r="V270" s="220"/>
      <c r="W270" s="239" t="str">
        <f>IFERROR(IF(X269="SI",VLOOKUP(D267,'BD M.O'!C:F,4,FALSE),""),"")</f>
        <v/>
      </c>
      <c r="X270" s="221" t="s">
        <v>258</v>
      </c>
      <c r="Y270" s="221" t="s">
        <v>507</v>
      </c>
      <c r="Z270" s="221" t="s">
        <v>508</v>
      </c>
      <c r="AA270" s="225"/>
      <c r="AB270" s="226"/>
      <c r="AC270" s="206"/>
      <c r="AD270" s="206"/>
      <c r="AE270" s="206"/>
      <c r="AF270" s="227"/>
      <c r="AG270" s="206"/>
      <c r="AH270" s="206"/>
      <c r="AI270" s="206"/>
      <c r="AJ270" s="206"/>
      <c r="AK270" s="227"/>
      <c r="AL270" s="240"/>
      <c r="AM270" s="206"/>
      <c r="AN270" s="206"/>
      <c r="AO270" s="228"/>
      <c r="AP270" s="229"/>
      <c r="AQ270" s="206"/>
      <c r="AR270" s="206"/>
      <c r="AS270" s="228"/>
      <c r="AT270" s="229"/>
      <c r="AU270" s="228"/>
      <c r="AV270" s="229"/>
      <c r="AW270" s="228"/>
      <c r="AX270" s="229"/>
      <c r="AY270" s="206"/>
      <c r="AZ270" s="229"/>
      <c r="BA270" s="210"/>
      <c r="BC270" s="175" t="s">
        <v>116</v>
      </c>
      <c r="BD270" s="210"/>
      <c r="BE270" s="177" t="str">
        <f>IFERROR(VLOOKUP(COTIZACIÓN!D267,'BD M.O'!C:I,5,FALSE),"")</f>
        <v/>
      </c>
      <c r="BF270" s="177" t="s">
        <v>260</v>
      </c>
      <c r="BI270" s="210"/>
      <c r="BO270" s="210"/>
      <c r="BP270" s="183"/>
      <c r="BQ270" s="183"/>
      <c r="BR270" s="183"/>
      <c r="BS270" s="183"/>
      <c r="BT270" s="183"/>
      <c r="BU270" s="183"/>
      <c r="BV270" s="182"/>
      <c r="BW270" s="210"/>
      <c r="BX270" s="183"/>
      <c r="BY270" s="183"/>
      <c r="BZ270" s="183"/>
      <c r="CA270" s="183"/>
      <c r="CB270" s="183"/>
      <c r="CC270" s="183"/>
      <c r="CD270" s="182"/>
      <c r="CE270" s="183"/>
      <c r="CF270" s="241"/>
      <c r="CG270" s="183"/>
      <c r="CH270" s="183"/>
      <c r="CI270" s="182"/>
      <c r="CJ270" s="210"/>
      <c r="CK270" s="563"/>
      <c r="CM270" s="559"/>
      <c r="CN270" s="627"/>
      <c r="CO270" s="630"/>
      <c r="CP270" s="630"/>
      <c r="CQ270" s="630"/>
      <c r="CR270" s="630"/>
      <c r="CS270" s="630"/>
      <c r="CT270" s="633"/>
      <c r="CU270" s="563"/>
      <c r="CV270" s="561"/>
      <c r="CW270" s="563"/>
      <c r="CX270" s="561"/>
      <c r="CY270" s="563"/>
      <c r="CZ270" s="561"/>
      <c r="DA270" s="563"/>
      <c r="DB270" s="561"/>
      <c r="DC270" s="563"/>
      <c r="DD270" s="561"/>
      <c r="DG270" s="575"/>
      <c r="DH270" s="575"/>
      <c r="DI270" s="569">
        <f t="shared" ref="DI270" si="1042">IFERROR(IF(DG270&gt;0,(((N267)/(1+10%+19%*5%)+((N267)/(1+10%+19%*5%))*10%)*DH270),0),0)</f>
        <v>0</v>
      </c>
      <c r="DJ270" s="569">
        <f t="shared" ref="DJ270" si="1043">IFERROR(IF(DG270&gt;0,(N267*DH270),0),0)</f>
        <v>0</v>
      </c>
      <c r="DK270" s="569">
        <f t="shared" ref="DK270" si="1044">IF(DG270&gt;0,((R267+T267)*DH270),0)</f>
        <v>0</v>
      </c>
      <c r="DL270" s="569">
        <f t="shared" ref="DL270" si="1045">IF(DG270&gt;0,(Q267*DH270),0)</f>
        <v>0</v>
      </c>
      <c r="DM270" s="572">
        <f t="shared" ref="DM270" si="1046">IF(DG270&gt;0,(S267*DH270),0)</f>
        <v>0</v>
      </c>
      <c r="DN270" s="569">
        <f t="shared" ref="DN270" si="1047">IF(DG270&gt;0,(BN267*DH270),0)</f>
        <v>0</v>
      </c>
      <c r="DO270" s="569">
        <f t="shared" ref="DO270" si="1048">IF(DG270&gt;0,(AF267*DH270),0)</f>
        <v>0</v>
      </c>
      <c r="DP270" s="569">
        <f>IF(DG270&gt;0,((DI270)*('BD P&amp;G'!$E$16+'BD P&amp;G'!$E$17+'BD P&amp;G'!$E$18+'BD P&amp;G'!$E$19+'BD P&amp;G'!$E$20+'BD P&amp;G'!$E$21+'BD P&amp;G'!$E$22+'BD P&amp;G'!$E$23)*DH270),0)</f>
        <v>0</v>
      </c>
      <c r="DQ270" s="569">
        <f>IFERROR(IF(DG270&gt;0,((DI270*'BD P&amp;G'!$E$7)+(DI270*'BD P&amp;G'!$E$9)+AI267),0),0)</f>
        <v>0</v>
      </c>
      <c r="DR270" s="569">
        <f t="shared" ref="DR270" si="1049">IFERROR(IF(DG270&gt;0,((DI270*1%)),0),0)</f>
        <v>0</v>
      </c>
      <c r="DS270" s="569">
        <f>IFERROR(IF(DG270&gt;0,(((DI270*'BD P&amp;G'!$E$32+DI270*'BD P&amp;G'!$E$33+DI270*'BD P&amp;G'!$E$35+DI270*'BD P&amp;G'!$E$36+DI270*'BD P&amp;G'!$E$37))),0),0)</f>
        <v>0</v>
      </c>
      <c r="DT270" s="569">
        <f t="shared" ref="DT270" si="1050">IF(DG270&gt;0,(Y267*DH270),0)</f>
        <v>0</v>
      </c>
      <c r="DU270" s="569">
        <f t="shared" ref="DU270" si="1051">IF(DG270&gt;0,(Z267*DH270),0)</f>
        <v>0</v>
      </c>
      <c r="DV270" s="575">
        <f t="shared" ref="DV270" si="1052">IF(DG270&gt;0,(Y271*DH270),0)</f>
        <v>0</v>
      </c>
      <c r="DW270" s="575">
        <f t="shared" ref="DW270" si="1053">IF(DG270&gt;0,(Z271*DH270),0)</f>
        <v>0</v>
      </c>
      <c r="DX270" s="569">
        <f t="shared" ref="DX270" si="1054">IF(DV270&gt;0,DJ270,0)</f>
        <v>0</v>
      </c>
      <c r="DY270" s="569">
        <f t="shared" ref="DY270" si="1055">IF(DW270&gt;0,DJ270,0)</f>
        <v>0</v>
      </c>
    </row>
    <row r="271" spans="1:194" s="175" customFormat="1" ht="60" customHeight="1" x14ac:dyDescent="0.3">
      <c r="A271" s="366"/>
      <c r="B271" s="367"/>
      <c r="C271" s="393" t="s">
        <v>35</v>
      </c>
      <c r="D271" s="599" t="str">
        <f>IFERROR(VLOOKUP(D267,'BD GN'!C:E,3,),"")</f>
        <v/>
      </c>
      <c r="E271" s="599"/>
      <c r="F271" s="599"/>
      <c r="G271" s="599"/>
      <c r="H271" s="599"/>
      <c r="I271" s="599"/>
      <c r="J271" s="604"/>
      <c r="K271" s="604"/>
      <c r="L271" s="607"/>
      <c r="M271" s="559"/>
      <c r="N271" s="610"/>
      <c r="O271" s="613"/>
      <c r="P271" s="192"/>
      <c r="Q271" s="239"/>
      <c r="R271" s="221" t="s">
        <v>210</v>
      </c>
      <c r="S271" s="234" t="str">
        <f>IFERROR(IF(N267="","",N267/W271),"")</f>
        <v/>
      </c>
      <c r="T271" s="226"/>
      <c r="U271" s="206"/>
      <c r="V271" s="220"/>
      <c r="W271" s="242" t="str">
        <f>+IF(J267*K267&gt;=1,J267*K267,IF(AND(J267*K267&gt;0,J267*K267&lt;1),1,""))</f>
        <v/>
      </c>
      <c r="X271" s="221" t="s">
        <v>298</v>
      </c>
      <c r="Y271" s="461">
        <f>IFERROR(IF(D267='BD GN'!$C$25,COTIZACIÓN!W271,IF(D267='BD GN'!$C$26,COTIZACIÓN!W271,IF(D267='BD GN'!$C$27,COTIZACIÓN!W271,IF(COTIZACIÓN!D267='BD GN'!$C$28,COTIZACIÓN!W271,IF(COTIZACIÓN!D267='BD GN'!$C$29,COTIZACIÓN!W271,IF(COTIZACIÓN!D267='BD GN'!$C$35,COTIZACIÓN!W271,IF(COTIZACIÓN!D267='BD GN'!$C$36,COTIZACIÓN!W271,IF(COTIZACIÓN!D267='BD GN'!$C$37,COTIZACIÓN!W271,IF(COTIZACIÓN!D267='BD GN'!$C$38,COTIZACIÓN!W271,IF(COTIZACIÓN!D267='BD GN'!$C$39,COTIZACIÓN!W271,IF(COTIZACIÓN!D267='BD GN'!$C$40,COTIZACIÓN!W271,IF(COTIZACIÓN!D267='BD GN'!$C$41,COTIZACIÓN!W271,IF(COTIZACIÓN!D267='BD GN'!$C$42,COTIZACIÓN!W271,IF(COTIZACIÓN!D267='BD GN'!$C$49,COTIZACIÓN!W271,IF(COTIZACIÓN!D267='BD GN'!$C$50,COTIZACIÓN!W271,IF(COTIZACIÓN!D267='BD GN'!$C$51,COTIZACIÓN!W271,IF(COTIZACIÓN!D267='BD GN'!$C$67,COTIZACIÓN!W271,0))))))))))))))))),0)</f>
        <v>0</v>
      </c>
      <c r="Z271" s="461">
        <f>IFERROR(W271-Y271,0)</f>
        <v>0</v>
      </c>
      <c r="AA271" s="225"/>
      <c r="AB271" s="226"/>
      <c r="AC271" s="206"/>
      <c r="AD271" s="206"/>
      <c r="AE271" s="206"/>
      <c r="AF271" s="227"/>
      <c r="AG271" s="206"/>
      <c r="AH271" s="206"/>
      <c r="AI271" s="206"/>
      <c r="AJ271" s="206"/>
      <c r="AK271" s="227"/>
      <c r="AL271" s="210"/>
      <c r="AM271" s="206"/>
      <c r="AN271" s="206"/>
      <c r="AO271" s="228"/>
      <c r="AP271" s="229"/>
      <c r="AQ271" s="206"/>
      <c r="AR271" s="206"/>
      <c r="AS271" s="228"/>
      <c r="AT271" s="229"/>
      <c r="AU271" s="228"/>
      <c r="AV271" s="229"/>
      <c r="AW271" s="228"/>
      <c r="AX271" s="229"/>
      <c r="AY271" s="206"/>
      <c r="AZ271" s="229"/>
      <c r="BA271" s="210"/>
      <c r="BC271" s="211" t="s">
        <v>117</v>
      </c>
      <c r="BD271" s="210"/>
      <c r="BE271" s="177" t="str">
        <f>IFERROR(VLOOKUP(D267,'BD M.O'!C:I,6,FALSE),"")</f>
        <v/>
      </c>
      <c r="BF271" s="177" t="s">
        <v>261</v>
      </c>
      <c r="BI271" s="210"/>
      <c r="BO271" s="210"/>
      <c r="BP271" s="183"/>
      <c r="BQ271" s="183"/>
      <c r="BR271" s="183"/>
      <c r="BW271" s="210"/>
      <c r="CD271" s="184"/>
      <c r="CF271" s="185"/>
      <c r="CI271" s="184"/>
      <c r="CJ271" s="210"/>
      <c r="CK271" s="563"/>
      <c r="CM271" s="559"/>
      <c r="CN271" s="627"/>
      <c r="CO271" s="630"/>
      <c r="CP271" s="630"/>
      <c r="CQ271" s="630"/>
      <c r="CR271" s="630"/>
      <c r="CS271" s="630"/>
      <c r="CT271" s="633"/>
      <c r="CU271" s="563"/>
      <c r="CV271" s="561"/>
      <c r="CW271" s="563"/>
      <c r="CX271" s="561"/>
      <c r="CY271" s="563"/>
      <c r="CZ271" s="561"/>
      <c r="DA271" s="563"/>
      <c r="DB271" s="561"/>
      <c r="DC271" s="563"/>
      <c r="DD271" s="561"/>
      <c r="DG271" s="576"/>
      <c r="DH271" s="576"/>
      <c r="DI271" s="570"/>
      <c r="DJ271" s="570"/>
      <c r="DK271" s="570"/>
      <c r="DL271" s="570"/>
      <c r="DM271" s="573"/>
      <c r="DN271" s="570"/>
      <c r="DO271" s="570"/>
      <c r="DP271" s="570"/>
      <c r="DQ271" s="570"/>
      <c r="DR271" s="570"/>
      <c r="DS271" s="570"/>
      <c r="DT271" s="570"/>
      <c r="DU271" s="570"/>
      <c r="DV271" s="576"/>
      <c r="DW271" s="576"/>
      <c r="DX271" s="570"/>
      <c r="DY271" s="570"/>
    </row>
    <row r="272" spans="1:194" s="252" customFormat="1" ht="60" customHeight="1" x14ac:dyDescent="0.25">
      <c r="A272" s="368"/>
      <c r="B272" s="369"/>
      <c r="C272" s="396" t="s">
        <v>10</v>
      </c>
      <c r="D272" s="645" t="s">
        <v>32</v>
      </c>
      <c r="E272" s="645"/>
      <c r="F272" s="645"/>
      <c r="G272" s="645"/>
      <c r="H272" s="645"/>
      <c r="I272" s="645"/>
      <c r="J272" s="643"/>
      <c r="K272" s="643"/>
      <c r="L272" s="646"/>
      <c r="M272" s="648"/>
      <c r="N272" s="649"/>
      <c r="O272" s="644"/>
      <c r="P272" s="192"/>
      <c r="Q272" s="239"/>
      <c r="R272" s="334" t="s">
        <v>475</v>
      </c>
      <c r="S272" s="234" t="str">
        <f>IFERROR(IF($C$12='BD GN'!$CC$1,VLOOKUP(COTIZACIÓN!D267,'BD GN'!CB:CG,2,FALSE),IF(COTIZACIÓN!$C$12='BD GN'!$CD$1,VLOOKUP(COTIZACIÓN!D267,'BD GN'!CB:CG,3,FALSE),IF($C$12='BD GN'!$CE$1,VLOOKUP(COTIZACIÓN!D267,'BD GN'!CB:CG,4,FALSE),IF(COTIZACIÓN!$C$12='BD GN'!$CF$1,VLOOKUP(COTIZACIÓN!D267,'BD GN'!CB:CG,5,FALSE),IF(COTIZACIÓN!$C$12='BD GN'!$CG$1,VLOOKUP(COTIZACIÓN!D267,'BD GN'!CB:CG,6,FALSE),""))))),"-")</f>
        <v/>
      </c>
      <c r="T272" s="243"/>
      <c r="U272" s="244"/>
      <c r="V272" s="245"/>
      <c r="W272" s="177" t="s">
        <v>394</v>
      </c>
      <c r="X272" s="246">
        <f>IFERROR(SUM(W267:X267),"")</f>
        <v>0</v>
      </c>
      <c r="Y272" s="166" t="s">
        <v>404</v>
      </c>
      <c r="Z272" s="199" t="str">
        <f>IFERROR(Y267+Z267,"")</f>
        <v/>
      </c>
      <c r="AA272" s="247"/>
      <c r="AB272" s="243"/>
      <c r="AC272" s="244"/>
      <c r="AD272" s="244"/>
      <c r="AE272" s="244"/>
      <c r="AF272" s="227"/>
      <c r="AG272" s="206"/>
      <c r="AH272" s="206"/>
      <c r="AI272" s="206"/>
      <c r="AJ272" s="206"/>
      <c r="AK272" s="227"/>
      <c r="AL272" s="227"/>
      <c r="AM272" s="248"/>
      <c r="AN272" s="248"/>
      <c r="AO272" s="249"/>
      <c r="AP272" s="250"/>
      <c r="AQ272" s="248"/>
      <c r="AR272" s="248"/>
      <c r="AS272" s="249"/>
      <c r="AT272" s="250"/>
      <c r="AU272" s="249"/>
      <c r="AV272" s="250"/>
      <c r="AW272" s="249"/>
      <c r="AX272" s="250"/>
      <c r="AY272" s="248"/>
      <c r="AZ272" s="250"/>
      <c r="BA272" s="210"/>
      <c r="BB272" s="175"/>
      <c r="BC272" s="175" t="s">
        <v>118</v>
      </c>
      <c r="BD272" s="210"/>
      <c r="BE272" s="251" t="str">
        <f>IFERROR(VLOOKUP(D267,'BD M.O'!C:I,7,FALSE),"")</f>
        <v/>
      </c>
      <c r="BF272" s="251" t="s">
        <v>262</v>
      </c>
      <c r="BG272" s="175"/>
      <c r="BH272" s="175"/>
      <c r="BI272" s="210"/>
      <c r="BJ272" s="175"/>
      <c r="BK272" s="175"/>
      <c r="BL272" s="175"/>
      <c r="BM272" s="175"/>
      <c r="BN272" s="175"/>
      <c r="BO272" s="210"/>
      <c r="BP272" s="175"/>
      <c r="BQ272" s="175"/>
      <c r="BR272" s="175"/>
      <c r="BS272" s="183"/>
      <c r="BT272" s="183"/>
      <c r="BU272" s="183"/>
      <c r="BV272" s="183"/>
      <c r="BW272" s="210"/>
      <c r="BX272" s="175"/>
      <c r="BY272" s="175"/>
      <c r="BZ272" s="175"/>
      <c r="CA272" s="175"/>
      <c r="CB272" s="175"/>
      <c r="CC272" s="175"/>
      <c r="CD272" s="184"/>
      <c r="CE272" s="175"/>
      <c r="CF272" s="185"/>
      <c r="CG272" s="175"/>
      <c r="CH272" s="175"/>
      <c r="CI272" s="184"/>
      <c r="CJ272" s="210"/>
      <c r="CK272" s="564"/>
      <c r="CL272" s="257"/>
      <c r="CM272" s="597"/>
      <c r="CN272" s="628"/>
      <c r="CO272" s="631"/>
      <c r="CP272" s="631"/>
      <c r="CQ272" s="631"/>
      <c r="CR272" s="631"/>
      <c r="CS272" s="631"/>
      <c r="CT272" s="634"/>
      <c r="CU272" s="564"/>
      <c r="CV272" s="562"/>
      <c r="CW272" s="564"/>
      <c r="CX272" s="562"/>
      <c r="CY272" s="564"/>
      <c r="CZ272" s="562"/>
      <c r="DA272" s="564"/>
      <c r="DB272" s="562"/>
      <c r="DC272" s="564"/>
      <c r="DD272" s="562"/>
      <c r="DE272" s="175"/>
      <c r="DF272" s="175"/>
      <c r="DG272" s="577"/>
      <c r="DH272" s="577"/>
      <c r="DI272" s="571"/>
      <c r="DJ272" s="571"/>
      <c r="DK272" s="571"/>
      <c r="DL272" s="571"/>
      <c r="DM272" s="574"/>
      <c r="DN272" s="571"/>
      <c r="DO272" s="571"/>
      <c r="DP272" s="571"/>
      <c r="DQ272" s="571"/>
      <c r="DR272" s="571"/>
      <c r="DS272" s="571"/>
      <c r="DT272" s="571"/>
      <c r="DU272" s="571"/>
      <c r="DV272" s="577"/>
      <c r="DW272" s="577"/>
      <c r="DX272" s="571"/>
      <c r="DY272" s="571"/>
      <c r="DZ272" s="175"/>
      <c r="EA272" s="175"/>
      <c r="EB272" s="175"/>
      <c r="EC272" s="175"/>
      <c r="ED272" s="175"/>
      <c r="EE272" s="175"/>
      <c r="EF272" s="175"/>
      <c r="EG272" s="175"/>
      <c r="EH272" s="175"/>
      <c r="EI272" s="175"/>
      <c r="EJ272" s="175"/>
      <c r="EK272" s="175"/>
      <c r="EL272" s="175"/>
      <c r="EM272" s="175"/>
      <c r="EN272" s="175"/>
      <c r="EO272" s="175"/>
      <c r="EP272" s="175"/>
      <c r="EQ272" s="175"/>
      <c r="ER272" s="175"/>
      <c r="ES272" s="175"/>
      <c r="ET272" s="175"/>
      <c r="EU272" s="175"/>
      <c r="EV272" s="175"/>
      <c r="EW272" s="175"/>
      <c r="EX272" s="175"/>
      <c r="EY272" s="175"/>
      <c r="EZ272" s="175"/>
      <c r="FA272" s="175"/>
      <c r="FB272" s="175"/>
      <c r="FC272" s="175"/>
      <c r="FD272" s="175"/>
      <c r="FE272" s="175"/>
      <c r="FF272" s="175"/>
      <c r="FG272" s="175"/>
      <c r="FH272" s="175"/>
      <c r="FI272" s="175"/>
      <c r="FJ272" s="175"/>
      <c r="FK272" s="175"/>
      <c r="FL272" s="175"/>
      <c r="FM272" s="175"/>
      <c r="FN272" s="175"/>
      <c r="FO272" s="175"/>
      <c r="FP272" s="175"/>
      <c r="FQ272" s="175"/>
      <c r="FR272" s="175"/>
      <c r="FS272" s="175"/>
      <c r="FT272" s="175"/>
      <c r="FU272" s="175"/>
      <c r="FV272" s="175"/>
      <c r="FW272" s="175"/>
      <c r="FX272" s="175"/>
      <c r="FY272" s="175"/>
      <c r="FZ272" s="175"/>
      <c r="GA272" s="175"/>
      <c r="GB272" s="175"/>
      <c r="GC272" s="175"/>
      <c r="GD272" s="175"/>
      <c r="GE272" s="175"/>
      <c r="GF272" s="175"/>
      <c r="GG272" s="175"/>
      <c r="GH272" s="175"/>
      <c r="GI272" s="175"/>
      <c r="GJ272" s="175"/>
      <c r="GK272" s="175"/>
      <c r="GL272" s="175"/>
    </row>
    <row r="273" spans="1:194" s="255" customFormat="1" ht="60" customHeight="1" x14ac:dyDescent="0.3">
      <c r="A273" s="362" t="s">
        <v>193</v>
      </c>
      <c r="B273" s="363" t="s">
        <v>25</v>
      </c>
      <c r="C273" s="391" t="s">
        <v>174</v>
      </c>
      <c r="D273" s="640" t="s">
        <v>173</v>
      </c>
      <c r="E273" s="640"/>
      <c r="F273" s="640"/>
      <c r="G273" s="640"/>
      <c r="H273" s="640"/>
      <c r="I273" s="640"/>
      <c r="J273" s="418" t="s">
        <v>443</v>
      </c>
      <c r="K273" s="418" t="s">
        <v>444</v>
      </c>
      <c r="L273" s="418" t="s">
        <v>171</v>
      </c>
      <c r="M273" s="363" t="s">
        <v>2</v>
      </c>
      <c r="N273" s="419" t="s">
        <v>7</v>
      </c>
      <c r="O273" s="420" t="s">
        <v>8</v>
      </c>
      <c r="P273" s="159"/>
      <c r="Q273" s="164" t="s">
        <v>93</v>
      </c>
      <c r="R273" s="164" t="s">
        <v>34</v>
      </c>
      <c r="S273" s="164" t="s">
        <v>28</v>
      </c>
      <c r="T273" s="164" t="s">
        <v>95</v>
      </c>
      <c r="U273" s="164" t="s">
        <v>96</v>
      </c>
      <c r="V273" s="164" t="s">
        <v>97</v>
      </c>
      <c r="W273" s="164" t="s">
        <v>4</v>
      </c>
      <c r="X273" s="164" t="s">
        <v>103</v>
      </c>
      <c r="Y273" s="160" t="s">
        <v>402</v>
      </c>
      <c r="Z273" s="165" t="s">
        <v>403</v>
      </c>
      <c r="AA273" s="166" t="s">
        <v>404</v>
      </c>
      <c r="AB273" s="164" t="s">
        <v>99</v>
      </c>
      <c r="AC273" s="164" t="s">
        <v>395</v>
      </c>
      <c r="AD273" s="253" t="s">
        <v>36</v>
      </c>
      <c r="AE273" s="164" t="s">
        <v>389</v>
      </c>
      <c r="AF273" s="164" t="s">
        <v>390</v>
      </c>
      <c r="AG273" s="164" t="s">
        <v>164</v>
      </c>
      <c r="AH273" s="253" t="s">
        <v>396</v>
      </c>
      <c r="AI273" s="164" t="s">
        <v>190</v>
      </c>
      <c r="AJ273" s="164" t="s">
        <v>339</v>
      </c>
      <c r="AK273" s="253" t="s">
        <v>391</v>
      </c>
      <c r="AL273" s="253" t="s">
        <v>393</v>
      </c>
      <c r="AM273" s="167" t="s">
        <v>93</v>
      </c>
      <c r="AN273" s="168" t="s">
        <v>34</v>
      </c>
      <c r="AO273" s="169" t="s">
        <v>28</v>
      </c>
      <c r="AP273" s="170" t="s">
        <v>95</v>
      </c>
      <c r="AQ273" s="167" t="s">
        <v>3</v>
      </c>
      <c r="AR273" s="167" t="s">
        <v>96</v>
      </c>
      <c r="AS273" s="169" t="s">
        <v>97</v>
      </c>
      <c r="AT273" s="170" t="s">
        <v>4</v>
      </c>
      <c r="AU273" s="169" t="s">
        <v>103</v>
      </c>
      <c r="AV273" s="170" t="s">
        <v>99</v>
      </c>
      <c r="AW273" s="169" t="s">
        <v>36</v>
      </c>
      <c r="AX273" s="171" t="s">
        <v>29</v>
      </c>
      <c r="AY273" s="172" t="s">
        <v>190</v>
      </c>
      <c r="AZ273" s="173" t="s">
        <v>102</v>
      </c>
      <c r="BA273" s="174"/>
      <c r="BB273" s="183"/>
      <c r="BC273" s="211" t="s">
        <v>119</v>
      </c>
      <c r="BD273" s="174"/>
      <c r="BE273" s="176" t="s">
        <v>189</v>
      </c>
      <c r="BF273" s="177" t="str">
        <f>$BF$13</f>
        <v xml:space="preserve">VR SILICONA </v>
      </c>
      <c r="BG273" s="177" t="str">
        <f>$BG$13</f>
        <v xml:space="preserve">VR PELÍCULA </v>
      </c>
      <c r="BH273" s="254" t="str">
        <f>$BH$13</f>
        <v>VR EMBALAJE</v>
      </c>
      <c r="BI273" s="174"/>
      <c r="BJ273" s="176" t="str">
        <f>$BJ$13</f>
        <v>ESP. CRISTAL</v>
      </c>
      <c r="BK273" s="176" t="s">
        <v>130</v>
      </c>
      <c r="BL273" s="177" t="s">
        <v>28</v>
      </c>
      <c r="BM273" s="177" t="str">
        <f>BM266</f>
        <v>TOTAL</v>
      </c>
      <c r="BN273" s="177" t="s">
        <v>133</v>
      </c>
      <c r="BO273" s="174"/>
      <c r="BP273" s="175"/>
      <c r="BQ273" s="175"/>
      <c r="BR273" s="175"/>
      <c r="BS273" s="175"/>
      <c r="BT273" s="175"/>
      <c r="BU273" s="175"/>
      <c r="BV273" s="175"/>
      <c r="BW273" s="174"/>
      <c r="BX273" s="175"/>
      <c r="BY273" s="175"/>
      <c r="BZ273" s="175"/>
      <c r="CA273" s="175"/>
      <c r="CB273" s="175"/>
      <c r="CC273" s="175"/>
      <c r="CD273" s="184"/>
      <c r="CE273" s="175"/>
      <c r="CF273" s="185"/>
      <c r="CG273" s="175"/>
      <c r="CH273" s="175"/>
      <c r="CI273" s="184"/>
      <c r="CJ273" s="174"/>
      <c r="CK273" s="186" t="s">
        <v>415</v>
      </c>
      <c r="CL273" s="187" t="s">
        <v>417</v>
      </c>
      <c r="CM273" s="187" t="s">
        <v>416</v>
      </c>
      <c r="CN273" s="188" t="s">
        <v>418</v>
      </c>
      <c r="CO273" s="187" t="s">
        <v>417</v>
      </c>
      <c r="CP273" s="187" t="s">
        <v>409</v>
      </c>
      <c r="CQ273" s="187" t="s">
        <v>410</v>
      </c>
      <c r="CR273" s="187" t="s">
        <v>411</v>
      </c>
      <c r="CS273" s="187" t="s">
        <v>412</v>
      </c>
      <c r="CT273" s="187" t="s">
        <v>413</v>
      </c>
      <c r="CU273" s="189" t="s">
        <v>2</v>
      </c>
      <c r="CV273" s="190" t="s">
        <v>159</v>
      </c>
      <c r="CW273" s="189" t="s">
        <v>2</v>
      </c>
      <c r="CX273" s="190" t="s">
        <v>159</v>
      </c>
      <c r="CY273" s="189" t="s">
        <v>2</v>
      </c>
      <c r="CZ273" s="190" t="s">
        <v>159</v>
      </c>
      <c r="DA273" s="189" t="s">
        <v>2</v>
      </c>
      <c r="DB273" s="190" t="s">
        <v>159</v>
      </c>
      <c r="DC273" s="189" t="s">
        <v>2</v>
      </c>
      <c r="DD273" s="190" t="s">
        <v>159</v>
      </c>
      <c r="DE273" s="183"/>
      <c r="DF273" s="183"/>
      <c r="DG273" s="177" t="s">
        <v>505</v>
      </c>
      <c r="DH273" s="472" t="s">
        <v>509</v>
      </c>
      <c r="DI273" s="457" t="s">
        <v>506</v>
      </c>
      <c r="DJ273" s="457" t="s">
        <v>134</v>
      </c>
      <c r="DK273" s="457" t="s">
        <v>498</v>
      </c>
      <c r="DL273" s="457" t="s">
        <v>499</v>
      </c>
      <c r="DM273" s="457" t="s">
        <v>500</v>
      </c>
      <c r="DN273" s="457" t="s">
        <v>131</v>
      </c>
      <c r="DO273" s="457" t="s">
        <v>390</v>
      </c>
      <c r="DP273" s="457" t="s">
        <v>36</v>
      </c>
      <c r="DQ273" s="457" t="s">
        <v>501</v>
      </c>
      <c r="DR273" s="457" t="s">
        <v>502</v>
      </c>
      <c r="DS273" s="457" t="s">
        <v>503</v>
      </c>
      <c r="DT273" s="457" t="s">
        <v>4</v>
      </c>
      <c r="DU273" s="457" t="s">
        <v>504</v>
      </c>
      <c r="DV273" s="466" t="s">
        <v>507</v>
      </c>
      <c r="DW273" s="466" t="s">
        <v>508</v>
      </c>
      <c r="DX273" s="457" t="s">
        <v>510</v>
      </c>
      <c r="DY273" s="457" t="s">
        <v>511</v>
      </c>
      <c r="DZ273" s="183"/>
      <c r="EA273" s="183"/>
      <c r="EB273" s="183"/>
      <c r="EC273" s="183"/>
      <c r="ED273" s="183"/>
      <c r="EE273" s="183"/>
      <c r="EF273" s="183"/>
      <c r="EG273" s="183"/>
      <c r="EH273" s="183"/>
      <c r="EI273" s="183"/>
      <c r="EJ273" s="183"/>
      <c r="EK273" s="183"/>
      <c r="EL273" s="183"/>
      <c r="EM273" s="183"/>
      <c r="EN273" s="183"/>
      <c r="EO273" s="183"/>
      <c r="EP273" s="183"/>
      <c r="EQ273" s="183"/>
      <c r="ER273" s="183"/>
      <c r="ES273" s="183"/>
      <c r="ET273" s="183"/>
      <c r="EU273" s="183"/>
      <c r="EV273" s="183"/>
      <c r="EW273" s="183"/>
      <c r="EX273" s="183"/>
      <c r="EY273" s="183"/>
      <c r="EZ273" s="183"/>
      <c r="FA273" s="183"/>
      <c r="FB273" s="183"/>
      <c r="FC273" s="183"/>
      <c r="FD273" s="183"/>
      <c r="FE273" s="183"/>
      <c r="FF273" s="183"/>
      <c r="FG273" s="183"/>
      <c r="FH273" s="183"/>
      <c r="FI273" s="183"/>
      <c r="FJ273" s="183"/>
      <c r="FK273" s="183"/>
      <c r="FL273" s="183"/>
      <c r="FM273" s="183"/>
      <c r="FN273" s="183"/>
      <c r="FO273" s="183"/>
      <c r="FP273" s="183"/>
      <c r="FQ273" s="183"/>
      <c r="FR273" s="183"/>
      <c r="FS273" s="183"/>
      <c r="FT273" s="183"/>
      <c r="FU273" s="183"/>
      <c r="FV273" s="183"/>
      <c r="FW273" s="183"/>
      <c r="FX273" s="183"/>
      <c r="FY273" s="183"/>
      <c r="FZ273" s="183"/>
      <c r="GA273" s="183"/>
      <c r="GB273" s="183"/>
      <c r="GC273" s="183"/>
      <c r="GD273" s="183"/>
      <c r="GE273" s="183"/>
      <c r="GF273" s="183"/>
      <c r="GG273" s="183"/>
      <c r="GH273" s="183"/>
      <c r="GI273" s="183"/>
      <c r="GJ273" s="183"/>
      <c r="GK273" s="183"/>
      <c r="GL273" s="183"/>
    </row>
    <row r="274" spans="1:194" s="175" customFormat="1" ht="60" customHeight="1" x14ac:dyDescent="0.3">
      <c r="A274" s="364"/>
      <c r="B274" s="365"/>
      <c r="C274" s="392" t="s">
        <v>27</v>
      </c>
      <c r="D274" s="641"/>
      <c r="E274" s="641"/>
      <c r="F274" s="641"/>
      <c r="G274" s="641"/>
      <c r="H274" s="641"/>
      <c r="I274" s="641"/>
      <c r="J274" s="642"/>
      <c r="K274" s="642"/>
      <c r="L274" s="622">
        <f>J274*K274*M274</f>
        <v>0</v>
      </c>
      <c r="M274" s="623"/>
      <c r="N274" s="620">
        <f>IFERROR(AL274,"")</f>
        <v>1.0765546639999999</v>
      </c>
      <c r="O274" s="621">
        <f>IFERROR(N274*M274,"")</f>
        <v>0</v>
      </c>
      <c r="P274" s="192"/>
      <c r="Q274" s="193">
        <f>Q275+BF274+($R$350*Q275)</f>
        <v>0</v>
      </c>
      <c r="R274" s="193">
        <f>IFERROR(R275+($R$348*R275),"")</f>
        <v>0</v>
      </c>
      <c r="S274" s="194">
        <f>+IF(R276="SI",((W278*'BD GN'!$AB$2)+S275)*1,COTIZACIÓN!S275*1)+(P275*S275)</f>
        <v>0</v>
      </c>
      <c r="T274" s="195">
        <f>IFERROR(R274*IF(K274&lt;=3,$T$13,15%),"")</f>
        <v>0</v>
      </c>
      <c r="U274" s="196">
        <f>BH274+BG274</f>
        <v>0</v>
      </c>
      <c r="V274" s="197" t="str">
        <f>IFERROR(BN274,0)</f>
        <v/>
      </c>
      <c r="W274" s="198" t="str">
        <f>IFERROR(IF(X276="SI",W277*J274*K274,IF(BE274=3,BE276,IF(BE274=4,BE277,IF(BE274=5,BE278,IF(BE274&gt;5,BE278+(BE279*(BE274-5)),"")))))*0,"")</f>
        <v/>
      </c>
      <c r="X274" s="198" t="str">
        <f>IFERROR(IF(X275="NO",(VLOOKUP(D274,'BD M.O'!C:E,3,FALSE))*W278,((VLOOKUP(D274,'BD M.O'!C:E,3,FALSE))+7500)*W278),"")</f>
        <v/>
      </c>
      <c r="Y274" s="198">
        <f>IFERROR($Y$13*AK274,"")</f>
        <v>4.2084457416288003E-2</v>
      </c>
      <c r="Z274" s="332" t="str">
        <f>IFERROR(($Z$13*AK274)+X274,"")</f>
        <v/>
      </c>
      <c r="AA274" s="199" t="str">
        <f>IFERROR(Y274+Z274,"")</f>
        <v/>
      </c>
      <c r="AB274" s="200">
        <f>IFERROR((SUM(Q274:X274)-T274+T276)*$AB$13,"")</f>
        <v>0</v>
      </c>
      <c r="AC274" s="201">
        <f>IFERROR(((SUM(Q274:V274,IF(X279&gt;AA274,AVERAGE(X279,AA274),AA274))-T274+T276))*$AB$13,"")</f>
        <v>0</v>
      </c>
      <c r="AD274" s="202" t="str">
        <f>IFERROR((J274*K274*$BV$14),"")</f>
        <v/>
      </c>
      <c r="AE274" s="202">
        <f>IFERROR($AE$13*AK274,"")</f>
        <v>6.4010592649919984E-2</v>
      </c>
      <c r="AF274" s="203" t="str">
        <f>IFERROR(($CI$11+$CI$13)*W278,"")</f>
        <v/>
      </c>
      <c r="AG274" s="202">
        <f>IFERROR((SUM(Q274:X274,AB274,AD274,AF274)-T274+T276)*$AG$13,"")</f>
        <v>0</v>
      </c>
      <c r="AH274" s="202">
        <f>IFERROR((SUM(Q274:V274,(IF(X279&gt;AA274,AVERAGE(X279,AA274),AA274)),AC274,AE274,AF274)-T274+T276)*$AG$13,"")</f>
        <v>3.2005296324959992E-2</v>
      </c>
      <c r="AI274" s="204">
        <f>IFERROR(AL274*$AI$13,"")</f>
        <v>2.1531093279999997E-2</v>
      </c>
      <c r="AJ274" s="204">
        <f>IFERROR($AJ$13*AL274,"")</f>
        <v>6.007175025119999E-3</v>
      </c>
      <c r="AK274" s="205">
        <f>IFERROR(SUM(Q274:X274,AB274,AD274,AG274,AF274)/(1-$AI$13)+(1-$AJ$13)-T274+T276,"")</f>
        <v>0.99441999999999997</v>
      </c>
      <c r="AL274" s="205">
        <f>IFERROR(SUM(Q274:V274,AC274,(IF(AD274&gt;AE274,AVERAGE(AD274,AE274),AE274)),AF274,,AH274,(IF(SUM(X279)&gt;AA274,AVERAGE(AA274,X279),AA274)))/(1-$AJ$13)+(1-$AI$13)-T274+T276,"")</f>
        <v>1.0765546639999999</v>
      </c>
      <c r="AM274" s="206">
        <f>$M$15*Q274</f>
        <v>0</v>
      </c>
      <c r="AN274" s="207">
        <f>$M$15*R274</f>
        <v>0</v>
      </c>
      <c r="AO274" s="208">
        <f>$M$15*S274</f>
        <v>0</v>
      </c>
      <c r="AP274" s="207">
        <f>$M$15*T274</f>
        <v>0</v>
      </c>
      <c r="AQ274" s="207" t="e">
        <f>$M$15*#REF!</f>
        <v>#REF!</v>
      </c>
      <c r="AR274" s="207">
        <f>$M$15*U274</f>
        <v>0</v>
      </c>
      <c r="AS274" s="208" t="e">
        <f>$M$15*V274</f>
        <v>#VALUE!</v>
      </c>
      <c r="AT274" s="207" t="e">
        <f>$M$15*W274</f>
        <v>#VALUE!</v>
      </c>
      <c r="AU274" s="208" t="e">
        <f>$M$15*X274</f>
        <v>#VALUE!</v>
      </c>
      <c r="AV274" s="207">
        <f>$M$15*AB274</f>
        <v>0</v>
      </c>
      <c r="AW274" s="208">
        <f>$M$15*AE274</f>
        <v>0</v>
      </c>
      <c r="AX274" s="207">
        <f>$M$15*AG274</f>
        <v>0</v>
      </c>
      <c r="AY274" s="209">
        <f>$M$15*AI274</f>
        <v>0</v>
      </c>
      <c r="AZ274" s="207">
        <f>$M$15*AK274</f>
        <v>0</v>
      </c>
      <c r="BA274" s="210"/>
      <c r="BB274" s="175" t="s">
        <v>23</v>
      </c>
      <c r="BC274" s="211" t="s">
        <v>113</v>
      </c>
      <c r="BD274" s="210"/>
      <c r="BE274" s="212"/>
      <c r="BF274" s="213">
        <f>IF(BH275="NO",((2*J274)+(2*K274))*'BD GN'!$AU$3,((3*J274)+(2*K274))*'BD GN'!$AU$3)</f>
        <v>0</v>
      </c>
      <c r="BG274" s="213">
        <f>'BD GN'!$BB$3*J274*K274</f>
        <v>0</v>
      </c>
      <c r="BH274" s="214">
        <f>((J274*2*BE274)+(K274*2*BE274))*'BD GN'!$AN$4</f>
        <v>0</v>
      </c>
      <c r="BI274" s="210"/>
      <c r="BJ274" s="212"/>
      <c r="BK274" s="212"/>
      <c r="BL274" s="215">
        <f>J274*K274*2.5*BJ274</f>
        <v>0</v>
      </c>
      <c r="BM274" s="215">
        <f>BK274+BL274</f>
        <v>0</v>
      </c>
      <c r="BN274" s="216" t="str">
        <f>IFERROR((VLOOKUP($C$12,'BD GN'!BD:BM,10,FALSE)*BM274)+$BR$338,"")</f>
        <v/>
      </c>
      <c r="BO274" s="210"/>
      <c r="BW274" s="210"/>
      <c r="CD274" s="184"/>
      <c r="CF274" s="185"/>
      <c r="CI274" s="184"/>
      <c r="CJ274" s="210"/>
      <c r="CK274" s="565"/>
      <c r="CL274" s="256"/>
      <c r="CM274" s="596"/>
      <c r="CN274" s="626"/>
      <c r="CO274" s="629"/>
      <c r="CP274" s="629"/>
      <c r="CQ274" s="629"/>
      <c r="CR274" s="629"/>
      <c r="CS274" s="629"/>
      <c r="CT274" s="632"/>
      <c r="CU274" s="565"/>
      <c r="CV274" s="560">
        <f>IFERROR(N274*CU274,"")</f>
        <v>0</v>
      </c>
      <c r="CW274" s="565"/>
      <c r="CX274" s="560">
        <f>IFERROR(P274*CW274,"")</f>
        <v>0</v>
      </c>
      <c r="CY274" s="565"/>
      <c r="CZ274" s="560">
        <f>IFERROR(R274*CY274,"")</f>
        <v>0</v>
      </c>
      <c r="DA274" s="565">
        <f t="shared" ref="DA274" si="1056">CU274+CW274+CY274</f>
        <v>0</v>
      </c>
      <c r="DB274" s="560">
        <f t="shared" ref="DB274" si="1057">IFERROR(CV274+CX274+CZ274,"")</f>
        <v>0</v>
      </c>
      <c r="DC274" s="565">
        <f>M274-(CU274+CW274+CY274)</f>
        <v>0</v>
      </c>
      <c r="DD274" s="560">
        <f>IFERROR(O274-(CV274+CX274+CZ274),"")</f>
        <v>0</v>
      </c>
      <c r="DG274" s="575"/>
      <c r="DH274" s="575"/>
      <c r="DI274" s="569">
        <f t="shared" ref="DI274" si="1058">IFERROR(IF(DG274&gt;0,(((N274)/(1+10%+19%*5%)+((N274)/(1+10%+19%*5%))*10%)*DH274),0),0)</f>
        <v>0</v>
      </c>
      <c r="DJ274" s="569">
        <f t="shared" ref="DJ274" si="1059">IFERROR(IF(DG274&gt;0,(N274*DH274),0),0)</f>
        <v>0</v>
      </c>
      <c r="DK274" s="569">
        <f t="shared" ref="DK274" si="1060">IF(DG274&gt;0,((R274+T274)*DH274),0)</f>
        <v>0</v>
      </c>
      <c r="DL274" s="569">
        <f t="shared" ref="DL274" si="1061">IF(DG274&gt;0,(Q274*DH274),0)</f>
        <v>0</v>
      </c>
      <c r="DM274" s="572">
        <f t="shared" ref="DM274" si="1062">IF(DG274&gt;0,(S274*DH274),0)</f>
        <v>0</v>
      </c>
      <c r="DN274" s="569">
        <f t="shared" ref="DN274" si="1063">IF(DG274&gt;0,(BN274*DH274),0)</f>
        <v>0</v>
      </c>
      <c r="DO274" s="569">
        <f t="shared" ref="DO274" si="1064">IF(DG274&gt;0,(AF274*DH274),0)</f>
        <v>0</v>
      </c>
      <c r="DP274" s="569">
        <f>IF(DG274&gt;0,((DI274)*('BD P&amp;G'!$E$16+'BD P&amp;G'!$E$17+'BD P&amp;G'!$E$18+'BD P&amp;G'!$E$19+'BD P&amp;G'!$E$20+'BD P&amp;G'!$E$21+'BD P&amp;G'!$E$22+'BD P&amp;G'!$E$23)*DH274),0)</f>
        <v>0</v>
      </c>
      <c r="DQ274" s="569">
        <f>IFERROR(IF(DG274&gt;0,((DI274*'BD P&amp;G'!$E$7)+(DI274*'BD P&amp;G'!$E$9)+AI274),0),0)</f>
        <v>0</v>
      </c>
      <c r="DR274" s="569">
        <f t="shared" ref="DR274" si="1065">IFERROR(IF(DG274&gt;0,((DI274*1%)),0),0)</f>
        <v>0</v>
      </c>
      <c r="DS274" s="569">
        <f>IFERROR(IF(DG274&gt;0,(((DI274*'BD P&amp;G'!$E$32+DI274*'BD P&amp;G'!$E$33+DI274*'BD P&amp;G'!$E$35+DI274*'BD P&amp;G'!$E$36+DI274*'BD P&amp;G'!$E$37))),0),0)</f>
        <v>0</v>
      </c>
      <c r="DT274" s="569">
        <f t="shared" ref="DT274" si="1066">IF(DG274&gt;0,(Y274*DH274),0)</f>
        <v>0</v>
      </c>
      <c r="DU274" s="569">
        <f t="shared" ref="DU274" si="1067">IF(DG274&gt;0,(Z274*DH274),0)</f>
        <v>0</v>
      </c>
      <c r="DV274" s="575">
        <f t="shared" ref="DV274" si="1068">IF(DG274&gt;0,(Y278*DH274),0)</f>
        <v>0</v>
      </c>
      <c r="DW274" s="575">
        <f t="shared" ref="DW274" si="1069">IF(DG274&gt;0,(Z278*DH274),0)</f>
        <v>0</v>
      </c>
      <c r="DX274" s="569">
        <f t="shared" ref="DX274" si="1070">IF(DV274&gt;0,DJ274,0)</f>
        <v>0</v>
      </c>
      <c r="DY274" s="569">
        <f t="shared" ref="DY274" si="1071">IF(DW274&gt;0,DJ274,0)</f>
        <v>0</v>
      </c>
    </row>
    <row r="275" spans="1:194" s="175" customFormat="1" ht="60" customHeight="1" x14ac:dyDescent="0.25">
      <c r="A275" s="366"/>
      <c r="B275" s="367"/>
      <c r="C275" s="393" t="s">
        <v>28</v>
      </c>
      <c r="D275" s="598"/>
      <c r="E275" s="598"/>
      <c r="F275" s="598"/>
      <c r="G275" s="598"/>
      <c r="H275" s="598"/>
      <c r="I275" s="598"/>
      <c r="J275" s="604"/>
      <c r="K275" s="604"/>
      <c r="L275" s="607"/>
      <c r="M275" s="559"/>
      <c r="N275" s="610"/>
      <c r="O275" s="613"/>
      <c r="P275" s="192"/>
      <c r="Q275" s="217"/>
      <c r="R275" s="217"/>
      <c r="S275" s="218"/>
      <c r="T275" s="219">
        <f>IFERROR(T274/$R$353,"")</f>
        <v>0</v>
      </c>
      <c r="U275" s="206"/>
      <c r="V275" s="220"/>
      <c r="W275" s="221" t="s">
        <v>239</v>
      </c>
      <c r="X275" s="222" t="s">
        <v>204</v>
      </c>
      <c r="Y275" s="223"/>
      <c r="Z275" s="224"/>
      <c r="AA275" s="225"/>
      <c r="AB275" s="226"/>
      <c r="AC275" s="206"/>
      <c r="AD275" s="206"/>
      <c r="AE275" s="206"/>
      <c r="AF275" s="227"/>
      <c r="AG275" s="206"/>
      <c r="AH275" s="206"/>
      <c r="AI275" s="206"/>
      <c r="AJ275" s="206"/>
      <c r="AK275" s="227"/>
      <c r="AL275" s="210"/>
      <c r="AM275" s="206"/>
      <c r="AN275" s="206"/>
      <c r="AO275" s="228"/>
      <c r="AP275" s="229"/>
      <c r="AQ275" s="206"/>
      <c r="AR275" s="206"/>
      <c r="AS275" s="228"/>
      <c r="AT275" s="229"/>
      <c r="AU275" s="228"/>
      <c r="AV275" s="229"/>
      <c r="AW275" s="228"/>
      <c r="AX275" s="229"/>
      <c r="AY275" s="206"/>
      <c r="AZ275" s="229"/>
      <c r="BA275" s="210"/>
      <c r="BB275" s="175" t="s">
        <v>24</v>
      </c>
      <c r="BC275" s="175" t="s">
        <v>114</v>
      </c>
      <c r="BD275" s="210"/>
      <c r="BE275" s="176" t="s">
        <v>206</v>
      </c>
      <c r="BF275" s="230" t="s">
        <v>204</v>
      </c>
      <c r="BG275" s="176" t="s">
        <v>290</v>
      </c>
      <c r="BH275" s="231" t="s">
        <v>204</v>
      </c>
      <c r="BI275" s="210"/>
      <c r="BN275" s="232"/>
      <c r="BO275" s="210"/>
      <c r="BV275" s="184"/>
      <c r="BW275" s="210"/>
      <c r="CD275" s="184"/>
      <c r="CF275" s="185"/>
      <c r="CI275" s="184"/>
      <c r="CJ275" s="210"/>
      <c r="CK275" s="563"/>
      <c r="CM275" s="559"/>
      <c r="CN275" s="627"/>
      <c r="CO275" s="630"/>
      <c r="CP275" s="630"/>
      <c r="CQ275" s="630"/>
      <c r="CR275" s="630"/>
      <c r="CS275" s="630"/>
      <c r="CT275" s="633"/>
      <c r="CU275" s="563"/>
      <c r="CV275" s="561"/>
      <c r="CW275" s="563"/>
      <c r="CX275" s="561"/>
      <c r="CY275" s="563"/>
      <c r="CZ275" s="561"/>
      <c r="DA275" s="563"/>
      <c r="DB275" s="561"/>
      <c r="DC275" s="563"/>
      <c r="DD275" s="561"/>
      <c r="DG275" s="576"/>
      <c r="DH275" s="576"/>
      <c r="DI275" s="570"/>
      <c r="DJ275" s="570"/>
      <c r="DK275" s="570"/>
      <c r="DL275" s="570"/>
      <c r="DM275" s="573"/>
      <c r="DN275" s="570"/>
      <c r="DO275" s="570"/>
      <c r="DP275" s="570"/>
      <c r="DQ275" s="570"/>
      <c r="DR275" s="570"/>
      <c r="DS275" s="570"/>
      <c r="DT275" s="570"/>
      <c r="DU275" s="570"/>
      <c r="DV275" s="576"/>
      <c r="DW275" s="576"/>
      <c r="DX275" s="570"/>
      <c r="DY275" s="570"/>
    </row>
    <row r="276" spans="1:194" s="175" customFormat="1" ht="60" customHeight="1" x14ac:dyDescent="0.3">
      <c r="A276" s="366"/>
      <c r="B276" s="367"/>
      <c r="C276" s="393" t="s">
        <v>30</v>
      </c>
      <c r="D276" s="599"/>
      <c r="E276" s="599"/>
      <c r="F276" s="599"/>
      <c r="G276" s="599"/>
      <c r="H276" s="599"/>
      <c r="I276" s="599"/>
      <c r="J276" s="604"/>
      <c r="K276" s="604"/>
      <c r="L276" s="607"/>
      <c r="M276" s="559"/>
      <c r="N276" s="610"/>
      <c r="O276" s="613"/>
      <c r="P276" s="192"/>
      <c r="Q276" s="176" t="s">
        <v>205</v>
      </c>
      <c r="R276" s="233" t="s">
        <v>204</v>
      </c>
      <c r="S276" s="234"/>
      <c r="T276" s="235">
        <f>IFERROR(($R$353-8000)*T275,"")</f>
        <v>0</v>
      </c>
      <c r="U276" s="206"/>
      <c r="V276" s="220"/>
      <c r="W276" s="221" t="s">
        <v>258</v>
      </c>
      <c r="X276" s="222" t="s">
        <v>204</v>
      </c>
      <c r="Y276" s="236"/>
      <c r="Z276" s="237"/>
      <c r="AA276" s="225"/>
      <c r="AB276" s="226"/>
      <c r="AC276" s="206"/>
      <c r="AD276" s="206"/>
      <c r="AE276" s="206"/>
      <c r="AF276" s="227"/>
      <c r="AG276" s="206"/>
      <c r="AH276" s="206"/>
      <c r="AI276" s="206"/>
      <c r="AJ276" s="206"/>
      <c r="AK276" s="227"/>
      <c r="AL276" s="238"/>
      <c r="AM276" s="206"/>
      <c r="AN276" s="206"/>
      <c r="AO276" s="228"/>
      <c r="AP276" s="229"/>
      <c r="AQ276" s="206"/>
      <c r="AR276" s="206"/>
      <c r="AS276" s="228"/>
      <c r="AT276" s="229"/>
      <c r="AU276" s="228"/>
      <c r="AV276" s="229"/>
      <c r="AW276" s="228"/>
      <c r="AX276" s="229"/>
      <c r="AY276" s="206"/>
      <c r="AZ276" s="229"/>
      <c r="BA276" s="210"/>
      <c r="BB276" s="175" t="s">
        <v>26</v>
      </c>
      <c r="BC276" s="211" t="s">
        <v>115</v>
      </c>
      <c r="BD276" s="210"/>
      <c r="BE276" s="177" t="str">
        <f>IFERROR(VLOOKUP(D274,'BD M.O'!C:H,4,FALSE),"")</f>
        <v/>
      </c>
      <c r="BF276" s="177" t="s">
        <v>259</v>
      </c>
      <c r="BI276" s="210"/>
      <c r="BO276" s="210"/>
      <c r="BV276" s="184"/>
      <c r="BW276" s="210"/>
      <c r="CD276" s="184"/>
      <c r="CF276" s="185"/>
      <c r="CI276" s="184"/>
      <c r="CJ276" s="210"/>
      <c r="CK276" s="563"/>
      <c r="CM276" s="559"/>
      <c r="CN276" s="627"/>
      <c r="CO276" s="630"/>
      <c r="CP276" s="630"/>
      <c r="CQ276" s="630"/>
      <c r="CR276" s="630"/>
      <c r="CS276" s="630"/>
      <c r="CT276" s="633"/>
      <c r="CU276" s="563"/>
      <c r="CV276" s="561"/>
      <c r="CW276" s="563"/>
      <c r="CX276" s="561"/>
      <c r="CY276" s="563"/>
      <c r="CZ276" s="561"/>
      <c r="DA276" s="563"/>
      <c r="DB276" s="561"/>
      <c r="DC276" s="563"/>
      <c r="DD276" s="561"/>
      <c r="DG276" s="577"/>
      <c r="DH276" s="577"/>
      <c r="DI276" s="571"/>
      <c r="DJ276" s="571"/>
      <c r="DK276" s="571"/>
      <c r="DL276" s="571"/>
      <c r="DM276" s="574"/>
      <c r="DN276" s="571"/>
      <c r="DO276" s="571"/>
      <c r="DP276" s="571"/>
      <c r="DQ276" s="571"/>
      <c r="DR276" s="571"/>
      <c r="DS276" s="571"/>
      <c r="DT276" s="571"/>
      <c r="DU276" s="571"/>
      <c r="DV276" s="577"/>
      <c r="DW276" s="577"/>
      <c r="DX276" s="571"/>
      <c r="DY276" s="571"/>
    </row>
    <row r="277" spans="1:194" s="175" customFormat="1" ht="60" customHeight="1" x14ac:dyDescent="0.25">
      <c r="A277" s="366"/>
      <c r="B277" s="367"/>
      <c r="C277" s="395" t="s">
        <v>180</v>
      </c>
      <c r="D277" s="599" t="s">
        <v>31</v>
      </c>
      <c r="E277" s="599"/>
      <c r="F277" s="394" t="s">
        <v>9</v>
      </c>
      <c r="G277" s="599" t="s">
        <v>33</v>
      </c>
      <c r="H277" s="599"/>
      <c r="I277" s="394" t="str">
        <f>+IF($BG$9="SI","","X")</f>
        <v>X</v>
      </c>
      <c r="J277" s="604"/>
      <c r="K277" s="604"/>
      <c r="L277" s="607"/>
      <c r="M277" s="559"/>
      <c r="N277" s="610"/>
      <c r="O277" s="613"/>
      <c r="P277" s="192"/>
      <c r="Q277" s="239"/>
      <c r="R277" s="221" t="s">
        <v>209</v>
      </c>
      <c r="S277" s="234" t="str">
        <f>IF(S275="","",S275/(J274*K274))</f>
        <v/>
      </c>
      <c r="T277" s="226"/>
      <c r="U277" s="206"/>
      <c r="V277" s="220"/>
      <c r="W277" s="239" t="str">
        <f>IFERROR(IF(X276="SI",VLOOKUP(D274,'BD M.O'!C:F,4,FALSE),""),"")</f>
        <v/>
      </c>
      <c r="X277" s="221" t="s">
        <v>258</v>
      </c>
      <c r="Y277" s="221" t="s">
        <v>507</v>
      </c>
      <c r="Z277" s="221" t="s">
        <v>508</v>
      </c>
      <c r="AA277" s="225"/>
      <c r="AB277" s="226"/>
      <c r="AC277" s="206"/>
      <c r="AD277" s="206"/>
      <c r="AE277" s="206"/>
      <c r="AF277" s="227"/>
      <c r="AG277" s="206"/>
      <c r="AH277" s="206"/>
      <c r="AI277" s="206"/>
      <c r="AJ277" s="206"/>
      <c r="AK277" s="227"/>
      <c r="AL277" s="240"/>
      <c r="AM277" s="206"/>
      <c r="AN277" s="206"/>
      <c r="AO277" s="228"/>
      <c r="AP277" s="229"/>
      <c r="AQ277" s="206"/>
      <c r="AR277" s="206"/>
      <c r="AS277" s="228"/>
      <c r="AT277" s="229"/>
      <c r="AU277" s="228"/>
      <c r="AV277" s="229"/>
      <c r="AW277" s="228"/>
      <c r="AX277" s="229"/>
      <c r="AY277" s="206"/>
      <c r="AZ277" s="229"/>
      <c r="BA277" s="210"/>
      <c r="BC277" s="175" t="s">
        <v>116</v>
      </c>
      <c r="BD277" s="210"/>
      <c r="BE277" s="177" t="str">
        <f>IFERROR(VLOOKUP(COTIZACIÓN!D274,'BD M.O'!C:I,5,FALSE),"")</f>
        <v/>
      </c>
      <c r="BF277" s="177" t="s">
        <v>260</v>
      </c>
      <c r="BI277" s="210"/>
      <c r="BO277" s="210"/>
      <c r="BP277" s="183"/>
      <c r="BQ277" s="183"/>
      <c r="BR277" s="183"/>
      <c r="BS277" s="183"/>
      <c r="BT277" s="183"/>
      <c r="BU277" s="183"/>
      <c r="BV277" s="182"/>
      <c r="BW277" s="210"/>
      <c r="BX277" s="183"/>
      <c r="BY277" s="183"/>
      <c r="BZ277" s="183"/>
      <c r="CA277" s="183"/>
      <c r="CB277" s="183"/>
      <c r="CC277" s="183"/>
      <c r="CD277" s="182"/>
      <c r="CE277" s="183"/>
      <c r="CF277" s="241"/>
      <c r="CG277" s="183"/>
      <c r="CH277" s="183"/>
      <c r="CI277" s="182"/>
      <c r="CJ277" s="210"/>
      <c r="CK277" s="563"/>
      <c r="CM277" s="559"/>
      <c r="CN277" s="627"/>
      <c r="CO277" s="630"/>
      <c r="CP277" s="630"/>
      <c r="CQ277" s="630"/>
      <c r="CR277" s="630"/>
      <c r="CS277" s="630"/>
      <c r="CT277" s="633"/>
      <c r="CU277" s="563"/>
      <c r="CV277" s="561"/>
      <c r="CW277" s="563"/>
      <c r="CX277" s="561"/>
      <c r="CY277" s="563"/>
      <c r="CZ277" s="561"/>
      <c r="DA277" s="563"/>
      <c r="DB277" s="561"/>
      <c r="DC277" s="563"/>
      <c r="DD277" s="561"/>
      <c r="DG277" s="575"/>
      <c r="DH277" s="575"/>
      <c r="DI277" s="569">
        <f t="shared" ref="DI277" si="1072">IFERROR(IF(DG277&gt;0,(((N274)/(1+10%+19%*5%)+((N274)/(1+10%+19%*5%))*10%)*DH277),0),0)</f>
        <v>0</v>
      </c>
      <c r="DJ277" s="569">
        <f t="shared" ref="DJ277" si="1073">IFERROR(IF(DG277&gt;0,(N274*DH277),0),0)</f>
        <v>0</v>
      </c>
      <c r="DK277" s="569">
        <f t="shared" ref="DK277" si="1074">IF(DG277&gt;0,((R274+T274)*DH277),0)</f>
        <v>0</v>
      </c>
      <c r="DL277" s="569">
        <f t="shared" ref="DL277" si="1075">IF(DG277&gt;0,(Q274*DH277),0)</f>
        <v>0</v>
      </c>
      <c r="DM277" s="572">
        <f t="shared" ref="DM277" si="1076">IF(DG277&gt;0,(S274*DH277),0)</f>
        <v>0</v>
      </c>
      <c r="DN277" s="569">
        <f t="shared" ref="DN277" si="1077">IF(DG277&gt;0,(BN274*DH277),0)</f>
        <v>0</v>
      </c>
      <c r="DO277" s="569">
        <f t="shared" ref="DO277" si="1078">IF(DG277&gt;0,(AF274*DH277),0)</f>
        <v>0</v>
      </c>
      <c r="DP277" s="569">
        <f>IF(DG277&gt;0,((DI277)*('BD P&amp;G'!$E$16+'BD P&amp;G'!$E$17+'BD P&amp;G'!$E$18+'BD P&amp;G'!$E$19+'BD P&amp;G'!$E$20+'BD P&amp;G'!$E$21+'BD P&amp;G'!$E$22+'BD P&amp;G'!$E$23)*DH277),0)</f>
        <v>0</v>
      </c>
      <c r="DQ277" s="569">
        <f>IFERROR(IF(DG277&gt;0,((DI277*'BD P&amp;G'!$E$7)+(DI277*'BD P&amp;G'!$E$9)+AI274),0),0)</f>
        <v>0</v>
      </c>
      <c r="DR277" s="569">
        <f t="shared" ref="DR277" si="1079">IFERROR(IF(DG277&gt;0,((DI277*1%)),0),0)</f>
        <v>0</v>
      </c>
      <c r="DS277" s="569">
        <f>IFERROR(IF(DG277&gt;0,(((DI277*'BD P&amp;G'!$E$32+DI277*'BD P&amp;G'!$E$33+DI277*'BD P&amp;G'!$E$35+DI277*'BD P&amp;G'!$E$36+DI277*'BD P&amp;G'!$E$37))),0),0)</f>
        <v>0</v>
      </c>
      <c r="DT277" s="569">
        <f t="shared" ref="DT277" si="1080">IF(DG277&gt;0,(Y274*DH277),0)</f>
        <v>0</v>
      </c>
      <c r="DU277" s="569">
        <f t="shared" ref="DU277" si="1081">IF(DG277&gt;0,(Z274*DH277),0)</f>
        <v>0</v>
      </c>
      <c r="DV277" s="575">
        <f t="shared" ref="DV277" si="1082">IF(DG277&gt;0,(Y278*DH277),0)</f>
        <v>0</v>
      </c>
      <c r="DW277" s="575">
        <f t="shared" ref="DW277" si="1083">IF(DG277&gt;0,(Z278*DH277),0)</f>
        <v>0</v>
      </c>
      <c r="DX277" s="569">
        <f t="shared" ref="DX277" si="1084">IF(DV277&gt;0,DJ277,0)</f>
        <v>0</v>
      </c>
      <c r="DY277" s="569">
        <f t="shared" ref="DY277" si="1085">IF(DW277&gt;0,DJ277,0)</f>
        <v>0</v>
      </c>
    </row>
    <row r="278" spans="1:194" s="175" customFormat="1" ht="60" customHeight="1" x14ac:dyDescent="0.3">
      <c r="A278" s="366"/>
      <c r="B278" s="367"/>
      <c r="C278" s="393" t="s">
        <v>35</v>
      </c>
      <c r="D278" s="599" t="str">
        <f>IFERROR(VLOOKUP(D274,'BD GN'!C:E,3,),"")</f>
        <v/>
      </c>
      <c r="E278" s="599"/>
      <c r="F278" s="599"/>
      <c r="G278" s="599"/>
      <c r="H278" s="599"/>
      <c r="I278" s="599"/>
      <c r="J278" s="604"/>
      <c r="K278" s="604"/>
      <c r="L278" s="607"/>
      <c r="M278" s="559"/>
      <c r="N278" s="610"/>
      <c r="O278" s="613"/>
      <c r="P278" s="192"/>
      <c r="Q278" s="239"/>
      <c r="R278" s="221" t="s">
        <v>210</v>
      </c>
      <c r="S278" s="234" t="str">
        <f>IFERROR(IF(N274="","",N274/W278),"")</f>
        <v/>
      </c>
      <c r="T278" s="226"/>
      <c r="U278" s="206"/>
      <c r="V278" s="220"/>
      <c r="W278" s="242" t="str">
        <f>+IF(J274*K274&gt;=1,J274*K274,IF(AND(J274*K274&gt;0,J274*K274&lt;1),1,""))</f>
        <v/>
      </c>
      <c r="X278" s="221" t="s">
        <v>298</v>
      </c>
      <c r="Y278" s="461">
        <f>IFERROR(IF(D274='BD GN'!$C$25,COTIZACIÓN!W278,IF(D274='BD GN'!$C$26,COTIZACIÓN!W278,IF(D274='BD GN'!$C$27,COTIZACIÓN!W278,IF(COTIZACIÓN!D274='BD GN'!$C$28,COTIZACIÓN!W278,IF(COTIZACIÓN!D274='BD GN'!$C$29,COTIZACIÓN!W278,IF(COTIZACIÓN!D274='BD GN'!$C$35,COTIZACIÓN!W278,IF(COTIZACIÓN!D274='BD GN'!$C$36,COTIZACIÓN!W278,IF(COTIZACIÓN!D274='BD GN'!$C$37,COTIZACIÓN!W278,IF(COTIZACIÓN!D274='BD GN'!$C$38,COTIZACIÓN!W278,IF(COTIZACIÓN!D274='BD GN'!$C$39,COTIZACIÓN!W278,IF(COTIZACIÓN!D274='BD GN'!$C$40,COTIZACIÓN!W278,IF(COTIZACIÓN!D274='BD GN'!$C$41,COTIZACIÓN!W278,IF(COTIZACIÓN!D274='BD GN'!$C$42,COTIZACIÓN!W278,IF(COTIZACIÓN!D274='BD GN'!$C$49,COTIZACIÓN!W278,IF(COTIZACIÓN!D274='BD GN'!$C$50,COTIZACIÓN!W278,IF(COTIZACIÓN!D274='BD GN'!$C$51,COTIZACIÓN!W278,IF(COTIZACIÓN!D274='BD GN'!$C$67,COTIZACIÓN!W278,0))))))))))))))))),0)</f>
        <v>0</v>
      </c>
      <c r="Z278" s="461">
        <f>IFERROR(W278-Y278,0)</f>
        <v>0</v>
      </c>
      <c r="AA278" s="225"/>
      <c r="AB278" s="226"/>
      <c r="AC278" s="206"/>
      <c r="AD278" s="206"/>
      <c r="AE278" s="206"/>
      <c r="AF278" s="227"/>
      <c r="AG278" s="206"/>
      <c r="AH278" s="206"/>
      <c r="AI278" s="206"/>
      <c r="AJ278" s="206"/>
      <c r="AK278" s="227"/>
      <c r="AL278" s="210"/>
      <c r="AM278" s="206"/>
      <c r="AN278" s="206"/>
      <c r="AO278" s="228"/>
      <c r="AP278" s="229"/>
      <c r="AQ278" s="206"/>
      <c r="AR278" s="206"/>
      <c r="AS278" s="228"/>
      <c r="AT278" s="229"/>
      <c r="AU278" s="228"/>
      <c r="AV278" s="229"/>
      <c r="AW278" s="228"/>
      <c r="AX278" s="229"/>
      <c r="AY278" s="206"/>
      <c r="AZ278" s="229"/>
      <c r="BA278" s="210"/>
      <c r="BC278" s="211" t="s">
        <v>117</v>
      </c>
      <c r="BD278" s="210"/>
      <c r="BE278" s="177" t="str">
        <f>IFERROR(VLOOKUP(D274,'BD M.O'!C:I,6,FALSE),"")</f>
        <v/>
      </c>
      <c r="BF278" s="177" t="s">
        <v>261</v>
      </c>
      <c r="BI278" s="210"/>
      <c r="BO278" s="210"/>
      <c r="BP278" s="183"/>
      <c r="BQ278" s="183"/>
      <c r="BR278" s="183"/>
      <c r="BW278" s="210"/>
      <c r="CD278" s="184"/>
      <c r="CF278" s="185"/>
      <c r="CI278" s="184"/>
      <c r="CJ278" s="210"/>
      <c r="CK278" s="563"/>
      <c r="CM278" s="559"/>
      <c r="CN278" s="627"/>
      <c r="CO278" s="630"/>
      <c r="CP278" s="630"/>
      <c r="CQ278" s="630"/>
      <c r="CR278" s="630"/>
      <c r="CS278" s="630"/>
      <c r="CT278" s="633"/>
      <c r="CU278" s="563"/>
      <c r="CV278" s="561"/>
      <c r="CW278" s="563"/>
      <c r="CX278" s="561"/>
      <c r="CY278" s="563"/>
      <c r="CZ278" s="561"/>
      <c r="DA278" s="563"/>
      <c r="DB278" s="561"/>
      <c r="DC278" s="563"/>
      <c r="DD278" s="561"/>
      <c r="DG278" s="576"/>
      <c r="DH278" s="576"/>
      <c r="DI278" s="570"/>
      <c r="DJ278" s="570"/>
      <c r="DK278" s="570"/>
      <c r="DL278" s="570"/>
      <c r="DM278" s="573"/>
      <c r="DN278" s="570"/>
      <c r="DO278" s="570"/>
      <c r="DP278" s="570"/>
      <c r="DQ278" s="570"/>
      <c r="DR278" s="570"/>
      <c r="DS278" s="570"/>
      <c r="DT278" s="570"/>
      <c r="DU278" s="570"/>
      <c r="DV278" s="576"/>
      <c r="DW278" s="576"/>
      <c r="DX278" s="570"/>
      <c r="DY278" s="570"/>
    </row>
    <row r="279" spans="1:194" s="252" customFormat="1" ht="60" customHeight="1" x14ac:dyDescent="0.25">
      <c r="A279" s="368"/>
      <c r="B279" s="369"/>
      <c r="C279" s="396" t="s">
        <v>10</v>
      </c>
      <c r="D279" s="645" t="s">
        <v>32</v>
      </c>
      <c r="E279" s="645"/>
      <c r="F279" s="645"/>
      <c r="G279" s="645"/>
      <c r="H279" s="645"/>
      <c r="I279" s="645"/>
      <c r="J279" s="643"/>
      <c r="K279" s="643"/>
      <c r="L279" s="646"/>
      <c r="M279" s="648"/>
      <c r="N279" s="649"/>
      <c r="O279" s="644"/>
      <c r="P279" s="192"/>
      <c r="Q279" s="239"/>
      <c r="R279" s="334" t="s">
        <v>475</v>
      </c>
      <c r="S279" s="234" t="str">
        <f>IFERROR(IF($C$12='BD GN'!$CC$1,VLOOKUP(COTIZACIÓN!D274,'BD GN'!CB:CG,2,FALSE),IF(COTIZACIÓN!$C$12='BD GN'!$CD$1,VLOOKUP(COTIZACIÓN!D274,'BD GN'!CB:CG,3,FALSE),IF($C$12='BD GN'!$CE$1,VLOOKUP(COTIZACIÓN!D274,'BD GN'!CB:CG,4,FALSE),IF(COTIZACIÓN!$C$12='BD GN'!$CF$1,VLOOKUP(COTIZACIÓN!D274,'BD GN'!CB:CG,5,FALSE),IF(COTIZACIÓN!$C$12='BD GN'!$CG$1,VLOOKUP(COTIZACIÓN!D274,'BD GN'!CB:CG,6,FALSE),""))))),"-")</f>
        <v/>
      </c>
      <c r="T279" s="243"/>
      <c r="U279" s="244"/>
      <c r="V279" s="245"/>
      <c r="W279" s="177" t="s">
        <v>394</v>
      </c>
      <c r="X279" s="246">
        <f>IFERROR(SUM(W274:X274),"")</f>
        <v>0</v>
      </c>
      <c r="Y279" s="166" t="s">
        <v>404</v>
      </c>
      <c r="Z279" s="199" t="str">
        <f>IFERROR(Y274+Z274,"")</f>
        <v/>
      </c>
      <c r="AA279" s="247"/>
      <c r="AB279" s="243"/>
      <c r="AC279" s="244"/>
      <c r="AD279" s="244"/>
      <c r="AE279" s="244"/>
      <c r="AF279" s="227"/>
      <c r="AG279" s="206"/>
      <c r="AH279" s="206"/>
      <c r="AI279" s="206"/>
      <c r="AJ279" s="206"/>
      <c r="AK279" s="227"/>
      <c r="AL279" s="227"/>
      <c r="AM279" s="248"/>
      <c r="AN279" s="248"/>
      <c r="AO279" s="249"/>
      <c r="AP279" s="250"/>
      <c r="AQ279" s="248"/>
      <c r="AR279" s="248"/>
      <c r="AS279" s="249"/>
      <c r="AT279" s="250"/>
      <c r="AU279" s="249"/>
      <c r="AV279" s="250"/>
      <c r="AW279" s="249"/>
      <c r="AX279" s="250"/>
      <c r="AY279" s="248"/>
      <c r="AZ279" s="250"/>
      <c r="BA279" s="210"/>
      <c r="BB279" s="175"/>
      <c r="BC279" s="175" t="s">
        <v>118</v>
      </c>
      <c r="BD279" s="210"/>
      <c r="BE279" s="251" t="str">
        <f>IFERROR(VLOOKUP(D274,'BD M.O'!C:I,7,FALSE),"")</f>
        <v/>
      </c>
      <c r="BF279" s="251" t="s">
        <v>262</v>
      </c>
      <c r="BG279" s="175"/>
      <c r="BH279" s="175"/>
      <c r="BI279" s="210"/>
      <c r="BJ279" s="175"/>
      <c r="BK279" s="175"/>
      <c r="BL279" s="175"/>
      <c r="BM279" s="175"/>
      <c r="BN279" s="175"/>
      <c r="BO279" s="210"/>
      <c r="BP279" s="175"/>
      <c r="BQ279" s="175"/>
      <c r="BR279" s="175"/>
      <c r="BS279" s="183"/>
      <c r="BT279" s="183"/>
      <c r="BU279" s="183"/>
      <c r="BV279" s="183"/>
      <c r="BW279" s="210"/>
      <c r="BX279" s="175"/>
      <c r="BY279" s="175"/>
      <c r="BZ279" s="175"/>
      <c r="CA279" s="175"/>
      <c r="CB279" s="175"/>
      <c r="CC279" s="175"/>
      <c r="CD279" s="184"/>
      <c r="CE279" s="175"/>
      <c r="CF279" s="185"/>
      <c r="CG279" s="175"/>
      <c r="CH279" s="175"/>
      <c r="CI279" s="184"/>
      <c r="CJ279" s="210"/>
      <c r="CK279" s="564"/>
      <c r="CL279" s="257"/>
      <c r="CM279" s="597"/>
      <c r="CN279" s="628"/>
      <c r="CO279" s="631"/>
      <c r="CP279" s="631"/>
      <c r="CQ279" s="631"/>
      <c r="CR279" s="631"/>
      <c r="CS279" s="631"/>
      <c r="CT279" s="634"/>
      <c r="CU279" s="564"/>
      <c r="CV279" s="562"/>
      <c r="CW279" s="564"/>
      <c r="CX279" s="562"/>
      <c r="CY279" s="564"/>
      <c r="CZ279" s="562"/>
      <c r="DA279" s="564"/>
      <c r="DB279" s="562"/>
      <c r="DC279" s="564"/>
      <c r="DD279" s="562"/>
      <c r="DE279" s="175"/>
      <c r="DF279" s="175"/>
      <c r="DG279" s="577"/>
      <c r="DH279" s="577"/>
      <c r="DI279" s="571"/>
      <c r="DJ279" s="571"/>
      <c r="DK279" s="571"/>
      <c r="DL279" s="571"/>
      <c r="DM279" s="574"/>
      <c r="DN279" s="571"/>
      <c r="DO279" s="571"/>
      <c r="DP279" s="571"/>
      <c r="DQ279" s="571"/>
      <c r="DR279" s="571"/>
      <c r="DS279" s="571"/>
      <c r="DT279" s="571"/>
      <c r="DU279" s="571"/>
      <c r="DV279" s="577"/>
      <c r="DW279" s="577"/>
      <c r="DX279" s="571"/>
      <c r="DY279" s="571"/>
      <c r="DZ279" s="175"/>
      <c r="EA279" s="175"/>
      <c r="EB279" s="175"/>
      <c r="EC279" s="175"/>
      <c r="ED279" s="175"/>
      <c r="EE279" s="175"/>
      <c r="EF279" s="175"/>
      <c r="EG279" s="175"/>
      <c r="EH279" s="175"/>
      <c r="EI279" s="175"/>
      <c r="EJ279" s="175"/>
      <c r="EK279" s="175"/>
      <c r="EL279" s="175"/>
      <c r="EM279" s="175"/>
      <c r="EN279" s="175"/>
      <c r="EO279" s="175"/>
      <c r="EP279" s="175"/>
      <c r="EQ279" s="175"/>
      <c r="ER279" s="175"/>
      <c r="ES279" s="175"/>
      <c r="ET279" s="175"/>
      <c r="EU279" s="175"/>
      <c r="EV279" s="175"/>
      <c r="EW279" s="175"/>
      <c r="EX279" s="175"/>
      <c r="EY279" s="175"/>
      <c r="EZ279" s="175"/>
      <c r="FA279" s="175"/>
      <c r="FB279" s="175"/>
      <c r="FC279" s="175"/>
      <c r="FD279" s="175"/>
      <c r="FE279" s="175"/>
      <c r="FF279" s="175"/>
      <c r="FG279" s="175"/>
      <c r="FH279" s="175"/>
      <c r="FI279" s="175"/>
      <c r="FJ279" s="175"/>
      <c r="FK279" s="175"/>
      <c r="FL279" s="175"/>
      <c r="FM279" s="175"/>
      <c r="FN279" s="175"/>
      <c r="FO279" s="175"/>
      <c r="FP279" s="175"/>
      <c r="FQ279" s="175"/>
      <c r="FR279" s="175"/>
      <c r="FS279" s="175"/>
      <c r="FT279" s="175"/>
      <c r="FU279" s="175"/>
      <c r="FV279" s="175"/>
      <c r="FW279" s="175"/>
      <c r="FX279" s="175"/>
      <c r="FY279" s="175"/>
      <c r="FZ279" s="175"/>
      <c r="GA279" s="175"/>
      <c r="GB279" s="175"/>
      <c r="GC279" s="175"/>
      <c r="GD279" s="175"/>
      <c r="GE279" s="175"/>
      <c r="GF279" s="175"/>
      <c r="GG279" s="175"/>
      <c r="GH279" s="175"/>
      <c r="GI279" s="175"/>
      <c r="GJ279" s="175"/>
      <c r="GK279" s="175"/>
      <c r="GL279" s="175"/>
    </row>
    <row r="280" spans="1:194" s="255" customFormat="1" ht="60" customHeight="1" x14ac:dyDescent="0.3">
      <c r="A280" s="362" t="s">
        <v>193</v>
      </c>
      <c r="B280" s="363" t="s">
        <v>25</v>
      </c>
      <c r="C280" s="391" t="s">
        <v>174</v>
      </c>
      <c r="D280" s="640" t="s">
        <v>173</v>
      </c>
      <c r="E280" s="640"/>
      <c r="F280" s="640"/>
      <c r="G280" s="640"/>
      <c r="H280" s="640"/>
      <c r="I280" s="640"/>
      <c r="J280" s="418" t="s">
        <v>443</v>
      </c>
      <c r="K280" s="418" t="s">
        <v>444</v>
      </c>
      <c r="L280" s="418" t="s">
        <v>171</v>
      </c>
      <c r="M280" s="363" t="s">
        <v>2</v>
      </c>
      <c r="N280" s="419" t="s">
        <v>7</v>
      </c>
      <c r="O280" s="420" t="s">
        <v>8</v>
      </c>
      <c r="P280" s="159"/>
      <c r="Q280" s="164" t="s">
        <v>93</v>
      </c>
      <c r="R280" s="164" t="s">
        <v>34</v>
      </c>
      <c r="S280" s="164" t="s">
        <v>28</v>
      </c>
      <c r="T280" s="164" t="s">
        <v>95</v>
      </c>
      <c r="U280" s="164" t="s">
        <v>96</v>
      </c>
      <c r="V280" s="164" t="s">
        <v>97</v>
      </c>
      <c r="W280" s="164" t="s">
        <v>4</v>
      </c>
      <c r="X280" s="164" t="s">
        <v>103</v>
      </c>
      <c r="Y280" s="160" t="s">
        <v>402</v>
      </c>
      <c r="Z280" s="165" t="s">
        <v>403</v>
      </c>
      <c r="AA280" s="166" t="s">
        <v>404</v>
      </c>
      <c r="AB280" s="164" t="s">
        <v>99</v>
      </c>
      <c r="AC280" s="164" t="s">
        <v>395</v>
      </c>
      <c r="AD280" s="253" t="s">
        <v>36</v>
      </c>
      <c r="AE280" s="164" t="s">
        <v>389</v>
      </c>
      <c r="AF280" s="164" t="s">
        <v>390</v>
      </c>
      <c r="AG280" s="164" t="s">
        <v>164</v>
      </c>
      <c r="AH280" s="253" t="s">
        <v>396</v>
      </c>
      <c r="AI280" s="164" t="s">
        <v>190</v>
      </c>
      <c r="AJ280" s="164" t="s">
        <v>339</v>
      </c>
      <c r="AK280" s="253" t="s">
        <v>391</v>
      </c>
      <c r="AL280" s="253" t="s">
        <v>393</v>
      </c>
      <c r="AM280" s="167" t="s">
        <v>93</v>
      </c>
      <c r="AN280" s="168" t="s">
        <v>34</v>
      </c>
      <c r="AO280" s="169" t="s">
        <v>28</v>
      </c>
      <c r="AP280" s="170" t="s">
        <v>95</v>
      </c>
      <c r="AQ280" s="167" t="s">
        <v>3</v>
      </c>
      <c r="AR280" s="167" t="s">
        <v>96</v>
      </c>
      <c r="AS280" s="169" t="s">
        <v>97</v>
      </c>
      <c r="AT280" s="170" t="s">
        <v>4</v>
      </c>
      <c r="AU280" s="169" t="s">
        <v>103</v>
      </c>
      <c r="AV280" s="170" t="s">
        <v>99</v>
      </c>
      <c r="AW280" s="169" t="s">
        <v>36</v>
      </c>
      <c r="AX280" s="171" t="s">
        <v>29</v>
      </c>
      <c r="AY280" s="172" t="s">
        <v>190</v>
      </c>
      <c r="AZ280" s="173" t="s">
        <v>102</v>
      </c>
      <c r="BA280" s="174"/>
      <c r="BB280" s="183"/>
      <c r="BC280" s="211" t="s">
        <v>119</v>
      </c>
      <c r="BD280" s="174"/>
      <c r="BE280" s="176" t="s">
        <v>189</v>
      </c>
      <c r="BF280" s="177" t="str">
        <f>$BF$13</f>
        <v xml:space="preserve">VR SILICONA </v>
      </c>
      <c r="BG280" s="177" t="str">
        <f>$BG$13</f>
        <v xml:space="preserve">VR PELÍCULA </v>
      </c>
      <c r="BH280" s="254" t="str">
        <f>$BH$13</f>
        <v>VR EMBALAJE</v>
      </c>
      <c r="BI280" s="174"/>
      <c r="BJ280" s="176" t="str">
        <f>$BJ$13</f>
        <v>ESP. CRISTAL</v>
      </c>
      <c r="BK280" s="176" t="s">
        <v>130</v>
      </c>
      <c r="BL280" s="177" t="s">
        <v>28</v>
      </c>
      <c r="BM280" s="177" t="str">
        <f>BM273</f>
        <v>TOTAL</v>
      </c>
      <c r="BN280" s="177" t="s">
        <v>133</v>
      </c>
      <c r="BO280" s="174"/>
      <c r="BP280" s="175"/>
      <c r="BQ280" s="175"/>
      <c r="BR280" s="175"/>
      <c r="BS280" s="175"/>
      <c r="BT280" s="175"/>
      <c r="BU280" s="175"/>
      <c r="BV280" s="175"/>
      <c r="BW280" s="174"/>
      <c r="BX280" s="175"/>
      <c r="BY280" s="175"/>
      <c r="BZ280" s="175"/>
      <c r="CA280" s="175"/>
      <c r="CB280" s="175"/>
      <c r="CC280" s="175"/>
      <c r="CD280" s="184"/>
      <c r="CE280" s="175"/>
      <c r="CF280" s="185"/>
      <c r="CG280" s="175"/>
      <c r="CH280" s="175"/>
      <c r="CI280" s="184"/>
      <c r="CJ280" s="174"/>
      <c r="CK280" s="186" t="s">
        <v>415</v>
      </c>
      <c r="CL280" s="187" t="s">
        <v>417</v>
      </c>
      <c r="CM280" s="187" t="s">
        <v>416</v>
      </c>
      <c r="CN280" s="188" t="s">
        <v>418</v>
      </c>
      <c r="CO280" s="187" t="s">
        <v>417</v>
      </c>
      <c r="CP280" s="187" t="s">
        <v>409</v>
      </c>
      <c r="CQ280" s="187" t="s">
        <v>410</v>
      </c>
      <c r="CR280" s="187" t="s">
        <v>411</v>
      </c>
      <c r="CS280" s="187" t="s">
        <v>412</v>
      </c>
      <c r="CT280" s="187" t="s">
        <v>413</v>
      </c>
      <c r="CU280" s="189" t="s">
        <v>2</v>
      </c>
      <c r="CV280" s="190" t="s">
        <v>159</v>
      </c>
      <c r="CW280" s="189" t="s">
        <v>2</v>
      </c>
      <c r="CX280" s="190" t="s">
        <v>159</v>
      </c>
      <c r="CY280" s="189" t="s">
        <v>2</v>
      </c>
      <c r="CZ280" s="190" t="s">
        <v>159</v>
      </c>
      <c r="DA280" s="189" t="s">
        <v>2</v>
      </c>
      <c r="DB280" s="190" t="s">
        <v>159</v>
      </c>
      <c r="DC280" s="189" t="s">
        <v>2</v>
      </c>
      <c r="DD280" s="190" t="s">
        <v>159</v>
      </c>
      <c r="DE280" s="183"/>
      <c r="DF280" s="183"/>
      <c r="DG280" s="177" t="s">
        <v>505</v>
      </c>
      <c r="DH280" s="472" t="s">
        <v>509</v>
      </c>
      <c r="DI280" s="457" t="s">
        <v>506</v>
      </c>
      <c r="DJ280" s="457" t="s">
        <v>134</v>
      </c>
      <c r="DK280" s="457" t="s">
        <v>498</v>
      </c>
      <c r="DL280" s="457" t="s">
        <v>499</v>
      </c>
      <c r="DM280" s="457" t="s">
        <v>500</v>
      </c>
      <c r="DN280" s="457" t="s">
        <v>131</v>
      </c>
      <c r="DO280" s="457" t="s">
        <v>390</v>
      </c>
      <c r="DP280" s="457" t="s">
        <v>36</v>
      </c>
      <c r="DQ280" s="457" t="s">
        <v>501</v>
      </c>
      <c r="DR280" s="457" t="s">
        <v>502</v>
      </c>
      <c r="DS280" s="457" t="s">
        <v>503</v>
      </c>
      <c r="DT280" s="457" t="s">
        <v>4</v>
      </c>
      <c r="DU280" s="457" t="s">
        <v>504</v>
      </c>
      <c r="DV280" s="466" t="s">
        <v>507</v>
      </c>
      <c r="DW280" s="466" t="s">
        <v>508</v>
      </c>
      <c r="DX280" s="457" t="s">
        <v>510</v>
      </c>
      <c r="DY280" s="457" t="s">
        <v>511</v>
      </c>
      <c r="DZ280" s="183"/>
      <c r="EA280" s="183"/>
      <c r="EB280" s="183"/>
      <c r="EC280" s="183"/>
      <c r="ED280" s="183"/>
      <c r="EE280" s="183"/>
      <c r="EF280" s="183"/>
      <c r="EG280" s="183"/>
      <c r="EH280" s="183"/>
      <c r="EI280" s="183"/>
      <c r="EJ280" s="183"/>
      <c r="EK280" s="183"/>
      <c r="EL280" s="183"/>
      <c r="EM280" s="183"/>
      <c r="EN280" s="183"/>
      <c r="EO280" s="183"/>
      <c r="EP280" s="183"/>
      <c r="EQ280" s="183"/>
      <c r="ER280" s="183"/>
      <c r="ES280" s="183"/>
      <c r="ET280" s="183"/>
      <c r="EU280" s="183"/>
      <c r="EV280" s="183"/>
      <c r="EW280" s="183"/>
      <c r="EX280" s="183"/>
      <c r="EY280" s="183"/>
      <c r="EZ280" s="183"/>
      <c r="FA280" s="183"/>
      <c r="FB280" s="183"/>
      <c r="FC280" s="183"/>
      <c r="FD280" s="183"/>
      <c r="FE280" s="183"/>
      <c r="FF280" s="183"/>
      <c r="FG280" s="183"/>
      <c r="FH280" s="183"/>
      <c r="FI280" s="183"/>
      <c r="FJ280" s="183"/>
      <c r="FK280" s="183"/>
      <c r="FL280" s="183"/>
      <c r="FM280" s="183"/>
      <c r="FN280" s="183"/>
      <c r="FO280" s="183"/>
      <c r="FP280" s="183"/>
      <c r="FQ280" s="183"/>
      <c r="FR280" s="183"/>
      <c r="FS280" s="183"/>
      <c r="FT280" s="183"/>
      <c r="FU280" s="183"/>
      <c r="FV280" s="183"/>
      <c r="FW280" s="183"/>
      <c r="FX280" s="183"/>
      <c r="FY280" s="183"/>
      <c r="FZ280" s="183"/>
      <c r="GA280" s="183"/>
      <c r="GB280" s="183"/>
      <c r="GC280" s="183"/>
      <c r="GD280" s="183"/>
      <c r="GE280" s="183"/>
      <c r="GF280" s="183"/>
      <c r="GG280" s="183"/>
      <c r="GH280" s="183"/>
      <c r="GI280" s="183"/>
      <c r="GJ280" s="183"/>
      <c r="GK280" s="183"/>
      <c r="GL280" s="183"/>
    </row>
    <row r="281" spans="1:194" s="175" customFormat="1" ht="60" customHeight="1" x14ac:dyDescent="0.3">
      <c r="A281" s="364"/>
      <c r="B281" s="365"/>
      <c r="C281" s="392" t="s">
        <v>27</v>
      </c>
      <c r="D281" s="641"/>
      <c r="E281" s="641"/>
      <c r="F281" s="641"/>
      <c r="G281" s="641"/>
      <c r="H281" s="641"/>
      <c r="I281" s="641"/>
      <c r="J281" s="642"/>
      <c r="K281" s="642"/>
      <c r="L281" s="622">
        <f>J281*K281*M281</f>
        <v>0</v>
      </c>
      <c r="M281" s="623"/>
      <c r="N281" s="620">
        <f>IFERROR(AL281,"")</f>
        <v>1.0765546639999999</v>
      </c>
      <c r="O281" s="621">
        <f>IFERROR(N281*M281,"")</f>
        <v>0</v>
      </c>
      <c r="P281" s="192"/>
      <c r="Q281" s="193">
        <f>Q282+BF281+($R$350*Q282)</f>
        <v>0</v>
      </c>
      <c r="R281" s="193">
        <f>IFERROR(R282+($R$348*R282),"")</f>
        <v>0</v>
      </c>
      <c r="S281" s="194">
        <f>+IF(R283="SI",((W285*'BD GN'!$AB$2)+S282)*1,COTIZACIÓN!S282*1)+(P282*S282)</f>
        <v>0</v>
      </c>
      <c r="T281" s="195">
        <f>IFERROR(R281*IF(K281&lt;=3,$T$13,15%),"")</f>
        <v>0</v>
      </c>
      <c r="U281" s="196">
        <f>BH281+BG281</f>
        <v>0</v>
      </c>
      <c r="V281" s="197" t="str">
        <f>IFERROR(BN281,0)</f>
        <v/>
      </c>
      <c r="W281" s="198" t="str">
        <f>IFERROR(IF(X283="SI",W284*J281*K281,IF(BE281=3,BE283,IF(BE281=4,BE284,IF(BE281=5,BE285,IF(BE281&gt;5,BE285+(BE286*(BE281-5)),"")))))*0,"")</f>
        <v/>
      </c>
      <c r="X281" s="198" t="str">
        <f>IFERROR(IF(X282="NO",(VLOOKUP(D281,'BD M.O'!C:E,3,FALSE))*W285,((VLOOKUP(D281,'BD M.O'!C:E,3,FALSE))+7500)*W285),"")</f>
        <v/>
      </c>
      <c r="Y281" s="198">
        <f>IFERROR($Y$13*AK281,"")</f>
        <v>4.2084457416288003E-2</v>
      </c>
      <c r="Z281" s="332" t="str">
        <f>IFERROR(($Z$13*AK281)+X281,"")</f>
        <v/>
      </c>
      <c r="AA281" s="199" t="str">
        <f>IFERROR(Y281+Z281,"")</f>
        <v/>
      </c>
      <c r="AB281" s="200">
        <f>IFERROR((SUM(Q281:X281)-T281+T283)*$AB$13,"")</f>
        <v>0</v>
      </c>
      <c r="AC281" s="201">
        <f>IFERROR(((SUM(Q281:V281,IF(X286&gt;AA281,AVERAGE(X286,AA281),AA281))-T281+T283))*$AB$13,"")</f>
        <v>0</v>
      </c>
      <c r="AD281" s="202" t="str">
        <f>IFERROR((J281*K281*$BV$14),"")</f>
        <v/>
      </c>
      <c r="AE281" s="202">
        <f>IFERROR($AE$13*AK281,"")</f>
        <v>6.4010592649919984E-2</v>
      </c>
      <c r="AF281" s="203" t="str">
        <f>IFERROR(($CI$11+$CI$13)*W285,"")</f>
        <v/>
      </c>
      <c r="AG281" s="202">
        <f>IFERROR((SUM(Q281:X281,AB281,AD281,AF281)-T281+T283)*$AG$13,"")</f>
        <v>0</v>
      </c>
      <c r="AH281" s="202">
        <f>IFERROR((SUM(Q281:V281,(IF(X286&gt;AA281,AVERAGE(X286,AA281),AA281)),AC281,AE281,AF281)-T281+T283)*$AG$13,"")</f>
        <v>3.2005296324959992E-2</v>
      </c>
      <c r="AI281" s="204">
        <f>IFERROR(AL281*$AI$13,"")</f>
        <v>2.1531093279999997E-2</v>
      </c>
      <c r="AJ281" s="204">
        <f>IFERROR($AJ$13*AL281,"")</f>
        <v>6.007175025119999E-3</v>
      </c>
      <c r="AK281" s="205">
        <f>IFERROR(SUM(Q281:X281,AB281,AD281,AG281,AF281)/(1-$AI$13)+(1-$AJ$13)-T281+T283,"")</f>
        <v>0.99441999999999997</v>
      </c>
      <c r="AL281" s="205">
        <f>IFERROR(SUM(Q281:V281,AC281,(IF(AD281&gt;AE281,AVERAGE(AD281,AE281),AE281)),AF281,,AH281,(IF(SUM(X286)&gt;AA281,AVERAGE(AA281,X286),AA281)))/(1-$AJ$13)+(1-$AI$13)-T281+T283,"")</f>
        <v>1.0765546639999999</v>
      </c>
      <c r="AM281" s="206">
        <f>$M$15*Q281</f>
        <v>0</v>
      </c>
      <c r="AN281" s="207">
        <f>$M$15*R281</f>
        <v>0</v>
      </c>
      <c r="AO281" s="208">
        <f>$M$15*S281</f>
        <v>0</v>
      </c>
      <c r="AP281" s="207">
        <f>$M$15*T281</f>
        <v>0</v>
      </c>
      <c r="AQ281" s="207" t="e">
        <f>$M$15*#REF!</f>
        <v>#REF!</v>
      </c>
      <c r="AR281" s="207">
        <f>$M$15*U281</f>
        <v>0</v>
      </c>
      <c r="AS281" s="208" t="e">
        <f>$M$15*V281</f>
        <v>#VALUE!</v>
      </c>
      <c r="AT281" s="207" t="e">
        <f>$M$15*W281</f>
        <v>#VALUE!</v>
      </c>
      <c r="AU281" s="208" t="e">
        <f>$M$15*X281</f>
        <v>#VALUE!</v>
      </c>
      <c r="AV281" s="207">
        <f>$M$15*AB281</f>
        <v>0</v>
      </c>
      <c r="AW281" s="208">
        <f>$M$15*AE281</f>
        <v>0</v>
      </c>
      <c r="AX281" s="207">
        <f>$M$15*AG281</f>
        <v>0</v>
      </c>
      <c r="AY281" s="209">
        <f>$M$15*AI281</f>
        <v>0</v>
      </c>
      <c r="AZ281" s="207">
        <f>$M$15*AK281</f>
        <v>0</v>
      </c>
      <c r="BA281" s="210"/>
      <c r="BB281" s="175" t="s">
        <v>23</v>
      </c>
      <c r="BC281" s="211" t="s">
        <v>113</v>
      </c>
      <c r="BD281" s="210"/>
      <c r="BE281" s="212"/>
      <c r="BF281" s="213">
        <f>IF(BH282="NO",((2*J281)+(2*K281))*'BD GN'!$AU$3,((3*J281)+(2*K281))*'BD GN'!$AU$3)</f>
        <v>0</v>
      </c>
      <c r="BG281" s="213">
        <f>'BD GN'!$BB$3*J281*K281</f>
        <v>0</v>
      </c>
      <c r="BH281" s="214">
        <f>((J281*2*BE281)+(K281*2*BE281))*'BD GN'!$AN$4</f>
        <v>0</v>
      </c>
      <c r="BI281" s="210"/>
      <c r="BJ281" s="212"/>
      <c r="BK281" s="212"/>
      <c r="BL281" s="215">
        <f>J281*K281*2.5*BJ281</f>
        <v>0</v>
      </c>
      <c r="BM281" s="215">
        <f>BK281+BL281</f>
        <v>0</v>
      </c>
      <c r="BN281" s="216" t="str">
        <f>IFERROR((VLOOKUP($C$12,'BD GN'!BD:BM,10,FALSE)*BM281)+$BR$338,"")</f>
        <v/>
      </c>
      <c r="BO281" s="210"/>
      <c r="BW281" s="210"/>
      <c r="CD281" s="184"/>
      <c r="CF281" s="185"/>
      <c r="CI281" s="184"/>
      <c r="CJ281" s="210"/>
      <c r="CK281" s="565"/>
      <c r="CL281" s="256"/>
      <c r="CM281" s="596"/>
      <c r="CN281" s="626"/>
      <c r="CO281" s="629"/>
      <c r="CP281" s="629"/>
      <c r="CQ281" s="629"/>
      <c r="CR281" s="629"/>
      <c r="CS281" s="629"/>
      <c r="CT281" s="632"/>
      <c r="CU281" s="565"/>
      <c r="CV281" s="560">
        <f>IFERROR(N281*CU281,"")</f>
        <v>0</v>
      </c>
      <c r="CW281" s="565"/>
      <c r="CX281" s="560">
        <f>IFERROR(P281*CW281,"")</f>
        <v>0</v>
      </c>
      <c r="CY281" s="565"/>
      <c r="CZ281" s="560">
        <f>IFERROR(R281*CY281,"")</f>
        <v>0</v>
      </c>
      <c r="DA281" s="565">
        <f t="shared" ref="DA281" si="1086">CU281+CW281+CY281</f>
        <v>0</v>
      </c>
      <c r="DB281" s="560">
        <f t="shared" ref="DB281" si="1087">IFERROR(CV281+CX281+CZ281,"")</f>
        <v>0</v>
      </c>
      <c r="DC281" s="565">
        <f>M281-(CU281+CW281+CY281)</f>
        <v>0</v>
      </c>
      <c r="DD281" s="560">
        <f>IFERROR(O281-(CV281+CX281+CZ281),"")</f>
        <v>0</v>
      </c>
      <c r="DG281" s="575"/>
      <c r="DH281" s="575"/>
      <c r="DI281" s="569">
        <f t="shared" ref="DI281" si="1088">IFERROR(IF(DG281&gt;0,(((N281)/(1+10%+19%*5%)+((N281)/(1+10%+19%*5%))*10%)*DH281),0),0)</f>
        <v>0</v>
      </c>
      <c r="DJ281" s="569">
        <f t="shared" ref="DJ281" si="1089">IFERROR(IF(DG281&gt;0,(N281*DH281),0),0)</f>
        <v>0</v>
      </c>
      <c r="DK281" s="569">
        <f t="shared" ref="DK281" si="1090">IF(DG281&gt;0,((R281+T281)*DH281),0)</f>
        <v>0</v>
      </c>
      <c r="DL281" s="569">
        <f t="shared" ref="DL281" si="1091">IF(DG281&gt;0,(Q281*DH281),0)</f>
        <v>0</v>
      </c>
      <c r="DM281" s="572">
        <f t="shared" ref="DM281" si="1092">IF(DG281&gt;0,(S281*DH281),0)</f>
        <v>0</v>
      </c>
      <c r="DN281" s="569">
        <f t="shared" ref="DN281" si="1093">IF(DG281&gt;0,(BN281*DH281),0)</f>
        <v>0</v>
      </c>
      <c r="DO281" s="569">
        <f t="shared" ref="DO281" si="1094">IF(DG281&gt;0,(AF281*DH281),0)</f>
        <v>0</v>
      </c>
      <c r="DP281" s="569">
        <f>IF(DG281&gt;0,((DI281)*('BD P&amp;G'!$E$16+'BD P&amp;G'!$E$17+'BD P&amp;G'!$E$18+'BD P&amp;G'!$E$19+'BD P&amp;G'!$E$20+'BD P&amp;G'!$E$21+'BD P&amp;G'!$E$22+'BD P&amp;G'!$E$23)*DH281),0)</f>
        <v>0</v>
      </c>
      <c r="DQ281" s="569">
        <f>IFERROR(IF(DG281&gt;0,((DI281*'BD P&amp;G'!$E$7)+(DI281*'BD P&amp;G'!$E$9)+AI281),0),0)</f>
        <v>0</v>
      </c>
      <c r="DR281" s="569">
        <f t="shared" ref="DR281" si="1095">IFERROR(IF(DG281&gt;0,((DI281*1%)),0),0)</f>
        <v>0</v>
      </c>
      <c r="DS281" s="569">
        <f>IFERROR(IF(DG281&gt;0,(((DI281*'BD P&amp;G'!$E$32+DI281*'BD P&amp;G'!$E$33+DI281*'BD P&amp;G'!$E$35+DI281*'BD P&amp;G'!$E$36+DI281*'BD P&amp;G'!$E$37))),0),0)</f>
        <v>0</v>
      </c>
      <c r="DT281" s="569">
        <f t="shared" ref="DT281" si="1096">IF(DG281&gt;0,(Y281*DH281),0)</f>
        <v>0</v>
      </c>
      <c r="DU281" s="569">
        <f t="shared" ref="DU281" si="1097">IF(DG281&gt;0,(Z281*DH281),0)</f>
        <v>0</v>
      </c>
      <c r="DV281" s="575">
        <f t="shared" ref="DV281" si="1098">IF(DG281&gt;0,(Y285*DH281),0)</f>
        <v>0</v>
      </c>
      <c r="DW281" s="575">
        <f t="shared" ref="DW281" si="1099">IF(DG281&gt;0,(Z285*DH281),0)</f>
        <v>0</v>
      </c>
      <c r="DX281" s="569">
        <f t="shared" ref="DX281" si="1100">IF(DV281&gt;0,DJ281,0)</f>
        <v>0</v>
      </c>
      <c r="DY281" s="569">
        <f t="shared" ref="DY281" si="1101">IF(DW281&gt;0,DJ281,0)</f>
        <v>0</v>
      </c>
    </row>
    <row r="282" spans="1:194" s="175" customFormat="1" ht="60" customHeight="1" x14ac:dyDescent="0.25">
      <c r="A282" s="366"/>
      <c r="B282" s="367"/>
      <c r="C282" s="393" t="s">
        <v>28</v>
      </c>
      <c r="D282" s="598"/>
      <c r="E282" s="598"/>
      <c r="F282" s="598"/>
      <c r="G282" s="598"/>
      <c r="H282" s="598"/>
      <c r="I282" s="598"/>
      <c r="J282" s="604"/>
      <c r="K282" s="604"/>
      <c r="L282" s="607"/>
      <c r="M282" s="559"/>
      <c r="N282" s="610"/>
      <c r="O282" s="613"/>
      <c r="P282" s="192"/>
      <c r="Q282" s="217"/>
      <c r="R282" s="217"/>
      <c r="S282" s="218"/>
      <c r="T282" s="219">
        <f>IFERROR(T281/$R$353,"")</f>
        <v>0</v>
      </c>
      <c r="U282" s="206"/>
      <c r="V282" s="220"/>
      <c r="W282" s="221" t="s">
        <v>239</v>
      </c>
      <c r="X282" s="222" t="s">
        <v>204</v>
      </c>
      <c r="Y282" s="223"/>
      <c r="Z282" s="224"/>
      <c r="AA282" s="225"/>
      <c r="AB282" s="226"/>
      <c r="AC282" s="206"/>
      <c r="AD282" s="206"/>
      <c r="AE282" s="206"/>
      <c r="AF282" s="227"/>
      <c r="AG282" s="206"/>
      <c r="AH282" s="206"/>
      <c r="AI282" s="206"/>
      <c r="AJ282" s="206"/>
      <c r="AK282" s="227"/>
      <c r="AL282" s="210"/>
      <c r="AM282" s="206"/>
      <c r="AN282" s="206"/>
      <c r="AO282" s="228"/>
      <c r="AP282" s="229"/>
      <c r="AQ282" s="206"/>
      <c r="AR282" s="206"/>
      <c r="AS282" s="228"/>
      <c r="AT282" s="229"/>
      <c r="AU282" s="228"/>
      <c r="AV282" s="229"/>
      <c r="AW282" s="228"/>
      <c r="AX282" s="229"/>
      <c r="AY282" s="206"/>
      <c r="AZ282" s="229"/>
      <c r="BA282" s="210"/>
      <c r="BB282" s="175" t="s">
        <v>24</v>
      </c>
      <c r="BC282" s="175" t="s">
        <v>114</v>
      </c>
      <c r="BD282" s="210"/>
      <c r="BE282" s="176" t="s">
        <v>206</v>
      </c>
      <c r="BF282" s="230" t="s">
        <v>204</v>
      </c>
      <c r="BG282" s="176" t="s">
        <v>290</v>
      </c>
      <c r="BH282" s="231" t="s">
        <v>204</v>
      </c>
      <c r="BI282" s="210"/>
      <c r="BN282" s="232"/>
      <c r="BO282" s="210"/>
      <c r="BV282" s="184"/>
      <c r="BW282" s="210"/>
      <c r="CD282" s="184"/>
      <c r="CF282" s="185"/>
      <c r="CI282" s="184"/>
      <c r="CJ282" s="210"/>
      <c r="CK282" s="563"/>
      <c r="CM282" s="559"/>
      <c r="CN282" s="627"/>
      <c r="CO282" s="630"/>
      <c r="CP282" s="630"/>
      <c r="CQ282" s="630"/>
      <c r="CR282" s="630"/>
      <c r="CS282" s="630"/>
      <c r="CT282" s="633"/>
      <c r="CU282" s="563"/>
      <c r="CV282" s="561"/>
      <c r="CW282" s="563"/>
      <c r="CX282" s="561"/>
      <c r="CY282" s="563"/>
      <c r="CZ282" s="561"/>
      <c r="DA282" s="563"/>
      <c r="DB282" s="561"/>
      <c r="DC282" s="563"/>
      <c r="DD282" s="561"/>
      <c r="DG282" s="576"/>
      <c r="DH282" s="576"/>
      <c r="DI282" s="570"/>
      <c r="DJ282" s="570"/>
      <c r="DK282" s="570"/>
      <c r="DL282" s="570"/>
      <c r="DM282" s="573"/>
      <c r="DN282" s="570"/>
      <c r="DO282" s="570"/>
      <c r="DP282" s="570"/>
      <c r="DQ282" s="570"/>
      <c r="DR282" s="570"/>
      <c r="DS282" s="570"/>
      <c r="DT282" s="570"/>
      <c r="DU282" s="570"/>
      <c r="DV282" s="576"/>
      <c r="DW282" s="576"/>
      <c r="DX282" s="570"/>
      <c r="DY282" s="570"/>
    </row>
    <row r="283" spans="1:194" s="175" customFormat="1" ht="60" customHeight="1" x14ac:dyDescent="0.3">
      <c r="A283" s="366"/>
      <c r="B283" s="367"/>
      <c r="C283" s="393" t="s">
        <v>30</v>
      </c>
      <c r="D283" s="599"/>
      <c r="E283" s="599"/>
      <c r="F283" s="599"/>
      <c r="G283" s="599"/>
      <c r="H283" s="599"/>
      <c r="I283" s="599"/>
      <c r="J283" s="604"/>
      <c r="K283" s="604"/>
      <c r="L283" s="607"/>
      <c r="M283" s="559"/>
      <c r="N283" s="610"/>
      <c r="O283" s="613"/>
      <c r="P283" s="192"/>
      <c r="Q283" s="176" t="s">
        <v>205</v>
      </c>
      <c r="R283" s="233" t="s">
        <v>204</v>
      </c>
      <c r="S283" s="234"/>
      <c r="T283" s="235">
        <f>IFERROR(($R$353-8000)*T282,"")</f>
        <v>0</v>
      </c>
      <c r="U283" s="206"/>
      <c r="V283" s="220"/>
      <c r="W283" s="221" t="s">
        <v>258</v>
      </c>
      <c r="X283" s="222" t="s">
        <v>204</v>
      </c>
      <c r="Y283" s="236"/>
      <c r="Z283" s="237"/>
      <c r="AA283" s="225"/>
      <c r="AB283" s="226"/>
      <c r="AC283" s="206"/>
      <c r="AD283" s="206"/>
      <c r="AE283" s="206"/>
      <c r="AF283" s="227"/>
      <c r="AG283" s="206"/>
      <c r="AH283" s="206"/>
      <c r="AI283" s="206"/>
      <c r="AJ283" s="206"/>
      <c r="AK283" s="227"/>
      <c r="AL283" s="238"/>
      <c r="AM283" s="206"/>
      <c r="AN283" s="206"/>
      <c r="AO283" s="228"/>
      <c r="AP283" s="229"/>
      <c r="AQ283" s="206"/>
      <c r="AR283" s="206"/>
      <c r="AS283" s="228"/>
      <c r="AT283" s="229"/>
      <c r="AU283" s="228"/>
      <c r="AV283" s="229"/>
      <c r="AW283" s="228"/>
      <c r="AX283" s="229"/>
      <c r="AY283" s="206"/>
      <c r="AZ283" s="229"/>
      <c r="BA283" s="210"/>
      <c r="BB283" s="175" t="s">
        <v>26</v>
      </c>
      <c r="BC283" s="211" t="s">
        <v>115</v>
      </c>
      <c r="BD283" s="210"/>
      <c r="BE283" s="177" t="str">
        <f>IFERROR(VLOOKUP(D281,'BD M.O'!C:H,4,FALSE),"")</f>
        <v/>
      </c>
      <c r="BF283" s="177" t="s">
        <v>259</v>
      </c>
      <c r="BI283" s="210"/>
      <c r="BO283" s="210"/>
      <c r="BV283" s="184"/>
      <c r="BW283" s="210"/>
      <c r="CD283" s="184"/>
      <c r="CF283" s="185"/>
      <c r="CI283" s="184"/>
      <c r="CJ283" s="210"/>
      <c r="CK283" s="563"/>
      <c r="CM283" s="559"/>
      <c r="CN283" s="627"/>
      <c r="CO283" s="630"/>
      <c r="CP283" s="630"/>
      <c r="CQ283" s="630"/>
      <c r="CR283" s="630"/>
      <c r="CS283" s="630"/>
      <c r="CT283" s="633"/>
      <c r="CU283" s="563"/>
      <c r="CV283" s="561"/>
      <c r="CW283" s="563"/>
      <c r="CX283" s="561"/>
      <c r="CY283" s="563"/>
      <c r="CZ283" s="561"/>
      <c r="DA283" s="563"/>
      <c r="DB283" s="561"/>
      <c r="DC283" s="563"/>
      <c r="DD283" s="561"/>
      <c r="DG283" s="577"/>
      <c r="DH283" s="577"/>
      <c r="DI283" s="571"/>
      <c r="DJ283" s="571"/>
      <c r="DK283" s="571"/>
      <c r="DL283" s="571"/>
      <c r="DM283" s="574"/>
      <c r="DN283" s="571"/>
      <c r="DO283" s="571"/>
      <c r="DP283" s="571"/>
      <c r="DQ283" s="571"/>
      <c r="DR283" s="571"/>
      <c r="DS283" s="571"/>
      <c r="DT283" s="571"/>
      <c r="DU283" s="571"/>
      <c r="DV283" s="577"/>
      <c r="DW283" s="577"/>
      <c r="DX283" s="571"/>
      <c r="DY283" s="571"/>
    </row>
    <row r="284" spans="1:194" s="175" customFormat="1" ht="60" customHeight="1" x14ac:dyDescent="0.25">
      <c r="A284" s="366"/>
      <c r="B284" s="367"/>
      <c r="C284" s="395" t="s">
        <v>180</v>
      </c>
      <c r="D284" s="599" t="s">
        <v>31</v>
      </c>
      <c r="E284" s="599"/>
      <c r="F284" s="394" t="s">
        <v>9</v>
      </c>
      <c r="G284" s="599" t="s">
        <v>33</v>
      </c>
      <c r="H284" s="599"/>
      <c r="I284" s="394" t="str">
        <f>+IF($BG$9="SI","","X")</f>
        <v>X</v>
      </c>
      <c r="J284" s="604"/>
      <c r="K284" s="604"/>
      <c r="L284" s="607"/>
      <c r="M284" s="559"/>
      <c r="N284" s="610"/>
      <c r="O284" s="613"/>
      <c r="P284" s="192"/>
      <c r="Q284" s="239"/>
      <c r="R284" s="221" t="s">
        <v>209</v>
      </c>
      <c r="S284" s="234" t="str">
        <f>IF(S282="","",S282/(J281*K281))</f>
        <v/>
      </c>
      <c r="T284" s="226"/>
      <c r="U284" s="206"/>
      <c r="V284" s="220"/>
      <c r="W284" s="239" t="str">
        <f>IFERROR(IF(X283="SI",VLOOKUP(D281,'BD M.O'!C:F,4,FALSE),""),"")</f>
        <v/>
      </c>
      <c r="X284" s="221" t="s">
        <v>258</v>
      </c>
      <c r="Y284" s="221" t="s">
        <v>507</v>
      </c>
      <c r="Z284" s="221" t="s">
        <v>508</v>
      </c>
      <c r="AA284" s="225"/>
      <c r="AB284" s="226"/>
      <c r="AC284" s="206"/>
      <c r="AD284" s="206"/>
      <c r="AE284" s="206"/>
      <c r="AF284" s="227"/>
      <c r="AG284" s="206"/>
      <c r="AH284" s="206"/>
      <c r="AI284" s="206"/>
      <c r="AJ284" s="206"/>
      <c r="AK284" s="227"/>
      <c r="AL284" s="240"/>
      <c r="AM284" s="206"/>
      <c r="AN284" s="206"/>
      <c r="AO284" s="228"/>
      <c r="AP284" s="229"/>
      <c r="AQ284" s="206"/>
      <c r="AR284" s="206"/>
      <c r="AS284" s="228"/>
      <c r="AT284" s="229"/>
      <c r="AU284" s="228"/>
      <c r="AV284" s="229"/>
      <c r="AW284" s="228"/>
      <c r="AX284" s="229"/>
      <c r="AY284" s="206"/>
      <c r="AZ284" s="229"/>
      <c r="BA284" s="210"/>
      <c r="BC284" s="175" t="s">
        <v>116</v>
      </c>
      <c r="BD284" s="210"/>
      <c r="BE284" s="177" t="str">
        <f>IFERROR(VLOOKUP(COTIZACIÓN!D281,'BD M.O'!C:I,5,FALSE),"")</f>
        <v/>
      </c>
      <c r="BF284" s="177" t="s">
        <v>260</v>
      </c>
      <c r="BI284" s="210"/>
      <c r="BO284" s="210"/>
      <c r="BP284" s="183"/>
      <c r="BQ284" s="183"/>
      <c r="BR284" s="183"/>
      <c r="BS284" s="183"/>
      <c r="BT284" s="183"/>
      <c r="BU284" s="183"/>
      <c r="BV284" s="182"/>
      <c r="BW284" s="210"/>
      <c r="BX284" s="183"/>
      <c r="BY284" s="183"/>
      <c r="BZ284" s="183"/>
      <c r="CA284" s="183"/>
      <c r="CB284" s="183"/>
      <c r="CC284" s="183"/>
      <c r="CD284" s="182"/>
      <c r="CE284" s="183"/>
      <c r="CF284" s="241"/>
      <c r="CG284" s="183"/>
      <c r="CH284" s="183"/>
      <c r="CI284" s="182"/>
      <c r="CJ284" s="210"/>
      <c r="CK284" s="563"/>
      <c r="CM284" s="559"/>
      <c r="CN284" s="627"/>
      <c r="CO284" s="630"/>
      <c r="CP284" s="630"/>
      <c r="CQ284" s="630"/>
      <c r="CR284" s="630"/>
      <c r="CS284" s="630"/>
      <c r="CT284" s="633"/>
      <c r="CU284" s="563"/>
      <c r="CV284" s="561"/>
      <c r="CW284" s="563"/>
      <c r="CX284" s="561"/>
      <c r="CY284" s="563"/>
      <c r="CZ284" s="561"/>
      <c r="DA284" s="563"/>
      <c r="DB284" s="561"/>
      <c r="DC284" s="563"/>
      <c r="DD284" s="561"/>
      <c r="DG284" s="575"/>
      <c r="DH284" s="575"/>
      <c r="DI284" s="569">
        <f t="shared" ref="DI284" si="1102">IFERROR(IF(DG284&gt;0,(((N281)/(1+10%+19%*5%)+((N281)/(1+10%+19%*5%))*10%)*DH284),0),0)</f>
        <v>0</v>
      </c>
      <c r="DJ284" s="569">
        <f t="shared" ref="DJ284" si="1103">IFERROR(IF(DG284&gt;0,(N281*DH284),0),0)</f>
        <v>0</v>
      </c>
      <c r="DK284" s="569">
        <f t="shared" ref="DK284" si="1104">IF(DG284&gt;0,((R281+T281)*DH284),0)</f>
        <v>0</v>
      </c>
      <c r="DL284" s="569">
        <f t="shared" ref="DL284" si="1105">IF(DG284&gt;0,(Q281*DH284),0)</f>
        <v>0</v>
      </c>
      <c r="DM284" s="572">
        <f t="shared" ref="DM284" si="1106">IF(DG284&gt;0,(S281*DH284),0)</f>
        <v>0</v>
      </c>
      <c r="DN284" s="569">
        <f t="shared" ref="DN284" si="1107">IF(DG284&gt;0,(BN281*DH284),0)</f>
        <v>0</v>
      </c>
      <c r="DO284" s="569">
        <f t="shared" ref="DO284" si="1108">IF(DG284&gt;0,(AF281*DH284),0)</f>
        <v>0</v>
      </c>
      <c r="DP284" s="569">
        <f>IF(DG284&gt;0,((DI284)*('BD P&amp;G'!$E$16+'BD P&amp;G'!$E$17+'BD P&amp;G'!$E$18+'BD P&amp;G'!$E$19+'BD P&amp;G'!$E$20+'BD P&amp;G'!$E$21+'BD P&amp;G'!$E$22+'BD P&amp;G'!$E$23)*DH284),0)</f>
        <v>0</v>
      </c>
      <c r="DQ284" s="569">
        <f>IFERROR(IF(DG284&gt;0,((DI284*'BD P&amp;G'!$E$7)+(DI284*'BD P&amp;G'!$E$9)+AI281),0),0)</f>
        <v>0</v>
      </c>
      <c r="DR284" s="569">
        <f t="shared" ref="DR284" si="1109">IFERROR(IF(DG284&gt;0,((DI284*1%)),0),0)</f>
        <v>0</v>
      </c>
      <c r="DS284" s="569">
        <f>IFERROR(IF(DG284&gt;0,(((DI284*'BD P&amp;G'!$E$32+DI284*'BD P&amp;G'!$E$33+DI284*'BD P&amp;G'!$E$35+DI284*'BD P&amp;G'!$E$36+DI284*'BD P&amp;G'!$E$37))),0),0)</f>
        <v>0</v>
      </c>
      <c r="DT284" s="569">
        <f t="shared" ref="DT284" si="1110">IF(DG284&gt;0,(Y281*DH284),0)</f>
        <v>0</v>
      </c>
      <c r="DU284" s="569">
        <f t="shared" ref="DU284" si="1111">IF(DG284&gt;0,(Z281*DH284),0)</f>
        <v>0</v>
      </c>
      <c r="DV284" s="575">
        <f t="shared" ref="DV284" si="1112">IF(DG284&gt;0,(Y285*DH284),0)</f>
        <v>0</v>
      </c>
      <c r="DW284" s="575">
        <f t="shared" ref="DW284" si="1113">IF(DG284&gt;0,(Z285*DH284),0)</f>
        <v>0</v>
      </c>
      <c r="DX284" s="569">
        <f t="shared" ref="DX284" si="1114">IF(DV284&gt;0,DJ284,0)</f>
        <v>0</v>
      </c>
      <c r="DY284" s="569">
        <f t="shared" ref="DY284" si="1115">IF(DW284&gt;0,DJ284,0)</f>
        <v>0</v>
      </c>
    </row>
    <row r="285" spans="1:194" s="175" customFormat="1" ht="60" customHeight="1" x14ac:dyDescent="0.3">
      <c r="A285" s="366"/>
      <c r="B285" s="367"/>
      <c r="C285" s="393" t="s">
        <v>35</v>
      </c>
      <c r="D285" s="599" t="str">
        <f>IFERROR(VLOOKUP(D281,'BD GN'!C:E,3,),"")</f>
        <v/>
      </c>
      <c r="E285" s="599"/>
      <c r="F285" s="599"/>
      <c r="G285" s="599"/>
      <c r="H285" s="599"/>
      <c r="I285" s="599"/>
      <c r="J285" s="604"/>
      <c r="K285" s="604"/>
      <c r="L285" s="607"/>
      <c r="M285" s="559"/>
      <c r="N285" s="610"/>
      <c r="O285" s="613"/>
      <c r="P285" s="192"/>
      <c r="Q285" s="239"/>
      <c r="R285" s="221" t="s">
        <v>210</v>
      </c>
      <c r="S285" s="234" t="str">
        <f>IFERROR(IF(N281="","",N281/W285),"")</f>
        <v/>
      </c>
      <c r="T285" s="226"/>
      <c r="U285" s="206"/>
      <c r="V285" s="220"/>
      <c r="W285" s="242" t="str">
        <f>+IF(J281*K281&gt;=1,J281*K281,IF(AND(J281*K281&gt;0,J281*K281&lt;1),1,""))</f>
        <v/>
      </c>
      <c r="X285" s="221" t="s">
        <v>298</v>
      </c>
      <c r="Y285" s="461">
        <f>IFERROR(IF(D281='BD GN'!$C$25,COTIZACIÓN!W285,IF(D281='BD GN'!$C$26,COTIZACIÓN!W285,IF(D281='BD GN'!$C$27,COTIZACIÓN!W285,IF(COTIZACIÓN!D281='BD GN'!$C$28,COTIZACIÓN!W285,IF(COTIZACIÓN!D281='BD GN'!$C$29,COTIZACIÓN!W285,IF(COTIZACIÓN!D281='BD GN'!$C$35,COTIZACIÓN!W285,IF(COTIZACIÓN!D281='BD GN'!$C$36,COTIZACIÓN!W285,IF(COTIZACIÓN!D281='BD GN'!$C$37,COTIZACIÓN!W285,IF(COTIZACIÓN!D281='BD GN'!$C$38,COTIZACIÓN!W285,IF(COTIZACIÓN!D281='BD GN'!$C$39,COTIZACIÓN!W285,IF(COTIZACIÓN!D281='BD GN'!$C$40,COTIZACIÓN!W285,IF(COTIZACIÓN!D281='BD GN'!$C$41,COTIZACIÓN!W285,IF(COTIZACIÓN!D281='BD GN'!$C$42,COTIZACIÓN!W285,IF(COTIZACIÓN!D281='BD GN'!$C$49,COTIZACIÓN!W285,IF(COTIZACIÓN!D281='BD GN'!$C$50,COTIZACIÓN!W285,IF(COTIZACIÓN!D281='BD GN'!$C$51,COTIZACIÓN!W285,IF(COTIZACIÓN!D281='BD GN'!$C$67,COTIZACIÓN!W285,0))))))))))))))))),0)</f>
        <v>0</v>
      </c>
      <c r="Z285" s="461">
        <f>IFERROR(W285-Y285,0)</f>
        <v>0</v>
      </c>
      <c r="AA285" s="225"/>
      <c r="AB285" s="226"/>
      <c r="AC285" s="206"/>
      <c r="AD285" s="206"/>
      <c r="AE285" s="206"/>
      <c r="AF285" s="227"/>
      <c r="AG285" s="206"/>
      <c r="AH285" s="206"/>
      <c r="AI285" s="206"/>
      <c r="AJ285" s="206"/>
      <c r="AK285" s="227"/>
      <c r="AL285" s="210"/>
      <c r="AM285" s="206"/>
      <c r="AN285" s="206"/>
      <c r="AO285" s="228"/>
      <c r="AP285" s="229"/>
      <c r="AQ285" s="206"/>
      <c r="AR285" s="206"/>
      <c r="AS285" s="228"/>
      <c r="AT285" s="229"/>
      <c r="AU285" s="228"/>
      <c r="AV285" s="229"/>
      <c r="AW285" s="228"/>
      <c r="AX285" s="229"/>
      <c r="AY285" s="206"/>
      <c r="AZ285" s="229"/>
      <c r="BA285" s="210"/>
      <c r="BC285" s="211" t="s">
        <v>117</v>
      </c>
      <c r="BD285" s="210"/>
      <c r="BE285" s="177" t="str">
        <f>IFERROR(VLOOKUP(D281,'BD M.O'!C:I,6,FALSE),"")</f>
        <v/>
      </c>
      <c r="BF285" s="177" t="s">
        <v>261</v>
      </c>
      <c r="BI285" s="210"/>
      <c r="BO285" s="210"/>
      <c r="BP285" s="183"/>
      <c r="BQ285" s="183"/>
      <c r="BR285" s="183"/>
      <c r="BW285" s="210"/>
      <c r="CD285" s="184"/>
      <c r="CF285" s="185"/>
      <c r="CI285" s="184"/>
      <c r="CJ285" s="210"/>
      <c r="CK285" s="563"/>
      <c r="CM285" s="559"/>
      <c r="CN285" s="627"/>
      <c r="CO285" s="630"/>
      <c r="CP285" s="630"/>
      <c r="CQ285" s="630"/>
      <c r="CR285" s="630"/>
      <c r="CS285" s="630"/>
      <c r="CT285" s="633"/>
      <c r="CU285" s="563"/>
      <c r="CV285" s="561"/>
      <c r="CW285" s="563"/>
      <c r="CX285" s="561"/>
      <c r="CY285" s="563"/>
      <c r="CZ285" s="561"/>
      <c r="DA285" s="563"/>
      <c r="DB285" s="561"/>
      <c r="DC285" s="563"/>
      <c r="DD285" s="561"/>
      <c r="DG285" s="576"/>
      <c r="DH285" s="576"/>
      <c r="DI285" s="570"/>
      <c r="DJ285" s="570"/>
      <c r="DK285" s="570"/>
      <c r="DL285" s="570"/>
      <c r="DM285" s="573"/>
      <c r="DN285" s="570"/>
      <c r="DO285" s="570"/>
      <c r="DP285" s="570"/>
      <c r="DQ285" s="570"/>
      <c r="DR285" s="570"/>
      <c r="DS285" s="570"/>
      <c r="DT285" s="570"/>
      <c r="DU285" s="570"/>
      <c r="DV285" s="576"/>
      <c r="DW285" s="576"/>
      <c r="DX285" s="570"/>
      <c r="DY285" s="570"/>
    </row>
    <row r="286" spans="1:194" s="252" customFormat="1" ht="60" customHeight="1" x14ac:dyDescent="0.25">
      <c r="A286" s="368"/>
      <c r="B286" s="369"/>
      <c r="C286" s="396" t="s">
        <v>10</v>
      </c>
      <c r="D286" s="645" t="s">
        <v>32</v>
      </c>
      <c r="E286" s="645"/>
      <c r="F286" s="645"/>
      <c r="G286" s="645"/>
      <c r="H286" s="645"/>
      <c r="I286" s="645"/>
      <c r="J286" s="643"/>
      <c r="K286" s="643"/>
      <c r="L286" s="646"/>
      <c r="M286" s="648"/>
      <c r="N286" s="649"/>
      <c r="O286" s="644"/>
      <c r="P286" s="192"/>
      <c r="Q286" s="239"/>
      <c r="R286" s="334" t="s">
        <v>475</v>
      </c>
      <c r="S286" s="234" t="str">
        <f>IFERROR(IF($C$12='BD GN'!$CC$1,VLOOKUP(COTIZACIÓN!D281,'BD GN'!CB:CG,2,FALSE),IF(COTIZACIÓN!$C$12='BD GN'!$CD$1,VLOOKUP(COTIZACIÓN!D281,'BD GN'!CB:CG,3,FALSE),IF($C$12='BD GN'!$CE$1,VLOOKUP(COTIZACIÓN!D281,'BD GN'!CB:CG,4,FALSE),IF(COTIZACIÓN!$C$12='BD GN'!$CF$1,VLOOKUP(COTIZACIÓN!D281,'BD GN'!CB:CG,5,FALSE),IF(COTIZACIÓN!$C$12='BD GN'!$CG$1,VLOOKUP(COTIZACIÓN!D281,'BD GN'!CB:CG,6,FALSE),""))))),"-")</f>
        <v/>
      </c>
      <c r="T286" s="243"/>
      <c r="U286" s="244"/>
      <c r="V286" s="245"/>
      <c r="W286" s="177" t="s">
        <v>394</v>
      </c>
      <c r="X286" s="246">
        <f>IFERROR(SUM(W281:X281),"")</f>
        <v>0</v>
      </c>
      <c r="Y286" s="166" t="s">
        <v>404</v>
      </c>
      <c r="Z286" s="199" t="str">
        <f>IFERROR(Y281+Z281,"")</f>
        <v/>
      </c>
      <c r="AA286" s="247"/>
      <c r="AB286" s="243"/>
      <c r="AC286" s="244"/>
      <c r="AD286" s="244"/>
      <c r="AE286" s="244"/>
      <c r="AF286" s="227"/>
      <c r="AG286" s="206"/>
      <c r="AH286" s="206"/>
      <c r="AI286" s="206"/>
      <c r="AJ286" s="206"/>
      <c r="AK286" s="227"/>
      <c r="AL286" s="227"/>
      <c r="AM286" s="248"/>
      <c r="AN286" s="248"/>
      <c r="AO286" s="249"/>
      <c r="AP286" s="250"/>
      <c r="AQ286" s="248"/>
      <c r="AR286" s="248"/>
      <c r="AS286" s="249"/>
      <c r="AT286" s="250"/>
      <c r="AU286" s="249"/>
      <c r="AV286" s="250"/>
      <c r="AW286" s="249"/>
      <c r="AX286" s="250"/>
      <c r="AY286" s="248"/>
      <c r="AZ286" s="250"/>
      <c r="BA286" s="210"/>
      <c r="BB286" s="175"/>
      <c r="BC286" s="175" t="s">
        <v>118</v>
      </c>
      <c r="BD286" s="210"/>
      <c r="BE286" s="251" t="str">
        <f>IFERROR(VLOOKUP(D281,'BD M.O'!C:I,7,FALSE),"")</f>
        <v/>
      </c>
      <c r="BF286" s="251" t="s">
        <v>262</v>
      </c>
      <c r="BG286" s="175"/>
      <c r="BH286" s="175"/>
      <c r="BI286" s="210"/>
      <c r="BJ286" s="175"/>
      <c r="BK286" s="175"/>
      <c r="BL286" s="175"/>
      <c r="BM286" s="175"/>
      <c r="BN286" s="175"/>
      <c r="BO286" s="210"/>
      <c r="BP286" s="175"/>
      <c r="BQ286" s="175"/>
      <c r="BR286" s="175"/>
      <c r="BS286" s="183"/>
      <c r="BT286" s="183"/>
      <c r="BU286" s="183"/>
      <c r="BV286" s="183"/>
      <c r="BW286" s="210"/>
      <c r="BX286" s="175"/>
      <c r="BY286" s="175"/>
      <c r="BZ286" s="175"/>
      <c r="CA286" s="175"/>
      <c r="CB286" s="175"/>
      <c r="CC286" s="175"/>
      <c r="CD286" s="184"/>
      <c r="CE286" s="175"/>
      <c r="CF286" s="185"/>
      <c r="CG286" s="175"/>
      <c r="CH286" s="175"/>
      <c r="CI286" s="184"/>
      <c r="CJ286" s="210"/>
      <c r="CK286" s="564"/>
      <c r="CL286" s="257"/>
      <c r="CM286" s="597"/>
      <c r="CN286" s="628"/>
      <c r="CO286" s="631"/>
      <c r="CP286" s="631"/>
      <c r="CQ286" s="631"/>
      <c r="CR286" s="631"/>
      <c r="CS286" s="631"/>
      <c r="CT286" s="634"/>
      <c r="CU286" s="564"/>
      <c r="CV286" s="562"/>
      <c r="CW286" s="564"/>
      <c r="CX286" s="562"/>
      <c r="CY286" s="564"/>
      <c r="CZ286" s="562"/>
      <c r="DA286" s="564"/>
      <c r="DB286" s="562"/>
      <c r="DC286" s="564"/>
      <c r="DD286" s="562"/>
      <c r="DE286" s="175"/>
      <c r="DF286" s="175"/>
      <c r="DG286" s="577"/>
      <c r="DH286" s="577"/>
      <c r="DI286" s="571"/>
      <c r="DJ286" s="571"/>
      <c r="DK286" s="571"/>
      <c r="DL286" s="571"/>
      <c r="DM286" s="574"/>
      <c r="DN286" s="571"/>
      <c r="DO286" s="571"/>
      <c r="DP286" s="571"/>
      <c r="DQ286" s="571"/>
      <c r="DR286" s="571"/>
      <c r="DS286" s="571"/>
      <c r="DT286" s="571"/>
      <c r="DU286" s="571"/>
      <c r="DV286" s="577"/>
      <c r="DW286" s="577"/>
      <c r="DX286" s="571"/>
      <c r="DY286" s="571"/>
      <c r="DZ286" s="175"/>
      <c r="EA286" s="175"/>
      <c r="EB286" s="175"/>
      <c r="EC286" s="175"/>
      <c r="ED286" s="175"/>
      <c r="EE286" s="175"/>
      <c r="EF286" s="175"/>
      <c r="EG286" s="175"/>
      <c r="EH286" s="175"/>
      <c r="EI286" s="175"/>
      <c r="EJ286" s="175"/>
      <c r="EK286" s="175"/>
      <c r="EL286" s="175"/>
      <c r="EM286" s="175"/>
      <c r="EN286" s="175"/>
      <c r="EO286" s="175"/>
      <c r="EP286" s="175"/>
      <c r="EQ286" s="175"/>
      <c r="ER286" s="175"/>
      <c r="ES286" s="175"/>
      <c r="ET286" s="175"/>
      <c r="EU286" s="175"/>
      <c r="EV286" s="175"/>
      <c r="EW286" s="175"/>
      <c r="EX286" s="175"/>
      <c r="EY286" s="175"/>
      <c r="EZ286" s="175"/>
      <c r="FA286" s="175"/>
      <c r="FB286" s="175"/>
      <c r="FC286" s="175"/>
      <c r="FD286" s="175"/>
      <c r="FE286" s="175"/>
      <c r="FF286" s="175"/>
      <c r="FG286" s="175"/>
      <c r="FH286" s="175"/>
      <c r="FI286" s="175"/>
      <c r="FJ286" s="175"/>
      <c r="FK286" s="175"/>
      <c r="FL286" s="175"/>
      <c r="FM286" s="175"/>
      <c r="FN286" s="175"/>
      <c r="FO286" s="175"/>
      <c r="FP286" s="175"/>
      <c r="FQ286" s="175"/>
      <c r="FR286" s="175"/>
      <c r="FS286" s="175"/>
      <c r="FT286" s="175"/>
      <c r="FU286" s="175"/>
      <c r="FV286" s="175"/>
      <c r="FW286" s="175"/>
      <c r="FX286" s="175"/>
      <c r="FY286" s="175"/>
      <c r="FZ286" s="175"/>
      <c r="GA286" s="175"/>
      <c r="GB286" s="175"/>
      <c r="GC286" s="175"/>
      <c r="GD286" s="175"/>
      <c r="GE286" s="175"/>
      <c r="GF286" s="175"/>
      <c r="GG286" s="175"/>
      <c r="GH286" s="175"/>
      <c r="GI286" s="175"/>
      <c r="GJ286" s="175"/>
      <c r="GK286" s="175"/>
      <c r="GL286" s="175"/>
    </row>
    <row r="287" spans="1:194" s="255" customFormat="1" ht="60" customHeight="1" x14ac:dyDescent="0.3">
      <c r="A287" s="362" t="s">
        <v>193</v>
      </c>
      <c r="B287" s="363" t="s">
        <v>25</v>
      </c>
      <c r="C287" s="391" t="s">
        <v>174</v>
      </c>
      <c r="D287" s="640" t="s">
        <v>173</v>
      </c>
      <c r="E287" s="640"/>
      <c r="F287" s="640"/>
      <c r="G287" s="640"/>
      <c r="H287" s="640"/>
      <c r="I287" s="640"/>
      <c r="J287" s="418" t="s">
        <v>443</v>
      </c>
      <c r="K287" s="418" t="s">
        <v>444</v>
      </c>
      <c r="L287" s="418" t="s">
        <v>171</v>
      </c>
      <c r="M287" s="363" t="s">
        <v>2</v>
      </c>
      <c r="N287" s="419" t="s">
        <v>7</v>
      </c>
      <c r="O287" s="420" t="s">
        <v>8</v>
      </c>
      <c r="P287" s="159"/>
      <c r="Q287" s="164" t="s">
        <v>93</v>
      </c>
      <c r="R287" s="164" t="s">
        <v>34</v>
      </c>
      <c r="S287" s="164" t="s">
        <v>28</v>
      </c>
      <c r="T287" s="164" t="s">
        <v>95</v>
      </c>
      <c r="U287" s="164" t="s">
        <v>96</v>
      </c>
      <c r="V287" s="164" t="s">
        <v>97</v>
      </c>
      <c r="W287" s="164" t="s">
        <v>4</v>
      </c>
      <c r="X287" s="164" t="s">
        <v>103</v>
      </c>
      <c r="Y287" s="160" t="s">
        <v>402</v>
      </c>
      <c r="Z287" s="165" t="s">
        <v>403</v>
      </c>
      <c r="AA287" s="166" t="s">
        <v>404</v>
      </c>
      <c r="AB287" s="164" t="s">
        <v>99</v>
      </c>
      <c r="AC287" s="164" t="s">
        <v>395</v>
      </c>
      <c r="AD287" s="253" t="s">
        <v>36</v>
      </c>
      <c r="AE287" s="164" t="s">
        <v>389</v>
      </c>
      <c r="AF287" s="164" t="s">
        <v>390</v>
      </c>
      <c r="AG287" s="164" t="s">
        <v>164</v>
      </c>
      <c r="AH287" s="253" t="s">
        <v>396</v>
      </c>
      <c r="AI287" s="164" t="s">
        <v>190</v>
      </c>
      <c r="AJ287" s="164" t="s">
        <v>339</v>
      </c>
      <c r="AK287" s="253" t="s">
        <v>391</v>
      </c>
      <c r="AL287" s="253" t="s">
        <v>393</v>
      </c>
      <c r="AM287" s="167" t="s">
        <v>93</v>
      </c>
      <c r="AN287" s="168" t="s">
        <v>34</v>
      </c>
      <c r="AO287" s="169" t="s">
        <v>28</v>
      </c>
      <c r="AP287" s="170" t="s">
        <v>95</v>
      </c>
      <c r="AQ287" s="167" t="s">
        <v>3</v>
      </c>
      <c r="AR287" s="167" t="s">
        <v>96</v>
      </c>
      <c r="AS287" s="169" t="s">
        <v>97</v>
      </c>
      <c r="AT287" s="170" t="s">
        <v>4</v>
      </c>
      <c r="AU287" s="169" t="s">
        <v>103</v>
      </c>
      <c r="AV287" s="170" t="s">
        <v>99</v>
      </c>
      <c r="AW287" s="169" t="s">
        <v>36</v>
      </c>
      <c r="AX287" s="171" t="s">
        <v>29</v>
      </c>
      <c r="AY287" s="172" t="s">
        <v>190</v>
      </c>
      <c r="AZ287" s="173" t="s">
        <v>102</v>
      </c>
      <c r="BA287" s="174"/>
      <c r="BB287" s="183"/>
      <c r="BC287" s="211" t="s">
        <v>119</v>
      </c>
      <c r="BD287" s="174"/>
      <c r="BE287" s="176" t="s">
        <v>189</v>
      </c>
      <c r="BF287" s="177" t="str">
        <f>$BF$13</f>
        <v xml:space="preserve">VR SILICONA </v>
      </c>
      <c r="BG287" s="177" t="str">
        <f>$BG$13</f>
        <v xml:space="preserve">VR PELÍCULA </v>
      </c>
      <c r="BH287" s="254" t="str">
        <f>$BH$13</f>
        <v>VR EMBALAJE</v>
      </c>
      <c r="BI287" s="174"/>
      <c r="BJ287" s="176" t="str">
        <f>$BJ$13</f>
        <v>ESP. CRISTAL</v>
      </c>
      <c r="BK287" s="176" t="s">
        <v>130</v>
      </c>
      <c r="BL287" s="177" t="s">
        <v>28</v>
      </c>
      <c r="BM287" s="177" t="str">
        <f>BM280</f>
        <v>TOTAL</v>
      </c>
      <c r="BN287" s="177" t="s">
        <v>133</v>
      </c>
      <c r="BO287" s="174"/>
      <c r="BP287" s="175"/>
      <c r="BQ287" s="175"/>
      <c r="BR287" s="175"/>
      <c r="BS287" s="175"/>
      <c r="BT287" s="175"/>
      <c r="BU287" s="175"/>
      <c r="BV287" s="175"/>
      <c r="BW287" s="174"/>
      <c r="BX287" s="175"/>
      <c r="BY287" s="175"/>
      <c r="BZ287" s="175"/>
      <c r="CA287" s="175"/>
      <c r="CB287" s="175"/>
      <c r="CC287" s="175"/>
      <c r="CD287" s="184"/>
      <c r="CE287" s="175"/>
      <c r="CF287" s="185"/>
      <c r="CG287" s="175"/>
      <c r="CH287" s="175"/>
      <c r="CI287" s="184"/>
      <c r="CJ287" s="174"/>
      <c r="CK287" s="186" t="s">
        <v>415</v>
      </c>
      <c r="CL287" s="187" t="s">
        <v>417</v>
      </c>
      <c r="CM287" s="187" t="s">
        <v>416</v>
      </c>
      <c r="CN287" s="188" t="s">
        <v>418</v>
      </c>
      <c r="CO287" s="187" t="s">
        <v>417</v>
      </c>
      <c r="CP287" s="187" t="s">
        <v>409</v>
      </c>
      <c r="CQ287" s="187" t="s">
        <v>410</v>
      </c>
      <c r="CR287" s="187" t="s">
        <v>411</v>
      </c>
      <c r="CS287" s="187" t="s">
        <v>412</v>
      </c>
      <c r="CT287" s="187" t="s">
        <v>413</v>
      </c>
      <c r="CU287" s="189" t="s">
        <v>2</v>
      </c>
      <c r="CV287" s="190" t="s">
        <v>159</v>
      </c>
      <c r="CW287" s="189" t="s">
        <v>2</v>
      </c>
      <c r="CX287" s="190" t="s">
        <v>159</v>
      </c>
      <c r="CY287" s="189" t="s">
        <v>2</v>
      </c>
      <c r="CZ287" s="190" t="s">
        <v>159</v>
      </c>
      <c r="DA287" s="189" t="s">
        <v>2</v>
      </c>
      <c r="DB287" s="190" t="s">
        <v>159</v>
      </c>
      <c r="DC287" s="189" t="s">
        <v>2</v>
      </c>
      <c r="DD287" s="190" t="s">
        <v>159</v>
      </c>
      <c r="DE287" s="183"/>
      <c r="DF287" s="183"/>
      <c r="DG287" s="177" t="s">
        <v>505</v>
      </c>
      <c r="DH287" s="472" t="s">
        <v>509</v>
      </c>
      <c r="DI287" s="457" t="s">
        <v>506</v>
      </c>
      <c r="DJ287" s="457" t="s">
        <v>134</v>
      </c>
      <c r="DK287" s="457" t="s">
        <v>498</v>
      </c>
      <c r="DL287" s="457" t="s">
        <v>499</v>
      </c>
      <c r="DM287" s="457" t="s">
        <v>500</v>
      </c>
      <c r="DN287" s="457" t="s">
        <v>131</v>
      </c>
      <c r="DO287" s="457" t="s">
        <v>390</v>
      </c>
      <c r="DP287" s="457" t="s">
        <v>36</v>
      </c>
      <c r="DQ287" s="457" t="s">
        <v>501</v>
      </c>
      <c r="DR287" s="457" t="s">
        <v>502</v>
      </c>
      <c r="DS287" s="457" t="s">
        <v>503</v>
      </c>
      <c r="DT287" s="457" t="s">
        <v>4</v>
      </c>
      <c r="DU287" s="457" t="s">
        <v>504</v>
      </c>
      <c r="DV287" s="466" t="s">
        <v>507</v>
      </c>
      <c r="DW287" s="466" t="s">
        <v>508</v>
      </c>
      <c r="DX287" s="457" t="s">
        <v>510</v>
      </c>
      <c r="DY287" s="457" t="s">
        <v>511</v>
      </c>
      <c r="DZ287" s="183"/>
      <c r="EA287" s="183"/>
      <c r="EB287" s="183"/>
      <c r="EC287" s="183"/>
      <c r="ED287" s="183"/>
      <c r="EE287" s="183"/>
      <c r="EF287" s="183"/>
      <c r="EG287" s="183"/>
      <c r="EH287" s="183"/>
      <c r="EI287" s="183"/>
      <c r="EJ287" s="183"/>
      <c r="EK287" s="183"/>
      <c r="EL287" s="183"/>
      <c r="EM287" s="183"/>
      <c r="EN287" s="183"/>
      <c r="EO287" s="183"/>
      <c r="EP287" s="183"/>
      <c r="EQ287" s="183"/>
      <c r="ER287" s="183"/>
      <c r="ES287" s="183"/>
      <c r="ET287" s="183"/>
      <c r="EU287" s="183"/>
      <c r="EV287" s="183"/>
      <c r="EW287" s="183"/>
      <c r="EX287" s="183"/>
      <c r="EY287" s="183"/>
      <c r="EZ287" s="183"/>
      <c r="FA287" s="183"/>
      <c r="FB287" s="183"/>
      <c r="FC287" s="183"/>
      <c r="FD287" s="183"/>
      <c r="FE287" s="183"/>
      <c r="FF287" s="183"/>
      <c r="FG287" s="183"/>
      <c r="FH287" s="183"/>
      <c r="FI287" s="183"/>
      <c r="FJ287" s="183"/>
      <c r="FK287" s="183"/>
      <c r="FL287" s="183"/>
      <c r="FM287" s="183"/>
      <c r="FN287" s="183"/>
      <c r="FO287" s="183"/>
      <c r="FP287" s="183"/>
      <c r="FQ287" s="183"/>
      <c r="FR287" s="183"/>
      <c r="FS287" s="183"/>
      <c r="FT287" s="183"/>
      <c r="FU287" s="183"/>
      <c r="FV287" s="183"/>
      <c r="FW287" s="183"/>
      <c r="FX287" s="183"/>
      <c r="FY287" s="183"/>
      <c r="FZ287" s="183"/>
      <c r="GA287" s="183"/>
      <c r="GB287" s="183"/>
      <c r="GC287" s="183"/>
      <c r="GD287" s="183"/>
      <c r="GE287" s="183"/>
      <c r="GF287" s="183"/>
      <c r="GG287" s="183"/>
      <c r="GH287" s="183"/>
      <c r="GI287" s="183"/>
      <c r="GJ287" s="183"/>
      <c r="GK287" s="183"/>
      <c r="GL287" s="183"/>
    </row>
    <row r="288" spans="1:194" s="175" customFormat="1" ht="60" customHeight="1" x14ac:dyDescent="0.3">
      <c r="A288" s="364"/>
      <c r="B288" s="365"/>
      <c r="C288" s="392" t="s">
        <v>27</v>
      </c>
      <c r="D288" s="641"/>
      <c r="E288" s="641"/>
      <c r="F288" s="641"/>
      <c r="G288" s="641"/>
      <c r="H288" s="641"/>
      <c r="I288" s="641"/>
      <c r="J288" s="642"/>
      <c r="K288" s="642"/>
      <c r="L288" s="622">
        <f>J288*K288*M288</f>
        <v>0</v>
      </c>
      <c r="M288" s="623"/>
      <c r="N288" s="620">
        <f>IFERROR(AL288,"")</f>
        <v>1.0765546639999999</v>
      </c>
      <c r="O288" s="621">
        <f>IFERROR(N288*M288,"")</f>
        <v>0</v>
      </c>
      <c r="P288" s="192"/>
      <c r="Q288" s="193">
        <f>Q289+BF288+($R$350*Q289)</f>
        <v>0</v>
      </c>
      <c r="R288" s="193">
        <f>IFERROR(R289+($R$348*R289),"")</f>
        <v>0</v>
      </c>
      <c r="S288" s="194">
        <f>+IF(R290="SI",((W292*'BD GN'!$AB$2)+S289)*1,COTIZACIÓN!S289*1)+(P289*S289)</f>
        <v>0</v>
      </c>
      <c r="T288" s="195">
        <f>IFERROR(R288*IF(K288&lt;=3,$T$13,15%),"")</f>
        <v>0</v>
      </c>
      <c r="U288" s="196">
        <f>BH288+BG288</f>
        <v>0</v>
      </c>
      <c r="V288" s="197" t="str">
        <f>IFERROR(BN288,0)</f>
        <v/>
      </c>
      <c r="W288" s="198" t="str">
        <f>IFERROR(IF(X290="SI",W291*J288*K288,IF(BE288=3,BE290,IF(BE288=4,BE291,IF(BE288=5,BE292,IF(BE288&gt;5,BE292+(BE293*(BE288-5)),"")))))*0,"")</f>
        <v/>
      </c>
      <c r="X288" s="198" t="str">
        <f>IFERROR(IF(X289="NO",(VLOOKUP(D288,'BD M.O'!C:E,3,FALSE))*W292,((VLOOKUP(D288,'BD M.O'!C:E,3,FALSE))+7500)*W292),"")</f>
        <v/>
      </c>
      <c r="Y288" s="198">
        <f>IFERROR($Y$13*AK288,"")</f>
        <v>4.2084457416288003E-2</v>
      </c>
      <c r="Z288" s="332" t="str">
        <f>IFERROR(($Z$13*AK288)+X288,"")</f>
        <v/>
      </c>
      <c r="AA288" s="199" t="str">
        <f>IFERROR(Y288+Z288,"")</f>
        <v/>
      </c>
      <c r="AB288" s="200">
        <f>IFERROR((SUM(Q288:X288)-T288+T290)*$AB$13,"")</f>
        <v>0</v>
      </c>
      <c r="AC288" s="201">
        <f>IFERROR(((SUM(Q288:V288,IF(X293&gt;AA288,AVERAGE(X293,AA288),AA288))-T288+T290))*$AB$13,"")</f>
        <v>0</v>
      </c>
      <c r="AD288" s="202" t="str">
        <f>IFERROR((J288*K288*$BV$14),"")</f>
        <v/>
      </c>
      <c r="AE288" s="202">
        <f>IFERROR($AE$13*AK288,"")</f>
        <v>6.4010592649919984E-2</v>
      </c>
      <c r="AF288" s="203" t="str">
        <f>IFERROR(($CI$11+$CI$13)*W292,"")</f>
        <v/>
      </c>
      <c r="AG288" s="202">
        <f>IFERROR((SUM(Q288:X288,AB288,AD288,AF288)-T288+T290)*$AG$13,"")</f>
        <v>0</v>
      </c>
      <c r="AH288" s="202">
        <f>IFERROR((SUM(Q288:V288,(IF(X293&gt;AA288,AVERAGE(X293,AA288),AA288)),AC288,AE288,AF288)-T288+T290)*$AG$13,"")</f>
        <v>3.2005296324959992E-2</v>
      </c>
      <c r="AI288" s="204">
        <f>IFERROR(AL288*$AI$13,"")</f>
        <v>2.1531093279999997E-2</v>
      </c>
      <c r="AJ288" s="204">
        <f>IFERROR($AJ$13*AL288,"")</f>
        <v>6.007175025119999E-3</v>
      </c>
      <c r="AK288" s="205">
        <f>IFERROR(SUM(Q288:X288,AB288,AD288,AG288,AF288)/(1-$AI$13)+(1-$AJ$13)-T288+T290,"")</f>
        <v>0.99441999999999997</v>
      </c>
      <c r="AL288" s="205">
        <f>IFERROR(SUM(Q288:V288,AC288,(IF(AD288&gt;AE288,AVERAGE(AD288,AE288),AE288)),AF288,,AH288,(IF(SUM(X293)&gt;AA288,AVERAGE(AA288,X293),AA288)))/(1-$AJ$13)+(1-$AI$13)-T288+T290,"")</f>
        <v>1.0765546639999999</v>
      </c>
      <c r="AM288" s="206">
        <f>$M$15*Q288</f>
        <v>0</v>
      </c>
      <c r="AN288" s="207">
        <f>$M$15*R288</f>
        <v>0</v>
      </c>
      <c r="AO288" s="208">
        <f>$M$15*S288</f>
        <v>0</v>
      </c>
      <c r="AP288" s="207">
        <f>$M$15*T288</f>
        <v>0</v>
      </c>
      <c r="AQ288" s="207" t="e">
        <f>$M$15*#REF!</f>
        <v>#REF!</v>
      </c>
      <c r="AR288" s="207">
        <f>$M$15*U288</f>
        <v>0</v>
      </c>
      <c r="AS288" s="208" t="e">
        <f>$M$15*V288</f>
        <v>#VALUE!</v>
      </c>
      <c r="AT288" s="207" t="e">
        <f>$M$15*W288</f>
        <v>#VALUE!</v>
      </c>
      <c r="AU288" s="208" t="e">
        <f>$M$15*X288</f>
        <v>#VALUE!</v>
      </c>
      <c r="AV288" s="207">
        <f>$M$15*AB288</f>
        <v>0</v>
      </c>
      <c r="AW288" s="208">
        <f>$M$15*AE288</f>
        <v>0</v>
      </c>
      <c r="AX288" s="207">
        <f>$M$15*AG288</f>
        <v>0</v>
      </c>
      <c r="AY288" s="209">
        <f>$M$15*AI288</f>
        <v>0</v>
      </c>
      <c r="AZ288" s="207">
        <f>$M$15*AK288</f>
        <v>0</v>
      </c>
      <c r="BA288" s="210"/>
      <c r="BB288" s="175" t="s">
        <v>23</v>
      </c>
      <c r="BC288" s="211" t="s">
        <v>113</v>
      </c>
      <c r="BD288" s="210"/>
      <c r="BE288" s="212"/>
      <c r="BF288" s="213">
        <f>IF(BH289="NO",((2*J288)+(2*K288))*'BD GN'!$AU$3,((3*J288)+(2*K288))*'BD GN'!$AU$3)</f>
        <v>0</v>
      </c>
      <c r="BG288" s="213">
        <f>'BD GN'!$BB$3*J288*K288</f>
        <v>0</v>
      </c>
      <c r="BH288" s="214">
        <f>((J288*2*BE288)+(K288*2*BE288))*'BD GN'!$AN$4</f>
        <v>0</v>
      </c>
      <c r="BI288" s="210"/>
      <c r="BJ288" s="212"/>
      <c r="BK288" s="212"/>
      <c r="BL288" s="215">
        <f>J288*K288*2.5*BJ288</f>
        <v>0</v>
      </c>
      <c r="BM288" s="215">
        <f>BK288+BL288</f>
        <v>0</v>
      </c>
      <c r="BN288" s="216" t="str">
        <f>IFERROR((VLOOKUP($C$12,'BD GN'!BD:BM,10,FALSE)*BM288)+$BR$338,"")</f>
        <v/>
      </c>
      <c r="BO288" s="210"/>
      <c r="BW288" s="210"/>
      <c r="CD288" s="184"/>
      <c r="CF288" s="185"/>
      <c r="CI288" s="184"/>
      <c r="CJ288" s="210"/>
      <c r="CK288" s="565"/>
      <c r="CL288" s="256"/>
      <c r="CM288" s="596"/>
      <c r="CN288" s="626"/>
      <c r="CO288" s="629"/>
      <c r="CP288" s="629"/>
      <c r="CQ288" s="629"/>
      <c r="CR288" s="629"/>
      <c r="CS288" s="629"/>
      <c r="CT288" s="632"/>
      <c r="CU288" s="565"/>
      <c r="CV288" s="560">
        <f>IFERROR(N288*CU288,"")</f>
        <v>0</v>
      </c>
      <c r="CW288" s="565"/>
      <c r="CX288" s="560">
        <f>IFERROR(P288*CW288,"")</f>
        <v>0</v>
      </c>
      <c r="CY288" s="565"/>
      <c r="CZ288" s="560">
        <f>IFERROR(R288*CY288,"")</f>
        <v>0</v>
      </c>
      <c r="DA288" s="565">
        <f t="shared" ref="DA288" si="1116">CU288+CW288+CY288</f>
        <v>0</v>
      </c>
      <c r="DB288" s="560">
        <f t="shared" ref="DB288" si="1117">IFERROR(CV288+CX288+CZ288,"")</f>
        <v>0</v>
      </c>
      <c r="DC288" s="565">
        <f>M288-(CU288+CW288+CY288)</f>
        <v>0</v>
      </c>
      <c r="DD288" s="560">
        <f>IFERROR(O288-(CV288+CX288+CZ288),"")</f>
        <v>0</v>
      </c>
      <c r="DG288" s="575"/>
      <c r="DH288" s="575"/>
      <c r="DI288" s="569">
        <f t="shared" ref="DI288" si="1118">IFERROR(IF(DG288&gt;0,(((N288)/(1+10%+19%*5%)+((N288)/(1+10%+19%*5%))*10%)*DH288),0),0)</f>
        <v>0</v>
      </c>
      <c r="DJ288" s="569">
        <f t="shared" ref="DJ288" si="1119">IFERROR(IF(DG288&gt;0,(N288*DH288),0),0)</f>
        <v>0</v>
      </c>
      <c r="DK288" s="569">
        <f t="shared" ref="DK288" si="1120">IF(DG288&gt;0,((R288+T288)*DH288),0)</f>
        <v>0</v>
      </c>
      <c r="DL288" s="569">
        <f t="shared" ref="DL288" si="1121">IF(DG288&gt;0,(Q288*DH288),0)</f>
        <v>0</v>
      </c>
      <c r="DM288" s="572">
        <f t="shared" ref="DM288" si="1122">IF(DG288&gt;0,(S288*DH288),0)</f>
        <v>0</v>
      </c>
      <c r="DN288" s="569">
        <f t="shared" ref="DN288" si="1123">IF(DG288&gt;0,(BN288*DH288),0)</f>
        <v>0</v>
      </c>
      <c r="DO288" s="569">
        <f t="shared" ref="DO288" si="1124">IF(DG288&gt;0,(AF288*DH288),0)</f>
        <v>0</v>
      </c>
      <c r="DP288" s="569">
        <f>IF(DG288&gt;0,((DI288)*('BD P&amp;G'!$E$16+'BD P&amp;G'!$E$17+'BD P&amp;G'!$E$18+'BD P&amp;G'!$E$19+'BD P&amp;G'!$E$20+'BD P&amp;G'!$E$21+'BD P&amp;G'!$E$22+'BD P&amp;G'!$E$23)*DH288),0)</f>
        <v>0</v>
      </c>
      <c r="DQ288" s="569">
        <f>IFERROR(IF(DG288&gt;0,((DI288*'BD P&amp;G'!$E$7)+(DI288*'BD P&amp;G'!$E$9)+AI288),0),0)</f>
        <v>0</v>
      </c>
      <c r="DR288" s="569">
        <f t="shared" ref="DR288" si="1125">IFERROR(IF(DG288&gt;0,((DI288*1%)),0),0)</f>
        <v>0</v>
      </c>
      <c r="DS288" s="569">
        <f>IFERROR(IF(DG288&gt;0,(((DI288*'BD P&amp;G'!$E$32+DI288*'BD P&amp;G'!$E$33+DI288*'BD P&amp;G'!$E$35+DI288*'BD P&amp;G'!$E$36+DI288*'BD P&amp;G'!$E$37))),0),0)</f>
        <v>0</v>
      </c>
      <c r="DT288" s="569">
        <f t="shared" ref="DT288" si="1126">IF(DG288&gt;0,(Y288*DH288),0)</f>
        <v>0</v>
      </c>
      <c r="DU288" s="569">
        <f t="shared" ref="DU288" si="1127">IF(DG288&gt;0,(Z288*DH288),0)</f>
        <v>0</v>
      </c>
      <c r="DV288" s="575">
        <f t="shared" ref="DV288" si="1128">IF(DG288&gt;0,(Y292*DH288),0)</f>
        <v>0</v>
      </c>
      <c r="DW288" s="575">
        <f t="shared" ref="DW288" si="1129">IF(DG288&gt;0,(Z292*DH288),0)</f>
        <v>0</v>
      </c>
      <c r="DX288" s="569">
        <f t="shared" ref="DX288" si="1130">IF(DV288&gt;0,DJ288,0)</f>
        <v>0</v>
      </c>
      <c r="DY288" s="569">
        <f t="shared" ref="DY288" si="1131">IF(DW288&gt;0,DJ288,0)</f>
        <v>0</v>
      </c>
    </row>
    <row r="289" spans="1:194" s="175" customFormat="1" ht="60" customHeight="1" x14ac:dyDescent="0.25">
      <c r="A289" s="366"/>
      <c r="B289" s="367"/>
      <c r="C289" s="393" t="s">
        <v>28</v>
      </c>
      <c r="D289" s="598"/>
      <c r="E289" s="598"/>
      <c r="F289" s="598"/>
      <c r="G289" s="598"/>
      <c r="H289" s="598"/>
      <c r="I289" s="598"/>
      <c r="J289" s="604"/>
      <c r="K289" s="604"/>
      <c r="L289" s="607"/>
      <c r="M289" s="559"/>
      <c r="N289" s="610"/>
      <c r="O289" s="613"/>
      <c r="P289" s="192"/>
      <c r="Q289" s="217"/>
      <c r="R289" s="217"/>
      <c r="S289" s="218"/>
      <c r="T289" s="219">
        <f>IFERROR(T288/$R$353,"")</f>
        <v>0</v>
      </c>
      <c r="U289" s="206"/>
      <c r="V289" s="220"/>
      <c r="W289" s="221" t="s">
        <v>239</v>
      </c>
      <c r="X289" s="222" t="s">
        <v>204</v>
      </c>
      <c r="Y289" s="223"/>
      <c r="Z289" s="224"/>
      <c r="AA289" s="225"/>
      <c r="AB289" s="226"/>
      <c r="AC289" s="206"/>
      <c r="AD289" s="206"/>
      <c r="AE289" s="206"/>
      <c r="AF289" s="227"/>
      <c r="AG289" s="206"/>
      <c r="AH289" s="206"/>
      <c r="AI289" s="206"/>
      <c r="AJ289" s="206"/>
      <c r="AK289" s="227"/>
      <c r="AL289" s="210"/>
      <c r="AM289" s="206"/>
      <c r="AN289" s="206"/>
      <c r="AO289" s="228"/>
      <c r="AP289" s="229"/>
      <c r="AQ289" s="206"/>
      <c r="AR289" s="206"/>
      <c r="AS289" s="228"/>
      <c r="AT289" s="229"/>
      <c r="AU289" s="228"/>
      <c r="AV289" s="229"/>
      <c r="AW289" s="228"/>
      <c r="AX289" s="229"/>
      <c r="AY289" s="206"/>
      <c r="AZ289" s="229"/>
      <c r="BA289" s="210"/>
      <c r="BB289" s="175" t="s">
        <v>24</v>
      </c>
      <c r="BC289" s="175" t="s">
        <v>114</v>
      </c>
      <c r="BD289" s="210"/>
      <c r="BE289" s="176" t="s">
        <v>206</v>
      </c>
      <c r="BF289" s="230" t="s">
        <v>204</v>
      </c>
      <c r="BG289" s="176" t="s">
        <v>290</v>
      </c>
      <c r="BH289" s="231" t="s">
        <v>204</v>
      </c>
      <c r="BI289" s="210"/>
      <c r="BN289" s="232"/>
      <c r="BO289" s="210"/>
      <c r="BV289" s="184"/>
      <c r="BW289" s="210"/>
      <c r="CD289" s="184"/>
      <c r="CF289" s="185"/>
      <c r="CI289" s="184"/>
      <c r="CJ289" s="210"/>
      <c r="CK289" s="563"/>
      <c r="CM289" s="559"/>
      <c r="CN289" s="627"/>
      <c r="CO289" s="630"/>
      <c r="CP289" s="630"/>
      <c r="CQ289" s="630"/>
      <c r="CR289" s="630"/>
      <c r="CS289" s="630"/>
      <c r="CT289" s="633"/>
      <c r="CU289" s="563"/>
      <c r="CV289" s="561"/>
      <c r="CW289" s="563"/>
      <c r="CX289" s="561"/>
      <c r="CY289" s="563"/>
      <c r="CZ289" s="561"/>
      <c r="DA289" s="563"/>
      <c r="DB289" s="561"/>
      <c r="DC289" s="563"/>
      <c r="DD289" s="561"/>
      <c r="DG289" s="576"/>
      <c r="DH289" s="576"/>
      <c r="DI289" s="570"/>
      <c r="DJ289" s="570"/>
      <c r="DK289" s="570"/>
      <c r="DL289" s="570"/>
      <c r="DM289" s="573"/>
      <c r="DN289" s="570"/>
      <c r="DO289" s="570"/>
      <c r="DP289" s="570"/>
      <c r="DQ289" s="570"/>
      <c r="DR289" s="570"/>
      <c r="DS289" s="570"/>
      <c r="DT289" s="570"/>
      <c r="DU289" s="570"/>
      <c r="DV289" s="576"/>
      <c r="DW289" s="576"/>
      <c r="DX289" s="570"/>
      <c r="DY289" s="570"/>
    </row>
    <row r="290" spans="1:194" s="175" customFormat="1" ht="60" customHeight="1" x14ac:dyDescent="0.3">
      <c r="A290" s="366"/>
      <c r="B290" s="367"/>
      <c r="C290" s="393" t="s">
        <v>30</v>
      </c>
      <c r="D290" s="599"/>
      <c r="E290" s="599"/>
      <c r="F290" s="599"/>
      <c r="G290" s="599"/>
      <c r="H290" s="599"/>
      <c r="I290" s="599"/>
      <c r="J290" s="604"/>
      <c r="K290" s="604"/>
      <c r="L290" s="607"/>
      <c r="M290" s="559"/>
      <c r="N290" s="610"/>
      <c r="O290" s="613"/>
      <c r="P290" s="192"/>
      <c r="Q290" s="176" t="s">
        <v>205</v>
      </c>
      <c r="R290" s="233" t="s">
        <v>204</v>
      </c>
      <c r="S290" s="234"/>
      <c r="T290" s="235">
        <f>IFERROR(($R$353-8000)*T289,"")</f>
        <v>0</v>
      </c>
      <c r="U290" s="206"/>
      <c r="V290" s="220"/>
      <c r="W290" s="221" t="s">
        <v>258</v>
      </c>
      <c r="X290" s="222" t="s">
        <v>204</v>
      </c>
      <c r="Y290" s="236"/>
      <c r="Z290" s="237"/>
      <c r="AA290" s="225"/>
      <c r="AB290" s="226"/>
      <c r="AC290" s="206"/>
      <c r="AD290" s="206"/>
      <c r="AE290" s="206"/>
      <c r="AF290" s="227"/>
      <c r="AG290" s="206"/>
      <c r="AH290" s="206"/>
      <c r="AI290" s="206"/>
      <c r="AJ290" s="206"/>
      <c r="AK290" s="227"/>
      <c r="AL290" s="238"/>
      <c r="AM290" s="206"/>
      <c r="AN290" s="206"/>
      <c r="AO290" s="228"/>
      <c r="AP290" s="229"/>
      <c r="AQ290" s="206"/>
      <c r="AR290" s="206"/>
      <c r="AS290" s="228"/>
      <c r="AT290" s="229"/>
      <c r="AU290" s="228"/>
      <c r="AV290" s="229"/>
      <c r="AW290" s="228"/>
      <c r="AX290" s="229"/>
      <c r="AY290" s="206"/>
      <c r="AZ290" s="229"/>
      <c r="BA290" s="210"/>
      <c r="BB290" s="175" t="s">
        <v>26</v>
      </c>
      <c r="BC290" s="211" t="s">
        <v>115</v>
      </c>
      <c r="BD290" s="210"/>
      <c r="BE290" s="177" t="str">
        <f>IFERROR(VLOOKUP(D288,'BD M.O'!C:H,4,FALSE),"")</f>
        <v/>
      </c>
      <c r="BF290" s="177" t="s">
        <v>259</v>
      </c>
      <c r="BI290" s="210"/>
      <c r="BO290" s="210"/>
      <c r="BV290" s="184"/>
      <c r="BW290" s="210"/>
      <c r="CD290" s="184"/>
      <c r="CF290" s="185"/>
      <c r="CI290" s="184"/>
      <c r="CJ290" s="210"/>
      <c r="CK290" s="563"/>
      <c r="CM290" s="559"/>
      <c r="CN290" s="627"/>
      <c r="CO290" s="630"/>
      <c r="CP290" s="630"/>
      <c r="CQ290" s="630"/>
      <c r="CR290" s="630"/>
      <c r="CS290" s="630"/>
      <c r="CT290" s="633"/>
      <c r="CU290" s="563"/>
      <c r="CV290" s="561"/>
      <c r="CW290" s="563"/>
      <c r="CX290" s="561"/>
      <c r="CY290" s="563"/>
      <c r="CZ290" s="561"/>
      <c r="DA290" s="563"/>
      <c r="DB290" s="561"/>
      <c r="DC290" s="563"/>
      <c r="DD290" s="561"/>
      <c r="DG290" s="577"/>
      <c r="DH290" s="577"/>
      <c r="DI290" s="571"/>
      <c r="DJ290" s="571"/>
      <c r="DK290" s="571"/>
      <c r="DL290" s="571"/>
      <c r="DM290" s="574"/>
      <c r="DN290" s="571"/>
      <c r="DO290" s="571"/>
      <c r="DP290" s="571"/>
      <c r="DQ290" s="571"/>
      <c r="DR290" s="571"/>
      <c r="DS290" s="571"/>
      <c r="DT290" s="571"/>
      <c r="DU290" s="571"/>
      <c r="DV290" s="577"/>
      <c r="DW290" s="577"/>
      <c r="DX290" s="571"/>
      <c r="DY290" s="571"/>
    </row>
    <row r="291" spans="1:194" s="175" customFormat="1" ht="60" customHeight="1" x14ac:dyDescent="0.25">
      <c r="A291" s="366"/>
      <c r="B291" s="367"/>
      <c r="C291" s="395" t="s">
        <v>180</v>
      </c>
      <c r="D291" s="599" t="s">
        <v>31</v>
      </c>
      <c r="E291" s="599"/>
      <c r="F291" s="394" t="s">
        <v>9</v>
      </c>
      <c r="G291" s="599" t="s">
        <v>33</v>
      </c>
      <c r="H291" s="599"/>
      <c r="I291" s="394" t="str">
        <f>+IF($BG$9="SI","","X")</f>
        <v>X</v>
      </c>
      <c r="J291" s="604"/>
      <c r="K291" s="604"/>
      <c r="L291" s="607"/>
      <c r="M291" s="559"/>
      <c r="N291" s="610"/>
      <c r="O291" s="613"/>
      <c r="P291" s="192"/>
      <c r="Q291" s="239"/>
      <c r="R291" s="221" t="s">
        <v>209</v>
      </c>
      <c r="S291" s="234" t="str">
        <f>IF(S289="","",S289/(J288*K288))</f>
        <v/>
      </c>
      <c r="T291" s="226"/>
      <c r="U291" s="206"/>
      <c r="V291" s="220"/>
      <c r="W291" s="239" t="str">
        <f>IFERROR(IF(X290="SI",VLOOKUP(D288,'BD M.O'!C:F,4,FALSE),""),"")</f>
        <v/>
      </c>
      <c r="X291" s="221" t="s">
        <v>258</v>
      </c>
      <c r="Y291" s="221" t="s">
        <v>507</v>
      </c>
      <c r="Z291" s="221" t="s">
        <v>508</v>
      </c>
      <c r="AA291" s="225"/>
      <c r="AB291" s="226"/>
      <c r="AC291" s="206"/>
      <c r="AD291" s="206"/>
      <c r="AE291" s="206"/>
      <c r="AF291" s="227"/>
      <c r="AG291" s="206"/>
      <c r="AH291" s="206"/>
      <c r="AI291" s="206"/>
      <c r="AJ291" s="206"/>
      <c r="AK291" s="227"/>
      <c r="AL291" s="240"/>
      <c r="AM291" s="206"/>
      <c r="AN291" s="206"/>
      <c r="AO291" s="228"/>
      <c r="AP291" s="229"/>
      <c r="AQ291" s="206"/>
      <c r="AR291" s="206"/>
      <c r="AS291" s="228"/>
      <c r="AT291" s="229"/>
      <c r="AU291" s="228"/>
      <c r="AV291" s="229"/>
      <c r="AW291" s="228"/>
      <c r="AX291" s="229"/>
      <c r="AY291" s="206"/>
      <c r="AZ291" s="229"/>
      <c r="BA291" s="210"/>
      <c r="BC291" s="175" t="s">
        <v>116</v>
      </c>
      <c r="BD291" s="210"/>
      <c r="BE291" s="177" t="str">
        <f>IFERROR(VLOOKUP(COTIZACIÓN!D288,'BD M.O'!C:I,5,FALSE),"")</f>
        <v/>
      </c>
      <c r="BF291" s="177" t="s">
        <v>260</v>
      </c>
      <c r="BI291" s="210"/>
      <c r="BO291" s="210"/>
      <c r="BP291" s="183"/>
      <c r="BQ291" s="183"/>
      <c r="BR291" s="183"/>
      <c r="BS291" s="183"/>
      <c r="BT291" s="183"/>
      <c r="BU291" s="183"/>
      <c r="BV291" s="182"/>
      <c r="BW291" s="210"/>
      <c r="BX291" s="183"/>
      <c r="BY291" s="183"/>
      <c r="BZ291" s="183"/>
      <c r="CA291" s="183"/>
      <c r="CB291" s="183"/>
      <c r="CC291" s="183"/>
      <c r="CD291" s="182"/>
      <c r="CE291" s="183"/>
      <c r="CF291" s="241"/>
      <c r="CG291" s="183"/>
      <c r="CH291" s="183"/>
      <c r="CI291" s="182"/>
      <c r="CJ291" s="210"/>
      <c r="CK291" s="563"/>
      <c r="CM291" s="559"/>
      <c r="CN291" s="627"/>
      <c r="CO291" s="630"/>
      <c r="CP291" s="630"/>
      <c r="CQ291" s="630"/>
      <c r="CR291" s="630"/>
      <c r="CS291" s="630"/>
      <c r="CT291" s="633"/>
      <c r="CU291" s="563"/>
      <c r="CV291" s="561"/>
      <c r="CW291" s="563"/>
      <c r="CX291" s="561"/>
      <c r="CY291" s="563"/>
      <c r="CZ291" s="561"/>
      <c r="DA291" s="563"/>
      <c r="DB291" s="561"/>
      <c r="DC291" s="563"/>
      <c r="DD291" s="561"/>
      <c r="DG291" s="575"/>
      <c r="DH291" s="575"/>
      <c r="DI291" s="569">
        <f t="shared" ref="DI291" si="1132">IFERROR(IF(DG291&gt;0,(((N288)/(1+10%+19%*5%)+((N288)/(1+10%+19%*5%))*10%)*DH291),0),0)</f>
        <v>0</v>
      </c>
      <c r="DJ291" s="569">
        <f t="shared" ref="DJ291" si="1133">IFERROR(IF(DG291&gt;0,(N288*DH291),0),0)</f>
        <v>0</v>
      </c>
      <c r="DK291" s="569">
        <f t="shared" ref="DK291" si="1134">IF(DG291&gt;0,((R288+T288)*DH291),0)</f>
        <v>0</v>
      </c>
      <c r="DL291" s="569">
        <f t="shared" ref="DL291" si="1135">IF(DG291&gt;0,(Q288*DH291),0)</f>
        <v>0</v>
      </c>
      <c r="DM291" s="572">
        <f t="shared" ref="DM291" si="1136">IF(DG291&gt;0,(S288*DH291),0)</f>
        <v>0</v>
      </c>
      <c r="DN291" s="569">
        <f t="shared" ref="DN291" si="1137">IF(DG291&gt;0,(BN288*DH291),0)</f>
        <v>0</v>
      </c>
      <c r="DO291" s="569">
        <f t="shared" ref="DO291" si="1138">IF(DG291&gt;0,(AF288*DH291),0)</f>
        <v>0</v>
      </c>
      <c r="DP291" s="569">
        <f>IF(DG291&gt;0,((DI291)*('BD P&amp;G'!$E$16+'BD P&amp;G'!$E$17+'BD P&amp;G'!$E$18+'BD P&amp;G'!$E$19+'BD P&amp;G'!$E$20+'BD P&amp;G'!$E$21+'BD P&amp;G'!$E$22+'BD P&amp;G'!$E$23)*DH291),0)</f>
        <v>0</v>
      </c>
      <c r="DQ291" s="569">
        <f>IFERROR(IF(DG291&gt;0,((DI291*'BD P&amp;G'!$E$7)+(DI291*'BD P&amp;G'!$E$9)+AI288),0),0)</f>
        <v>0</v>
      </c>
      <c r="DR291" s="569">
        <f t="shared" ref="DR291" si="1139">IFERROR(IF(DG291&gt;0,((DI291*1%)),0),0)</f>
        <v>0</v>
      </c>
      <c r="DS291" s="569">
        <f>IFERROR(IF(DG291&gt;0,(((DI291*'BD P&amp;G'!$E$32+DI291*'BD P&amp;G'!$E$33+DI291*'BD P&amp;G'!$E$35+DI291*'BD P&amp;G'!$E$36+DI291*'BD P&amp;G'!$E$37))),0),0)</f>
        <v>0</v>
      </c>
      <c r="DT291" s="569">
        <f t="shared" ref="DT291" si="1140">IF(DG291&gt;0,(Y288*DH291),0)</f>
        <v>0</v>
      </c>
      <c r="DU291" s="569">
        <f t="shared" ref="DU291" si="1141">IF(DG291&gt;0,(Z288*DH291),0)</f>
        <v>0</v>
      </c>
      <c r="DV291" s="575">
        <f t="shared" ref="DV291" si="1142">IF(DG291&gt;0,(Y292*DH291),0)</f>
        <v>0</v>
      </c>
      <c r="DW291" s="575">
        <f t="shared" ref="DW291" si="1143">IF(DG291&gt;0,(Z292*DH291),0)</f>
        <v>0</v>
      </c>
      <c r="DX291" s="569">
        <f t="shared" ref="DX291" si="1144">IF(DV291&gt;0,DJ291,0)</f>
        <v>0</v>
      </c>
      <c r="DY291" s="569">
        <f t="shared" ref="DY291" si="1145">IF(DW291&gt;0,DJ291,0)</f>
        <v>0</v>
      </c>
    </row>
    <row r="292" spans="1:194" s="175" customFormat="1" ht="60" customHeight="1" x14ac:dyDescent="0.3">
      <c r="A292" s="366"/>
      <c r="B292" s="367"/>
      <c r="C292" s="393" t="s">
        <v>35</v>
      </c>
      <c r="D292" s="599" t="str">
        <f>IFERROR(VLOOKUP(D288,'BD GN'!C:E,3,),"")</f>
        <v/>
      </c>
      <c r="E292" s="599"/>
      <c r="F292" s="599"/>
      <c r="G292" s="599"/>
      <c r="H292" s="599"/>
      <c r="I292" s="599"/>
      <c r="J292" s="604"/>
      <c r="K292" s="604"/>
      <c r="L292" s="607"/>
      <c r="M292" s="559"/>
      <c r="N292" s="610"/>
      <c r="O292" s="613"/>
      <c r="P292" s="192"/>
      <c r="Q292" s="239"/>
      <c r="R292" s="221" t="s">
        <v>210</v>
      </c>
      <c r="S292" s="234" t="str">
        <f>IFERROR(IF(N288="","",N288/W292),"")</f>
        <v/>
      </c>
      <c r="T292" s="226"/>
      <c r="U292" s="206"/>
      <c r="V292" s="220"/>
      <c r="W292" s="242" t="str">
        <f>+IF(J288*K288&gt;=1,J288*K288,IF(AND(J288*K288&gt;0,J288*K288&lt;1),1,""))</f>
        <v/>
      </c>
      <c r="X292" s="221" t="s">
        <v>298</v>
      </c>
      <c r="Y292" s="461">
        <f>IFERROR(IF(D288='BD GN'!$C$25,COTIZACIÓN!W292,IF(D288='BD GN'!$C$26,COTIZACIÓN!W292,IF(D288='BD GN'!$C$27,COTIZACIÓN!W292,IF(COTIZACIÓN!D288='BD GN'!$C$28,COTIZACIÓN!W292,IF(COTIZACIÓN!D288='BD GN'!$C$29,COTIZACIÓN!W292,IF(COTIZACIÓN!D288='BD GN'!$C$35,COTIZACIÓN!W292,IF(COTIZACIÓN!D288='BD GN'!$C$36,COTIZACIÓN!W292,IF(COTIZACIÓN!D288='BD GN'!$C$37,COTIZACIÓN!W292,IF(COTIZACIÓN!D288='BD GN'!$C$38,COTIZACIÓN!W292,IF(COTIZACIÓN!D288='BD GN'!$C$39,COTIZACIÓN!W292,IF(COTIZACIÓN!D288='BD GN'!$C$40,COTIZACIÓN!W292,IF(COTIZACIÓN!D288='BD GN'!$C$41,COTIZACIÓN!W292,IF(COTIZACIÓN!D288='BD GN'!$C$42,COTIZACIÓN!W292,IF(COTIZACIÓN!D288='BD GN'!$C$49,COTIZACIÓN!W292,IF(COTIZACIÓN!D288='BD GN'!$C$50,COTIZACIÓN!W292,IF(COTIZACIÓN!D288='BD GN'!$C$51,COTIZACIÓN!W292,IF(COTIZACIÓN!D288='BD GN'!$C$67,COTIZACIÓN!W292,0))))))))))))))))),0)</f>
        <v>0</v>
      </c>
      <c r="Z292" s="461">
        <f>IFERROR(W292-Y292,0)</f>
        <v>0</v>
      </c>
      <c r="AA292" s="225"/>
      <c r="AB292" s="226"/>
      <c r="AC292" s="206"/>
      <c r="AD292" s="206"/>
      <c r="AE292" s="206"/>
      <c r="AF292" s="227"/>
      <c r="AG292" s="206"/>
      <c r="AH292" s="206"/>
      <c r="AI292" s="206"/>
      <c r="AJ292" s="206"/>
      <c r="AK292" s="227"/>
      <c r="AL292" s="210"/>
      <c r="AM292" s="206"/>
      <c r="AN292" s="206"/>
      <c r="AO292" s="228"/>
      <c r="AP292" s="229"/>
      <c r="AQ292" s="206"/>
      <c r="AR292" s="206"/>
      <c r="AS292" s="228"/>
      <c r="AT292" s="229"/>
      <c r="AU292" s="228"/>
      <c r="AV292" s="229"/>
      <c r="AW292" s="228"/>
      <c r="AX292" s="229"/>
      <c r="AY292" s="206"/>
      <c r="AZ292" s="229"/>
      <c r="BA292" s="210"/>
      <c r="BC292" s="211" t="s">
        <v>117</v>
      </c>
      <c r="BD292" s="210"/>
      <c r="BE292" s="177" t="str">
        <f>IFERROR(VLOOKUP(D288,'BD M.O'!C:I,6,FALSE),"")</f>
        <v/>
      </c>
      <c r="BF292" s="177" t="s">
        <v>261</v>
      </c>
      <c r="BI292" s="210"/>
      <c r="BO292" s="210"/>
      <c r="BP292" s="183"/>
      <c r="BQ292" s="183"/>
      <c r="BR292" s="183"/>
      <c r="BW292" s="210"/>
      <c r="CD292" s="184"/>
      <c r="CF292" s="185"/>
      <c r="CI292" s="184"/>
      <c r="CJ292" s="210"/>
      <c r="CK292" s="563"/>
      <c r="CM292" s="559"/>
      <c r="CN292" s="627"/>
      <c r="CO292" s="630"/>
      <c r="CP292" s="630"/>
      <c r="CQ292" s="630"/>
      <c r="CR292" s="630"/>
      <c r="CS292" s="630"/>
      <c r="CT292" s="633"/>
      <c r="CU292" s="563"/>
      <c r="CV292" s="561"/>
      <c r="CW292" s="563"/>
      <c r="CX292" s="561"/>
      <c r="CY292" s="563"/>
      <c r="CZ292" s="561"/>
      <c r="DA292" s="563"/>
      <c r="DB292" s="561"/>
      <c r="DC292" s="563"/>
      <c r="DD292" s="561"/>
      <c r="DG292" s="576"/>
      <c r="DH292" s="576"/>
      <c r="DI292" s="570"/>
      <c r="DJ292" s="570"/>
      <c r="DK292" s="570"/>
      <c r="DL292" s="570"/>
      <c r="DM292" s="573"/>
      <c r="DN292" s="570"/>
      <c r="DO292" s="570"/>
      <c r="DP292" s="570"/>
      <c r="DQ292" s="570"/>
      <c r="DR292" s="570"/>
      <c r="DS292" s="570"/>
      <c r="DT292" s="570"/>
      <c r="DU292" s="570"/>
      <c r="DV292" s="576"/>
      <c r="DW292" s="576"/>
      <c r="DX292" s="570"/>
      <c r="DY292" s="570"/>
    </row>
    <row r="293" spans="1:194" s="252" customFormat="1" ht="60" customHeight="1" x14ac:dyDescent="0.25">
      <c r="A293" s="368"/>
      <c r="B293" s="369"/>
      <c r="C293" s="396" t="s">
        <v>10</v>
      </c>
      <c r="D293" s="645" t="s">
        <v>32</v>
      </c>
      <c r="E293" s="645"/>
      <c r="F293" s="645"/>
      <c r="G293" s="645"/>
      <c r="H293" s="645"/>
      <c r="I293" s="645"/>
      <c r="J293" s="643"/>
      <c r="K293" s="643"/>
      <c r="L293" s="646"/>
      <c r="M293" s="648"/>
      <c r="N293" s="649"/>
      <c r="O293" s="644"/>
      <c r="P293" s="192"/>
      <c r="Q293" s="239"/>
      <c r="R293" s="334" t="s">
        <v>475</v>
      </c>
      <c r="S293" s="234" t="str">
        <f>IFERROR(IF($C$12='BD GN'!$CC$1,VLOOKUP(COTIZACIÓN!D288,'BD GN'!CB:CG,2,FALSE),IF(COTIZACIÓN!$C$12='BD GN'!$CD$1,VLOOKUP(COTIZACIÓN!D288,'BD GN'!CB:CG,3,FALSE),IF($C$12='BD GN'!$CE$1,VLOOKUP(COTIZACIÓN!D288,'BD GN'!CB:CG,4,FALSE),IF(COTIZACIÓN!$C$12='BD GN'!$CF$1,VLOOKUP(COTIZACIÓN!D288,'BD GN'!CB:CG,5,FALSE),IF(COTIZACIÓN!$C$12='BD GN'!$CG$1,VLOOKUP(COTIZACIÓN!D288,'BD GN'!CB:CG,6,FALSE),""))))),"-")</f>
        <v/>
      </c>
      <c r="T293" s="243"/>
      <c r="U293" s="244"/>
      <c r="V293" s="245"/>
      <c r="W293" s="177" t="s">
        <v>394</v>
      </c>
      <c r="X293" s="246">
        <f>IFERROR(SUM(W288:X288),"")</f>
        <v>0</v>
      </c>
      <c r="Y293" s="166" t="s">
        <v>404</v>
      </c>
      <c r="Z293" s="199" t="str">
        <f>IFERROR(Y288+Z288,"")</f>
        <v/>
      </c>
      <c r="AA293" s="247"/>
      <c r="AB293" s="243"/>
      <c r="AC293" s="244"/>
      <c r="AD293" s="244"/>
      <c r="AE293" s="244"/>
      <c r="AF293" s="227"/>
      <c r="AG293" s="206"/>
      <c r="AH293" s="206"/>
      <c r="AI293" s="206"/>
      <c r="AJ293" s="206"/>
      <c r="AK293" s="227"/>
      <c r="AL293" s="227"/>
      <c r="AM293" s="248"/>
      <c r="AN293" s="248"/>
      <c r="AO293" s="249"/>
      <c r="AP293" s="250"/>
      <c r="AQ293" s="248"/>
      <c r="AR293" s="248"/>
      <c r="AS293" s="249"/>
      <c r="AT293" s="250"/>
      <c r="AU293" s="249"/>
      <c r="AV293" s="250"/>
      <c r="AW293" s="249"/>
      <c r="AX293" s="250"/>
      <c r="AY293" s="248"/>
      <c r="AZ293" s="250"/>
      <c r="BA293" s="210"/>
      <c r="BB293" s="175"/>
      <c r="BC293" s="175" t="s">
        <v>118</v>
      </c>
      <c r="BD293" s="210"/>
      <c r="BE293" s="251" t="str">
        <f>IFERROR(VLOOKUP(D288,'BD M.O'!C:I,7,FALSE),"")</f>
        <v/>
      </c>
      <c r="BF293" s="251" t="s">
        <v>262</v>
      </c>
      <c r="BG293" s="175"/>
      <c r="BH293" s="175"/>
      <c r="BI293" s="210"/>
      <c r="BJ293" s="175"/>
      <c r="BK293" s="175"/>
      <c r="BL293" s="175"/>
      <c r="BM293" s="175"/>
      <c r="BN293" s="175"/>
      <c r="BO293" s="210"/>
      <c r="BP293" s="175"/>
      <c r="BQ293" s="175"/>
      <c r="BR293" s="175"/>
      <c r="BS293" s="183"/>
      <c r="BT293" s="183"/>
      <c r="BU293" s="183"/>
      <c r="BV293" s="183"/>
      <c r="BW293" s="210"/>
      <c r="BX293" s="175"/>
      <c r="BY293" s="175"/>
      <c r="BZ293" s="175"/>
      <c r="CA293" s="175"/>
      <c r="CB293" s="175"/>
      <c r="CC293" s="175"/>
      <c r="CD293" s="184"/>
      <c r="CE293" s="175"/>
      <c r="CF293" s="185"/>
      <c r="CG293" s="175"/>
      <c r="CH293" s="175"/>
      <c r="CI293" s="184"/>
      <c r="CJ293" s="210"/>
      <c r="CK293" s="564"/>
      <c r="CL293" s="257"/>
      <c r="CM293" s="597"/>
      <c r="CN293" s="628"/>
      <c r="CO293" s="631"/>
      <c r="CP293" s="631"/>
      <c r="CQ293" s="631"/>
      <c r="CR293" s="631"/>
      <c r="CS293" s="631"/>
      <c r="CT293" s="634"/>
      <c r="CU293" s="564"/>
      <c r="CV293" s="562"/>
      <c r="CW293" s="564"/>
      <c r="CX293" s="562"/>
      <c r="CY293" s="564"/>
      <c r="CZ293" s="562"/>
      <c r="DA293" s="564"/>
      <c r="DB293" s="562"/>
      <c r="DC293" s="564"/>
      <c r="DD293" s="562"/>
      <c r="DE293" s="175"/>
      <c r="DF293" s="175"/>
      <c r="DG293" s="577"/>
      <c r="DH293" s="577"/>
      <c r="DI293" s="571"/>
      <c r="DJ293" s="571"/>
      <c r="DK293" s="571"/>
      <c r="DL293" s="571"/>
      <c r="DM293" s="574"/>
      <c r="DN293" s="571"/>
      <c r="DO293" s="571"/>
      <c r="DP293" s="571"/>
      <c r="DQ293" s="571"/>
      <c r="DR293" s="571"/>
      <c r="DS293" s="571"/>
      <c r="DT293" s="571"/>
      <c r="DU293" s="571"/>
      <c r="DV293" s="577"/>
      <c r="DW293" s="577"/>
      <c r="DX293" s="571"/>
      <c r="DY293" s="571"/>
      <c r="DZ293" s="175"/>
      <c r="EA293" s="175"/>
      <c r="EB293" s="175"/>
      <c r="EC293" s="175"/>
      <c r="ED293" s="175"/>
      <c r="EE293" s="175"/>
      <c r="EF293" s="175"/>
      <c r="EG293" s="175"/>
      <c r="EH293" s="175"/>
      <c r="EI293" s="175"/>
      <c r="EJ293" s="175"/>
      <c r="EK293" s="175"/>
      <c r="EL293" s="175"/>
      <c r="EM293" s="175"/>
      <c r="EN293" s="175"/>
      <c r="EO293" s="175"/>
      <c r="EP293" s="175"/>
      <c r="EQ293" s="175"/>
      <c r="ER293" s="175"/>
      <c r="ES293" s="175"/>
      <c r="ET293" s="175"/>
      <c r="EU293" s="175"/>
      <c r="EV293" s="175"/>
      <c r="EW293" s="175"/>
      <c r="EX293" s="175"/>
      <c r="EY293" s="175"/>
      <c r="EZ293" s="175"/>
      <c r="FA293" s="175"/>
      <c r="FB293" s="175"/>
      <c r="FC293" s="175"/>
      <c r="FD293" s="175"/>
      <c r="FE293" s="175"/>
      <c r="FF293" s="175"/>
      <c r="FG293" s="175"/>
      <c r="FH293" s="175"/>
      <c r="FI293" s="175"/>
      <c r="FJ293" s="175"/>
      <c r="FK293" s="175"/>
      <c r="FL293" s="175"/>
      <c r="FM293" s="175"/>
      <c r="FN293" s="175"/>
      <c r="FO293" s="175"/>
      <c r="FP293" s="175"/>
      <c r="FQ293" s="175"/>
      <c r="FR293" s="175"/>
      <c r="FS293" s="175"/>
      <c r="FT293" s="175"/>
      <c r="FU293" s="175"/>
      <c r="FV293" s="175"/>
      <c r="FW293" s="175"/>
      <c r="FX293" s="175"/>
      <c r="FY293" s="175"/>
      <c r="FZ293" s="175"/>
      <c r="GA293" s="175"/>
      <c r="GB293" s="175"/>
      <c r="GC293" s="175"/>
      <c r="GD293" s="175"/>
      <c r="GE293" s="175"/>
      <c r="GF293" s="175"/>
      <c r="GG293" s="175"/>
      <c r="GH293" s="175"/>
      <c r="GI293" s="175"/>
      <c r="GJ293" s="175"/>
      <c r="GK293" s="175"/>
      <c r="GL293" s="175"/>
    </row>
    <row r="294" spans="1:194" s="255" customFormat="1" ht="60" customHeight="1" x14ac:dyDescent="0.3">
      <c r="A294" s="362" t="s">
        <v>193</v>
      </c>
      <c r="B294" s="363" t="s">
        <v>25</v>
      </c>
      <c r="C294" s="391" t="s">
        <v>174</v>
      </c>
      <c r="D294" s="640" t="s">
        <v>173</v>
      </c>
      <c r="E294" s="640"/>
      <c r="F294" s="640"/>
      <c r="G294" s="640"/>
      <c r="H294" s="640"/>
      <c r="I294" s="640"/>
      <c r="J294" s="418" t="s">
        <v>443</v>
      </c>
      <c r="K294" s="418" t="s">
        <v>444</v>
      </c>
      <c r="L294" s="418" t="s">
        <v>171</v>
      </c>
      <c r="M294" s="363" t="s">
        <v>2</v>
      </c>
      <c r="N294" s="419" t="s">
        <v>7</v>
      </c>
      <c r="O294" s="420" t="s">
        <v>8</v>
      </c>
      <c r="P294" s="159"/>
      <c r="Q294" s="164" t="s">
        <v>93</v>
      </c>
      <c r="R294" s="164" t="s">
        <v>34</v>
      </c>
      <c r="S294" s="164" t="s">
        <v>28</v>
      </c>
      <c r="T294" s="164" t="s">
        <v>95</v>
      </c>
      <c r="U294" s="164" t="s">
        <v>96</v>
      </c>
      <c r="V294" s="164" t="s">
        <v>97</v>
      </c>
      <c r="W294" s="164" t="s">
        <v>4</v>
      </c>
      <c r="X294" s="164" t="s">
        <v>103</v>
      </c>
      <c r="Y294" s="160" t="s">
        <v>402</v>
      </c>
      <c r="Z294" s="165" t="s">
        <v>403</v>
      </c>
      <c r="AA294" s="166" t="s">
        <v>404</v>
      </c>
      <c r="AB294" s="164" t="s">
        <v>99</v>
      </c>
      <c r="AC294" s="164" t="s">
        <v>395</v>
      </c>
      <c r="AD294" s="253" t="s">
        <v>36</v>
      </c>
      <c r="AE294" s="164" t="s">
        <v>389</v>
      </c>
      <c r="AF294" s="164" t="s">
        <v>390</v>
      </c>
      <c r="AG294" s="164" t="s">
        <v>164</v>
      </c>
      <c r="AH294" s="253" t="s">
        <v>396</v>
      </c>
      <c r="AI294" s="164" t="s">
        <v>190</v>
      </c>
      <c r="AJ294" s="164" t="s">
        <v>339</v>
      </c>
      <c r="AK294" s="253" t="s">
        <v>391</v>
      </c>
      <c r="AL294" s="253" t="s">
        <v>393</v>
      </c>
      <c r="AM294" s="167" t="s">
        <v>93</v>
      </c>
      <c r="AN294" s="168" t="s">
        <v>34</v>
      </c>
      <c r="AO294" s="169" t="s">
        <v>28</v>
      </c>
      <c r="AP294" s="170" t="s">
        <v>95</v>
      </c>
      <c r="AQ294" s="167" t="s">
        <v>3</v>
      </c>
      <c r="AR294" s="167" t="s">
        <v>96</v>
      </c>
      <c r="AS294" s="169" t="s">
        <v>97</v>
      </c>
      <c r="AT294" s="170" t="s">
        <v>4</v>
      </c>
      <c r="AU294" s="169" t="s">
        <v>103</v>
      </c>
      <c r="AV294" s="170" t="s">
        <v>99</v>
      </c>
      <c r="AW294" s="169" t="s">
        <v>36</v>
      </c>
      <c r="AX294" s="171" t="s">
        <v>29</v>
      </c>
      <c r="AY294" s="172" t="s">
        <v>190</v>
      </c>
      <c r="AZ294" s="173" t="s">
        <v>102</v>
      </c>
      <c r="BA294" s="174"/>
      <c r="BB294" s="183"/>
      <c r="BC294" s="211" t="s">
        <v>119</v>
      </c>
      <c r="BD294" s="174"/>
      <c r="BE294" s="176" t="s">
        <v>189</v>
      </c>
      <c r="BF294" s="177" t="str">
        <f>$BF$13</f>
        <v xml:space="preserve">VR SILICONA </v>
      </c>
      <c r="BG294" s="177" t="str">
        <f>$BG$13</f>
        <v xml:space="preserve">VR PELÍCULA </v>
      </c>
      <c r="BH294" s="254" t="str">
        <f>$BH$13</f>
        <v>VR EMBALAJE</v>
      </c>
      <c r="BI294" s="174"/>
      <c r="BJ294" s="176" t="str">
        <f>$BJ$13</f>
        <v>ESP. CRISTAL</v>
      </c>
      <c r="BK294" s="176" t="s">
        <v>130</v>
      </c>
      <c r="BL294" s="177" t="s">
        <v>28</v>
      </c>
      <c r="BM294" s="177" t="str">
        <f>BM287</f>
        <v>TOTAL</v>
      </c>
      <c r="BN294" s="177" t="s">
        <v>133</v>
      </c>
      <c r="BO294" s="174"/>
      <c r="BP294" s="175"/>
      <c r="BQ294" s="175"/>
      <c r="BR294" s="175"/>
      <c r="BS294" s="175"/>
      <c r="BT294" s="175"/>
      <c r="BU294" s="175"/>
      <c r="BV294" s="175"/>
      <c r="BW294" s="174"/>
      <c r="BX294" s="175"/>
      <c r="BY294" s="175"/>
      <c r="BZ294" s="175"/>
      <c r="CA294" s="175"/>
      <c r="CB294" s="175"/>
      <c r="CC294" s="175"/>
      <c r="CD294" s="184"/>
      <c r="CE294" s="175"/>
      <c r="CF294" s="185"/>
      <c r="CG294" s="175"/>
      <c r="CH294" s="175"/>
      <c r="CI294" s="184"/>
      <c r="CJ294" s="174"/>
      <c r="CK294" s="186" t="s">
        <v>415</v>
      </c>
      <c r="CL294" s="187" t="s">
        <v>417</v>
      </c>
      <c r="CM294" s="187" t="s">
        <v>416</v>
      </c>
      <c r="CN294" s="188" t="s">
        <v>418</v>
      </c>
      <c r="CO294" s="187" t="s">
        <v>417</v>
      </c>
      <c r="CP294" s="187" t="s">
        <v>409</v>
      </c>
      <c r="CQ294" s="187" t="s">
        <v>410</v>
      </c>
      <c r="CR294" s="187" t="s">
        <v>411</v>
      </c>
      <c r="CS294" s="187" t="s">
        <v>412</v>
      </c>
      <c r="CT294" s="187" t="s">
        <v>413</v>
      </c>
      <c r="CU294" s="189" t="s">
        <v>2</v>
      </c>
      <c r="CV294" s="190" t="s">
        <v>159</v>
      </c>
      <c r="CW294" s="189" t="s">
        <v>2</v>
      </c>
      <c r="CX294" s="190" t="s">
        <v>159</v>
      </c>
      <c r="CY294" s="189" t="s">
        <v>2</v>
      </c>
      <c r="CZ294" s="190" t="s">
        <v>159</v>
      </c>
      <c r="DA294" s="189" t="s">
        <v>2</v>
      </c>
      <c r="DB294" s="190" t="s">
        <v>159</v>
      </c>
      <c r="DC294" s="189" t="s">
        <v>2</v>
      </c>
      <c r="DD294" s="190" t="s">
        <v>159</v>
      </c>
      <c r="DE294" s="183"/>
      <c r="DF294" s="183"/>
      <c r="DG294" s="177" t="s">
        <v>505</v>
      </c>
      <c r="DH294" s="472" t="s">
        <v>509</v>
      </c>
      <c r="DI294" s="457" t="s">
        <v>506</v>
      </c>
      <c r="DJ294" s="457" t="s">
        <v>134</v>
      </c>
      <c r="DK294" s="457" t="s">
        <v>498</v>
      </c>
      <c r="DL294" s="457" t="s">
        <v>499</v>
      </c>
      <c r="DM294" s="457" t="s">
        <v>500</v>
      </c>
      <c r="DN294" s="457" t="s">
        <v>131</v>
      </c>
      <c r="DO294" s="457" t="s">
        <v>390</v>
      </c>
      <c r="DP294" s="457" t="s">
        <v>36</v>
      </c>
      <c r="DQ294" s="457" t="s">
        <v>501</v>
      </c>
      <c r="DR294" s="457" t="s">
        <v>502</v>
      </c>
      <c r="DS294" s="457" t="s">
        <v>503</v>
      </c>
      <c r="DT294" s="457" t="s">
        <v>4</v>
      </c>
      <c r="DU294" s="457" t="s">
        <v>504</v>
      </c>
      <c r="DV294" s="466" t="s">
        <v>507</v>
      </c>
      <c r="DW294" s="466" t="s">
        <v>508</v>
      </c>
      <c r="DX294" s="457" t="s">
        <v>510</v>
      </c>
      <c r="DY294" s="457" t="s">
        <v>511</v>
      </c>
      <c r="DZ294" s="183"/>
      <c r="EA294" s="183"/>
      <c r="EB294" s="183"/>
      <c r="EC294" s="183"/>
      <c r="ED294" s="183"/>
      <c r="EE294" s="183"/>
      <c r="EF294" s="183"/>
      <c r="EG294" s="183"/>
      <c r="EH294" s="183"/>
      <c r="EI294" s="183"/>
      <c r="EJ294" s="183"/>
      <c r="EK294" s="183"/>
      <c r="EL294" s="183"/>
      <c r="EM294" s="183"/>
      <c r="EN294" s="183"/>
      <c r="EO294" s="183"/>
      <c r="EP294" s="183"/>
      <c r="EQ294" s="183"/>
      <c r="ER294" s="183"/>
      <c r="ES294" s="183"/>
      <c r="ET294" s="183"/>
      <c r="EU294" s="183"/>
      <c r="EV294" s="183"/>
      <c r="EW294" s="183"/>
      <c r="EX294" s="183"/>
      <c r="EY294" s="183"/>
      <c r="EZ294" s="183"/>
      <c r="FA294" s="183"/>
      <c r="FB294" s="183"/>
      <c r="FC294" s="183"/>
      <c r="FD294" s="183"/>
      <c r="FE294" s="183"/>
      <c r="FF294" s="183"/>
      <c r="FG294" s="183"/>
      <c r="FH294" s="183"/>
      <c r="FI294" s="183"/>
      <c r="FJ294" s="183"/>
      <c r="FK294" s="183"/>
      <c r="FL294" s="183"/>
      <c r="FM294" s="183"/>
      <c r="FN294" s="183"/>
      <c r="FO294" s="183"/>
      <c r="FP294" s="183"/>
      <c r="FQ294" s="183"/>
      <c r="FR294" s="183"/>
      <c r="FS294" s="183"/>
      <c r="FT294" s="183"/>
      <c r="FU294" s="183"/>
      <c r="FV294" s="183"/>
      <c r="FW294" s="183"/>
      <c r="FX294" s="183"/>
      <c r="FY294" s="183"/>
      <c r="FZ294" s="183"/>
      <c r="GA294" s="183"/>
      <c r="GB294" s="183"/>
      <c r="GC294" s="183"/>
      <c r="GD294" s="183"/>
      <c r="GE294" s="183"/>
      <c r="GF294" s="183"/>
      <c r="GG294" s="183"/>
      <c r="GH294" s="183"/>
      <c r="GI294" s="183"/>
      <c r="GJ294" s="183"/>
      <c r="GK294" s="183"/>
      <c r="GL294" s="183"/>
    </row>
    <row r="295" spans="1:194" s="175" customFormat="1" ht="60" customHeight="1" x14ac:dyDescent="0.3">
      <c r="A295" s="364"/>
      <c r="B295" s="365"/>
      <c r="C295" s="392" t="s">
        <v>27</v>
      </c>
      <c r="D295" s="641"/>
      <c r="E295" s="641"/>
      <c r="F295" s="641"/>
      <c r="G295" s="641"/>
      <c r="H295" s="641"/>
      <c r="I295" s="641"/>
      <c r="J295" s="642"/>
      <c r="K295" s="642"/>
      <c r="L295" s="622">
        <f>J295*K295*M295</f>
        <v>0</v>
      </c>
      <c r="M295" s="623"/>
      <c r="N295" s="620">
        <f>IFERROR(AL295,"")</f>
        <v>1.0765546639999999</v>
      </c>
      <c r="O295" s="621">
        <f>IFERROR(N295*M295,"")</f>
        <v>0</v>
      </c>
      <c r="P295" s="192"/>
      <c r="Q295" s="193">
        <f>Q296+BF295+($R$350*Q296)</f>
        <v>0</v>
      </c>
      <c r="R295" s="193">
        <f>IFERROR(R296+($R$348*R296),"")</f>
        <v>0</v>
      </c>
      <c r="S295" s="194">
        <f>+IF(R297="SI",((W299*'BD GN'!$AB$2)+S296)*1,COTIZACIÓN!S296*1)+(P296*S296)</f>
        <v>0</v>
      </c>
      <c r="T295" s="195">
        <f>IFERROR(R295*IF(K295&lt;=3,$T$13,15%),"")</f>
        <v>0</v>
      </c>
      <c r="U295" s="196">
        <f>BH295+BG295</f>
        <v>0</v>
      </c>
      <c r="V295" s="197" t="str">
        <f>IFERROR(BN295,0)</f>
        <v/>
      </c>
      <c r="W295" s="198" t="str">
        <f>IFERROR(IF(X297="SI",W298*J295*K295,IF(BE295=3,BE297,IF(BE295=4,BE298,IF(BE295=5,BE299,IF(BE295&gt;5,BE299+(BE300*(BE295-5)),"")))))*0,"")</f>
        <v/>
      </c>
      <c r="X295" s="198" t="str">
        <f>IFERROR(IF(X296="NO",(VLOOKUP(D295,'BD M.O'!C:E,3,FALSE))*W299,((VLOOKUP(D295,'BD M.O'!C:E,3,FALSE))+7500)*W299),"")</f>
        <v/>
      </c>
      <c r="Y295" s="198">
        <f>IFERROR($Y$13*AK295,"")</f>
        <v>4.2084457416288003E-2</v>
      </c>
      <c r="Z295" s="332" t="str">
        <f>IFERROR(($Z$13*AK295)+X295,"")</f>
        <v/>
      </c>
      <c r="AA295" s="199" t="str">
        <f>IFERROR(Y295+Z295,"")</f>
        <v/>
      </c>
      <c r="AB295" s="200">
        <f>IFERROR((SUM(Q295:X295)-T295+T297)*$AB$13,"")</f>
        <v>0</v>
      </c>
      <c r="AC295" s="201">
        <f>IFERROR(((SUM(Q295:V295,IF(X300&gt;AA295,AVERAGE(X300,AA295),AA295))-T295+T297))*$AB$13,"")</f>
        <v>0</v>
      </c>
      <c r="AD295" s="202" t="str">
        <f>IFERROR((J295*K295*$BV$14),"")</f>
        <v/>
      </c>
      <c r="AE295" s="202">
        <f>IFERROR($AE$13*AK295,"")</f>
        <v>6.4010592649919984E-2</v>
      </c>
      <c r="AF295" s="203" t="str">
        <f>IFERROR(($CI$11+$CI$13)*W299,"")</f>
        <v/>
      </c>
      <c r="AG295" s="202">
        <f>IFERROR((SUM(Q295:X295,AB295,AD295,AF295)-T295+T297)*$AG$13,"")</f>
        <v>0</v>
      </c>
      <c r="AH295" s="202">
        <f>IFERROR((SUM(Q295:V295,(IF(X300&gt;AA295,AVERAGE(X300,AA295),AA295)),AC295,AE295,AF295)-T295+T297)*$AG$13,"")</f>
        <v>3.2005296324959992E-2</v>
      </c>
      <c r="AI295" s="204">
        <f>IFERROR(AL295*$AI$13,"")</f>
        <v>2.1531093279999997E-2</v>
      </c>
      <c r="AJ295" s="204">
        <f>IFERROR($AJ$13*AL295,"")</f>
        <v>6.007175025119999E-3</v>
      </c>
      <c r="AK295" s="205">
        <f>IFERROR(SUM(Q295:X295,AB295,AD295,AG295,AF295)/(1-$AI$13)+(1-$AJ$13)-T295+T297,"")</f>
        <v>0.99441999999999997</v>
      </c>
      <c r="AL295" s="205">
        <f>IFERROR(SUM(Q295:V295,AC295,(IF(AD295&gt;AE295,AVERAGE(AD295,AE295),AE295)),AF295,,AH295,(IF(SUM(X300)&gt;AA295,AVERAGE(AA295,X300),AA295)))/(1-$AJ$13)+(1-$AI$13)-T295+T297,"")</f>
        <v>1.0765546639999999</v>
      </c>
      <c r="AM295" s="206">
        <f>$M$15*Q295</f>
        <v>0</v>
      </c>
      <c r="AN295" s="207">
        <f>$M$15*R295</f>
        <v>0</v>
      </c>
      <c r="AO295" s="208">
        <f>$M$15*S295</f>
        <v>0</v>
      </c>
      <c r="AP295" s="207">
        <f>$M$15*T295</f>
        <v>0</v>
      </c>
      <c r="AQ295" s="207" t="e">
        <f>$M$15*#REF!</f>
        <v>#REF!</v>
      </c>
      <c r="AR295" s="207">
        <f>$M$15*U295</f>
        <v>0</v>
      </c>
      <c r="AS295" s="208" t="e">
        <f>$M$15*V295</f>
        <v>#VALUE!</v>
      </c>
      <c r="AT295" s="207" t="e">
        <f>$M$15*W295</f>
        <v>#VALUE!</v>
      </c>
      <c r="AU295" s="208" t="e">
        <f>$M$15*X295</f>
        <v>#VALUE!</v>
      </c>
      <c r="AV295" s="207">
        <f>$M$15*AB295</f>
        <v>0</v>
      </c>
      <c r="AW295" s="208">
        <f>$M$15*AE295</f>
        <v>0</v>
      </c>
      <c r="AX295" s="207">
        <f>$M$15*AG295</f>
        <v>0</v>
      </c>
      <c r="AY295" s="209">
        <f>$M$15*AI295</f>
        <v>0</v>
      </c>
      <c r="AZ295" s="207">
        <f>$M$15*AK295</f>
        <v>0</v>
      </c>
      <c r="BA295" s="210"/>
      <c r="BB295" s="175" t="s">
        <v>23</v>
      </c>
      <c r="BC295" s="211" t="s">
        <v>113</v>
      </c>
      <c r="BD295" s="210"/>
      <c r="BE295" s="212"/>
      <c r="BF295" s="213">
        <f>IF(BH296="NO",((2*J295)+(2*K295))*'BD GN'!$AU$3,((3*J295)+(2*K295))*'BD GN'!$AU$3)</f>
        <v>0</v>
      </c>
      <c r="BG295" s="213">
        <f>'BD GN'!$BB$3*J295*K295</f>
        <v>0</v>
      </c>
      <c r="BH295" s="214">
        <f>((J295*2*BE295)+(K295*2*BE295))*'BD GN'!$AN$4</f>
        <v>0</v>
      </c>
      <c r="BI295" s="210"/>
      <c r="BJ295" s="212"/>
      <c r="BK295" s="212"/>
      <c r="BL295" s="215">
        <f>J295*K295*2.5*BJ295</f>
        <v>0</v>
      </c>
      <c r="BM295" s="215">
        <f>BK295+BL295</f>
        <v>0</v>
      </c>
      <c r="BN295" s="216" t="str">
        <f>IFERROR((VLOOKUP($C$12,'BD GN'!BD:BM,10,FALSE)*BM295)+$BR$338,"")</f>
        <v/>
      </c>
      <c r="BO295" s="210"/>
      <c r="BW295" s="210"/>
      <c r="CD295" s="184"/>
      <c r="CF295" s="185"/>
      <c r="CI295" s="184"/>
      <c r="CJ295" s="210"/>
      <c r="CK295" s="565"/>
      <c r="CL295" s="256"/>
      <c r="CM295" s="596"/>
      <c r="CN295" s="626"/>
      <c r="CO295" s="629"/>
      <c r="CP295" s="629"/>
      <c r="CQ295" s="629"/>
      <c r="CR295" s="629"/>
      <c r="CS295" s="629"/>
      <c r="CT295" s="632"/>
      <c r="CU295" s="565"/>
      <c r="CV295" s="560">
        <f>IFERROR(N295*CU295,"")</f>
        <v>0</v>
      </c>
      <c r="CW295" s="565"/>
      <c r="CX295" s="560">
        <f>IFERROR(P295*CW295,"")</f>
        <v>0</v>
      </c>
      <c r="CY295" s="565"/>
      <c r="CZ295" s="560">
        <f>IFERROR(R295*CY295,"")</f>
        <v>0</v>
      </c>
      <c r="DA295" s="565">
        <f t="shared" ref="DA295" si="1146">CU295+CW295+CY295</f>
        <v>0</v>
      </c>
      <c r="DB295" s="560">
        <f t="shared" ref="DB295" si="1147">IFERROR(CV295+CX295+CZ295,"")</f>
        <v>0</v>
      </c>
      <c r="DC295" s="565">
        <f>M295-(CU295+CW295+CY295)</f>
        <v>0</v>
      </c>
      <c r="DD295" s="560">
        <f>IFERROR(O295-(CV295+CX295+CZ295),"")</f>
        <v>0</v>
      </c>
      <c r="DG295" s="575"/>
      <c r="DH295" s="575"/>
      <c r="DI295" s="569">
        <f t="shared" ref="DI295" si="1148">IFERROR(IF(DG295&gt;0,(((N295)/(1+10%+19%*5%)+((N295)/(1+10%+19%*5%))*10%)*DH295),0),0)</f>
        <v>0</v>
      </c>
      <c r="DJ295" s="569">
        <f t="shared" ref="DJ295" si="1149">IFERROR(IF(DG295&gt;0,(N295*DH295),0),0)</f>
        <v>0</v>
      </c>
      <c r="DK295" s="569">
        <f t="shared" ref="DK295" si="1150">IF(DG295&gt;0,((R295+T295)*DH295),0)</f>
        <v>0</v>
      </c>
      <c r="DL295" s="569">
        <f t="shared" ref="DL295" si="1151">IF(DG295&gt;0,(Q295*DH295),0)</f>
        <v>0</v>
      </c>
      <c r="DM295" s="572">
        <f t="shared" ref="DM295" si="1152">IF(DG295&gt;0,(S295*DH295),0)</f>
        <v>0</v>
      </c>
      <c r="DN295" s="569">
        <f t="shared" ref="DN295" si="1153">IF(DG295&gt;0,(BN295*DH295),0)</f>
        <v>0</v>
      </c>
      <c r="DO295" s="569">
        <f t="shared" ref="DO295" si="1154">IF(DG295&gt;0,(AF295*DH295),0)</f>
        <v>0</v>
      </c>
      <c r="DP295" s="569">
        <f>IF(DG295&gt;0,((DI295)*('BD P&amp;G'!$E$16+'BD P&amp;G'!$E$17+'BD P&amp;G'!$E$18+'BD P&amp;G'!$E$19+'BD P&amp;G'!$E$20+'BD P&amp;G'!$E$21+'BD P&amp;G'!$E$22+'BD P&amp;G'!$E$23)*DH295),0)</f>
        <v>0</v>
      </c>
      <c r="DQ295" s="569">
        <f>IFERROR(IF(DG295&gt;0,((DI295*'BD P&amp;G'!$E$7)+(DI295*'BD P&amp;G'!$E$9)+AI295),0),0)</f>
        <v>0</v>
      </c>
      <c r="DR295" s="569">
        <f t="shared" ref="DR295" si="1155">IFERROR(IF(DG295&gt;0,((DI295*1%)),0),0)</f>
        <v>0</v>
      </c>
      <c r="DS295" s="569">
        <f>IFERROR(IF(DG295&gt;0,(((DI295*'BD P&amp;G'!$E$32+DI295*'BD P&amp;G'!$E$33+DI295*'BD P&amp;G'!$E$35+DI295*'BD P&amp;G'!$E$36+DI295*'BD P&amp;G'!$E$37))),0),0)</f>
        <v>0</v>
      </c>
      <c r="DT295" s="569">
        <f t="shared" ref="DT295" si="1156">IF(DG295&gt;0,(Y295*DH295),0)</f>
        <v>0</v>
      </c>
      <c r="DU295" s="569">
        <f t="shared" ref="DU295" si="1157">IF(DG295&gt;0,(Z295*DH295),0)</f>
        <v>0</v>
      </c>
      <c r="DV295" s="575">
        <f t="shared" ref="DV295" si="1158">IF(DG295&gt;0,(Y299*DH295),0)</f>
        <v>0</v>
      </c>
      <c r="DW295" s="575">
        <f t="shared" ref="DW295" si="1159">IF(DG295&gt;0,(Z299*DH295),0)</f>
        <v>0</v>
      </c>
      <c r="DX295" s="569">
        <f t="shared" ref="DX295" si="1160">IF(DV295&gt;0,DJ295,0)</f>
        <v>0</v>
      </c>
      <c r="DY295" s="569">
        <f t="shared" ref="DY295" si="1161">IF(DW295&gt;0,DJ295,0)</f>
        <v>0</v>
      </c>
    </row>
    <row r="296" spans="1:194" s="175" customFormat="1" ht="60" customHeight="1" x14ac:dyDescent="0.25">
      <c r="A296" s="366"/>
      <c r="B296" s="367"/>
      <c r="C296" s="393" t="s">
        <v>28</v>
      </c>
      <c r="D296" s="598"/>
      <c r="E296" s="598"/>
      <c r="F296" s="598"/>
      <c r="G296" s="598"/>
      <c r="H296" s="598"/>
      <c r="I296" s="598"/>
      <c r="J296" s="604"/>
      <c r="K296" s="604"/>
      <c r="L296" s="607"/>
      <c r="M296" s="559"/>
      <c r="N296" s="610"/>
      <c r="O296" s="613"/>
      <c r="P296" s="192"/>
      <c r="Q296" s="217"/>
      <c r="R296" s="217"/>
      <c r="S296" s="218"/>
      <c r="T296" s="219">
        <f>IFERROR(T295/$R$353,"")</f>
        <v>0</v>
      </c>
      <c r="U296" s="206"/>
      <c r="V296" s="220"/>
      <c r="W296" s="221" t="s">
        <v>239</v>
      </c>
      <c r="X296" s="222" t="s">
        <v>204</v>
      </c>
      <c r="Y296" s="223"/>
      <c r="Z296" s="224"/>
      <c r="AA296" s="225"/>
      <c r="AB296" s="226"/>
      <c r="AC296" s="206"/>
      <c r="AD296" s="206"/>
      <c r="AE296" s="206"/>
      <c r="AF296" s="227"/>
      <c r="AG296" s="206"/>
      <c r="AH296" s="206"/>
      <c r="AI296" s="206"/>
      <c r="AJ296" s="206"/>
      <c r="AK296" s="227"/>
      <c r="AL296" s="210"/>
      <c r="AM296" s="206"/>
      <c r="AN296" s="206"/>
      <c r="AO296" s="228"/>
      <c r="AP296" s="229"/>
      <c r="AQ296" s="206"/>
      <c r="AR296" s="206"/>
      <c r="AS296" s="228"/>
      <c r="AT296" s="229"/>
      <c r="AU296" s="228"/>
      <c r="AV296" s="229"/>
      <c r="AW296" s="228"/>
      <c r="AX296" s="229"/>
      <c r="AY296" s="206"/>
      <c r="AZ296" s="229"/>
      <c r="BA296" s="210"/>
      <c r="BB296" s="175" t="s">
        <v>24</v>
      </c>
      <c r="BC296" s="175" t="s">
        <v>114</v>
      </c>
      <c r="BD296" s="210"/>
      <c r="BE296" s="176" t="s">
        <v>206</v>
      </c>
      <c r="BF296" s="230" t="s">
        <v>204</v>
      </c>
      <c r="BG296" s="176" t="s">
        <v>290</v>
      </c>
      <c r="BH296" s="231" t="s">
        <v>204</v>
      </c>
      <c r="BI296" s="210"/>
      <c r="BN296" s="232"/>
      <c r="BO296" s="210"/>
      <c r="BV296" s="184"/>
      <c r="BW296" s="210"/>
      <c r="CD296" s="184"/>
      <c r="CF296" s="185"/>
      <c r="CI296" s="184"/>
      <c r="CJ296" s="210"/>
      <c r="CK296" s="563"/>
      <c r="CM296" s="559"/>
      <c r="CN296" s="627"/>
      <c r="CO296" s="630"/>
      <c r="CP296" s="630"/>
      <c r="CQ296" s="630"/>
      <c r="CR296" s="630"/>
      <c r="CS296" s="630"/>
      <c r="CT296" s="633"/>
      <c r="CU296" s="563"/>
      <c r="CV296" s="561"/>
      <c r="CW296" s="563"/>
      <c r="CX296" s="561"/>
      <c r="CY296" s="563"/>
      <c r="CZ296" s="561"/>
      <c r="DA296" s="563"/>
      <c r="DB296" s="561"/>
      <c r="DC296" s="563"/>
      <c r="DD296" s="561"/>
      <c r="DG296" s="576"/>
      <c r="DH296" s="576"/>
      <c r="DI296" s="570"/>
      <c r="DJ296" s="570"/>
      <c r="DK296" s="570"/>
      <c r="DL296" s="570"/>
      <c r="DM296" s="573"/>
      <c r="DN296" s="570"/>
      <c r="DO296" s="570"/>
      <c r="DP296" s="570"/>
      <c r="DQ296" s="570"/>
      <c r="DR296" s="570"/>
      <c r="DS296" s="570"/>
      <c r="DT296" s="570"/>
      <c r="DU296" s="570"/>
      <c r="DV296" s="576"/>
      <c r="DW296" s="576"/>
      <c r="DX296" s="570"/>
      <c r="DY296" s="570"/>
    </row>
    <row r="297" spans="1:194" s="175" customFormat="1" ht="60" customHeight="1" x14ac:dyDescent="0.3">
      <c r="A297" s="366"/>
      <c r="B297" s="367"/>
      <c r="C297" s="393" t="s">
        <v>30</v>
      </c>
      <c r="D297" s="599"/>
      <c r="E297" s="599"/>
      <c r="F297" s="599"/>
      <c r="G297" s="599"/>
      <c r="H297" s="599"/>
      <c r="I297" s="599"/>
      <c r="J297" s="604"/>
      <c r="K297" s="604"/>
      <c r="L297" s="607"/>
      <c r="M297" s="559"/>
      <c r="N297" s="610"/>
      <c r="O297" s="613"/>
      <c r="P297" s="192"/>
      <c r="Q297" s="176" t="s">
        <v>205</v>
      </c>
      <c r="R297" s="233" t="s">
        <v>204</v>
      </c>
      <c r="S297" s="234"/>
      <c r="T297" s="235">
        <f>IFERROR(($R$353-8000)*T296,"")</f>
        <v>0</v>
      </c>
      <c r="U297" s="206"/>
      <c r="V297" s="220"/>
      <c r="W297" s="221" t="s">
        <v>258</v>
      </c>
      <c r="X297" s="222" t="s">
        <v>204</v>
      </c>
      <c r="Y297" s="236"/>
      <c r="Z297" s="237"/>
      <c r="AA297" s="225"/>
      <c r="AB297" s="226"/>
      <c r="AC297" s="206"/>
      <c r="AD297" s="206"/>
      <c r="AE297" s="206"/>
      <c r="AF297" s="227"/>
      <c r="AG297" s="206"/>
      <c r="AH297" s="206"/>
      <c r="AI297" s="206"/>
      <c r="AJ297" s="206"/>
      <c r="AK297" s="227"/>
      <c r="AL297" s="238"/>
      <c r="AM297" s="206"/>
      <c r="AN297" s="206"/>
      <c r="AO297" s="228"/>
      <c r="AP297" s="229"/>
      <c r="AQ297" s="206"/>
      <c r="AR297" s="206"/>
      <c r="AS297" s="228"/>
      <c r="AT297" s="229"/>
      <c r="AU297" s="228"/>
      <c r="AV297" s="229"/>
      <c r="AW297" s="228"/>
      <c r="AX297" s="229"/>
      <c r="AY297" s="206"/>
      <c r="AZ297" s="229"/>
      <c r="BA297" s="210"/>
      <c r="BB297" s="175" t="s">
        <v>26</v>
      </c>
      <c r="BC297" s="211" t="s">
        <v>115</v>
      </c>
      <c r="BD297" s="210"/>
      <c r="BE297" s="177" t="str">
        <f>IFERROR(VLOOKUP(D295,'BD M.O'!C:H,4,FALSE),"")</f>
        <v/>
      </c>
      <c r="BF297" s="177" t="s">
        <v>259</v>
      </c>
      <c r="BI297" s="210"/>
      <c r="BO297" s="210"/>
      <c r="BV297" s="184"/>
      <c r="BW297" s="210"/>
      <c r="CD297" s="184"/>
      <c r="CF297" s="185"/>
      <c r="CI297" s="184"/>
      <c r="CJ297" s="210"/>
      <c r="CK297" s="563"/>
      <c r="CM297" s="559"/>
      <c r="CN297" s="627"/>
      <c r="CO297" s="630"/>
      <c r="CP297" s="630"/>
      <c r="CQ297" s="630"/>
      <c r="CR297" s="630"/>
      <c r="CS297" s="630"/>
      <c r="CT297" s="633"/>
      <c r="CU297" s="563"/>
      <c r="CV297" s="561"/>
      <c r="CW297" s="563"/>
      <c r="CX297" s="561"/>
      <c r="CY297" s="563"/>
      <c r="CZ297" s="561"/>
      <c r="DA297" s="563"/>
      <c r="DB297" s="561"/>
      <c r="DC297" s="563"/>
      <c r="DD297" s="561"/>
      <c r="DG297" s="577"/>
      <c r="DH297" s="577"/>
      <c r="DI297" s="571"/>
      <c r="DJ297" s="571"/>
      <c r="DK297" s="571"/>
      <c r="DL297" s="571"/>
      <c r="DM297" s="574"/>
      <c r="DN297" s="571"/>
      <c r="DO297" s="571"/>
      <c r="DP297" s="571"/>
      <c r="DQ297" s="571"/>
      <c r="DR297" s="571"/>
      <c r="DS297" s="571"/>
      <c r="DT297" s="571"/>
      <c r="DU297" s="571"/>
      <c r="DV297" s="577"/>
      <c r="DW297" s="577"/>
      <c r="DX297" s="571"/>
      <c r="DY297" s="571"/>
    </row>
    <row r="298" spans="1:194" s="175" customFormat="1" ht="60" customHeight="1" x14ac:dyDescent="0.25">
      <c r="A298" s="366"/>
      <c r="B298" s="367"/>
      <c r="C298" s="395" t="s">
        <v>180</v>
      </c>
      <c r="D298" s="599" t="s">
        <v>31</v>
      </c>
      <c r="E298" s="599"/>
      <c r="F298" s="394" t="s">
        <v>9</v>
      </c>
      <c r="G298" s="599" t="s">
        <v>33</v>
      </c>
      <c r="H298" s="599"/>
      <c r="I298" s="394" t="str">
        <f>+IF($BG$9="SI","","X")</f>
        <v>X</v>
      </c>
      <c r="J298" s="604"/>
      <c r="K298" s="604"/>
      <c r="L298" s="607"/>
      <c r="M298" s="559"/>
      <c r="N298" s="610"/>
      <c r="O298" s="613"/>
      <c r="P298" s="192"/>
      <c r="Q298" s="239"/>
      <c r="R298" s="221" t="s">
        <v>209</v>
      </c>
      <c r="S298" s="234" t="str">
        <f>IF(S296="","",S296/(J295*K295))</f>
        <v/>
      </c>
      <c r="T298" s="226"/>
      <c r="U298" s="206"/>
      <c r="V298" s="220"/>
      <c r="W298" s="239" t="str">
        <f>IFERROR(IF(X297="SI",VLOOKUP(D295,'BD M.O'!C:F,4,FALSE),""),"")</f>
        <v/>
      </c>
      <c r="X298" s="221" t="s">
        <v>258</v>
      </c>
      <c r="Y298" s="221" t="s">
        <v>507</v>
      </c>
      <c r="Z298" s="221" t="s">
        <v>508</v>
      </c>
      <c r="AA298" s="225"/>
      <c r="AB298" s="226"/>
      <c r="AC298" s="206"/>
      <c r="AD298" s="206"/>
      <c r="AE298" s="206"/>
      <c r="AF298" s="227"/>
      <c r="AG298" s="206"/>
      <c r="AH298" s="206"/>
      <c r="AI298" s="206"/>
      <c r="AJ298" s="206"/>
      <c r="AK298" s="227"/>
      <c r="AL298" s="240"/>
      <c r="AM298" s="206"/>
      <c r="AN298" s="206"/>
      <c r="AO298" s="228"/>
      <c r="AP298" s="229"/>
      <c r="AQ298" s="206"/>
      <c r="AR298" s="206"/>
      <c r="AS298" s="228"/>
      <c r="AT298" s="229"/>
      <c r="AU298" s="228"/>
      <c r="AV298" s="229"/>
      <c r="AW298" s="228"/>
      <c r="AX298" s="229"/>
      <c r="AY298" s="206"/>
      <c r="AZ298" s="229"/>
      <c r="BA298" s="210"/>
      <c r="BC298" s="175" t="s">
        <v>116</v>
      </c>
      <c r="BD298" s="210"/>
      <c r="BE298" s="177" t="str">
        <f>IFERROR(VLOOKUP(COTIZACIÓN!D295,'BD M.O'!C:I,5,FALSE),"")</f>
        <v/>
      </c>
      <c r="BF298" s="177" t="s">
        <v>260</v>
      </c>
      <c r="BI298" s="210"/>
      <c r="BO298" s="210"/>
      <c r="BP298" s="183"/>
      <c r="BQ298" s="183"/>
      <c r="BR298" s="183"/>
      <c r="BS298" s="183"/>
      <c r="BT298" s="183"/>
      <c r="BU298" s="183"/>
      <c r="BV298" s="182"/>
      <c r="BW298" s="210"/>
      <c r="BX298" s="183"/>
      <c r="BY298" s="183"/>
      <c r="BZ298" s="183"/>
      <c r="CA298" s="183"/>
      <c r="CB298" s="183"/>
      <c r="CC298" s="183"/>
      <c r="CD298" s="182"/>
      <c r="CE298" s="183"/>
      <c r="CF298" s="241"/>
      <c r="CG298" s="183"/>
      <c r="CH298" s="183"/>
      <c r="CI298" s="182"/>
      <c r="CJ298" s="210"/>
      <c r="CK298" s="563"/>
      <c r="CM298" s="559"/>
      <c r="CN298" s="627"/>
      <c r="CO298" s="630"/>
      <c r="CP298" s="630"/>
      <c r="CQ298" s="630"/>
      <c r="CR298" s="630"/>
      <c r="CS298" s="630"/>
      <c r="CT298" s="633"/>
      <c r="CU298" s="563"/>
      <c r="CV298" s="561"/>
      <c r="CW298" s="563"/>
      <c r="CX298" s="561"/>
      <c r="CY298" s="563"/>
      <c r="CZ298" s="561"/>
      <c r="DA298" s="563"/>
      <c r="DB298" s="561"/>
      <c r="DC298" s="563"/>
      <c r="DD298" s="561"/>
      <c r="DG298" s="575"/>
      <c r="DH298" s="575"/>
      <c r="DI298" s="569">
        <f t="shared" ref="DI298" si="1162">IFERROR(IF(DG298&gt;0,(((N295)/(1+10%+19%*5%)+((N295)/(1+10%+19%*5%))*10%)*DH298),0),0)</f>
        <v>0</v>
      </c>
      <c r="DJ298" s="569">
        <f t="shared" ref="DJ298" si="1163">IFERROR(IF(DG298&gt;0,(N295*DH298),0),0)</f>
        <v>0</v>
      </c>
      <c r="DK298" s="569">
        <f t="shared" ref="DK298" si="1164">IF(DG298&gt;0,((R295+T295)*DH298),0)</f>
        <v>0</v>
      </c>
      <c r="DL298" s="569">
        <f t="shared" ref="DL298" si="1165">IF(DG298&gt;0,(Q295*DH298),0)</f>
        <v>0</v>
      </c>
      <c r="DM298" s="572">
        <f t="shared" ref="DM298" si="1166">IF(DG298&gt;0,(S295*DH298),0)</f>
        <v>0</v>
      </c>
      <c r="DN298" s="569">
        <f t="shared" ref="DN298" si="1167">IF(DG298&gt;0,(BN295*DH298),0)</f>
        <v>0</v>
      </c>
      <c r="DO298" s="569">
        <f t="shared" ref="DO298" si="1168">IF(DG298&gt;0,(AF295*DH298),0)</f>
        <v>0</v>
      </c>
      <c r="DP298" s="569">
        <f>IF(DG298&gt;0,((DI298)*('BD P&amp;G'!$E$16+'BD P&amp;G'!$E$17+'BD P&amp;G'!$E$18+'BD P&amp;G'!$E$19+'BD P&amp;G'!$E$20+'BD P&amp;G'!$E$21+'BD P&amp;G'!$E$22+'BD P&amp;G'!$E$23)*DH298),0)</f>
        <v>0</v>
      </c>
      <c r="DQ298" s="569">
        <f>IFERROR(IF(DG298&gt;0,((DI298*'BD P&amp;G'!$E$7)+(DI298*'BD P&amp;G'!$E$9)+AI295),0),0)</f>
        <v>0</v>
      </c>
      <c r="DR298" s="569">
        <f t="shared" ref="DR298" si="1169">IFERROR(IF(DG298&gt;0,((DI298*1%)),0),0)</f>
        <v>0</v>
      </c>
      <c r="DS298" s="569">
        <f>IFERROR(IF(DG298&gt;0,(((DI298*'BD P&amp;G'!$E$32+DI298*'BD P&amp;G'!$E$33+DI298*'BD P&amp;G'!$E$35+DI298*'BD P&amp;G'!$E$36+DI298*'BD P&amp;G'!$E$37))),0),0)</f>
        <v>0</v>
      </c>
      <c r="DT298" s="569">
        <f t="shared" ref="DT298" si="1170">IF(DG298&gt;0,(Y295*DH298),0)</f>
        <v>0</v>
      </c>
      <c r="DU298" s="569">
        <f t="shared" ref="DU298" si="1171">IF(DG298&gt;0,(Z295*DH298),0)</f>
        <v>0</v>
      </c>
      <c r="DV298" s="575">
        <f t="shared" ref="DV298" si="1172">IF(DG298&gt;0,(Y299*DH298),0)</f>
        <v>0</v>
      </c>
      <c r="DW298" s="575">
        <f t="shared" ref="DW298" si="1173">IF(DG298&gt;0,(Z299*DH298),0)</f>
        <v>0</v>
      </c>
      <c r="DX298" s="569">
        <f t="shared" ref="DX298" si="1174">IF(DV298&gt;0,DJ298,0)</f>
        <v>0</v>
      </c>
      <c r="DY298" s="569">
        <f t="shared" ref="DY298" si="1175">IF(DW298&gt;0,DJ298,0)</f>
        <v>0</v>
      </c>
    </row>
    <row r="299" spans="1:194" s="175" customFormat="1" ht="60" customHeight="1" x14ac:dyDescent="0.3">
      <c r="A299" s="366"/>
      <c r="B299" s="367"/>
      <c r="C299" s="393" t="s">
        <v>35</v>
      </c>
      <c r="D299" s="599" t="str">
        <f>IFERROR(VLOOKUP(D295,'BD GN'!C:E,3,),"")</f>
        <v/>
      </c>
      <c r="E299" s="599"/>
      <c r="F299" s="599"/>
      <c r="G299" s="599"/>
      <c r="H299" s="599"/>
      <c r="I299" s="599"/>
      <c r="J299" s="604"/>
      <c r="K299" s="604"/>
      <c r="L299" s="607"/>
      <c r="M299" s="559"/>
      <c r="N299" s="610"/>
      <c r="O299" s="613"/>
      <c r="P299" s="192"/>
      <c r="Q299" s="239"/>
      <c r="R299" s="221" t="s">
        <v>210</v>
      </c>
      <c r="S299" s="234" t="str">
        <f>IFERROR(IF(N295="","",N295/W299),"")</f>
        <v/>
      </c>
      <c r="T299" s="226"/>
      <c r="U299" s="206"/>
      <c r="V299" s="220"/>
      <c r="W299" s="242" t="str">
        <f>+IF(J295*K295&gt;=1,J295*K295,IF(AND(J295*K295&gt;0,J295*K295&lt;1),1,""))</f>
        <v/>
      </c>
      <c r="X299" s="221" t="s">
        <v>298</v>
      </c>
      <c r="Y299" s="461">
        <f>IFERROR(IF(D295='BD GN'!$C$25,COTIZACIÓN!W299,IF(D295='BD GN'!$C$26,COTIZACIÓN!W299,IF(D295='BD GN'!$C$27,COTIZACIÓN!W299,IF(COTIZACIÓN!D295='BD GN'!$C$28,COTIZACIÓN!W299,IF(COTIZACIÓN!D295='BD GN'!$C$29,COTIZACIÓN!W299,IF(COTIZACIÓN!D295='BD GN'!$C$35,COTIZACIÓN!W299,IF(COTIZACIÓN!D295='BD GN'!$C$36,COTIZACIÓN!W299,IF(COTIZACIÓN!D295='BD GN'!$C$37,COTIZACIÓN!W299,IF(COTIZACIÓN!D295='BD GN'!$C$38,COTIZACIÓN!W299,IF(COTIZACIÓN!D295='BD GN'!$C$39,COTIZACIÓN!W299,IF(COTIZACIÓN!D295='BD GN'!$C$40,COTIZACIÓN!W299,IF(COTIZACIÓN!D295='BD GN'!$C$41,COTIZACIÓN!W299,IF(COTIZACIÓN!D295='BD GN'!$C$42,COTIZACIÓN!W299,IF(COTIZACIÓN!D295='BD GN'!$C$49,COTIZACIÓN!W299,IF(COTIZACIÓN!D295='BD GN'!$C$50,COTIZACIÓN!W299,IF(COTIZACIÓN!D295='BD GN'!$C$51,COTIZACIÓN!W299,IF(COTIZACIÓN!D295='BD GN'!$C$67,COTIZACIÓN!W299,0))))))))))))))))),0)</f>
        <v>0</v>
      </c>
      <c r="Z299" s="461">
        <f>IFERROR(W299-Y299,0)</f>
        <v>0</v>
      </c>
      <c r="AA299" s="225"/>
      <c r="AB299" s="226"/>
      <c r="AC299" s="206"/>
      <c r="AD299" s="206"/>
      <c r="AE299" s="206"/>
      <c r="AF299" s="227"/>
      <c r="AG299" s="206"/>
      <c r="AH299" s="206"/>
      <c r="AI299" s="206"/>
      <c r="AJ299" s="206"/>
      <c r="AK299" s="227"/>
      <c r="AL299" s="210"/>
      <c r="AM299" s="206"/>
      <c r="AN299" s="206"/>
      <c r="AO299" s="228"/>
      <c r="AP299" s="229"/>
      <c r="AQ299" s="206"/>
      <c r="AR299" s="206"/>
      <c r="AS299" s="228"/>
      <c r="AT299" s="229"/>
      <c r="AU299" s="228"/>
      <c r="AV299" s="229"/>
      <c r="AW299" s="228"/>
      <c r="AX299" s="229"/>
      <c r="AY299" s="206"/>
      <c r="AZ299" s="229"/>
      <c r="BA299" s="210"/>
      <c r="BC299" s="211" t="s">
        <v>117</v>
      </c>
      <c r="BD299" s="210"/>
      <c r="BE299" s="177" t="str">
        <f>IFERROR(VLOOKUP(D295,'BD M.O'!C:I,6,FALSE),"")</f>
        <v/>
      </c>
      <c r="BF299" s="177" t="s">
        <v>261</v>
      </c>
      <c r="BI299" s="210"/>
      <c r="BO299" s="210"/>
      <c r="BP299" s="183"/>
      <c r="BQ299" s="183"/>
      <c r="BR299" s="183"/>
      <c r="BW299" s="210"/>
      <c r="CD299" s="184"/>
      <c r="CF299" s="185"/>
      <c r="CI299" s="184"/>
      <c r="CJ299" s="210"/>
      <c r="CK299" s="563"/>
      <c r="CM299" s="559"/>
      <c r="CN299" s="627"/>
      <c r="CO299" s="630"/>
      <c r="CP299" s="630"/>
      <c r="CQ299" s="630"/>
      <c r="CR299" s="630"/>
      <c r="CS299" s="630"/>
      <c r="CT299" s="633"/>
      <c r="CU299" s="563"/>
      <c r="CV299" s="561"/>
      <c r="CW299" s="563"/>
      <c r="CX299" s="561"/>
      <c r="CY299" s="563"/>
      <c r="CZ299" s="561"/>
      <c r="DA299" s="563"/>
      <c r="DB299" s="561"/>
      <c r="DC299" s="563"/>
      <c r="DD299" s="561"/>
      <c r="DG299" s="576"/>
      <c r="DH299" s="576"/>
      <c r="DI299" s="570"/>
      <c r="DJ299" s="570"/>
      <c r="DK299" s="570"/>
      <c r="DL299" s="570"/>
      <c r="DM299" s="573"/>
      <c r="DN299" s="570"/>
      <c r="DO299" s="570"/>
      <c r="DP299" s="570"/>
      <c r="DQ299" s="570"/>
      <c r="DR299" s="570"/>
      <c r="DS299" s="570"/>
      <c r="DT299" s="570"/>
      <c r="DU299" s="570"/>
      <c r="DV299" s="576"/>
      <c r="DW299" s="576"/>
      <c r="DX299" s="570"/>
      <c r="DY299" s="570"/>
    </row>
    <row r="300" spans="1:194" s="252" customFormat="1" ht="60" customHeight="1" x14ac:dyDescent="0.25">
      <c r="A300" s="368"/>
      <c r="B300" s="369"/>
      <c r="C300" s="396" t="s">
        <v>10</v>
      </c>
      <c r="D300" s="645" t="s">
        <v>32</v>
      </c>
      <c r="E300" s="645"/>
      <c r="F300" s="645"/>
      <c r="G300" s="645"/>
      <c r="H300" s="645"/>
      <c r="I300" s="645"/>
      <c r="J300" s="643"/>
      <c r="K300" s="643"/>
      <c r="L300" s="646"/>
      <c r="M300" s="648"/>
      <c r="N300" s="649"/>
      <c r="O300" s="644"/>
      <c r="P300" s="192"/>
      <c r="Q300" s="239"/>
      <c r="R300" s="334" t="s">
        <v>475</v>
      </c>
      <c r="S300" s="234" t="str">
        <f>IFERROR(IF($C$12='BD GN'!$CC$1,VLOOKUP(COTIZACIÓN!D295,'BD GN'!CB:CG,2,FALSE),IF(COTIZACIÓN!$C$12='BD GN'!$CD$1,VLOOKUP(COTIZACIÓN!D295,'BD GN'!CB:CG,3,FALSE),IF($C$12='BD GN'!$CE$1,VLOOKUP(COTIZACIÓN!D295,'BD GN'!CB:CG,4,FALSE),IF(COTIZACIÓN!$C$12='BD GN'!$CF$1,VLOOKUP(COTIZACIÓN!D295,'BD GN'!CB:CG,5,FALSE),IF(COTIZACIÓN!$C$12='BD GN'!$CG$1,VLOOKUP(COTIZACIÓN!D295,'BD GN'!CB:CG,6,FALSE),""))))),"-")</f>
        <v/>
      </c>
      <c r="T300" s="243"/>
      <c r="U300" s="244"/>
      <c r="V300" s="245"/>
      <c r="W300" s="177" t="s">
        <v>394</v>
      </c>
      <c r="X300" s="246">
        <f>IFERROR(SUM(W295:X295),"")</f>
        <v>0</v>
      </c>
      <c r="Y300" s="166" t="s">
        <v>404</v>
      </c>
      <c r="Z300" s="199" t="str">
        <f>IFERROR(Y295+Z295,"")</f>
        <v/>
      </c>
      <c r="AA300" s="247"/>
      <c r="AB300" s="243"/>
      <c r="AC300" s="244"/>
      <c r="AD300" s="244"/>
      <c r="AE300" s="244"/>
      <c r="AF300" s="227"/>
      <c r="AG300" s="206"/>
      <c r="AH300" s="206"/>
      <c r="AI300" s="206"/>
      <c r="AJ300" s="206"/>
      <c r="AK300" s="227"/>
      <c r="AL300" s="227"/>
      <c r="AM300" s="248"/>
      <c r="AN300" s="248"/>
      <c r="AO300" s="249"/>
      <c r="AP300" s="250"/>
      <c r="AQ300" s="248"/>
      <c r="AR300" s="248"/>
      <c r="AS300" s="249"/>
      <c r="AT300" s="250"/>
      <c r="AU300" s="249"/>
      <c r="AV300" s="250"/>
      <c r="AW300" s="249"/>
      <c r="AX300" s="250"/>
      <c r="AY300" s="248"/>
      <c r="AZ300" s="250"/>
      <c r="BA300" s="210"/>
      <c r="BB300" s="175"/>
      <c r="BC300" s="175" t="s">
        <v>118</v>
      </c>
      <c r="BD300" s="210"/>
      <c r="BE300" s="251" t="str">
        <f>IFERROR(VLOOKUP(D295,'BD M.O'!C:I,7,FALSE),"")</f>
        <v/>
      </c>
      <c r="BF300" s="251" t="s">
        <v>262</v>
      </c>
      <c r="BG300" s="175"/>
      <c r="BH300" s="175"/>
      <c r="BI300" s="210"/>
      <c r="BJ300" s="175"/>
      <c r="BK300" s="175"/>
      <c r="BL300" s="175"/>
      <c r="BM300" s="175"/>
      <c r="BN300" s="175"/>
      <c r="BO300" s="210"/>
      <c r="BP300" s="175"/>
      <c r="BQ300" s="175"/>
      <c r="BR300" s="175"/>
      <c r="BS300" s="183"/>
      <c r="BT300" s="183"/>
      <c r="BU300" s="183"/>
      <c r="BV300" s="183"/>
      <c r="BW300" s="210"/>
      <c r="BX300" s="175"/>
      <c r="BY300" s="175"/>
      <c r="BZ300" s="175"/>
      <c r="CA300" s="175"/>
      <c r="CB300" s="175"/>
      <c r="CC300" s="175"/>
      <c r="CD300" s="184"/>
      <c r="CE300" s="175"/>
      <c r="CF300" s="185"/>
      <c r="CG300" s="175"/>
      <c r="CH300" s="175"/>
      <c r="CI300" s="184"/>
      <c r="CJ300" s="210"/>
      <c r="CK300" s="564"/>
      <c r="CL300" s="257"/>
      <c r="CM300" s="597"/>
      <c r="CN300" s="628"/>
      <c r="CO300" s="631"/>
      <c r="CP300" s="631"/>
      <c r="CQ300" s="631"/>
      <c r="CR300" s="631"/>
      <c r="CS300" s="631"/>
      <c r="CT300" s="634"/>
      <c r="CU300" s="564"/>
      <c r="CV300" s="562"/>
      <c r="CW300" s="564"/>
      <c r="CX300" s="562"/>
      <c r="CY300" s="564"/>
      <c r="CZ300" s="562"/>
      <c r="DA300" s="564"/>
      <c r="DB300" s="562"/>
      <c r="DC300" s="564"/>
      <c r="DD300" s="562"/>
      <c r="DE300" s="175"/>
      <c r="DF300" s="175"/>
      <c r="DG300" s="577"/>
      <c r="DH300" s="577"/>
      <c r="DI300" s="571"/>
      <c r="DJ300" s="571"/>
      <c r="DK300" s="571"/>
      <c r="DL300" s="571"/>
      <c r="DM300" s="574"/>
      <c r="DN300" s="571"/>
      <c r="DO300" s="571"/>
      <c r="DP300" s="571"/>
      <c r="DQ300" s="571"/>
      <c r="DR300" s="571"/>
      <c r="DS300" s="571"/>
      <c r="DT300" s="571"/>
      <c r="DU300" s="571"/>
      <c r="DV300" s="577"/>
      <c r="DW300" s="577"/>
      <c r="DX300" s="571"/>
      <c r="DY300" s="571"/>
      <c r="DZ300" s="175"/>
      <c r="EA300" s="175"/>
      <c r="EB300" s="175"/>
      <c r="EC300" s="175"/>
      <c r="ED300" s="175"/>
      <c r="EE300" s="175"/>
      <c r="EF300" s="175"/>
      <c r="EG300" s="175"/>
      <c r="EH300" s="175"/>
      <c r="EI300" s="175"/>
      <c r="EJ300" s="175"/>
      <c r="EK300" s="175"/>
      <c r="EL300" s="175"/>
      <c r="EM300" s="175"/>
      <c r="EN300" s="175"/>
      <c r="EO300" s="175"/>
      <c r="EP300" s="175"/>
      <c r="EQ300" s="175"/>
      <c r="ER300" s="175"/>
      <c r="ES300" s="175"/>
      <c r="ET300" s="175"/>
      <c r="EU300" s="175"/>
      <c r="EV300" s="175"/>
      <c r="EW300" s="175"/>
      <c r="EX300" s="175"/>
      <c r="EY300" s="175"/>
      <c r="EZ300" s="175"/>
      <c r="FA300" s="175"/>
      <c r="FB300" s="175"/>
      <c r="FC300" s="175"/>
      <c r="FD300" s="175"/>
      <c r="FE300" s="175"/>
      <c r="FF300" s="175"/>
      <c r="FG300" s="175"/>
      <c r="FH300" s="175"/>
      <c r="FI300" s="175"/>
      <c r="FJ300" s="175"/>
      <c r="FK300" s="175"/>
      <c r="FL300" s="175"/>
      <c r="FM300" s="175"/>
      <c r="FN300" s="175"/>
      <c r="FO300" s="175"/>
      <c r="FP300" s="175"/>
      <c r="FQ300" s="175"/>
      <c r="FR300" s="175"/>
      <c r="FS300" s="175"/>
      <c r="FT300" s="175"/>
      <c r="FU300" s="175"/>
      <c r="FV300" s="175"/>
      <c r="FW300" s="175"/>
      <c r="FX300" s="175"/>
      <c r="FY300" s="175"/>
      <c r="FZ300" s="175"/>
      <c r="GA300" s="175"/>
      <c r="GB300" s="175"/>
      <c r="GC300" s="175"/>
      <c r="GD300" s="175"/>
      <c r="GE300" s="175"/>
      <c r="GF300" s="175"/>
      <c r="GG300" s="175"/>
      <c r="GH300" s="175"/>
      <c r="GI300" s="175"/>
      <c r="GJ300" s="175"/>
      <c r="GK300" s="175"/>
      <c r="GL300" s="175"/>
    </row>
    <row r="301" spans="1:194" s="255" customFormat="1" ht="60" customHeight="1" x14ac:dyDescent="0.3">
      <c r="A301" s="362" t="s">
        <v>193</v>
      </c>
      <c r="B301" s="363" t="s">
        <v>25</v>
      </c>
      <c r="C301" s="391" t="s">
        <v>174</v>
      </c>
      <c r="D301" s="640" t="s">
        <v>173</v>
      </c>
      <c r="E301" s="640"/>
      <c r="F301" s="640"/>
      <c r="G301" s="640"/>
      <c r="H301" s="640"/>
      <c r="I301" s="640"/>
      <c r="J301" s="418" t="s">
        <v>443</v>
      </c>
      <c r="K301" s="418" t="s">
        <v>444</v>
      </c>
      <c r="L301" s="418" t="s">
        <v>171</v>
      </c>
      <c r="M301" s="363" t="s">
        <v>2</v>
      </c>
      <c r="N301" s="419" t="s">
        <v>7</v>
      </c>
      <c r="O301" s="420" t="s">
        <v>8</v>
      </c>
      <c r="P301" s="159"/>
      <c r="Q301" s="164" t="s">
        <v>93</v>
      </c>
      <c r="R301" s="164" t="s">
        <v>34</v>
      </c>
      <c r="S301" s="164" t="s">
        <v>28</v>
      </c>
      <c r="T301" s="164" t="s">
        <v>95</v>
      </c>
      <c r="U301" s="164" t="s">
        <v>96</v>
      </c>
      <c r="V301" s="164" t="s">
        <v>97</v>
      </c>
      <c r="W301" s="164" t="s">
        <v>4</v>
      </c>
      <c r="X301" s="164" t="s">
        <v>103</v>
      </c>
      <c r="Y301" s="160" t="s">
        <v>402</v>
      </c>
      <c r="Z301" s="165" t="s">
        <v>403</v>
      </c>
      <c r="AA301" s="166" t="s">
        <v>404</v>
      </c>
      <c r="AB301" s="164" t="s">
        <v>99</v>
      </c>
      <c r="AC301" s="164" t="s">
        <v>395</v>
      </c>
      <c r="AD301" s="253" t="s">
        <v>36</v>
      </c>
      <c r="AE301" s="164" t="s">
        <v>389</v>
      </c>
      <c r="AF301" s="164" t="s">
        <v>390</v>
      </c>
      <c r="AG301" s="164" t="s">
        <v>164</v>
      </c>
      <c r="AH301" s="253" t="s">
        <v>396</v>
      </c>
      <c r="AI301" s="164" t="s">
        <v>190</v>
      </c>
      <c r="AJ301" s="164" t="s">
        <v>339</v>
      </c>
      <c r="AK301" s="253" t="s">
        <v>391</v>
      </c>
      <c r="AL301" s="253" t="s">
        <v>393</v>
      </c>
      <c r="AM301" s="167" t="s">
        <v>93</v>
      </c>
      <c r="AN301" s="168" t="s">
        <v>34</v>
      </c>
      <c r="AO301" s="169" t="s">
        <v>28</v>
      </c>
      <c r="AP301" s="170" t="s">
        <v>95</v>
      </c>
      <c r="AQ301" s="167" t="s">
        <v>3</v>
      </c>
      <c r="AR301" s="167" t="s">
        <v>96</v>
      </c>
      <c r="AS301" s="169" t="s">
        <v>97</v>
      </c>
      <c r="AT301" s="170" t="s">
        <v>4</v>
      </c>
      <c r="AU301" s="169" t="s">
        <v>103</v>
      </c>
      <c r="AV301" s="170" t="s">
        <v>99</v>
      </c>
      <c r="AW301" s="169" t="s">
        <v>36</v>
      </c>
      <c r="AX301" s="171" t="s">
        <v>29</v>
      </c>
      <c r="AY301" s="172" t="s">
        <v>190</v>
      </c>
      <c r="AZ301" s="173" t="s">
        <v>102</v>
      </c>
      <c r="BA301" s="174"/>
      <c r="BB301" s="183"/>
      <c r="BC301" s="211" t="s">
        <v>119</v>
      </c>
      <c r="BD301" s="174"/>
      <c r="BE301" s="176" t="s">
        <v>189</v>
      </c>
      <c r="BF301" s="177" t="str">
        <f>$BF$13</f>
        <v xml:space="preserve">VR SILICONA </v>
      </c>
      <c r="BG301" s="177" t="str">
        <f>$BG$13</f>
        <v xml:space="preserve">VR PELÍCULA </v>
      </c>
      <c r="BH301" s="254" t="str">
        <f>$BH$13</f>
        <v>VR EMBALAJE</v>
      </c>
      <c r="BI301" s="174"/>
      <c r="BJ301" s="176" t="str">
        <f>$BJ$13</f>
        <v>ESP. CRISTAL</v>
      </c>
      <c r="BK301" s="176" t="s">
        <v>130</v>
      </c>
      <c r="BL301" s="177" t="s">
        <v>28</v>
      </c>
      <c r="BM301" s="177" t="str">
        <f>BM294</f>
        <v>TOTAL</v>
      </c>
      <c r="BN301" s="177" t="s">
        <v>133</v>
      </c>
      <c r="BO301" s="174"/>
      <c r="BP301" s="175"/>
      <c r="BQ301" s="175"/>
      <c r="BR301" s="175"/>
      <c r="BS301" s="175"/>
      <c r="BT301" s="175"/>
      <c r="BU301" s="175"/>
      <c r="BV301" s="175"/>
      <c r="BW301" s="174"/>
      <c r="BX301" s="175"/>
      <c r="BY301" s="175"/>
      <c r="BZ301" s="175"/>
      <c r="CA301" s="175"/>
      <c r="CB301" s="175"/>
      <c r="CC301" s="175"/>
      <c r="CD301" s="184"/>
      <c r="CE301" s="175"/>
      <c r="CF301" s="185"/>
      <c r="CG301" s="175"/>
      <c r="CH301" s="175"/>
      <c r="CI301" s="184"/>
      <c r="CJ301" s="174"/>
      <c r="CK301" s="186" t="s">
        <v>415</v>
      </c>
      <c r="CL301" s="187" t="s">
        <v>417</v>
      </c>
      <c r="CM301" s="187" t="s">
        <v>416</v>
      </c>
      <c r="CN301" s="188" t="s">
        <v>418</v>
      </c>
      <c r="CO301" s="187" t="s">
        <v>417</v>
      </c>
      <c r="CP301" s="187" t="s">
        <v>409</v>
      </c>
      <c r="CQ301" s="187" t="s">
        <v>410</v>
      </c>
      <c r="CR301" s="187" t="s">
        <v>411</v>
      </c>
      <c r="CS301" s="187" t="s">
        <v>412</v>
      </c>
      <c r="CT301" s="187" t="s">
        <v>413</v>
      </c>
      <c r="CU301" s="189" t="s">
        <v>2</v>
      </c>
      <c r="CV301" s="190" t="s">
        <v>159</v>
      </c>
      <c r="CW301" s="189" t="s">
        <v>2</v>
      </c>
      <c r="CX301" s="190" t="s">
        <v>159</v>
      </c>
      <c r="CY301" s="189" t="s">
        <v>2</v>
      </c>
      <c r="CZ301" s="190" t="s">
        <v>159</v>
      </c>
      <c r="DA301" s="189" t="s">
        <v>2</v>
      </c>
      <c r="DB301" s="190" t="s">
        <v>159</v>
      </c>
      <c r="DC301" s="189" t="s">
        <v>2</v>
      </c>
      <c r="DD301" s="190" t="s">
        <v>159</v>
      </c>
      <c r="DE301" s="183"/>
      <c r="DF301" s="183"/>
      <c r="DG301" s="177" t="s">
        <v>505</v>
      </c>
      <c r="DH301" s="472" t="s">
        <v>509</v>
      </c>
      <c r="DI301" s="457" t="s">
        <v>506</v>
      </c>
      <c r="DJ301" s="457" t="s">
        <v>134</v>
      </c>
      <c r="DK301" s="457" t="s">
        <v>498</v>
      </c>
      <c r="DL301" s="457" t="s">
        <v>499</v>
      </c>
      <c r="DM301" s="457" t="s">
        <v>500</v>
      </c>
      <c r="DN301" s="457" t="s">
        <v>131</v>
      </c>
      <c r="DO301" s="457" t="s">
        <v>390</v>
      </c>
      <c r="DP301" s="457" t="s">
        <v>36</v>
      </c>
      <c r="DQ301" s="457" t="s">
        <v>501</v>
      </c>
      <c r="DR301" s="457" t="s">
        <v>502</v>
      </c>
      <c r="DS301" s="457" t="s">
        <v>503</v>
      </c>
      <c r="DT301" s="457" t="s">
        <v>4</v>
      </c>
      <c r="DU301" s="457" t="s">
        <v>504</v>
      </c>
      <c r="DV301" s="466" t="s">
        <v>507</v>
      </c>
      <c r="DW301" s="466" t="s">
        <v>508</v>
      </c>
      <c r="DX301" s="457" t="s">
        <v>510</v>
      </c>
      <c r="DY301" s="457" t="s">
        <v>511</v>
      </c>
      <c r="DZ301" s="183"/>
      <c r="EA301" s="183"/>
      <c r="EB301" s="183"/>
      <c r="EC301" s="183"/>
      <c r="ED301" s="183"/>
      <c r="EE301" s="183"/>
      <c r="EF301" s="183"/>
      <c r="EG301" s="183"/>
      <c r="EH301" s="183"/>
      <c r="EI301" s="183"/>
      <c r="EJ301" s="183"/>
      <c r="EK301" s="183"/>
      <c r="EL301" s="183"/>
      <c r="EM301" s="183"/>
      <c r="EN301" s="183"/>
      <c r="EO301" s="183"/>
      <c r="EP301" s="183"/>
      <c r="EQ301" s="183"/>
      <c r="ER301" s="183"/>
      <c r="ES301" s="183"/>
      <c r="ET301" s="183"/>
      <c r="EU301" s="183"/>
      <c r="EV301" s="183"/>
      <c r="EW301" s="183"/>
      <c r="EX301" s="183"/>
      <c r="EY301" s="183"/>
      <c r="EZ301" s="183"/>
      <c r="FA301" s="183"/>
      <c r="FB301" s="183"/>
      <c r="FC301" s="183"/>
      <c r="FD301" s="183"/>
      <c r="FE301" s="183"/>
      <c r="FF301" s="183"/>
      <c r="FG301" s="183"/>
      <c r="FH301" s="183"/>
      <c r="FI301" s="183"/>
      <c r="FJ301" s="183"/>
      <c r="FK301" s="183"/>
      <c r="FL301" s="183"/>
      <c r="FM301" s="183"/>
      <c r="FN301" s="183"/>
      <c r="FO301" s="183"/>
      <c r="FP301" s="183"/>
      <c r="FQ301" s="183"/>
      <c r="FR301" s="183"/>
      <c r="FS301" s="183"/>
      <c r="FT301" s="183"/>
      <c r="FU301" s="183"/>
      <c r="FV301" s="183"/>
      <c r="FW301" s="183"/>
      <c r="FX301" s="183"/>
      <c r="FY301" s="183"/>
      <c r="FZ301" s="183"/>
      <c r="GA301" s="183"/>
      <c r="GB301" s="183"/>
      <c r="GC301" s="183"/>
      <c r="GD301" s="183"/>
      <c r="GE301" s="183"/>
      <c r="GF301" s="183"/>
      <c r="GG301" s="183"/>
      <c r="GH301" s="183"/>
      <c r="GI301" s="183"/>
      <c r="GJ301" s="183"/>
      <c r="GK301" s="183"/>
      <c r="GL301" s="183"/>
    </row>
    <row r="302" spans="1:194" s="175" customFormat="1" ht="60" customHeight="1" x14ac:dyDescent="0.3">
      <c r="A302" s="364"/>
      <c r="B302" s="365"/>
      <c r="C302" s="392" t="s">
        <v>27</v>
      </c>
      <c r="D302" s="641"/>
      <c r="E302" s="641"/>
      <c r="F302" s="641"/>
      <c r="G302" s="641"/>
      <c r="H302" s="641"/>
      <c r="I302" s="641"/>
      <c r="J302" s="642"/>
      <c r="K302" s="642"/>
      <c r="L302" s="622">
        <f>J302*K302*M302</f>
        <v>0</v>
      </c>
      <c r="M302" s="623"/>
      <c r="N302" s="620">
        <f>IFERROR(AL302,"")</f>
        <v>1.0765546639999999</v>
      </c>
      <c r="O302" s="621">
        <f>IFERROR(N302*M302,"")</f>
        <v>0</v>
      </c>
      <c r="P302" s="192"/>
      <c r="Q302" s="193">
        <f>Q303+BF302+($R$350*Q303)</f>
        <v>0</v>
      </c>
      <c r="R302" s="193">
        <f>IFERROR(R303+($R$348*R303),"")</f>
        <v>0</v>
      </c>
      <c r="S302" s="194">
        <f>+IF(R304="SI",((W306*'BD GN'!$AB$2)+S303)*1,COTIZACIÓN!S303*1)+(P303*S303)</f>
        <v>0</v>
      </c>
      <c r="T302" s="195">
        <f>IFERROR(R302*IF(K302&lt;=3,$T$13,15%),"")</f>
        <v>0</v>
      </c>
      <c r="U302" s="196">
        <f>BH302+BG302</f>
        <v>0</v>
      </c>
      <c r="V302" s="197" t="str">
        <f>IFERROR(BN302,0)</f>
        <v/>
      </c>
      <c r="W302" s="198" t="str">
        <f>IFERROR(IF(X304="SI",W305*J302*K302,IF(BE302=3,BE304,IF(BE302=4,BE305,IF(BE302=5,BE306,IF(BE302&gt;5,BE306+(BE307*(BE302-5)),"")))))*0,"")</f>
        <v/>
      </c>
      <c r="X302" s="198" t="str">
        <f>IFERROR(IF(X303="NO",(VLOOKUP(D302,'BD M.O'!C:E,3,FALSE))*W306,((VLOOKUP(D302,'BD M.O'!C:E,3,FALSE))+7500)*W306),"")</f>
        <v/>
      </c>
      <c r="Y302" s="198">
        <f>IFERROR($Y$13*AK302,"")</f>
        <v>4.2084457416288003E-2</v>
      </c>
      <c r="Z302" s="332" t="str">
        <f>IFERROR(($Z$13*AK302)+X302,"")</f>
        <v/>
      </c>
      <c r="AA302" s="199" t="str">
        <f>IFERROR(Y302+Z302,"")</f>
        <v/>
      </c>
      <c r="AB302" s="200">
        <f>IFERROR((SUM(Q302:X302)-T302+T304)*$AB$13,"")</f>
        <v>0</v>
      </c>
      <c r="AC302" s="201">
        <f>IFERROR(((SUM(Q302:V302,IF(X307&gt;AA302,AVERAGE(X307,AA302),AA302))-T302+T304))*$AB$13,"")</f>
        <v>0</v>
      </c>
      <c r="AD302" s="202" t="str">
        <f>IFERROR((J302*K302*$BV$14),"")</f>
        <v/>
      </c>
      <c r="AE302" s="202">
        <f>IFERROR($AE$13*AK302,"")</f>
        <v>6.4010592649919984E-2</v>
      </c>
      <c r="AF302" s="203" t="str">
        <f>IFERROR(($CI$11+$CI$13)*W306,"")</f>
        <v/>
      </c>
      <c r="AG302" s="202">
        <f>IFERROR((SUM(Q302:X302,AB302,AD302,AF302)-T302+T304)*$AG$13,"")</f>
        <v>0</v>
      </c>
      <c r="AH302" s="202">
        <f>IFERROR((SUM(Q302:V302,(IF(X307&gt;AA302,AVERAGE(X307,AA302),AA302)),AC302,AE302,AF302)-T302+T304)*$AG$13,"")</f>
        <v>3.2005296324959992E-2</v>
      </c>
      <c r="AI302" s="204">
        <f>IFERROR(AL302*$AI$13,"")</f>
        <v>2.1531093279999997E-2</v>
      </c>
      <c r="AJ302" s="204">
        <f>IFERROR($AJ$13*AL302,"")</f>
        <v>6.007175025119999E-3</v>
      </c>
      <c r="AK302" s="205">
        <f>IFERROR(SUM(Q302:X302,AB302,AD302,AG302,AF302)/(1-$AI$13)+(1-$AJ$13)-T302+T304,"")</f>
        <v>0.99441999999999997</v>
      </c>
      <c r="AL302" s="205">
        <f>IFERROR(SUM(Q302:V302,AC302,(IF(AD302&gt;AE302,AVERAGE(AD302,AE302),AE302)),AF302,,AH302,(IF(SUM(X307)&gt;AA302,AVERAGE(AA302,X307),AA302)))/(1-$AJ$13)+(1-$AI$13)-T302+T304,"")</f>
        <v>1.0765546639999999</v>
      </c>
      <c r="AM302" s="206">
        <f>$M$15*Q302</f>
        <v>0</v>
      </c>
      <c r="AN302" s="207">
        <f>$M$15*R302</f>
        <v>0</v>
      </c>
      <c r="AO302" s="208">
        <f>$M$15*S302</f>
        <v>0</v>
      </c>
      <c r="AP302" s="207">
        <f>$M$15*T302</f>
        <v>0</v>
      </c>
      <c r="AQ302" s="207" t="e">
        <f>$M$15*#REF!</f>
        <v>#REF!</v>
      </c>
      <c r="AR302" s="207">
        <f>$M$15*U302</f>
        <v>0</v>
      </c>
      <c r="AS302" s="208" t="e">
        <f>$M$15*V302</f>
        <v>#VALUE!</v>
      </c>
      <c r="AT302" s="207" t="e">
        <f>$M$15*W302</f>
        <v>#VALUE!</v>
      </c>
      <c r="AU302" s="208" t="e">
        <f>$M$15*X302</f>
        <v>#VALUE!</v>
      </c>
      <c r="AV302" s="207">
        <f>$M$15*AB302</f>
        <v>0</v>
      </c>
      <c r="AW302" s="208">
        <f>$M$15*AE302</f>
        <v>0</v>
      </c>
      <c r="AX302" s="207">
        <f>$M$15*AG302</f>
        <v>0</v>
      </c>
      <c r="AY302" s="209">
        <f>$M$15*AI302</f>
        <v>0</v>
      </c>
      <c r="AZ302" s="207">
        <f>$M$15*AK302</f>
        <v>0</v>
      </c>
      <c r="BA302" s="210"/>
      <c r="BB302" s="175" t="s">
        <v>23</v>
      </c>
      <c r="BC302" s="211" t="s">
        <v>113</v>
      </c>
      <c r="BD302" s="210"/>
      <c r="BE302" s="212"/>
      <c r="BF302" s="213">
        <f>IF(BH303="NO",((2*J302)+(2*K302))*'BD GN'!$AU$3,((3*J302)+(2*K302))*'BD GN'!$AU$3)</f>
        <v>0</v>
      </c>
      <c r="BG302" s="213">
        <f>'BD GN'!$BB$3*J302*K302</f>
        <v>0</v>
      </c>
      <c r="BH302" s="214">
        <f>((J302*2*BE302)+(K302*2*BE302))*'BD GN'!$AN$4</f>
        <v>0</v>
      </c>
      <c r="BI302" s="210"/>
      <c r="BJ302" s="212"/>
      <c r="BK302" s="212"/>
      <c r="BL302" s="215">
        <f>J302*K302*2.5*BJ302</f>
        <v>0</v>
      </c>
      <c r="BM302" s="215">
        <f>BK302+BL302</f>
        <v>0</v>
      </c>
      <c r="BN302" s="216" t="str">
        <f>IFERROR((VLOOKUP($C$12,'BD GN'!BD:BM,10,FALSE)*BM302)+$BR$338,"")</f>
        <v/>
      </c>
      <c r="BO302" s="210"/>
      <c r="BW302" s="210"/>
      <c r="CD302" s="184"/>
      <c r="CF302" s="185"/>
      <c r="CI302" s="184"/>
      <c r="CJ302" s="210"/>
      <c r="CK302" s="565"/>
      <c r="CL302" s="256"/>
      <c r="CM302" s="596"/>
      <c r="CN302" s="626"/>
      <c r="CO302" s="629"/>
      <c r="CP302" s="629"/>
      <c r="CQ302" s="629"/>
      <c r="CR302" s="629"/>
      <c r="CS302" s="629"/>
      <c r="CT302" s="632"/>
      <c r="CU302" s="565"/>
      <c r="CV302" s="560">
        <f>IFERROR(N302*CU302,"")</f>
        <v>0</v>
      </c>
      <c r="CW302" s="565"/>
      <c r="CX302" s="560">
        <f>IFERROR(P302*CW302,"")</f>
        <v>0</v>
      </c>
      <c r="CY302" s="565"/>
      <c r="CZ302" s="560">
        <f>IFERROR(R302*CY302,"")</f>
        <v>0</v>
      </c>
      <c r="DA302" s="565">
        <f t="shared" ref="DA302" si="1176">CU302+CW302+CY302</f>
        <v>0</v>
      </c>
      <c r="DB302" s="560">
        <f t="shared" ref="DB302" si="1177">IFERROR(CV302+CX302+CZ302,"")</f>
        <v>0</v>
      </c>
      <c r="DC302" s="565">
        <f>M302-(CU302+CW302+CY302)</f>
        <v>0</v>
      </c>
      <c r="DD302" s="560">
        <f>IFERROR(O302-(CV302+CX302+CZ302),"")</f>
        <v>0</v>
      </c>
      <c r="DG302" s="575"/>
      <c r="DH302" s="575"/>
      <c r="DI302" s="569">
        <f t="shared" ref="DI302" si="1178">IFERROR(IF(DG302&gt;0,(((N302)/(1+10%+19%*5%)+((N302)/(1+10%+19%*5%))*10%)*DH302),0),0)</f>
        <v>0</v>
      </c>
      <c r="DJ302" s="569">
        <f t="shared" ref="DJ302" si="1179">IFERROR(IF(DG302&gt;0,(N302*DH302),0),0)</f>
        <v>0</v>
      </c>
      <c r="DK302" s="569">
        <f t="shared" ref="DK302" si="1180">IF(DG302&gt;0,((R302+T302)*DH302),0)</f>
        <v>0</v>
      </c>
      <c r="DL302" s="569">
        <f t="shared" ref="DL302" si="1181">IF(DG302&gt;0,(Q302*DH302),0)</f>
        <v>0</v>
      </c>
      <c r="DM302" s="572">
        <f t="shared" ref="DM302" si="1182">IF(DG302&gt;0,(S302*DH302),0)</f>
        <v>0</v>
      </c>
      <c r="DN302" s="569">
        <f t="shared" ref="DN302" si="1183">IF(DG302&gt;0,(BN302*DH302),0)</f>
        <v>0</v>
      </c>
      <c r="DO302" s="569">
        <f t="shared" ref="DO302" si="1184">IF(DG302&gt;0,(AF302*DH302),0)</f>
        <v>0</v>
      </c>
      <c r="DP302" s="569">
        <f>IF(DG302&gt;0,((DI302)*('BD P&amp;G'!$E$16+'BD P&amp;G'!$E$17+'BD P&amp;G'!$E$18+'BD P&amp;G'!$E$19+'BD P&amp;G'!$E$20+'BD P&amp;G'!$E$21+'BD P&amp;G'!$E$22+'BD P&amp;G'!$E$23)*DH302),0)</f>
        <v>0</v>
      </c>
      <c r="DQ302" s="569">
        <f>IFERROR(IF(DG302&gt;0,((DI302*'BD P&amp;G'!$E$7)+(DI302*'BD P&amp;G'!$E$9)+AI302),0),0)</f>
        <v>0</v>
      </c>
      <c r="DR302" s="569">
        <f t="shared" ref="DR302" si="1185">IFERROR(IF(DG302&gt;0,((DI302*1%)),0),0)</f>
        <v>0</v>
      </c>
      <c r="DS302" s="569">
        <f>IFERROR(IF(DG302&gt;0,(((DI302*'BD P&amp;G'!$E$32+DI302*'BD P&amp;G'!$E$33+DI302*'BD P&amp;G'!$E$35+DI302*'BD P&amp;G'!$E$36+DI302*'BD P&amp;G'!$E$37))),0),0)</f>
        <v>0</v>
      </c>
      <c r="DT302" s="569">
        <f t="shared" ref="DT302" si="1186">IF(DG302&gt;0,(Y302*DH302),0)</f>
        <v>0</v>
      </c>
      <c r="DU302" s="569">
        <f t="shared" ref="DU302" si="1187">IF(DG302&gt;0,(Z302*DH302),0)</f>
        <v>0</v>
      </c>
      <c r="DV302" s="575">
        <f t="shared" ref="DV302" si="1188">IF(DG302&gt;0,(Y306*DH302),0)</f>
        <v>0</v>
      </c>
      <c r="DW302" s="575">
        <f t="shared" ref="DW302" si="1189">IF(DG302&gt;0,(Z306*DH302),0)</f>
        <v>0</v>
      </c>
      <c r="DX302" s="569">
        <f t="shared" ref="DX302" si="1190">IF(DV302&gt;0,DJ302,0)</f>
        <v>0</v>
      </c>
      <c r="DY302" s="569">
        <f t="shared" ref="DY302" si="1191">IF(DW302&gt;0,DJ302,0)</f>
        <v>0</v>
      </c>
    </row>
    <row r="303" spans="1:194" s="175" customFormat="1" ht="60" customHeight="1" x14ac:dyDescent="0.25">
      <c r="A303" s="366"/>
      <c r="B303" s="367"/>
      <c r="C303" s="393" t="s">
        <v>28</v>
      </c>
      <c r="D303" s="598"/>
      <c r="E303" s="598"/>
      <c r="F303" s="598"/>
      <c r="G303" s="598"/>
      <c r="H303" s="598"/>
      <c r="I303" s="598"/>
      <c r="J303" s="604"/>
      <c r="K303" s="604"/>
      <c r="L303" s="607"/>
      <c r="M303" s="559"/>
      <c r="N303" s="610"/>
      <c r="O303" s="613"/>
      <c r="P303" s="192"/>
      <c r="Q303" s="217"/>
      <c r="R303" s="217"/>
      <c r="S303" s="218"/>
      <c r="T303" s="219">
        <f>IFERROR(T302/$R$353,"")</f>
        <v>0</v>
      </c>
      <c r="U303" s="206"/>
      <c r="V303" s="220"/>
      <c r="W303" s="221" t="s">
        <v>239</v>
      </c>
      <c r="X303" s="222" t="s">
        <v>204</v>
      </c>
      <c r="Y303" s="223"/>
      <c r="Z303" s="224"/>
      <c r="AA303" s="225"/>
      <c r="AB303" s="226"/>
      <c r="AC303" s="206"/>
      <c r="AD303" s="206"/>
      <c r="AE303" s="206"/>
      <c r="AF303" s="227"/>
      <c r="AG303" s="206"/>
      <c r="AH303" s="206"/>
      <c r="AI303" s="206"/>
      <c r="AJ303" s="206"/>
      <c r="AK303" s="227"/>
      <c r="AL303" s="210"/>
      <c r="AM303" s="206"/>
      <c r="AN303" s="206"/>
      <c r="AO303" s="228"/>
      <c r="AP303" s="229"/>
      <c r="AQ303" s="206"/>
      <c r="AR303" s="206"/>
      <c r="AS303" s="228"/>
      <c r="AT303" s="229"/>
      <c r="AU303" s="228"/>
      <c r="AV303" s="229"/>
      <c r="AW303" s="228"/>
      <c r="AX303" s="229"/>
      <c r="AY303" s="206"/>
      <c r="AZ303" s="229"/>
      <c r="BA303" s="210"/>
      <c r="BB303" s="175" t="s">
        <v>24</v>
      </c>
      <c r="BC303" s="175" t="s">
        <v>114</v>
      </c>
      <c r="BD303" s="210"/>
      <c r="BE303" s="176" t="s">
        <v>206</v>
      </c>
      <c r="BF303" s="230" t="s">
        <v>204</v>
      </c>
      <c r="BG303" s="176" t="s">
        <v>290</v>
      </c>
      <c r="BH303" s="231" t="s">
        <v>204</v>
      </c>
      <c r="BI303" s="210"/>
      <c r="BN303" s="232"/>
      <c r="BO303" s="210"/>
      <c r="BV303" s="184"/>
      <c r="BW303" s="210"/>
      <c r="CD303" s="184"/>
      <c r="CF303" s="185"/>
      <c r="CI303" s="184"/>
      <c r="CJ303" s="210"/>
      <c r="CK303" s="563"/>
      <c r="CM303" s="559"/>
      <c r="CN303" s="627"/>
      <c r="CO303" s="630"/>
      <c r="CP303" s="630"/>
      <c r="CQ303" s="630"/>
      <c r="CR303" s="630"/>
      <c r="CS303" s="630"/>
      <c r="CT303" s="633"/>
      <c r="CU303" s="563"/>
      <c r="CV303" s="561"/>
      <c r="CW303" s="563"/>
      <c r="CX303" s="561"/>
      <c r="CY303" s="563"/>
      <c r="CZ303" s="561"/>
      <c r="DA303" s="563"/>
      <c r="DB303" s="561"/>
      <c r="DC303" s="563"/>
      <c r="DD303" s="561"/>
      <c r="DG303" s="576"/>
      <c r="DH303" s="576"/>
      <c r="DI303" s="570"/>
      <c r="DJ303" s="570"/>
      <c r="DK303" s="570"/>
      <c r="DL303" s="570"/>
      <c r="DM303" s="573"/>
      <c r="DN303" s="570"/>
      <c r="DO303" s="570"/>
      <c r="DP303" s="570"/>
      <c r="DQ303" s="570"/>
      <c r="DR303" s="570"/>
      <c r="DS303" s="570"/>
      <c r="DT303" s="570"/>
      <c r="DU303" s="570"/>
      <c r="DV303" s="576"/>
      <c r="DW303" s="576"/>
      <c r="DX303" s="570"/>
      <c r="DY303" s="570"/>
    </row>
    <row r="304" spans="1:194" s="175" customFormat="1" ht="60" customHeight="1" x14ac:dyDescent="0.3">
      <c r="A304" s="366"/>
      <c r="B304" s="367"/>
      <c r="C304" s="393" t="s">
        <v>30</v>
      </c>
      <c r="D304" s="599"/>
      <c r="E304" s="599"/>
      <c r="F304" s="599"/>
      <c r="G304" s="599"/>
      <c r="H304" s="599"/>
      <c r="I304" s="599"/>
      <c r="J304" s="604"/>
      <c r="K304" s="604"/>
      <c r="L304" s="607"/>
      <c r="M304" s="559"/>
      <c r="N304" s="610"/>
      <c r="O304" s="613"/>
      <c r="P304" s="192"/>
      <c r="Q304" s="176" t="s">
        <v>205</v>
      </c>
      <c r="R304" s="233" t="s">
        <v>204</v>
      </c>
      <c r="S304" s="234"/>
      <c r="T304" s="235">
        <f>IFERROR(($R$353-8000)*T303,"")</f>
        <v>0</v>
      </c>
      <c r="U304" s="206"/>
      <c r="V304" s="220"/>
      <c r="W304" s="221" t="s">
        <v>258</v>
      </c>
      <c r="X304" s="222" t="s">
        <v>204</v>
      </c>
      <c r="Y304" s="236"/>
      <c r="Z304" s="237"/>
      <c r="AA304" s="225"/>
      <c r="AB304" s="226"/>
      <c r="AC304" s="206"/>
      <c r="AD304" s="206"/>
      <c r="AE304" s="206"/>
      <c r="AF304" s="227"/>
      <c r="AG304" s="206"/>
      <c r="AH304" s="206"/>
      <c r="AI304" s="206"/>
      <c r="AJ304" s="206"/>
      <c r="AK304" s="227"/>
      <c r="AL304" s="238"/>
      <c r="AM304" s="206"/>
      <c r="AN304" s="206"/>
      <c r="AO304" s="228"/>
      <c r="AP304" s="229"/>
      <c r="AQ304" s="206"/>
      <c r="AR304" s="206"/>
      <c r="AS304" s="228"/>
      <c r="AT304" s="229"/>
      <c r="AU304" s="228"/>
      <c r="AV304" s="229"/>
      <c r="AW304" s="228"/>
      <c r="AX304" s="229"/>
      <c r="AY304" s="206"/>
      <c r="AZ304" s="229"/>
      <c r="BA304" s="210"/>
      <c r="BB304" s="175" t="s">
        <v>26</v>
      </c>
      <c r="BC304" s="211" t="s">
        <v>115</v>
      </c>
      <c r="BD304" s="210"/>
      <c r="BE304" s="177" t="str">
        <f>IFERROR(VLOOKUP(D302,'BD M.O'!C:H,4,FALSE),"")</f>
        <v/>
      </c>
      <c r="BF304" s="177" t="s">
        <v>259</v>
      </c>
      <c r="BI304" s="210"/>
      <c r="BO304" s="210"/>
      <c r="BV304" s="184"/>
      <c r="BW304" s="210"/>
      <c r="CD304" s="184"/>
      <c r="CF304" s="185"/>
      <c r="CI304" s="184"/>
      <c r="CJ304" s="210"/>
      <c r="CK304" s="563"/>
      <c r="CM304" s="559"/>
      <c r="CN304" s="627"/>
      <c r="CO304" s="630"/>
      <c r="CP304" s="630"/>
      <c r="CQ304" s="630"/>
      <c r="CR304" s="630"/>
      <c r="CS304" s="630"/>
      <c r="CT304" s="633"/>
      <c r="CU304" s="563"/>
      <c r="CV304" s="561"/>
      <c r="CW304" s="563"/>
      <c r="CX304" s="561"/>
      <c r="CY304" s="563"/>
      <c r="CZ304" s="561"/>
      <c r="DA304" s="563"/>
      <c r="DB304" s="561"/>
      <c r="DC304" s="563"/>
      <c r="DD304" s="561"/>
      <c r="DG304" s="577"/>
      <c r="DH304" s="577"/>
      <c r="DI304" s="571"/>
      <c r="DJ304" s="571"/>
      <c r="DK304" s="571"/>
      <c r="DL304" s="571"/>
      <c r="DM304" s="574"/>
      <c r="DN304" s="571"/>
      <c r="DO304" s="571"/>
      <c r="DP304" s="571"/>
      <c r="DQ304" s="571"/>
      <c r="DR304" s="571"/>
      <c r="DS304" s="571"/>
      <c r="DT304" s="571"/>
      <c r="DU304" s="571"/>
      <c r="DV304" s="577"/>
      <c r="DW304" s="577"/>
      <c r="DX304" s="571"/>
      <c r="DY304" s="571"/>
    </row>
    <row r="305" spans="1:194" s="175" customFormat="1" ht="60" customHeight="1" x14ac:dyDescent="0.25">
      <c r="A305" s="366"/>
      <c r="B305" s="367"/>
      <c r="C305" s="395" t="s">
        <v>180</v>
      </c>
      <c r="D305" s="599" t="s">
        <v>31</v>
      </c>
      <c r="E305" s="599"/>
      <c r="F305" s="394" t="s">
        <v>9</v>
      </c>
      <c r="G305" s="599" t="s">
        <v>33</v>
      </c>
      <c r="H305" s="599"/>
      <c r="I305" s="394" t="str">
        <f>+IF($BG$9="SI","","X")</f>
        <v>X</v>
      </c>
      <c r="J305" s="604"/>
      <c r="K305" s="604"/>
      <c r="L305" s="607"/>
      <c r="M305" s="559"/>
      <c r="N305" s="610"/>
      <c r="O305" s="613"/>
      <c r="P305" s="192"/>
      <c r="Q305" s="239"/>
      <c r="R305" s="221" t="s">
        <v>209</v>
      </c>
      <c r="S305" s="234" t="str">
        <f>IF(S303="","",S303/(J302*K302))</f>
        <v/>
      </c>
      <c r="T305" s="226"/>
      <c r="U305" s="206"/>
      <c r="V305" s="220"/>
      <c r="W305" s="239" t="str">
        <f>IFERROR(IF(X304="SI",VLOOKUP(D302,'BD M.O'!C:F,4,FALSE),""),"")</f>
        <v/>
      </c>
      <c r="X305" s="221" t="s">
        <v>258</v>
      </c>
      <c r="Y305" s="221" t="s">
        <v>507</v>
      </c>
      <c r="Z305" s="221" t="s">
        <v>508</v>
      </c>
      <c r="AA305" s="225"/>
      <c r="AB305" s="226"/>
      <c r="AC305" s="206"/>
      <c r="AD305" s="206"/>
      <c r="AE305" s="206"/>
      <c r="AF305" s="227"/>
      <c r="AG305" s="206"/>
      <c r="AH305" s="206"/>
      <c r="AI305" s="206"/>
      <c r="AJ305" s="206"/>
      <c r="AK305" s="227"/>
      <c r="AL305" s="240"/>
      <c r="AM305" s="206"/>
      <c r="AN305" s="206"/>
      <c r="AO305" s="228"/>
      <c r="AP305" s="229"/>
      <c r="AQ305" s="206"/>
      <c r="AR305" s="206"/>
      <c r="AS305" s="228"/>
      <c r="AT305" s="229"/>
      <c r="AU305" s="228"/>
      <c r="AV305" s="229"/>
      <c r="AW305" s="228"/>
      <c r="AX305" s="229"/>
      <c r="AY305" s="206"/>
      <c r="AZ305" s="229"/>
      <c r="BA305" s="210"/>
      <c r="BC305" s="175" t="s">
        <v>116</v>
      </c>
      <c r="BD305" s="210"/>
      <c r="BE305" s="177" t="str">
        <f>IFERROR(VLOOKUP(COTIZACIÓN!D302,'BD M.O'!C:I,5,FALSE),"")</f>
        <v/>
      </c>
      <c r="BF305" s="177" t="s">
        <v>260</v>
      </c>
      <c r="BI305" s="210"/>
      <c r="BO305" s="210"/>
      <c r="BP305" s="183"/>
      <c r="BQ305" s="183"/>
      <c r="BR305" s="183"/>
      <c r="BS305" s="183"/>
      <c r="BT305" s="183"/>
      <c r="BU305" s="183"/>
      <c r="BV305" s="182"/>
      <c r="BW305" s="210"/>
      <c r="BX305" s="183"/>
      <c r="BY305" s="183"/>
      <c r="BZ305" s="183"/>
      <c r="CA305" s="183"/>
      <c r="CB305" s="183"/>
      <c r="CC305" s="183"/>
      <c r="CD305" s="182"/>
      <c r="CE305" s="183"/>
      <c r="CF305" s="241"/>
      <c r="CG305" s="183"/>
      <c r="CH305" s="183"/>
      <c r="CI305" s="182"/>
      <c r="CJ305" s="210"/>
      <c r="CK305" s="563"/>
      <c r="CM305" s="559"/>
      <c r="CN305" s="627"/>
      <c r="CO305" s="630"/>
      <c r="CP305" s="630"/>
      <c r="CQ305" s="630"/>
      <c r="CR305" s="630"/>
      <c r="CS305" s="630"/>
      <c r="CT305" s="633"/>
      <c r="CU305" s="563"/>
      <c r="CV305" s="561"/>
      <c r="CW305" s="563"/>
      <c r="CX305" s="561"/>
      <c r="CY305" s="563"/>
      <c r="CZ305" s="561"/>
      <c r="DA305" s="563"/>
      <c r="DB305" s="561"/>
      <c r="DC305" s="563"/>
      <c r="DD305" s="561"/>
      <c r="DG305" s="575"/>
      <c r="DH305" s="575"/>
      <c r="DI305" s="569">
        <f t="shared" ref="DI305" si="1192">IFERROR(IF(DG305&gt;0,(((N302)/(1+10%+19%*5%)+((N302)/(1+10%+19%*5%))*10%)*DH305),0),0)</f>
        <v>0</v>
      </c>
      <c r="DJ305" s="569">
        <f t="shared" ref="DJ305" si="1193">IFERROR(IF(DG305&gt;0,(N302*DH305),0),0)</f>
        <v>0</v>
      </c>
      <c r="DK305" s="569">
        <f t="shared" ref="DK305" si="1194">IF(DG305&gt;0,((R302+T302)*DH305),0)</f>
        <v>0</v>
      </c>
      <c r="DL305" s="569">
        <f t="shared" ref="DL305" si="1195">IF(DG305&gt;0,(Q302*DH305),0)</f>
        <v>0</v>
      </c>
      <c r="DM305" s="572">
        <f t="shared" ref="DM305" si="1196">IF(DG305&gt;0,(S302*DH305),0)</f>
        <v>0</v>
      </c>
      <c r="DN305" s="569">
        <f t="shared" ref="DN305" si="1197">IF(DG305&gt;0,(BN302*DH305),0)</f>
        <v>0</v>
      </c>
      <c r="DO305" s="569">
        <f t="shared" ref="DO305" si="1198">IF(DG305&gt;0,(AF302*DH305),0)</f>
        <v>0</v>
      </c>
      <c r="DP305" s="569">
        <f>IF(DG305&gt;0,((DI305)*('BD P&amp;G'!$E$16+'BD P&amp;G'!$E$17+'BD P&amp;G'!$E$18+'BD P&amp;G'!$E$19+'BD P&amp;G'!$E$20+'BD P&amp;G'!$E$21+'BD P&amp;G'!$E$22+'BD P&amp;G'!$E$23)*DH305),0)</f>
        <v>0</v>
      </c>
      <c r="DQ305" s="569">
        <f>IFERROR(IF(DG305&gt;0,((DI305*'BD P&amp;G'!$E$7)+(DI305*'BD P&amp;G'!$E$9)+AI302),0),0)</f>
        <v>0</v>
      </c>
      <c r="DR305" s="569">
        <f t="shared" ref="DR305" si="1199">IFERROR(IF(DG305&gt;0,((DI305*1%)),0),0)</f>
        <v>0</v>
      </c>
      <c r="DS305" s="569">
        <f>IFERROR(IF(DG305&gt;0,(((DI305*'BD P&amp;G'!$E$32+DI305*'BD P&amp;G'!$E$33+DI305*'BD P&amp;G'!$E$35+DI305*'BD P&amp;G'!$E$36+DI305*'BD P&amp;G'!$E$37))),0),0)</f>
        <v>0</v>
      </c>
      <c r="DT305" s="569">
        <f t="shared" ref="DT305" si="1200">IF(DG305&gt;0,(Y302*DH305),0)</f>
        <v>0</v>
      </c>
      <c r="DU305" s="569">
        <f t="shared" ref="DU305" si="1201">IF(DG305&gt;0,(Z302*DH305),0)</f>
        <v>0</v>
      </c>
      <c r="DV305" s="575">
        <f t="shared" ref="DV305" si="1202">IF(DG305&gt;0,(Y306*DH305),0)</f>
        <v>0</v>
      </c>
      <c r="DW305" s="575">
        <f t="shared" ref="DW305" si="1203">IF(DG305&gt;0,(Z306*DH305),0)</f>
        <v>0</v>
      </c>
      <c r="DX305" s="569">
        <f t="shared" ref="DX305" si="1204">IF(DV305&gt;0,DJ305,0)</f>
        <v>0</v>
      </c>
      <c r="DY305" s="569">
        <f t="shared" ref="DY305" si="1205">IF(DW305&gt;0,DJ305,0)</f>
        <v>0</v>
      </c>
    </row>
    <row r="306" spans="1:194" s="175" customFormat="1" ht="60" customHeight="1" x14ac:dyDescent="0.3">
      <c r="A306" s="366"/>
      <c r="B306" s="367"/>
      <c r="C306" s="393" t="s">
        <v>35</v>
      </c>
      <c r="D306" s="599" t="str">
        <f>IFERROR(VLOOKUP(D302,'BD GN'!C:E,3,),"")</f>
        <v/>
      </c>
      <c r="E306" s="599"/>
      <c r="F306" s="599"/>
      <c r="G306" s="599"/>
      <c r="H306" s="599"/>
      <c r="I306" s="599"/>
      <c r="J306" s="604"/>
      <c r="K306" s="604"/>
      <c r="L306" s="607"/>
      <c r="M306" s="559"/>
      <c r="N306" s="610"/>
      <c r="O306" s="613"/>
      <c r="P306" s="192"/>
      <c r="Q306" s="239"/>
      <c r="R306" s="221" t="s">
        <v>210</v>
      </c>
      <c r="S306" s="234" t="str">
        <f>IFERROR(IF(N302="","",N302/W306),"")</f>
        <v/>
      </c>
      <c r="T306" s="226"/>
      <c r="U306" s="206"/>
      <c r="V306" s="220"/>
      <c r="W306" s="242" t="str">
        <f>+IF(J302*K302&gt;=1,J302*K302,IF(AND(J302*K302&gt;0,J302*K302&lt;1),1,""))</f>
        <v/>
      </c>
      <c r="X306" s="221" t="s">
        <v>298</v>
      </c>
      <c r="Y306" s="461">
        <f>IFERROR(IF(D302='BD GN'!$C$25,COTIZACIÓN!W306,IF(D302='BD GN'!$C$26,COTIZACIÓN!W306,IF(D302='BD GN'!$C$27,COTIZACIÓN!W306,IF(COTIZACIÓN!D302='BD GN'!$C$28,COTIZACIÓN!W306,IF(COTIZACIÓN!D302='BD GN'!$C$29,COTIZACIÓN!W306,IF(COTIZACIÓN!D302='BD GN'!$C$35,COTIZACIÓN!W306,IF(COTIZACIÓN!D302='BD GN'!$C$36,COTIZACIÓN!W306,IF(COTIZACIÓN!D302='BD GN'!$C$37,COTIZACIÓN!W306,IF(COTIZACIÓN!D302='BD GN'!$C$38,COTIZACIÓN!W306,IF(COTIZACIÓN!D302='BD GN'!$C$39,COTIZACIÓN!W306,IF(COTIZACIÓN!D302='BD GN'!$C$40,COTIZACIÓN!W306,IF(COTIZACIÓN!D302='BD GN'!$C$41,COTIZACIÓN!W306,IF(COTIZACIÓN!D302='BD GN'!$C$42,COTIZACIÓN!W306,IF(COTIZACIÓN!D302='BD GN'!$C$49,COTIZACIÓN!W306,IF(COTIZACIÓN!D302='BD GN'!$C$50,COTIZACIÓN!W306,IF(COTIZACIÓN!D302='BD GN'!$C$51,COTIZACIÓN!W306,IF(COTIZACIÓN!D302='BD GN'!$C$67,COTIZACIÓN!W306,0))))))))))))))))),0)</f>
        <v>0</v>
      </c>
      <c r="Z306" s="461">
        <f>IFERROR(W306-Y306,0)</f>
        <v>0</v>
      </c>
      <c r="AA306" s="225"/>
      <c r="AB306" s="226"/>
      <c r="AC306" s="206"/>
      <c r="AD306" s="206"/>
      <c r="AE306" s="206"/>
      <c r="AF306" s="227"/>
      <c r="AG306" s="206"/>
      <c r="AH306" s="206"/>
      <c r="AI306" s="206"/>
      <c r="AJ306" s="206"/>
      <c r="AK306" s="227"/>
      <c r="AL306" s="210"/>
      <c r="AM306" s="206"/>
      <c r="AN306" s="206"/>
      <c r="AO306" s="228"/>
      <c r="AP306" s="229"/>
      <c r="AQ306" s="206"/>
      <c r="AR306" s="206"/>
      <c r="AS306" s="228"/>
      <c r="AT306" s="229"/>
      <c r="AU306" s="228"/>
      <c r="AV306" s="229"/>
      <c r="AW306" s="228"/>
      <c r="AX306" s="229"/>
      <c r="AY306" s="206"/>
      <c r="AZ306" s="229"/>
      <c r="BA306" s="210"/>
      <c r="BC306" s="211" t="s">
        <v>117</v>
      </c>
      <c r="BD306" s="210"/>
      <c r="BE306" s="177" t="str">
        <f>IFERROR(VLOOKUP(D302,'BD M.O'!C:I,6,FALSE),"")</f>
        <v/>
      </c>
      <c r="BF306" s="177" t="s">
        <v>261</v>
      </c>
      <c r="BI306" s="210"/>
      <c r="BO306" s="210"/>
      <c r="BP306" s="183"/>
      <c r="BQ306" s="183"/>
      <c r="BR306" s="183"/>
      <c r="BW306" s="210"/>
      <c r="CD306" s="184"/>
      <c r="CF306" s="185"/>
      <c r="CI306" s="184"/>
      <c r="CJ306" s="210"/>
      <c r="CK306" s="563"/>
      <c r="CM306" s="559"/>
      <c r="CN306" s="627"/>
      <c r="CO306" s="630"/>
      <c r="CP306" s="630"/>
      <c r="CQ306" s="630"/>
      <c r="CR306" s="630"/>
      <c r="CS306" s="630"/>
      <c r="CT306" s="633"/>
      <c r="CU306" s="563"/>
      <c r="CV306" s="561"/>
      <c r="CW306" s="563"/>
      <c r="CX306" s="561"/>
      <c r="CY306" s="563"/>
      <c r="CZ306" s="561"/>
      <c r="DA306" s="563"/>
      <c r="DB306" s="561"/>
      <c r="DC306" s="563"/>
      <c r="DD306" s="561"/>
      <c r="DG306" s="576"/>
      <c r="DH306" s="576"/>
      <c r="DI306" s="570"/>
      <c r="DJ306" s="570"/>
      <c r="DK306" s="570"/>
      <c r="DL306" s="570"/>
      <c r="DM306" s="573"/>
      <c r="DN306" s="570"/>
      <c r="DO306" s="570"/>
      <c r="DP306" s="570"/>
      <c r="DQ306" s="570"/>
      <c r="DR306" s="570"/>
      <c r="DS306" s="570"/>
      <c r="DT306" s="570"/>
      <c r="DU306" s="570"/>
      <c r="DV306" s="576"/>
      <c r="DW306" s="576"/>
      <c r="DX306" s="570"/>
      <c r="DY306" s="570"/>
    </row>
    <row r="307" spans="1:194" s="252" customFormat="1" ht="60" customHeight="1" x14ac:dyDescent="0.25">
      <c r="A307" s="368"/>
      <c r="B307" s="369"/>
      <c r="C307" s="396" t="s">
        <v>10</v>
      </c>
      <c r="D307" s="645" t="s">
        <v>32</v>
      </c>
      <c r="E307" s="645"/>
      <c r="F307" s="645"/>
      <c r="G307" s="645"/>
      <c r="H307" s="645"/>
      <c r="I307" s="645"/>
      <c r="J307" s="643"/>
      <c r="K307" s="643"/>
      <c r="L307" s="646"/>
      <c r="M307" s="648"/>
      <c r="N307" s="649"/>
      <c r="O307" s="644"/>
      <c r="P307" s="192"/>
      <c r="Q307" s="239"/>
      <c r="R307" s="334" t="s">
        <v>475</v>
      </c>
      <c r="S307" s="234" t="str">
        <f>IFERROR(IF($C$12='BD GN'!$CC$1,VLOOKUP(COTIZACIÓN!D302,'BD GN'!CB:CG,2,FALSE),IF(COTIZACIÓN!$C$12='BD GN'!$CD$1,VLOOKUP(COTIZACIÓN!D302,'BD GN'!CB:CG,3,FALSE),IF($C$12='BD GN'!$CE$1,VLOOKUP(COTIZACIÓN!D302,'BD GN'!CB:CG,4,FALSE),IF(COTIZACIÓN!$C$12='BD GN'!$CF$1,VLOOKUP(COTIZACIÓN!D302,'BD GN'!CB:CG,5,FALSE),IF(COTIZACIÓN!$C$12='BD GN'!$CG$1,VLOOKUP(COTIZACIÓN!D302,'BD GN'!CB:CG,6,FALSE),""))))),"-")</f>
        <v/>
      </c>
      <c r="T307" s="243"/>
      <c r="U307" s="244"/>
      <c r="V307" s="245"/>
      <c r="W307" s="177" t="s">
        <v>394</v>
      </c>
      <c r="X307" s="246">
        <f>IFERROR(SUM(W302:X302),"")</f>
        <v>0</v>
      </c>
      <c r="Y307" s="166" t="s">
        <v>404</v>
      </c>
      <c r="Z307" s="199" t="str">
        <f>IFERROR(Y302+Z302,"")</f>
        <v/>
      </c>
      <c r="AA307" s="247"/>
      <c r="AB307" s="243"/>
      <c r="AC307" s="244"/>
      <c r="AD307" s="244"/>
      <c r="AE307" s="244"/>
      <c r="AF307" s="227"/>
      <c r="AG307" s="206"/>
      <c r="AH307" s="206"/>
      <c r="AI307" s="206"/>
      <c r="AJ307" s="206"/>
      <c r="AK307" s="227"/>
      <c r="AL307" s="227"/>
      <c r="AM307" s="248"/>
      <c r="AN307" s="248"/>
      <c r="AO307" s="249"/>
      <c r="AP307" s="250"/>
      <c r="AQ307" s="248"/>
      <c r="AR307" s="248"/>
      <c r="AS307" s="249"/>
      <c r="AT307" s="250"/>
      <c r="AU307" s="249"/>
      <c r="AV307" s="250"/>
      <c r="AW307" s="249"/>
      <c r="AX307" s="250"/>
      <c r="AY307" s="248"/>
      <c r="AZ307" s="250"/>
      <c r="BA307" s="210"/>
      <c r="BB307" s="175"/>
      <c r="BC307" s="175" t="s">
        <v>118</v>
      </c>
      <c r="BD307" s="210"/>
      <c r="BE307" s="251" t="str">
        <f>IFERROR(VLOOKUP(D302,'BD M.O'!C:I,7,FALSE),"")</f>
        <v/>
      </c>
      <c r="BF307" s="251" t="s">
        <v>262</v>
      </c>
      <c r="BG307" s="175"/>
      <c r="BH307" s="175"/>
      <c r="BI307" s="210"/>
      <c r="BJ307" s="175"/>
      <c r="BK307" s="175"/>
      <c r="BL307" s="175"/>
      <c r="BM307" s="175"/>
      <c r="BN307" s="175"/>
      <c r="BO307" s="210"/>
      <c r="BP307" s="175"/>
      <c r="BQ307" s="175"/>
      <c r="BR307" s="175"/>
      <c r="BS307" s="183"/>
      <c r="BT307" s="183"/>
      <c r="BU307" s="183"/>
      <c r="BV307" s="183"/>
      <c r="BW307" s="210"/>
      <c r="BX307" s="175"/>
      <c r="BY307" s="175"/>
      <c r="BZ307" s="175"/>
      <c r="CA307" s="175"/>
      <c r="CB307" s="175"/>
      <c r="CC307" s="175"/>
      <c r="CD307" s="184"/>
      <c r="CE307" s="175"/>
      <c r="CF307" s="185"/>
      <c r="CG307" s="175"/>
      <c r="CH307" s="175"/>
      <c r="CI307" s="184"/>
      <c r="CJ307" s="210"/>
      <c r="CK307" s="564"/>
      <c r="CL307" s="257"/>
      <c r="CM307" s="597"/>
      <c r="CN307" s="628"/>
      <c r="CO307" s="631"/>
      <c r="CP307" s="631"/>
      <c r="CQ307" s="631"/>
      <c r="CR307" s="631"/>
      <c r="CS307" s="631"/>
      <c r="CT307" s="634"/>
      <c r="CU307" s="564"/>
      <c r="CV307" s="562"/>
      <c r="CW307" s="564"/>
      <c r="CX307" s="562"/>
      <c r="CY307" s="564"/>
      <c r="CZ307" s="562"/>
      <c r="DA307" s="564"/>
      <c r="DB307" s="562"/>
      <c r="DC307" s="564"/>
      <c r="DD307" s="562"/>
      <c r="DE307" s="175"/>
      <c r="DF307" s="175"/>
      <c r="DG307" s="577"/>
      <c r="DH307" s="577"/>
      <c r="DI307" s="571"/>
      <c r="DJ307" s="571"/>
      <c r="DK307" s="571"/>
      <c r="DL307" s="571"/>
      <c r="DM307" s="574"/>
      <c r="DN307" s="571"/>
      <c r="DO307" s="571"/>
      <c r="DP307" s="571"/>
      <c r="DQ307" s="571"/>
      <c r="DR307" s="571"/>
      <c r="DS307" s="571"/>
      <c r="DT307" s="571"/>
      <c r="DU307" s="571"/>
      <c r="DV307" s="577"/>
      <c r="DW307" s="577"/>
      <c r="DX307" s="571"/>
      <c r="DY307" s="571"/>
      <c r="DZ307" s="175"/>
      <c r="EA307" s="175"/>
      <c r="EB307" s="175"/>
      <c r="EC307" s="175"/>
      <c r="ED307" s="175"/>
      <c r="EE307" s="175"/>
      <c r="EF307" s="175"/>
      <c r="EG307" s="175"/>
      <c r="EH307" s="175"/>
      <c r="EI307" s="175"/>
      <c r="EJ307" s="175"/>
      <c r="EK307" s="175"/>
      <c r="EL307" s="175"/>
      <c r="EM307" s="175"/>
      <c r="EN307" s="175"/>
      <c r="EO307" s="175"/>
      <c r="EP307" s="175"/>
      <c r="EQ307" s="175"/>
      <c r="ER307" s="175"/>
      <c r="ES307" s="175"/>
      <c r="ET307" s="175"/>
      <c r="EU307" s="175"/>
      <c r="EV307" s="175"/>
      <c r="EW307" s="175"/>
      <c r="EX307" s="175"/>
      <c r="EY307" s="175"/>
      <c r="EZ307" s="175"/>
      <c r="FA307" s="175"/>
      <c r="FB307" s="175"/>
      <c r="FC307" s="175"/>
      <c r="FD307" s="175"/>
      <c r="FE307" s="175"/>
      <c r="FF307" s="175"/>
      <c r="FG307" s="175"/>
      <c r="FH307" s="175"/>
      <c r="FI307" s="175"/>
      <c r="FJ307" s="175"/>
      <c r="FK307" s="175"/>
      <c r="FL307" s="175"/>
      <c r="FM307" s="175"/>
      <c r="FN307" s="175"/>
      <c r="FO307" s="175"/>
      <c r="FP307" s="175"/>
      <c r="FQ307" s="175"/>
      <c r="FR307" s="175"/>
      <c r="FS307" s="175"/>
      <c r="FT307" s="175"/>
      <c r="FU307" s="175"/>
      <c r="FV307" s="175"/>
      <c r="FW307" s="175"/>
      <c r="FX307" s="175"/>
      <c r="FY307" s="175"/>
      <c r="FZ307" s="175"/>
      <c r="GA307" s="175"/>
      <c r="GB307" s="175"/>
      <c r="GC307" s="175"/>
      <c r="GD307" s="175"/>
      <c r="GE307" s="175"/>
      <c r="GF307" s="175"/>
      <c r="GG307" s="175"/>
      <c r="GH307" s="175"/>
      <c r="GI307" s="175"/>
      <c r="GJ307" s="175"/>
      <c r="GK307" s="175"/>
      <c r="GL307" s="175"/>
    </row>
    <row r="308" spans="1:194" s="255" customFormat="1" ht="60" customHeight="1" x14ac:dyDescent="0.3">
      <c r="A308" s="362" t="s">
        <v>193</v>
      </c>
      <c r="B308" s="363" t="s">
        <v>25</v>
      </c>
      <c r="C308" s="391" t="s">
        <v>174</v>
      </c>
      <c r="D308" s="640" t="s">
        <v>173</v>
      </c>
      <c r="E308" s="640"/>
      <c r="F308" s="640"/>
      <c r="G308" s="640"/>
      <c r="H308" s="640"/>
      <c r="I308" s="640"/>
      <c r="J308" s="418" t="s">
        <v>443</v>
      </c>
      <c r="K308" s="418" t="s">
        <v>444</v>
      </c>
      <c r="L308" s="418" t="s">
        <v>171</v>
      </c>
      <c r="M308" s="363" t="s">
        <v>2</v>
      </c>
      <c r="N308" s="419" t="s">
        <v>7</v>
      </c>
      <c r="O308" s="420" t="s">
        <v>8</v>
      </c>
      <c r="P308" s="159"/>
      <c r="Q308" s="164" t="s">
        <v>93</v>
      </c>
      <c r="R308" s="164" t="s">
        <v>34</v>
      </c>
      <c r="S308" s="164" t="s">
        <v>28</v>
      </c>
      <c r="T308" s="164" t="s">
        <v>95</v>
      </c>
      <c r="U308" s="164" t="s">
        <v>96</v>
      </c>
      <c r="V308" s="164" t="s">
        <v>97</v>
      </c>
      <c r="W308" s="164" t="s">
        <v>4</v>
      </c>
      <c r="X308" s="164" t="s">
        <v>103</v>
      </c>
      <c r="Y308" s="160" t="s">
        <v>402</v>
      </c>
      <c r="Z308" s="165" t="s">
        <v>403</v>
      </c>
      <c r="AA308" s="166" t="s">
        <v>404</v>
      </c>
      <c r="AB308" s="164" t="s">
        <v>99</v>
      </c>
      <c r="AC308" s="164" t="s">
        <v>395</v>
      </c>
      <c r="AD308" s="253" t="s">
        <v>36</v>
      </c>
      <c r="AE308" s="164" t="s">
        <v>389</v>
      </c>
      <c r="AF308" s="164" t="s">
        <v>390</v>
      </c>
      <c r="AG308" s="164" t="s">
        <v>164</v>
      </c>
      <c r="AH308" s="253" t="s">
        <v>396</v>
      </c>
      <c r="AI308" s="164" t="s">
        <v>190</v>
      </c>
      <c r="AJ308" s="164" t="s">
        <v>339</v>
      </c>
      <c r="AK308" s="253" t="s">
        <v>391</v>
      </c>
      <c r="AL308" s="253" t="s">
        <v>393</v>
      </c>
      <c r="AM308" s="167" t="s">
        <v>93</v>
      </c>
      <c r="AN308" s="168" t="s">
        <v>34</v>
      </c>
      <c r="AO308" s="169" t="s">
        <v>28</v>
      </c>
      <c r="AP308" s="170" t="s">
        <v>95</v>
      </c>
      <c r="AQ308" s="167" t="s">
        <v>3</v>
      </c>
      <c r="AR308" s="167" t="s">
        <v>96</v>
      </c>
      <c r="AS308" s="169" t="s">
        <v>97</v>
      </c>
      <c r="AT308" s="170" t="s">
        <v>4</v>
      </c>
      <c r="AU308" s="169" t="s">
        <v>103</v>
      </c>
      <c r="AV308" s="170" t="s">
        <v>99</v>
      </c>
      <c r="AW308" s="169" t="s">
        <v>36</v>
      </c>
      <c r="AX308" s="171" t="s">
        <v>29</v>
      </c>
      <c r="AY308" s="172" t="s">
        <v>190</v>
      </c>
      <c r="AZ308" s="173" t="s">
        <v>102</v>
      </c>
      <c r="BA308" s="174"/>
      <c r="BB308" s="183"/>
      <c r="BC308" s="211" t="s">
        <v>119</v>
      </c>
      <c r="BD308" s="174"/>
      <c r="BE308" s="176" t="s">
        <v>189</v>
      </c>
      <c r="BF308" s="177" t="str">
        <f>$BF$13</f>
        <v xml:space="preserve">VR SILICONA </v>
      </c>
      <c r="BG308" s="177" t="str">
        <f>$BG$13</f>
        <v xml:space="preserve">VR PELÍCULA </v>
      </c>
      <c r="BH308" s="254" t="str">
        <f>$BH$13</f>
        <v>VR EMBALAJE</v>
      </c>
      <c r="BI308" s="174"/>
      <c r="BJ308" s="176" t="str">
        <f>$BJ$13</f>
        <v>ESP. CRISTAL</v>
      </c>
      <c r="BK308" s="176" t="s">
        <v>130</v>
      </c>
      <c r="BL308" s="177" t="s">
        <v>28</v>
      </c>
      <c r="BM308" s="177" t="str">
        <f>BM301</f>
        <v>TOTAL</v>
      </c>
      <c r="BN308" s="177" t="s">
        <v>133</v>
      </c>
      <c r="BO308" s="174"/>
      <c r="BP308" s="175"/>
      <c r="BQ308" s="175"/>
      <c r="BR308" s="175"/>
      <c r="BS308" s="175"/>
      <c r="BT308" s="175"/>
      <c r="BU308" s="175"/>
      <c r="BV308" s="175"/>
      <c r="BW308" s="174"/>
      <c r="BX308" s="175"/>
      <c r="BY308" s="175"/>
      <c r="BZ308" s="175"/>
      <c r="CA308" s="175"/>
      <c r="CB308" s="175"/>
      <c r="CC308" s="175"/>
      <c r="CD308" s="184"/>
      <c r="CE308" s="175"/>
      <c r="CF308" s="185"/>
      <c r="CG308" s="175"/>
      <c r="CH308" s="175"/>
      <c r="CI308" s="184"/>
      <c r="CJ308" s="174"/>
      <c r="CK308" s="186" t="s">
        <v>415</v>
      </c>
      <c r="CL308" s="187" t="s">
        <v>417</v>
      </c>
      <c r="CM308" s="187" t="s">
        <v>416</v>
      </c>
      <c r="CN308" s="188" t="s">
        <v>418</v>
      </c>
      <c r="CO308" s="187" t="s">
        <v>417</v>
      </c>
      <c r="CP308" s="187" t="s">
        <v>409</v>
      </c>
      <c r="CQ308" s="187" t="s">
        <v>410</v>
      </c>
      <c r="CR308" s="187" t="s">
        <v>411</v>
      </c>
      <c r="CS308" s="187" t="s">
        <v>412</v>
      </c>
      <c r="CT308" s="187" t="s">
        <v>413</v>
      </c>
      <c r="CU308" s="189" t="s">
        <v>2</v>
      </c>
      <c r="CV308" s="190" t="s">
        <v>159</v>
      </c>
      <c r="CW308" s="189" t="s">
        <v>2</v>
      </c>
      <c r="CX308" s="190" t="s">
        <v>159</v>
      </c>
      <c r="CY308" s="189" t="s">
        <v>2</v>
      </c>
      <c r="CZ308" s="190" t="s">
        <v>159</v>
      </c>
      <c r="DA308" s="189" t="s">
        <v>2</v>
      </c>
      <c r="DB308" s="190" t="s">
        <v>159</v>
      </c>
      <c r="DC308" s="189" t="s">
        <v>2</v>
      </c>
      <c r="DD308" s="190" t="s">
        <v>159</v>
      </c>
      <c r="DE308" s="183"/>
      <c r="DF308" s="183"/>
      <c r="DG308" s="177" t="s">
        <v>505</v>
      </c>
      <c r="DH308" s="472" t="s">
        <v>509</v>
      </c>
      <c r="DI308" s="457" t="s">
        <v>506</v>
      </c>
      <c r="DJ308" s="457" t="s">
        <v>134</v>
      </c>
      <c r="DK308" s="457" t="s">
        <v>498</v>
      </c>
      <c r="DL308" s="457" t="s">
        <v>499</v>
      </c>
      <c r="DM308" s="457" t="s">
        <v>500</v>
      </c>
      <c r="DN308" s="457" t="s">
        <v>131</v>
      </c>
      <c r="DO308" s="457" t="s">
        <v>390</v>
      </c>
      <c r="DP308" s="457" t="s">
        <v>36</v>
      </c>
      <c r="DQ308" s="457" t="s">
        <v>501</v>
      </c>
      <c r="DR308" s="457" t="s">
        <v>502</v>
      </c>
      <c r="DS308" s="457" t="s">
        <v>503</v>
      </c>
      <c r="DT308" s="457" t="s">
        <v>4</v>
      </c>
      <c r="DU308" s="457" t="s">
        <v>504</v>
      </c>
      <c r="DV308" s="466" t="s">
        <v>507</v>
      </c>
      <c r="DW308" s="466" t="s">
        <v>508</v>
      </c>
      <c r="DX308" s="457" t="s">
        <v>510</v>
      </c>
      <c r="DY308" s="457" t="s">
        <v>511</v>
      </c>
      <c r="DZ308" s="183"/>
      <c r="EA308" s="183"/>
      <c r="EB308" s="183"/>
      <c r="EC308" s="183"/>
      <c r="ED308" s="183"/>
      <c r="EE308" s="183"/>
      <c r="EF308" s="183"/>
      <c r="EG308" s="183"/>
      <c r="EH308" s="183"/>
      <c r="EI308" s="183"/>
      <c r="EJ308" s="183"/>
      <c r="EK308" s="183"/>
      <c r="EL308" s="183"/>
      <c r="EM308" s="183"/>
      <c r="EN308" s="183"/>
      <c r="EO308" s="183"/>
      <c r="EP308" s="183"/>
      <c r="EQ308" s="183"/>
      <c r="ER308" s="183"/>
      <c r="ES308" s="183"/>
      <c r="ET308" s="183"/>
      <c r="EU308" s="183"/>
      <c r="EV308" s="183"/>
      <c r="EW308" s="183"/>
      <c r="EX308" s="183"/>
      <c r="EY308" s="183"/>
      <c r="EZ308" s="183"/>
      <c r="FA308" s="183"/>
      <c r="FB308" s="183"/>
      <c r="FC308" s="183"/>
      <c r="FD308" s="183"/>
      <c r="FE308" s="183"/>
      <c r="FF308" s="183"/>
      <c r="FG308" s="183"/>
      <c r="FH308" s="183"/>
      <c r="FI308" s="183"/>
      <c r="FJ308" s="183"/>
      <c r="FK308" s="183"/>
      <c r="FL308" s="183"/>
      <c r="FM308" s="183"/>
      <c r="FN308" s="183"/>
      <c r="FO308" s="183"/>
      <c r="FP308" s="183"/>
      <c r="FQ308" s="183"/>
      <c r="FR308" s="183"/>
      <c r="FS308" s="183"/>
      <c r="FT308" s="183"/>
      <c r="FU308" s="183"/>
      <c r="FV308" s="183"/>
      <c r="FW308" s="183"/>
      <c r="FX308" s="183"/>
      <c r="FY308" s="183"/>
      <c r="FZ308" s="183"/>
      <c r="GA308" s="183"/>
      <c r="GB308" s="183"/>
      <c r="GC308" s="183"/>
      <c r="GD308" s="183"/>
      <c r="GE308" s="183"/>
      <c r="GF308" s="183"/>
      <c r="GG308" s="183"/>
      <c r="GH308" s="183"/>
      <c r="GI308" s="183"/>
      <c r="GJ308" s="183"/>
      <c r="GK308" s="183"/>
      <c r="GL308" s="183"/>
    </row>
    <row r="309" spans="1:194" s="175" customFormat="1" ht="60" customHeight="1" x14ac:dyDescent="0.3">
      <c r="A309" s="364"/>
      <c r="B309" s="365"/>
      <c r="C309" s="392" t="s">
        <v>27</v>
      </c>
      <c r="D309" s="641"/>
      <c r="E309" s="641"/>
      <c r="F309" s="641"/>
      <c r="G309" s="641"/>
      <c r="H309" s="641"/>
      <c r="I309" s="641"/>
      <c r="J309" s="642"/>
      <c r="K309" s="642"/>
      <c r="L309" s="622">
        <f>J309*K309*M309</f>
        <v>0</v>
      </c>
      <c r="M309" s="623"/>
      <c r="N309" s="620">
        <f>IFERROR(AL309,"")</f>
        <v>1.0765546639999999</v>
      </c>
      <c r="O309" s="621">
        <f>IFERROR(N309*M309,"")</f>
        <v>0</v>
      </c>
      <c r="P309" s="192"/>
      <c r="Q309" s="193">
        <f>Q310+BF309+($R$350*Q310)</f>
        <v>0</v>
      </c>
      <c r="R309" s="193">
        <f>IFERROR(R310+($R$348*R310),"")</f>
        <v>0</v>
      </c>
      <c r="S309" s="194">
        <f>+IF(R311="SI",((W313*'BD GN'!$AB$2)+S310)*1,COTIZACIÓN!S310*1)+(P310*S310)</f>
        <v>0</v>
      </c>
      <c r="T309" s="195">
        <f>IFERROR(R309*IF(K309&lt;=3,$T$13,15%),"")</f>
        <v>0</v>
      </c>
      <c r="U309" s="196">
        <f>BH309+BG309</f>
        <v>0</v>
      </c>
      <c r="V309" s="197" t="str">
        <f>IFERROR(BN309,0)</f>
        <v/>
      </c>
      <c r="W309" s="198" t="str">
        <f>IFERROR(IF(X311="SI",W312*J309*K309,IF(BE309=3,BE311,IF(BE309=4,BE312,IF(BE309=5,BE313,IF(BE309&gt;5,BE313+(BE314*(BE309-5)),"")))))*0,"")</f>
        <v/>
      </c>
      <c r="X309" s="198" t="str">
        <f>IFERROR(IF(X310="NO",(VLOOKUP(D309,'BD M.O'!C:E,3,FALSE))*W313,((VLOOKUP(D309,'BD M.O'!C:E,3,FALSE))+7500)*W313),"")</f>
        <v/>
      </c>
      <c r="Y309" s="198">
        <f>IFERROR($Y$13*AK309,"")</f>
        <v>4.2084457416288003E-2</v>
      </c>
      <c r="Z309" s="332" t="str">
        <f>IFERROR(($Z$13*AK309)+X309,"")</f>
        <v/>
      </c>
      <c r="AA309" s="199" t="str">
        <f>IFERROR(Y309+Z309,"")</f>
        <v/>
      </c>
      <c r="AB309" s="200">
        <f>IFERROR((SUM(Q309:X309)-T309+T311)*$AB$13,"")</f>
        <v>0</v>
      </c>
      <c r="AC309" s="201">
        <f>IFERROR(((SUM(Q309:V309,IF(X314&gt;AA309,AVERAGE(X314,AA309),AA309))-T309+T311))*$AB$13,"")</f>
        <v>0</v>
      </c>
      <c r="AD309" s="202" t="str">
        <f>IFERROR((J309*K309*$BV$14),"")</f>
        <v/>
      </c>
      <c r="AE309" s="202">
        <f>IFERROR($AE$13*AK309,"")</f>
        <v>6.4010592649919984E-2</v>
      </c>
      <c r="AF309" s="203" t="str">
        <f>IFERROR(($CI$11+$CI$13)*W313,"")</f>
        <v/>
      </c>
      <c r="AG309" s="202">
        <f>IFERROR((SUM(Q309:X309,AB309,AD309,AF309)-T309+T311)*$AG$13,"")</f>
        <v>0</v>
      </c>
      <c r="AH309" s="202">
        <f>IFERROR((SUM(Q309:V309,(IF(X314&gt;AA309,AVERAGE(X314,AA309),AA309)),AC309,AE309,AF309)-T309+T311)*$AG$13,"")</f>
        <v>3.2005296324959992E-2</v>
      </c>
      <c r="AI309" s="204">
        <f>IFERROR(AL309*$AI$13,"")</f>
        <v>2.1531093279999997E-2</v>
      </c>
      <c r="AJ309" s="204">
        <f>IFERROR($AJ$13*AL309,"")</f>
        <v>6.007175025119999E-3</v>
      </c>
      <c r="AK309" s="205">
        <f>IFERROR(SUM(Q309:X309,AB309,AD309,AG309,AF309)/(1-$AI$13)+(1-$AJ$13)-T309+T311,"")</f>
        <v>0.99441999999999997</v>
      </c>
      <c r="AL309" s="205">
        <f>IFERROR(SUM(Q309:V309,AC309,(IF(AD309&gt;AE309,AVERAGE(AD309,AE309),AE309)),AF309,,AH309,(IF(SUM(X314)&gt;AA309,AVERAGE(AA309,X314),AA309)))/(1-$AJ$13)+(1-$AI$13)-T309+T311,"")</f>
        <v>1.0765546639999999</v>
      </c>
      <c r="AM309" s="206">
        <f>$M$15*Q309</f>
        <v>0</v>
      </c>
      <c r="AN309" s="207">
        <f>$M$15*R309</f>
        <v>0</v>
      </c>
      <c r="AO309" s="208">
        <f>$M$15*S309</f>
        <v>0</v>
      </c>
      <c r="AP309" s="207">
        <f>$M$15*T309</f>
        <v>0</v>
      </c>
      <c r="AQ309" s="207" t="e">
        <f>$M$15*#REF!</f>
        <v>#REF!</v>
      </c>
      <c r="AR309" s="207">
        <f>$M$15*U309</f>
        <v>0</v>
      </c>
      <c r="AS309" s="208" t="e">
        <f>$M$15*V309</f>
        <v>#VALUE!</v>
      </c>
      <c r="AT309" s="207" t="e">
        <f>$M$15*W309</f>
        <v>#VALUE!</v>
      </c>
      <c r="AU309" s="208" t="e">
        <f>$M$15*X309</f>
        <v>#VALUE!</v>
      </c>
      <c r="AV309" s="207">
        <f>$M$15*AB309</f>
        <v>0</v>
      </c>
      <c r="AW309" s="208">
        <f>$M$15*AE309</f>
        <v>0</v>
      </c>
      <c r="AX309" s="207">
        <f>$M$15*AG309</f>
        <v>0</v>
      </c>
      <c r="AY309" s="209">
        <f>$M$15*AI309</f>
        <v>0</v>
      </c>
      <c r="AZ309" s="207">
        <f>$M$15*AK309</f>
        <v>0</v>
      </c>
      <c r="BA309" s="210"/>
      <c r="BB309" s="175" t="s">
        <v>23</v>
      </c>
      <c r="BC309" s="211" t="s">
        <v>113</v>
      </c>
      <c r="BD309" s="210"/>
      <c r="BE309" s="212"/>
      <c r="BF309" s="213">
        <f>IF(BH310="NO",((2*J309)+(2*K309))*'BD GN'!$AU$3,((3*J309)+(2*K309))*'BD GN'!$AU$3)</f>
        <v>0</v>
      </c>
      <c r="BG309" s="213">
        <f>'BD GN'!$BB$3*J309*K309</f>
        <v>0</v>
      </c>
      <c r="BH309" s="214">
        <f>((J309*2*BE309)+(K309*2*BE309))*'BD GN'!$AN$4</f>
        <v>0</v>
      </c>
      <c r="BI309" s="210"/>
      <c r="BJ309" s="212"/>
      <c r="BK309" s="212"/>
      <c r="BL309" s="215">
        <f>J309*K309*2.5*BJ309</f>
        <v>0</v>
      </c>
      <c r="BM309" s="215">
        <f>BK309+BL309</f>
        <v>0</v>
      </c>
      <c r="BN309" s="216" t="str">
        <f>IFERROR((VLOOKUP($C$12,'BD GN'!BD:BM,10,FALSE)*BM309)+$BR$338,"")</f>
        <v/>
      </c>
      <c r="BO309" s="210"/>
      <c r="BW309" s="210"/>
      <c r="CD309" s="184"/>
      <c r="CF309" s="185"/>
      <c r="CI309" s="184"/>
      <c r="CJ309" s="210"/>
      <c r="CK309" s="565"/>
      <c r="CL309" s="256"/>
      <c r="CM309" s="596"/>
      <c r="CN309" s="626"/>
      <c r="CO309" s="629"/>
      <c r="CP309" s="629"/>
      <c r="CQ309" s="629"/>
      <c r="CR309" s="629"/>
      <c r="CS309" s="629"/>
      <c r="CT309" s="632"/>
      <c r="CU309" s="565"/>
      <c r="CV309" s="560">
        <f>IFERROR(N309*CU309,"")</f>
        <v>0</v>
      </c>
      <c r="CW309" s="565"/>
      <c r="CX309" s="560">
        <f>IFERROR(P309*CW309,"")</f>
        <v>0</v>
      </c>
      <c r="CY309" s="565"/>
      <c r="CZ309" s="560">
        <f>IFERROR(R309*CY309,"")</f>
        <v>0</v>
      </c>
      <c r="DA309" s="565">
        <f t="shared" ref="DA309" si="1206">CU309+CW309+CY309</f>
        <v>0</v>
      </c>
      <c r="DB309" s="560">
        <f t="shared" ref="DB309" si="1207">IFERROR(CV309+CX309+CZ309,"")</f>
        <v>0</v>
      </c>
      <c r="DC309" s="565">
        <f>M309-(CU309+CW309+CY309)</f>
        <v>0</v>
      </c>
      <c r="DD309" s="560">
        <f>IFERROR(O309-(CV309+CX309+CZ309),"")</f>
        <v>0</v>
      </c>
      <c r="DG309" s="575"/>
      <c r="DH309" s="575"/>
      <c r="DI309" s="569">
        <f t="shared" ref="DI309" si="1208">IFERROR(IF(DG309&gt;0,(((N309)/(1+10%+19%*5%)+((N309)/(1+10%+19%*5%))*10%)*DH309),0),0)</f>
        <v>0</v>
      </c>
      <c r="DJ309" s="569">
        <f t="shared" ref="DJ309" si="1209">IFERROR(IF(DG309&gt;0,(N309*DH309),0),0)</f>
        <v>0</v>
      </c>
      <c r="DK309" s="569">
        <f t="shared" ref="DK309" si="1210">IF(DG309&gt;0,((R309+T309)*DH309),0)</f>
        <v>0</v>
      </c>
      <c r="DL309" s="569">
        <f t="shared" ref="DL309" si="1211">IF(DG309&gt;0,(Q309*DH309),0)</f>
        <v>0</v>
      </c>
      <c r="DM309" s="572">
        <f t="shared" ref="DM309" si="1212">IF(DG309&gt;0,(S309*DH309),0)</f>
        <v>0</v>
      </c>
      <c r="DN309" s="569">
        <f t="shared" ref="DN309" si="1213">IF(DG309&gt;0,(BN309*DH309),0)</f>
        <v>0</v>
      </c>
      <c r="DO309" s="569">
        <f t="shared" ref="DO309" si="1214">IF(DG309&gt;0,(AF309*DH309),0)</f>
        <v>0</v>
      </c>
      <c r="DP309" s="569">
        <f>IF(DG309&gt;0,((DI309)*('BD P&amp;G'!$E$16+'BD P&amp;G'!$E$17+'BD P&amp;G'!$E$18+'BD P&amp;G'!$E$19+'BD P&amp;G'!$E$20+'BD P&amp;G'!$E$21+'BD P&amp;G'!$E$22+'BD P&amp;G'!$E$23)*DH309),0)</f>
        <v>0</v>
      </c>
      <c r="DQ309" s="569">
        <f>IFERROR(IF(DG309&gt;0,((DI309*'BD P&amp;G'!$E$7)+(DI309*'BD P&amp;G'!$E$9)+AI309),0),0)</f>
        <v>0</v>
      </c>
      <c r="DR309" s="569">
        <f t="shared" ref="DR309" si="1215">IFERROR(IF(DG309&gt;0,((DI309*1%)),0),0)</f>
        <v>0</v>
      </c>
      <c r="DS309" s="569">
        <f>IFERROR(IF(DG309&gt;0,(((DI309*'BD P&amp;G'!$E$32+DI309*'BD P&amp;G'!$E$33+DI309*'BD P&amp;G'!$E$35+DI309*'BD P&amp;G'!$E$36+DI309*'BD P&amp;G'!$E$37))),0),0)</f>
        <v>0</v>
      </c>
      <c r="DT309" s="569">
        <f t="shared" ref="DT309" si="1216">IF(DG309&gt;0,(Y309*DH309),0)</f>
        <v>0</v>
      </c>
      <c r="DU309" s="569">
        <f t="shared" ref="DU309" si="1217">IF(DG309&gt;0,(Z309*DH309),0)</f>
        <v>0</v>
      </c>
      <c r="DV309" s="575">
        <f t="shared" ref="DV309" si="1218">IF(DG309&gt;0,(Y313*DH309),0)</f>
        <v>0</v>
      </c>
      <c r="DW309" s="575">
        <f t="shared" ref="DW309" si="1219">IF(DG309&gt;0,(Z313*DH309),0)</f>
        <v>0</v>
      </c>
      <c r="DX309" s="569">
        <f t="shared" ref="DX309" si="1220">IF(DV309&gt;0,DJ309,0)</f>
        <v>0</v>
      </c>
      <c r="DY309" s="569">
        <f t="shared" ref="DY309" si="1221">IF(DW309&gt;0,DJ309,0)</f>
        <v>0</v>
      </c>
    </row>
    <row r="310" spans="1:194" s="175" customFormat="1" ht="60" customHeight="1" x14ac:dyDescent="0.25">
      <c r="A310" s="366"/>
      <c r="B310" s="367"/>
      <c r="C310" s="393" t="s">
        <v>28</v>
      </c>
      <c r="D310" s="598"/>
      <c r="E310" s="598"/>
      <c r="F310" s="598"/>
      <c r="G310" s="598"/>
      <c r="H310" s="598"/>
      <c r="I310" s="598"/>
      <c r="J310" s="604"/>
      <c r="K310" s="604"/>
      <c r="L310" s="607"/>
      <c r="M310" s="559"/>
      <c r="N310" s="610"/>
      <c r="O310" s="613"/>
      <c r="P310" s="192"/>
      <c r="Q310" s="217"/>
      <c r="R310" s="217"/>
      <c r="S310" s="218"/>
      <c r="T310" s="219">
        <f>IFERROR(T309/$R$353,"")</f>
        <v>0</v>
      </c>
      <c r="U310" s="206"/>
      <c r="V310" s="220"/>
      <c r="W310" s="221" t="s">
        <v>239</v>
      </c>
      <c r="X310" s="222" t="s">
        <v>204</v>
      </c>
      <c r="Y310" s="223"/>
      <c r="Z310" s="224"/>
      <c r="AA310" s="225"/>
      <c r="AB310" s="226"/>
      <c r="AC310" s="206"/>
      <c r="AD310" s="206"/>
      <c r="AE310" s="206"/>
      <c r="AF310" s="227"/>
      <c r="AG310" s="206"/>
      <c r="AH310" s="206"/>
      <c r="AI310" s="206"/>
      <c r="AJ310" s="206"/>
      <c r="AK310" s="227"/>
      <c r="AL310" s="210"/>
      <c r="AM310" s="206"/>
      <c r="AN310" s="206"/>
      <c r="AO310" s="228"/>
      <c r="AP310" s="229"/>
      <c r="AQ310" s="206"/>
      <c r="AR310" s="206"/>
      <c r="AS310" s="228"/>
      <c r="AT310" s="229"/>
      <c r="AU310" s="228"/>
      <c r="AV310" s="229"/>
      <c r="AW310" s="228"/>
      <c r="AX310" s="229"/>
      <c r="AY310" s="206"/>
      <c r="AZ310" s="229"/>
      <c r="BA310" s="210"/>
      <c r="BB310" s="175" t="s">
        <v>24</v>
      </c>
      <c r="BC310" s="175" t="s">
        <v>114</v>
      </c>
      <c r="BD310" s="210"/>
      <c r="BE310" s="176" t="s">
        <v>206</v>
      </c>
      <c r="BF310" s="230" t="s">
        <v>204</v>
      </c>
      <c r="BG310" s="176" t="s">
        <v>290</v>
      </c>
      <c r="BH310" s="231" t="s">
        <v>204</v>
      </c>
      <c r="BI310" s="210"/>
      <c r="BN310" s="232"/>
      <c r="BO310" s="210"/>
      <c r="BV310" s="184"/>
      <c r="BW310" s="210"/>
      <c r="CD310" s="184"/>
      <c r="CF310" s="185"/>
      <c r="CI310" s="184"/>
      <c r="CJ310" s="210"/>
      <c r="CK310" s="563"/>
      <c r="CM310" s="559"/>
      <c r="CN310" s="627"/>
      <c r="CO310" s="630"/>
      <c r="CP310" s="630"/>
      <c r="CQ310" s="630"/>
      <c r="CR310" s="630"/>
      <c r="CS310" s="630"/>
      <c r="CT310" s="633"/>
      <c r="CU310" s="563"/>
      <c r="CV310" s="561"/>
      <c r="CW310" s="563"/>
      <c r="CX310" s="561"/>
      <c r="CY310" s="563"/>
      <c r="CZ310" s="561"/>
      <c r="DA310" s="563"/>
      <c r="DB310" s="561"/>
      <c r="DC310" s="563"/>
      <c r="DD310" s="561"/>
      <c r="DG310" s="576"/>
      <c r="DH310" s="576"/>
      <c r="DI310" s="570"/>
      <c r="DJ310" s="570"/>
      <c r="DK310" s="570"/>
      <c r="DL310" s="570"/>
      <c r="DM310" s="573"/>
      <c r="DN310" s="570"/>
      <c r="DO310" s="570"/>
      <c r="DP310" s="570"/>
      <c r="DQ310" s="570"/>
      <c r="DR310" s="570"/>
      <c r="DS310" s="570"/>
      <c r="DT310" s="570"/>
      <c r="DU310" s="570"/>
      <c r="DV310" s="576"/>
      <c r="DW310" s="576"/>
      <c r="DX310" s="570"/>
      <c r="DY310" s="570"/>
    </row>
    <row r="311" spans="1:194" s="175" customFormat="1" ht="60" customHeight="1" x14ac:dyDescent="0.3">
      <c r="A311" s="366"/>
      <c r="B311" s="367"/>
      <c r="C311" s="393" t="s">
        <v>30</v>
      </c>
      <c r="D311" s="599"/>
      <c r="E311" s="599"/>
      <c r="F311" s="599"/>
      <c r="G311" s="599"/>
      <c r="H311" s="599"/>
      <c r="I311" s="599"/>
      <c r="J311" s="604"/>
      <c r="K311" s="604"/>
      <c r="L311" s="607"/>
      <c r="M311" s="559"/>
      <c r="N311" s="610"/>
      <c r="O311" s="613"/>
      <c r="P311" s="192"/>
      <c r="Q311" s="176" t="s">
        <v>205</v>
      </c>
      <c r="R311" s="233" t="s">
        <v>204</v>
      </c>
      <c r="S311" s="234"/>
      <c r="T311" s="235">
        <f>IFERROR(($R$353-8000)*T310,"")</f>
        <v>0</v>
      </c>
      <c r="U311" s="206"/>
      <c r="V311" s="220"/>
      <c r="W311" s="221" t="s">
        <v>258</v>
      </c>
      <c r="X311" s="222" t="s">
        <v>204</v>
      </c>
      <c r="Y311" s="236"/>
      <c r="Z311" s="237"/>
      <c r="AA311" s="225"/>
      <c r="AB311" s="226"/>
      <c r="AC311" s="206"/>
      <c r="AD311" s="206"/>
      <c r="AE311" s="206"/>
      <c r="AF311" s="227"/>
      <c r="AG311" s="206"/>
      <c r="AH311" s="206"/>
      <c r="AI311" s="206"/>
      <c r="AJ311" s="206"/>
      <c r="AK311" s="227"/>
      <c r="AL311" s="238"/>
      <c r="AM311" s="206"/>
      <c r="AN311" s="206"/>
      <c r="AO311" s="228"/>
      <c r="AP311" s="229"/>
      <c r="AQ311" s="206"/>
      <c r="AR311" s="206"/>
      <c r="AS311" s="228"/>
      <c r="AT311" s="229"/>
      <c r="AU311" s="228"/>
      <c r="AV311" s="229"/>
      <c r="AW311" s="228"/>
      <c r="AX311" s="229"/>
      <c r="AY311" s="206"/>
      <c r="AZ311" s="229"/>
      <c r="BA311" s="210"/>
      <c r="BB311" s="175" t="s">
        <v>26</v>
      </c>
      <c r="BC311" s="211" t="s">
        <v>115</v>
      </c>
      <c r="BD311" s="210"/>
      <c r="BE311" s="177" t="str">
        <f>IFERROR(VLOOKUP(D309,'BD M.O'!C:H,4,FALSE),"")</f>
        <v/>
      </c>
      <c r="BF311" s="177" t="s">
        <v>259</v>
      </c>
      <c r="BI311" s="210"/>
      <c r="BO311" s="210"/>
      <c r="BV311" s="184"/>
      <c r="BW311" s="210"/>
      <c r="CD311" s="184"/>
      <c r="CF311" s="185"/>
      <c r="CI311" s="184"/>
      <c r="CJ311" s="210"/>
      <c r="CK311" s="563"/>
      <c r="CM311" s="559"/>
      <c r="CN311" s="627"/>
      <c r="CO311" s="630"/>
      <c r="CP311" s="630"/>
      <c r="CQ311" s="630"/>
      <c r="CR311" s="630"/>
      <c r="CS311" s="630"/>
      <c r="CT311" s="633"/>
      <c r="CU311" s="563"/>
      <c r="CV311" s="561"/>
      <c r="CW311" s="563"/>
      <c r="CX311" s="561"/>
      <c r="CY311" s="563"/>
      <c r="CZ311" s="561"/>
      <c r="DA311" s="563"/>
      <c r="DB311" s="561"/>
      <c r="DC311" s="563"/>
      <c r="DD311" s="561"/>
      <c r="DG311" s="577"/>
      <c r="DH311" s="577"/>
      <c r="DI311" s="571"/>
      <c r="DJ311" s="571"/>
      <c r="DK311" s="571"/>
      <c r="DL311" s="571"/>
      <c r="DM311" s="574"/>
      <c r="DN311" s="571"/>
      <c r="DO311" s="571"/>
      <c r="DP311" s="571"/>
      <c r="DQ311" s="571"/>
      <c r="DR311" s="571"/>
      <c r="DS311" s="571"/>
      <c r="DT311" s="571"/>
      <c r="DU311" s="571"/>
      <c r="DV311" s="577"/>
      <c r="DW311" s="577"/>
      <c r="DX311" s="571"/>
      <c r="DY311" s="571"/>
    </row>
    <row r="312" spans="1:194" s="175" customFormat="1" ht="60" customHeight="1" x14ac:dyDescent="0.25">
      <c r="A312" s="366"/>
      <c r="B312" s="367"/>
      <c r="C312" s="395" t="s">
        <v>180</v>
      </c>
      <c r="D312" s="599" t="s">
        <v>31</v>
      </c>
      <c r="E312" s="599"/>
      <c r="F312" s="394" t="s">
        <v>9</v>
      </c>
      <c r="G312" s="599" t="s">
        <v>33</v>
      </c>
      <c r="H312" s="599"/>
      <c r="I312" s="394" t="str">
        <f>+IF($BG$9="SI","","X")</f>
        <v>X</v>
      </c>
      <c r="J312" s="604"/>
      <c r="K312" s="604"/>
      <c r="L312" s="607"/>
      <c r="M312" s="559"/>
      <c r="N312" s="610"/>
      <c r="O312" s="613"/>
      <c r="P312" s="192"/>
      <c r="Q312" s="239"/>
      <c r="R312" s="221" t="s">
        <v>209</v>
      </c>
      <c r="S312" s="234" t="str">
        <f>IF(S310="","",S310/(J309*K309))</f>
        <v/>
      </c>
      <c r="T312" s="226"/>
      <c r="U312" s="206"/>
      <c r="V312" s="220"/>
      <c r="W312" s="239" t="str">
        <f>IFERROR(IF(X311="SI",VLOOKUP(D309,'BD M.O'!C:F,4,FALSE),""),"")</f>
        <v/>
      </c>
      <c r="X312" s="221" t="s">
        <v>258</v>
      </c>
      <c r="Y312" s="221" t="s">
        <v>507</v>
      </c>
      <c r="Z312" s="221" t="s">
        <v>508</v>
      </c>
      <c r="AA312" s="225"/>
      <c r="AB312" s="226"/>
      <c r="AC312" s="206"/>
      <c r="AD312" s="206"/>
      <c r="AE312" s="206"/>
      <c r="AF312" s="227"/>
      <c r="AG312" s="206"/>
      <c r="AH312" s="206"/>
      <c r="AI312" s="206"/>
      <c r="AJ312" s="206"/>
      <c r="AK312" s="227"/>
      <c r="AL312" s="240"/>
      <c r="AM312" s="206"/>
      <c r="AN312" s="206"/>
      <c r="AO312" s="228"/>
      <c r="AP312" s="229"/>
      <c r="AQ312" s="206"/>
      <c r="AR312" s="206"/>
      <c r="AS312" s="228"/>
      <c r="AT312" s="229"/>
      <c r="AU312" s="228"/>
      <c r="AV312" s="229"/>
      <c r="AW312" s="228"/>
      <c r="AX312" s="229"/>
      <c r="AY312" s="206"/>
      <c r="AZ312" s="229"/>
      <c r="BA312" s="210"/>
      <c r="BC312" s="175" t="s">
        <v>116</v>
      </c>
      <c r="BD312" s="210"/>
      <c r="BE312" s="177" t="str">
        <f>IFERROR(VLOOKUP(COTIZACIÓN!D309,'BD M.O'!C:I,5,FALSE),"")</f>
        <v/>
      </c>
      <c r="BF312" s="177" t="s">
        <v>260</v>
      </c>
      <c r="BI312" s="210"/>
      <c r="BO312" s="210"/>
      <c r="BP312" s="183"/>
      <c r="BQ312" s="183"/>
      <c r="BR312" s="183"/>
      <c r="BS312" s="183"/>
      <c r="BT312" s="183"/>
      <c r="BU312" s="183"/>
      <c r="BV312" s="182"/>
      <c r="BW312" s="210"/>
      <c r="BX312" s="183"/>
      <c r="BY312" s="183"/>
      <c r="BZ312" s="183"/>
      <c r="CA312" s="183"/>
      <c r="CB312" s="183"/>
      <c r="CC312" s="183"/>
      <c r="CD312" s="182"/>
      <c r="CE312" s="183"/>
      <c r="CF312" s="241"/>
      <c r="CG312" s="183"/>
      <c r="CH312" s="183"/>
      <c r="CI312" s="182"/>
      <c r="CJ312" s="210"/>
      <c r="CK312" s="563"/>
      <c r="CM312" s="559"/>
      <c r="CN312" s="627"/>
      <c r="CO312" s="630"/>
      <c r="CP312" s="630"/>
      <c r="CQ312" s="630"/>
      <c r="CR312" s="630"/>
      <c r="CS312" s="630"/>
      <c r="CT312" s="633"/>
      <c r="CU312" s="563"/>
      <c r="CV312" s="561"/>
      <c r="CW312" s="563"/>
      <c r="CX312" s="561"/>
      <c r="CY312" s="563"/>
      <c r="CZ312" s="561"/>
      <c r="DA312" s="563"/>
      <c r="DB312" s="561"/>
      <c r="DC312" s="563"/>
      <c r="DD312" s="561"/>
      <c r="DG312" s="575"/>
      <c r="DH312" s="575"/>
      <c r="DI312" s="569">
        <f t="shared" ref="DI312" si="1222">IFERROR(IF(DG312&gt;0,(((N309)/(1+10%+19%*5%)+((N309)/(1+10%+19%*5%))*10%)*DH312),0),0)</f>
        <v>0</v>
      </c>
      <c r="DJ312" s="569">
        <f t="shared" ref="DJ312" si="1223">IFERROR(IF(DG312&gt;0,(N309*DH312),0),0)</f>
        <v>0</v>
      </c>
      <c r="DK312" s="569">
        <f t="shared" ref="DK312" si="1224">IF(DG312&gt;0,((R309+T309)*DH312),0)</f>
        <v>0</v>
      </c>
      <c r="DL312" s="569">
        <f t="shared" ref="DL312" si="1225">IF(DG312&gt;0,(Q309*DH312),0)</f>
        <v>0</v>
      </c>
      <c r="DM312" s="572">
        <f t="shared" ref="DM312" si="1226">IF(DG312&gt;0,(S309*DH312),0)</f>
        <v>0</v>
      </c>
      <c r="DN312" s="569">
        <f t="shared" ref="DN312" si="1227">IF(DG312&gt;0,(BN309*DH312),0)</f>
        <v>0</v>
      </c>
      <c r="DO312" s="569">
        <f t="shared" ref="DO312" si="1228">IF(DG312&gt;0,(AF309*DH312),0)</f>
        <v>0</v>
      </c>
      <c r="DP312" s="569">
        <f>IF(DG312&gt;0,((DI312)*('BD P&amp;G'!$E$16+'BD P&amp;G'!$E$17+'BD P&amp;G'!$E$18+'BD P&amp;G'!$E$19+'BD P&amp;G'!$E$20+'BD P&amp;G'!$E$21+'BD P&amp;G'!$E$22+'BD P&amp;G'!$E$23)*DH312),0)</f>
        <v>0</v>
      </c>
      <c r="DQ312" s="569">
        <f>IFERROR(IF(DG312&gt;0,((DI312*'BD P&amp;G'!$E$7)+(DI312*'BD P&amp;G'!$E$9)+AI309),0),0)</f>
        <v>0</v>
      </c>
      <c r="DR312" s="569">
        <f t="shared" ref="DR312" si="1229">IFERROR(IF(DG312&gt;0,((DI312*1%)),0),0)</f>
        <v>0</v>
      </c>
      <c r="DS312" s="569">
        <f>IFERROR(IF(DG312&gt;0,(((DI312*'BD P&amp;G'!$E$32+DI312*'BD P&amp;G'!$E$33+DI312*'BD P&amp;G'!$E$35+DI312*'BD P&amp;G'!$E$36+DI312*'BD P&amp;G'!$E$37))),0),0)</f>
        <v>0</v>
      </c>
      <c r="DT312" s="569">
        <f t="shared" ref="DT312" si="1230">IF(DG312&gt;0,(Y309*DH312),0)</f>
        <v>0</v>
      </c>
      <c r="DU312" s="569">
        <f t="shared" ref="DU312" si="1231">IF(DG312&gt;0,(Z309*DH312),0)</f>
        <v>0</v>
      </c>
      <c r="DV312" s="575">
        <f t="shared" ref="DV312" si="1232">IF(DG312&gt;0,(Y313*DH312),0)</f>
        <v>0</v>
      </c>
      <c r="DW312" s="575">
        <f t="shared" ref="DW312" si="1233">IF(DG312&gt;0,(Z313*DH312),0)</f>
        <v>0</v>
      </c>
      <c r="DX312" s="569">
        <f t="shared" ref="DX312" si="1234">IF(DV312&gt;0,DJ312,0)</f>
        <v>0</v>
      </c>
      <c r="DY312" s="569">
        <f t="shared" ref="DY312" si="1235">IF(DW312&gt;0,DJ312,0)</f>
        <v>0</v>
      </c>
    </row>
    <row r="313" spans="1:194" s="175" customFormat="1" ht="60" customHeight="1" x14ac:dyDescent="0.3">
      <c r="A313" s="366"/>
      <c r="B313" s="367"/>
      <c r="C313" s="393" t="s">
        <v>35</v>
      </c>
      <c r="D313" s="599" t="str">
        <f>IFERROR(VLOOKUP(D309,'BD GN'!C:E,3,),"")</f>
        <v/>
      </c>
      <c r="E313" s="599"/>
      <c r="F313" s="599"/>
      <c r="G313" s="599"/>
      <c r="H313" s="599"/>
      <c r="I313" s="599"/>
      <c r="J313" s="604"/>
      <c r="K313" s="604"/>
      <c r="L313" s="607"/>
      <c r="M313" s="559"/>
      <c r="N313" s="610"/>
      <c r="O313" s="613"/>
      <c r="P313" s="192"/>
      <c r="Q313" s="239"/>
      <c r="R313" s="221" t="s">
        <v>210</v>
      </c>
      <c r="S313" s="234" t="str">
        <f>IFERROR(IF(N309="","",N309/W313),"")</f>
        <v/>
      </c>
      <c r="T313" s="226"/>
      <c r="U313" s="206"/>
      <c r="V313" s="220"/>
      <c r="W313" s="242" t="str">
        <f>+IF(J309*K309&gt;=1,J309*K309,IF(AND(J309*K309&gt;0,J309*K309&lt;1),1,""))</f>
        <v/>
      </c>
      <c r="X313" s="221" t="s">
        <v>298</v>
      </c>
      <c r="Y313" s="461">
        <f>IFERROR(IF(D309='BD GN'!$C$25,COTIZACIÓN!W313,IF(D309='BD GN'!$C$26,COTIZACIÓN!W313,IF(D309='BD GN'!$C$27,COTIZACIÓN!W313,IF(COTIZACIÓN!D309='BD GN'!$C$28,COTIZACIÓN!W313,IF(COTIZACIÓN!D309='BD GN'!$C$29,COTIZACIÓN!W313,IF(COTIZACIÓN!D309='BD GN'!$C$35,COTIZACIÓN!W313,IF(COTIZACIÓN!D309='BD GN'!$C$36,COTIZACIÓN!W313,IF(COTIZACIÓN!D309='BD GN'!$C$37,COTIZACIÓN!W313,IF(COTIZACIÓN!D309='BD GN'!$C$38,COTIZACIÓN!W313,IF(COTIZACIÓN!D309='BD GN'!$C$39,COTIZACIÓN!W313,IF(COTIZACIÓN!D309='BD GN'!$C$40,COTIZACIÓN!W313,IF(COTIZACIÓN!D309='BD GN'!$C$41,COTIZACIÓN!W313,IF(COTIZACIÓN!D309='BD GN'!$C$42,COTIZACIÓN!W313,IF(COTIZACIÓN!D309='BD GN'!$C$49,COTIZACIÓN!W313,IF(COTIZACIÓN!D309='BD GN'!$C$50,COTIZACIÓN!W313,IF(COTIZACIÓN!D309='BD GN'!$C$51,COTIZACIÓN!W313,IF(COTIZACIÓN!D309='BD GN'!$C$67,COTIZACIÓN!W313,0))))))))))))))))),0)</f>
        <v>0</v>
      </c>
      <c r="Z313" s="461">
        <f>IFERROR(W313-Y313,0)</f>
        <v>0</v>
      </c>
      <c r="AA313" s="225"/>
      <c r="AB313" s="226"/>
      <c r="AC313" s="206"/>
      <c r="AD313" s="206"/>
      <c r="AE313" s="206"/>
      <c r="AF313" s="227"/>
      <c r="AG313" s="206"/>
      <c r="AH313" s="206"/>
      <c r="AI313" s="206"/>
      <c r="AJ313" s="206"/>
      <c r="AK313" s="227"/>
      <c r="AL313" s="210"/>
      <c r="AM313" s="206"/>
      <c r="AN313" s="206"/>
      <c r="AO313" s="228"/>
      <c r="AP313" s="229"/>
      <c r="AQ313" s="206"/>
      <c r="AR313" s="206"/>
      <c r="AS313" s="228"/>
      <c r="AT313" s="229"/>
      <c r="AU313" s="228"/>
      <c r="AV313" s="229"/>
      <c r="AW313" s="228"/>
      <c r="AX313" s="229"/>
      <c r="AY313" s="206"/>
      <c r="AZ313" s="229"/>
      <c r="BA313" s="210"/>
      <c r="BC313" s="211" t="s">
        <v>117</v>
      </c>
      <c r="BD313" s="210"/>
      <c r="BE313" s="177" t="str">
        <f>IFERROR(VLOOKUP(D309,'BD M.O'!C:I,6,FALSE),"")</f>
        <v/>
      </c>
      <c r="BF313" s="177" t="s">
        <v>261</v>
      </c>
      <c r="BI313" s="210"/>
      <c r="BO313" s="210"/>
      <c r="BP313" s="183"/>
      <c r="BQ313" s="183"/>
      <c r="BR313" s="183"/>
      <c r="BW313" s="210"/>
      <c r="CD313" s="184"/>
      <c r="CF313" s="185"/>
      <c r="CI313" s="184"/>
      <c r="CJ313" s="210"/>
      <c r="CK313" s="563"/>
      <c r="CM313" s="559"/>
      <c r="CN313" s="627"/>
      <c r="CO313" s="630"/>
      <c r="CP313" s="630"/>
      <c r="CQ313" s="630"/>
      <c r="CR313" s="630"/>
      <c r="CS313" s="630"/>
      <c r="CT313" s="633"/>
      <c r="CU313" s="563"/>
      <c r="CV313" s="561"/>
      <c r="CW313" s="563"/>
      <c r="CX313" s="561"/>
      <c r="CY313" s="563"/>
      <c r="CZ313" s="561"/>
      <c r="DA313" s="563"/>
      <c r="DB313" s="561"/>
      <c r="DC313" s="563"/>
      <c r="DD313" s="561"/>
      <c r="DG313" s="576"/>
      <c r="DH313" s="576"/>
      <c r="DI313" s="570"/>
      <c r="DJ313" s="570"/>
      <c r="DK313" s="570"/>
      <c r="DL313" s="570"/>
      <c r="DM313" s="573"/>
      <c r="DN313" s="570"/>
      <c r="DO313" s="570"/>
      <c r="DP313" s="570"/>
      <c r="DQ313" s="570"/>
      <c r="DR313" s="570"/>
      <c r="DS313" s="570"/>
      <c r="DT313" s="570"/>
      <c r="DU313" s="570"/>
      <c r="DV313" s="576"/>
      <c r="DW313" s="576"/>
      <c r="DX313" s="570"/>
      <c r="DY313" s="570"/>
    </row>
    <row r="314" spans="1:194" s="252" customFormat="1" ht="60" customHeight="1" x14ac:dyDescent="0.25">
      <c r="A314" s="368"/>
      <c r="B314" s="369"/>
      <c r="C314" s="396" t="s">
        <v>10</v>
      </c>
      <c r="D314" s="645" t="s">
        <v>32</v>
      </c>
      <c r="E314" s="645"/>
      <c r="F314" s="645"/>
      <c r="G314" s="645"/>
      <c r="H314" s="645"/>
      <c r="I314" s="645"/>
      <c r="J314" s="643"/>
      <c r="K314" s="643"/>
      <c r="L314" s="646"/>
      <c r="M314" s="648"/>
      <c r="N314" s="649"/>
      <c r="O314" s="644"/>
      <c r="P314" s="192"/>
      <c r="Q314" s="239"/>
      <c r="R314" s="334" t="s">
        <v>475</v>
      </c>
      <c r="S314" s="234" t="str">
        <f>IFERROR(IF($C$12='BD GN'!$CC$1,VLOOKUP(COTIZACIÓN!D309,'BD GN'!CB:CG,2,FALSE),IF(COTIZACIÓN!$C$12='BD GN'!$CD$1,VLOOKUP(COTIZACIÓN!D309,'BD GN'!CB:CG,3,FALSE),IF($C$12='BD GN'!$CE$1,VLOOKUP(COTIZACIÓN!D309,'BD GN'!CB:CG,4,FALSE),IF(COTIZACIÓN!$C$12='BD GN'!$CF$1,VLOOKUP(COTIZACIÓN!D309,'BD GN'!CB:CG,5,FALSE),IF(COTIZACIÓN!$C$12='BD GN'!$CG$1,VLOOKUP(COTIZACIÓN!D309,'BD GN'!CB:CG,6,FALSE),""))))),"-")</f>
        <v/>
      </c>
      <c r="T314" s="243"/>
      <c r="U314" s="244"/>
      <c r="V314" s="245"/>
      <c r="W314" s="177" t="s">
        <v>394</v>
      </c>
      <c r="X314" s="246">
        <f>IFERROR(SUM(W309:X309),"")</f>
        <v>0</v>
      </c>
      <c r="Y314" s="166" t="s">
        <v>404</v>
      </c>
      <c r="Z314" s="199" t="str">
        <f>IFERROR(Y309+Z309,"")</f>
        <v/>
      </c>
      <c r="AA314" s="247"/>
      <c r="AB314" s="243"/>
      <c r="AC314" s="244"/>
      <c r="AD314" s="244"/>
      <c r="AE314" s="244"/>
      <c r="AF314" s="227"/>
      <c r="AG314" s="206"/>
      <c r="AH314" s="206"/>
      <c r="AI314" s="206"/>
      <c r="AJ314" s="206"/>
      <c r="AK314" s="227"/>
      <c r="AL314" s="227"/>
      <c r="AM314" s="248"/>
      <c r="AN314" s="248"/>
      <c r="AO314" s="249"/>
      <c r="AP314" s="250"/>
      <c r="AQ314" s="248"/>
      <c r="AR314" s="248"/>
      <c r="AS314" s="249"/>
      <c r="AT314" s="250"/>
      <c r="AU314" s="249"/>
      <c r="AV314" s="250"/>
      <c r="AW314" s="249"/>
      <c r="AX314" s="250"/>
      <c r="AY314" s="248"/>
      <c r="AZ314" s="250"/>
      <c r="BA314" s="210"/>
      <c r="BB314" s="175"/>
      <c r="BC314" s="175" t="s">
        <v>118</v>
      </c>
      <c r="BD314" s="210"/>
      <c r="BE314" s="251" t="str">
        <f>IFERROR(VLOOKUP(D309,'BD M.O'!C:I,7,FALSE),"")</f>
        <v/>
      </c>
      <c r="BF314" s="251" t="s">
        <v>262</v>
      </c>
      <c r="BG314" s="175"/>
      <c r="BH314" s="175"/>
      <c r="BI314" s="210"/>
      <c r="BJ314" s="175"/>
      <c r="BK314" s="175"/>
      <c r="BL314" s="175"/>
      <c r="BM314" s="175"/>
      <c r="BN314" s="175"/>
      <c r="BO314" s="210"/>
      <c r="BP314" s="175"/>
      <c r="BQ314" s="175"/>
      <c r="BR314" s="175"/>
      <c r="BS314" s="183"/>
      <c r="BT314" s="183"/>
      <c r="BU314" s="183"/>
      <c r="BV314" s="183"/>
      <c r="BW314" s="210"/>
      <c r="BX314" s="175"/>
      <c r="BY314" s="175"/>
      <c r="BZ314" s="175"/>
      <c r="CA314" s="175"/>
      <c r="CB314" s="175"/>
      <c r="CC314" s="175"/>
      <c r="CD314" s="184"/>
      <c r="CE314" s="175"/>
      <c r="CF314" s="185"/>
      <c r="CG314" s="175"/>
      <c r="CH314" s="175"/>
      <c r="CI314" s="184"/>
      <c r="CJ314" s="210"/>
      <c r="CK314" s="564"/>
      <c r="CL314" s="257"/>
      <c r="CM314" s="597"/>
      <c r="CN314" s="628"/>
      <c r="CO314" s="631"/>
      <c r="CP314" s="631"/>
      <c r="CQ314" s="631"/>
      <c r="CR314" s="631"/>
      <c r="CS314" s="631"/>
      <c r="CT314" s="634"/>
      <c r="CU314" s="564"/>
      <c r="CV314" s="562"/>
      <c r="CW314" s="564"/>
      <c r="CX314" s="562"/>
      <c r="CY314" s="564"/>
      <c r="CZ314" s="562"/>
      <c r="DA314" s="564"/>
      <c r="DB314" s="562"/>
      <c r="DC314" s="564"/>
      <c r="DD314" s="562"/>
      <c r="DE314" s="175"/>
      <c r="DF314" s="175"/>
      <c r="DG314" s="577"/>
      <c r="DH314" s="577"/>
      <c r="DI314" s="571"/>
      <c r="DJ314" s="571"/>
      <c r="DK314" s="571"/>
      <c r="DL314" s="571"/>
      <c r="DM314" s="574"/>
      <c r="DN314" s="571"/>
      <c r="DO314" s="571"/>
      <c r="DP314" s="571"/>
      <c r="DQ314" s="571"/>
      <c r="DR314" s="571"/>
      <c r="DS314" s="571"/>
      <c r="DT314" s="571"/>
      <c r="DU314" s="571"/>
      <c r="DV314" s="577"/>
      <c r="DW314" s="577"/>
      <c r="DX314" s="571"/>
      <c r="DY314" s="571"/>
      <c r="DZ314" s="175"/>
      <c r="EA314" s="175"/>
      <c r="EB314" s="175"/>
      <c r="EC314" s="175"/>
      <c r="ED314" s="175"/>
      <c r="EE314" s="175"/>
      <c r="EF314" s="175"/>
      <c r="EG314" s="175"/>
      <c r="EH314" s="175"/>
      <c r="EI314" s="175"/>
      <c r="EJ314" s="175"/>
      <c r="EK314" s="175"/>
      <c r="EL314" s="175"/>
      <c r="EM314" s="175"/>
      <c r="EN314" s="175"/>
      <c r="EO314" s="175"/>
      <c r="EP314" s="175"/>
      <c r="EQ314" s="175"/>
      <c r="ER314" s="175"/>
      <c r="ES314" s="175"/>
      <c r="ET314" s="175"/>
      <c r="EU314" s="175"/>
      <c r="EV314" s="175"/>
      <c r="EW314" s="175"/>
      <c r="EX314" s="175"/>
      <c r="EY314" s="175"/>
      <c r="EZ314" s="175"/>
      <c r="FA314" s="175"/>
      <c r="FB314" s="175"/>
      <c r="FC314" s="175"/>
      <c r="FD314" s="175"/>
      <c r="FE314" s="175"/>
      <c r="FF314" s="175"/>
      <c r="FG314" s="175"/>
      <c r="FH314" s="175"/>
      <c r="FI314" s="175"/>
      <c r="FJ314" s="175"/>
      <c r="FK314" s="175"/>
      <c r="FL314" s="175"/>
      <c r="FM314" s="175"/>
      <c r="FN314" s="175"/>
      <c r="FO314" s="175"/>
      <c r="FP314" s="175"/>
      <c r="FQ314" s="175"/>
      <c r="FR314" s="175"/>
      <c r="FS314" s="175"/>
      <c r="FT314" s="175"/>
      <c r="FU314" s="175"/>
      <c r="FV314" s="175"/>
      <c r="FW314" s="175"/>
      <c r="FX314" s="175"/>
      <c r="FY314" s="175"/>
      <c r="FZ314" s="175"/>
      <c r="GA314" s="175"/>
      <c r="GB314" s="175"/>
      <c r="GC314" s="175"/>
      <c r="GD314" s="175"/>
      <c r="GE314" s="175"/>
      <c r="GF314" s="175"/>
      <c r="GG314" s="175"/>
      <c r="GH314" s="175"/>
      <c r="GI314" s="175"/>
      <c r="GJ314" s="175"/>
      <c r="GK314" s="175"/>
      <c r="GL314" s="175"/>
    </row>
    <row r="315" spans="1:194" s="255" customFormat="1" ht="60" customHeight="1" x14ac:dyDescent="0.3">
      <c r="A315" s="362" t="s">
        <v>193</v>
      </c>
      <c r="B315" s="363" t="s">
        <v>25</v>
      </c>
      <c r="C315" s="391" t="s">
        <v>174</v>
      </c>
      <c r="D315" s="640" t="s">
        <v>173</v>
      </c>
      <c r="E315" s="640"/>
      <c r="F315" s="640"/>
      <c r="G315" s="640"/>
      <c r="H315" s="640"/>
      <c r="I315" s="640"/>
      <c r="J315" s="418" t="s">
        <v>443</v>
      </c>
      <c r="K315" s="418" t="s">
        <v>444</v>
      </c>
      <c r="L315" s="418" t="s">
        <v>171</v>
      </c>
      <c r="M315" s="363" t="s">
        <v>2</v>
      </c>
      <c r="N315" s="419" t="s">
        <v>7</v>
      </c>
      <c r="O315" s="420" t="s">
        <v>8</v>
      </c>
      <c r="P315" s="159"/>
      <c r="Q315" s="164" t="s">
        <v>93</v>
      </c>
      <c r="R315" s="164" t="s">
        <v>34</v>
      </c>
      <c r="S315" s="164" t="s">
        <v>28</v>
      </c>
      <c r="T315" s="164" t="s">
        <v>95</v>
      </c>
      <c r="U315" s="164" t="s">
        <v>96</v>
      </c>
      <c r="V315" s="164" t="s">
        <v>97</v>
      </c>
      <c r="W315" s="164" t="s">
        <v>4</v>
      </c>
      <c r="X315" s="164" t="s">
        <v>103</v>
      </c>
      <c r="Y315" s="160" t="s">
        <v>402</v>
      </c>
      <c r="Z315" s="165" t="s">
        <v>403</v>
      </c>
      <c r="AA315" s="166" t="s">
        <v>404</v>
      </c>
      <c r="AB315" s="164" t="s">
        <v>99</v>
      </c>
      <c r="AC315" s="164" t="s">
        <v>395</v>
      </c>
      <c r="AD315" s="253" t="s">
        <v>36</v>
      </c>
      <c r="AE315" s="164" t="s">
        <v>389</v>
      </c>
      <c r="AF315" s="164" t="s">
        <v>390</v>
      </c>
      <c r="AG315" s="164" t="s">
        <v>164</v>
      </c>
      <c r="AH315" s="253" t="s">
        <v>396</v>
      </c>
      <c r="AI315" s="164" t="s">
        <v>190</v>
      </c>
      <c r="AJ315" s="164" t="s">
        <v>339</v>
      </c>
      <c r="AK315" s="253" t="s">
        <v>391</v>
      </c>
      <c r="AL315" s="253" t="s">
        <v>393</v>
      </c>
      <c r="AM315" s="167" t="s">
        <v>93</v>
      </c>
      <c r="AN315" s="168" t="s">
        <v>34</v>
      </c>
      <c r="AO315" s="169" t="s">
        <v>28</v>
      </c>
      <c r="AP315" s="170" t="s">
        <v>95</v>
      </c>
      <c r="AQ315" s="167" t="s">
        <v>3</v>
      </c>
      <c r="AR315" s="167" t="s">
        <v>96</v>
      </c>
      <c r="AS315" s="169" t="s">
        <v>97</v>
      </c>
      <c r="AT315" s="170" t="s">
        <v>4</v>
      </c>
      <c r="AU315" s="169" t="s">
        <v>103</v>
      </c>
      <c r="AV315" s="170" t="s">
        <v>99</v>
      </c>
      <c r="AW315" s="169" t="s">
        <v>36</v>
      </c>
      <c r="AX315" s="171" t="s">
        <v>29</v>
      </c>
      <c r="AY315" s="172" t="s">
        <v>190</v>
      </c>
      <c r="AZ315" s="173" t="s">
        <v>102</v>
      </c>
      <c r="BA315" s="174"/>
      <c r="BB315" s="183"/>
      <c r="BC315" s="211" t="s">
        <v>119</v>
      </c>
      <c r="BD315" s="174"/>
      <c r="BE315" s="176" t="s">
        <v>189</v>
      </c>
      <c r="BF315" s="177" t="str">
        <f>$BF$13</f>
        <v xml:space="preserve">VR SILICONA </v>
      </c>
      <c r="BG315" s="177" t="str">
        <f>$BG$13</f>
        <v xml:space="preserve">VR PELÍCULA </v>
      </c>
      <c r="BH315" s="254" t="str">
        <f>$BH$13</f>
        <v>VR EMBALAJE</v>
      </c>
      <c r="BI315" s="174"/>
      <c r="BJ315" s="176" t="str">
        <f>$BJ$13</f>
        <v>ESP. CRISTAL</v>
      </c>
      <c r="BK315" s="176" t="s">
        <v>130</v>
      </c>
      <c r="BL315" s="177" t="s">
        <v>28</v>
      </c>
      <c r="BM315" s="177" t="str">
        <f>BM308</f>
        <v>TOTAL</v>
      </c>
      <c r="BN315" s="177" t="s">
        <v>133</v>
      </c>
      <c r="BO315" s="174"/>
      <c r="BP315" s="175"/>
      <c r="BQ315" s="175"/>
      <c r="BR315" s="175"/>
      <c r="BS315" s="175"/>
      <c r="BT315" s="175"/>
      <c r="BU315" s="175"/>
      <c r="BV315" s="175"/>
      <c r="BW315" s="174"/>
      <c r="BX315" s="175"/>
      <c r="BY315" s="175"/>
      <c r="BZ315" s="175"/>
      <c r="CA315" s="175"/>
      <c r="CB315" s="175"/>
      <c r="CC315" s="175"/>
      <c r="CD315" s="184"/>
      <c r="CE315" s="175"/>
      <c r="CF315" s="185"/>
      <c r="CG315" s="175"/>
      <c r="CH315" s="175"/>
      <c r="CI315" s="184"/>
      <c r="CJ315" s="174"/>
      <c r="CK315" s="186" t="s">
        <v>415</v>
      </c>
      <c r="CL315" s="187" t="s">
        <v>417</v>
      </c>
      <c r="CM315" s="187" t="s">
        <v>416</v>
      </c>
      <c r="CN315" s="188" t="s">
        <v>418</v>
      </c>
      <c r="CO315" s="187" t="s">
        <v>417</v>
      </c>
      <c r="CP315" s="187" t="s">
        <v>409</v>
      </c>
      <c r="CQ315" s="187" t="s">
        <v>410</v>
      </c>
      <c r="CR315" s="187" t="s">
        <v>411</v>
      </c>
      <c r="CS315" s="187" t="s">
        <v>412</v>
      </c>
      <c r="CT315" s="187" t="s">
        <v>413</v>
      </c>
      <c r="CU315" s="189" t="s">
        <v>2</v>
      </c>
      <c r="CV315" s="190" t="s">
        <v>159</v>
      </c>
      <c r="CW315" s="189" t="s">
        <v>2</v>
      </c>
      <c r="CX315" s="190" t="s">
        <v>159</v>
      </c>
      <c r="CY315" s="189" t="s">
        <v>2</v>
      </c>
      <c r="CZ315" s="190" t="s">
        <v>159</v>
      </c>
      <c r="DA315" s="189" t="s">
        <v>2</v>
      </c>
      <c r="DB315" s="190" t="s">
        <v>159</v>
      </c>
      <c r="DC315" s="189" t="s">
        <v>2</v>
      </c>
      <c r="DD315" s="190" t="s">
        <v>159</v>
      </c>
      <c r="DE315" s="183"/>
      <c r="DF315" s="183"/>
      <c r="DG315" s="177" t="s">
        <v>505</v>
      </c>
      <c r="DH315" s="472" t="s">
        <v>509</v>
      </c>
      <c r="DI315" s="457" t="s">
        <v>506</v>
      </c>
      <c r="DJ315" s="457" t="s">
        <v>134</v>
      </c>
      <c r="DK315" s="457" t="s">
        <v>498</v>
      </c>
      <c r="DL315" s="457" t="s">
        <v>499</v>
      </c>
      <c r="DM315" s="457" t="s">
        <v>500</v>
      </c>
      <c r="DN315" s="457" t="s">
        <v>131</v>
      </c>
      <c r="DO315" s="457" t="s">
        <v>390</v>
      </c>
      <c r="DP315" s="457" t="s">
        <v>36</v>
      </c>
      <c r="DQ315" s="457" t="s">
        <v>501</v>
      </c>
      <c r="DR315" s="457" t="s">
        <v>502</v>
      </c>
      <c r="DS315" s="457" t="s">
        <v>503</v>
      </c>
      <c r="DT315" s="457" t="s">
        <v>4</v>
      </c>
      <c r="DU315" s="457" t="s">
        <v>504</v>
      </c>
      <c r="DV315" s="466" t="s">
        <v>507</v>
      </c>
      <c r="DW315" s="466" t="s">
        <v>508</v>
      </c>
      <c r="DX315" s="457" t="s">
        <v>510</v>
      </c>
      <c r="DY315" s="457" t="s">
        <v>511</v>
      </c>
      <c r="DZ315" s="183"/>
      <c r="EA315" s="183"/>
      <c r="EB315" s="183"/>
      <c r="EC315" s="183"/>
      <c r="ED315" s="183"/>
      <c r="EE315" s="183"/>
      <c r="EF315" s="183"/>
      <c r="EG315" s="183"/>
      <c r="EH315" s="183"/>
      <c r="EI315" s="183"/>
      <c r="EJ315" s="183"/>
      <c r="EK315" s="183"/>
      <c r="EL315" s="183"/>
      <c r="EM315" s="183"/>
      <c r="EN315" s="183"/>
      <c r="EO315" s="183"/>
      <c r="EP315" s="183"/>
      <c r="EQ315" s="183"/>
      <c r="ER315" s="183"/>
      <c r="ES315" s="183"/>
      <c r="ET315" s="183"/>
      <c r="EU315" s="183"/>
      <c r="EV315" s="183"/>
      <c r="EW315" s="183"/>
      <c r="EX315" s="183"/>
      <c r="EY315" s="183"/>
      <c r="EZ315" s="183"/>
      <c r="FA315" s="183"/>
      <c r="FB315" s="183"/>
      <c r="FC315" s="183"/>
      <c r="FD315" s="183"/>
      <c r="FE315" s="183"/>
      <c r="FF315" s="183"/>
      <c r="FG315" s="183"/>
      <c r="FH315" s="183"/>
      <c r="FI315" s="183"/>
      <c r="FJ315" s="183"/>
      <c r="FK315" s="183"/>
      <c r="FL315" s="183"/>
      <c r="FM315" s="183"/>
      <c r="FN315" s="183"/>
      <c r="FO315" s="183"/>
      <c r="FP315" s="183"/>
      <c r="FQ315" s="183"/>
      <c r="FR315" s="183"/>
      <c r="FS315" s="183"/>
      <c r="FT315" s="183"/>
      <c r="FU315" s="183"/>
      <c r="FV315" s="183"/>
      <c r="FW315" s="183"/>
      <c r="FX315" s="183"/>
      <c r="FY315" s="183"/>
      <c r="FZ315" s="183"/>
      <c r="GA315" s="183"/>
      <c r="GB315" s="183"/>
      <c r="GC315" s="183"/>
      <c r="GD315" s="183"/>
      <c r="GE315" s="183"/>
      <c r="GF315" s="183"/>
      <c r="GG315" s="183"/>
      <c r="GH315" s="183"/>
      <c r="GI315" s="183"/>
      <c r="GJ315" s="183"/>
      <c r="GK315" s="183"/>
      <c r="GL315" s="183"/>
    </row>
    <row r="316" spans="1:194" s="175" customFormat="1" ht="60" customHeight="1" x14ac:dyDescent="0.3">
      <c r="A316" s="364"/>
      <c r="B316" s="365"/>
      <c r="C316" s="392" t="s">
        <v>27</v>
      </c>
      <c r="D316" s="641"/>
      <c r="E316" s="641"/>
      <c r="F316" s="641"/>
      <c r="G316" s="641"/>
      <c r="H316" s="641"/>
      <c r="I316" s="641"/>
      <c r="J316" s="642"/>
      <c r="K316" s="642"/>
      <c r="L316" s="622">
        <f>J316*K316*M316</f>
        <v>0</v>
      </c>
      <c r="M316" s="623"/>
      <c r="N316" s="620">
        <f>IFERROR(AL316,"")</f>
        <v>1.0765546639999999</v>
      </c>
      <c r="O316" s="621">
        <f>IFERROR(N316*M316,"")</f>
        <v>0</v>
      </c>
      <c r="P316" s="192"/>
      <c r="Q316" s="193">
        <f>Q317+BF316+($R$350*Q317)</f>
        <v>0</v>
      </c>
      <c r="R316" s="193">
        <f>IFERROR(R317+($R$348*R317),"")</f>
        <v>0</v>
      </c>
      <c r="S316" s="194">
        <f>+IF(R318="SI",((W320*'BD GN'!$AB$2)+S317)*1,COTIZACIÓN!S317*1)+(P317*S317)</f>
        <v>0</v>
      </c>
      <c r="T316" s="195">
        <f>IFERROR(R316*IF(K316&lt;=3,$T$13,15%),"")</f>
        <v>0</v>
      </c>
      <c r="U316" s="196">
        <f>BH316+BG316</f>
        <v>0</v>
      </c>
      <c r="V316" s="197" t="str">
        <f>IFERROR(BN316,0)</f>
        <v/>
      </c>
      <c r="W316" s="198" t="str">
        <f>IFERROR(IF(X318="SI",W319*J316*K316,IF(BE316=3,BE318,IF(BE316=4,BE319,IF(BE316=5,BE320,IF(BE316&gt;5,BE320+(BE321*(BE316-5)),"")))))*0,"")</f>
        <v/>
      </c>
      <c r="X316" s="198" t="str">
        <f>IFERROR(IF(X317="NO",(VLOOKUP(D316,'BD M.O'!C:E,3,FALSE))*W320,((VLOOKUP(D316,'BD M.O'!C:E,3,FALSE))+7500)*W320),"")</f>
        <v/>
      </c>
      <c r="Y316" s="198">
        <f>IFERROR($Y$13*AK316,"")</f>
        <v>4.2084457416288003E-2</v>
      </c>
      <c r="Z316" s="332" t="str">
        <f>IFERROR(($Z$13*AK316)+X316,"")</f>
        <v/>
      </c>
      <c r="AA316" s="199" t="str">
        <f>IFERROR(Y316+Z316,"")</f>
        <v/>
      </c>
      <c r="AB316" s="200">
        <f>IFERROR((SUM(Q316:X316)-T316+T318)*$AB$13,"")</f>
        <v>0</v>
      </c>
      <c r="AC316" s="201">
        <f>IFERROR(((SUM(Q316:V316,IF(X321&gt;AA316,AVERAGE(X321,AA316),AA316))-T316+T318))*$AB$13,"")</f>
        <v>0</v>
      </c>
      <c r="AD316" s="202" t="str">
        <f>IFERROR((J316*K316*$BV$14),"")</f>
        <v/>
      </c>
      <c r="AE316" s="202">
        <f>IFERROR($AE$13*AK316,"")</f>
        <v>6.4010592649919984E-2</v>
      </c>
      <c r="AF316" s="203" t="str">
        <f>IFERROR(($CI$11+$CI$13)*W320,"")</f>
        <v/>
      </c>
      <c r="AG316" s="202">
        <f>IFERROR((SUM(Q316:X316,AB316,AD316,AF316)-T316+T318)*$AG$13,"")</f>
        <v>0</v>
      </c>
      <c r="AH316" s="202">
        <f>IFERROR((SUM(Q316:V316,(IF(X321&gt;AA316,AVERAGE(X321,AA316),AA316)),AC316,AE316,AF316)-T316+T318)*$AG$13,"")</f>
        <v>3.2005296324959992E-2</v>
      </c>
      <c r="AI316" s="204">
        <f>IFERROR(AL316*$AI$13,"")</f>
        <v>2.1531093279999997E-2</v>
      </c>
      <c r="AJ316" s="204">
        <f>IFERROR($AJ$13*AL316,"")</f>
        <v>6.007175025119999E-3</v>
      </c>
      <c r="AK316" s="205">
        <f>IFERROR(SUM(Q316:X316,AB316,AD316,AG316,AF316)/(1-$AI$13)+(1-$AJ$13)-T316+T318,"")</f>
        <v>0.99441999999999997</v>
      </c>
      <c r="AL316" s="205">
        <f>IFERROR(SUM(Q316:V316,AC316,(IF(AD316&gt;AE316,AVERAGE(AD316,AE316),AE316)),AF316,,AH316,(IF(SUM(X321)&gt;AA316,AVERAGE(AA316,X321),AA316)))/(1-$AJ$13)+(1-$AI$13)-T316+T318,"")</f>
        <v>1.0765546639999999</v>
      </c>
      <c r="AM316" s="206">
        <f>$M$15*Q316</f>
        <v>0</v>
      </c>
      <c r="AN316" s="207">
        <f>$M$15*R316</f>
        <v>0</v>
      </c>
      <c r="AO316" s="208">
        <f>$M$15*S316</f>
        <v>0</v>
      </c>
      <c r="AP316" s="207">
        <f>$M$15*T316</f>
        <v>0</v>
      </c>
      <c r="AQ316" s="207" t="e">
        <f>$M$15*#REF!</f>
        <v>#REF!</v>
      </c>
      <c r="AR316" s="207">
        <f>$M$15*U316</f>
        <v>0</v>
      </c>
      <c r="AS316" s="208" t="e">
        <f>$M$15*V316</f>
        <v>#VALUE!</v>
      </c>
      <c r="AT316" s="207" t="e">
        <f>$M$15*W316</f>
        <v>#VALUE!</v>
      </c>
      <c r="AU316" s="208" t="e">
        <f>$M$15*X316</f>
        <v>#VALUE!</v>
      </c>
      <c r="AV316" s="207">
        <f>$M$15*AB316</f>
        <v>0</v>
      </c>
      <c r="AW316" s="208">
        <f>$M$15*AE316</f>
        <v>0</v>
      </c>
      <c r="AX316" s="207">
        <f>$M$15*AG316</f>
        <v>0</v>
      </c>
      <c r="AY316" s="209">
        <f>$M$15*AI316</f>
        <v>0</v>
      </c>
      <c r="AZ316" s="207">
        <f>$M$15*AK316</f>
        <v>0</v>
      </c>
      <c r="BA316" s="210"/>
      <c r="BB316" s="175" t="s">
        <v>23</v>
      </c>
      <c r="BC316" s="211" t="s">
        <v>113</v>
      </c>
      <c r="BD316" s="210"/>
      <c r="BE316" s="212"/>
      <c r="BF316" s="213">
        <f>IF(BH317="NO",((2*J316)+(2*K316))*'BD GN'!$AU$3,((3*J316)+(2*K316))*'BD GN'!$AU$3)</f>
        <v>0</v>
      </c>
      <c r="BG316" s="213">
        <f>'BD GN'!$BB$3*J316*K316</f>
        <v>0</v>
      </c>
      <c r="BH316" s="214">
        <f>((J316*2*BE316)+(K316*2*BE316))*'BD GN'!$AN$4</f>
        <v>0</v>
      </c>
      <c r="BI316" s="210"/>
      <c r="BJ316" s="212"/>
      <c r="BK316" s="212"/>
      <c r="BL316" s="215">
        <f>J316*K316*2.5*BJ316</f>
        <v>0</v>
      </c>
      <c r="BM316" s="215">
        <f>BK316+BL316</f>
        <v>0</v>
      </c>
      <c r="BN316" s="216" t="str">
        <f>IFERROR((VLOOKUP($C$12,'BD GN'!BD:BM,10,FALSE)*BM316)+$BR$338,"")</f>
        <v/>
      </c>
      <c r="BO316" s="210"/>
      <c r="BW316" s="210"/>
      <c r="CD316" s="184"/>
      <c r="CF316" s="185"/>
      <c r="CI316" s="184"/>
      <c r="CJ316" s="210"/>
      <c r="CK316" s="565"/>
      <c r="CL316" s="256"/>
      <c r="CM316" s="596"/>
      <c r="CN316" s="626"/>
      <c r="CO316" s="629"/>
      <c r="CP316" s="629"/>
      <c r="CQ316" s="629"/>
      <c r="CR316" s="629"/>
      <c r="CS316" s="629"/>
      <c r="CT316" s="632"/>
      <c r="CU316" s="565"/>
      <c r="CV316" s="560">
        <f>IFERROR(N316*CU316,"")</f>
        <v>0</v>
      </c>
      <c r="CW316" s="565"/>
      <c r="CX316" s="560">
        <f>IFERROR(P316*CW316,"")</f>
        <v>0</v>
      </c>
      <c r="CY316" s="565"/>
      <c r="CZ316" s="560">
        <f>IFERROR(R316*CY316,"")</f>
        <v>0</v>
      </c>
      <c r="DA316" s="565">
        <f t="shared" ref="DA316" si="1236">CU316+CW316+CY316</f>
        <v>0</v>
      </c>
      <c r="DB316" s="560">
        <f t="shared" ref="DB316" si="1237">IFERROR(CV316+CX316+CZ316,"")</f>
        <v>0</v>
      </c>
      <c r="DC316" s="565">
        <f>M316-(CU316+CW316+CY316)</f>
        <v>0</v>
      </c>
      <c r="DD316" s="560">
        <f>IFERROR(O316-(CV316+CX316+CZ316),"")</f>
        <v>0</v>
      </c>
      <c r="DG316" s="575"/>
      <c r="DH316" s="575"/>
      <c r="DI316" s="569">
        <f t="shared" ref="DI316" si="1238">IFERROR(IF(DG316&gt;0,(((N316)/(1+10%+19%*5%)+((N316)/(1+10%+19%*5%))*10%)*DH316),0),0)</f>
        <v>0</v>
      </c>
      <c r="DJ316" s="569">
        <f t="shared" ref="DJ316" si="1239">IFERROR(IF(DG316&gt;0,(N316*DH316),0),0)</f>
        <v>0</v>
      </c>
      <c r="DK316" s="569">
        <f t="shared" ref="DK316" si="1240">IF(DG316&gt;0,((R316+T316)*DH316),0)</f>
        <v>0</v>
      </c>
      <c r="DL316" s="569">
        <f t="shared" ref="DL316" si="1241">IF(DG316&gt;0,(Q316*DH316),0)</f>
        <v>0</v>
      </c>
      <c r="DM316" s="572">
        <f t="shared" ref="DM316" si="1242">IF(DG316&gt;0,(S316*DH316),0)</f>
        <v>0</v>
      </c>
      <c r="DN316" s="569">
        <f t="shared" ref="DN316" si="1243">IF(DG316&gt;0,(BN316*DH316),0)</f>
        <v>0</v>
      </c>
      <c r="DO316" s="569">
        <f t="shared" ref="DO316" si="1244">IF(DG316&gt;0,(AF316*DH316),0)</f>
        <v>0</v>
      </c>
      <c r="DP316" s="569">
        <f>IF(DG316&gt;0,((DI316)*('BD P&amp;G'!$E$16+'BD P&amp;G'!$E$17+'BD P&amp;G'!$E$18+'BD P&amp;G'!$E$19+'BD P&amp;G'!$E$20+'BD P&amp;G'!$E$21+'BD P&amp;G'!$E$22+'BD P&amp;G'!$E$23)*DH316),0)</f>
        <v>0</v>
      </c>
      <c r="DQ316" s="569">
        <f>IFERROR(IF(DG316&gt;0,((DI316*'BD P&amp;G'!$E$7)+(DI316*'BD P&amp;G'!$E$9)+AI316),0),0)</f>
        <v>0</v>
      </c>
      <c r="DR316" s="569">
        <f t="shared" ref="DR316" si="1245">IFERROR(IF(DG316&gt;0,((DI316*1%)),0),0)</f>
        <v>0</v>
      </c>
      <c r="DS316" s="569">
        <f>IFERROR(IF(DG316&gt;0,(((DI316*'BD P&amp;G'!$E$32+DI316*'BD P&amp;G'!$E$33+DI316*'BD P&amp;G'!$E$35+DI316*'BD P&amp;G'!$E$36+DI316*'BD P&amp;G'!$E$37))),0),0)</f>
        <v>0</v>
      </c>
      <c r="DT316" s="569">
        <f t="shared" ref="DT316" si="1246">IF(DG316&gt;0,(Y316*DH316),0)</f>
        <v>0</v>
      </c>
      <c r="DU316" s="569">
        <f t="shared" ref="DU316" si="1247">IF(DG316&gt;0,(Z316*DH316),0)</f>
        <v>0</v>
      </c>
      <c r="DV316" s="575">
        <f t="shared" ref="DV316" si="1248">IF(DG316&gt;0,(Y320*DH316),0)</f>
        <v>0</v>
      </c>
      <c r="DW316" s="575">
        <f t="shared" ref="DW316" si="1249">IF(DG316&gt;0,(Z320*DH316),0)</f>
        <v>0</v>
      </c>
      <c r="DX316" s="569">
        <f t="shared" ref="DX316" si="1250">IF(DV316&gt;0,DJ316,0)</f>
        <v>0</v>
      </c>
      <c r="DY316" s="569">
        <f t="shared" ref="DY316" si="1251">IF(DW316&gt;0,DJ316,0)</f>
        <v>0</v>
      </c>
    </row>
    <row r="317" spans="1:194" s="175" customFormat="1" ht="60" customHeight="1" x14ac:dyDescent="0.25">
      <c r="A317" s="366"/>
      <c r="B317" s="367"/>
      <c r="C317" s="393" t="s">
        <v>28</v>
      </c>
      <c r="D317" s="598"/>
      <c r="E317" s="598"/>
      <c r="F317" s="598"/>
      <c r="G317" s="598"/>
      <c r="H317" s="598"/>
      <c r="I317" s="598"/>
      <c r="J317" s="604"/>
      <c r="K317" s="604"/>
      <c r="L317" s="607"/>
      <c r="M317" s="559"/>
      <c r="N317" s="610"/>
      <c r="O317" s="613"/>
      <c r="P317" s="192"/>
      <c r="Q317" s="217"/>
      <c r="R317" s="217"/>
      <c r="S317" s="218"/>
      <c r="T317" s="219">
        <f>IFERROR(T316/$R$353,"")</f>
        <v>0</v>
      </c>
      <c r="U317" s="206"/>
      <c r="V317" s="220"/>
      <c r="W317" s="221" t="s">
        <v>239</v>
      </c>
      <c r="X317" s="222" t="s">
        <v>204</v>
      </c>
      <c r="Y317" s="223"/>
      <c r="Z317" s="224"/>
      <c r="AA317" s="225"/>
      <c r="AB317" s="226"/>
      <c r="AC317" s="206"/>
      <c r="AD317" s="206"/>
      <c r="AE317" s="206"/>
      <c r="AF317" s="227"/>
      <c r="AG317" s="206"/>
      <c r="AH317" s="206"/>
      <c r="AI317" s="206"/>
      <c r="AJ317" s="206"/>
      <c r="AK317" s="227"/>
      <c r="AL317" s="210"/>
      <c r="AM317" s="206"/>
      <c r="AN317" s="206"/>
      <c r="AO317" s="228"/>
      <c r="AP317" s="229"/>
      <c r="AQ317" s="206"/>
      <c r="AR317" s="206"/>
      <c r="AS317" s="228"/>
      <c r="AT317" s="229"/>
      <c r="AU317" s="228"/>
      <c r="AV317" s="229"/>
      <c r="AW317" s="228"/>
      <c r="AX317" s="229"/>
      <c r="AY317" s="206"/>
      <c r="AZ317" s="229"/>
      <c r="BA317" s="210"/>
      <c r="BB317" s="175" t="s">
        <v>24</v>
      </c>
      <c r="BC317" s="175" t="s">
        <v>114</v>
      </c>
      <c r="BD317" s="210"/>
      <c r="BE317" s="176" t="s">
        <v>206</v>
      </c>
      <c r="BF317" s="230" t="s">
        <v>204</v>
      </c>
      <c r="BG317" s="176" t="s">
        <v>290</v>
      </c>
      <c r="BH317" s="231" t="s">
        <v>204</v>
      </c>
      <c r="BI317" s="210"/>
      <c r="BN317" s="232"/>
      <c r="BO317" s="210"/>
      <c r="BV317" s="184"/>
      <c r="BW317" s="210"/>
      <c r="CD317" s="184"/>
      <c r="CF317" s="185"/>
      <c r="CI317" s="184"/>
      <c r="CJ317" s="210"/>
      <c r="CK317" s="563"/>
      <c r="CM317" s="559"/>
      <c r="CN317" s="627"/>
      <c r="CO317" s="630"/>
      <c r="CP317" s="630"/>
      <c r="CQ317" s="630"/>
      <c r="CR317" s="630"/>
      <c r="CS317" s="630"/>
      <c r="CT317" s="633"/>
      <c r="CU317" s="563"/>
      <c r="CV317" s="561"/>
      <c r="CW317" s="563"/>
      <c r="CX317" s="561"/>
      <c r="CY317" s="563"/>
      <c r="CZ317" s="561"/>
      <c r="DA317" s="563"/>
      <c r="DB317" s="561"/>
      <c r="DC317" s="563"/>
      <c r="DD317" s="561"/>
      <c r="DG317" s="576"/>
      <c r="DH317" s="576"/>
      <c r="DI317" s="570"/>
      <c r="DJ317" s="570"/>
      <c r="DK317" s="570"/>
      <c r="DL317" s="570"/>
      <c r="DM317" s="573"/>
      <c r="DN317" s="570"/>
      <c r="DO317" s="570"/>
      <c r="DP317" s="570"/>
      <c r="DQ317" s="570"/>
      <c r="DR317" s="570"/>
      <c r="DS317" s="570"/>
      <c r="DT317" s="570"/>
      <c r="DU317" s="570"/>
      <c r="DV317" s="576"/>
      <c r="DW317" s="576"/>
      <c r="DX317" s="570"/>
      <c r="DY317" s="570"/>
    </row>
    <row r="318" spans="1:194" s="175" customFormat="1" ht="60" customHeight="1" x14ac:dyDescent="0.3">
      <c r="A318" s="366"/>
      <c r="B318" s="367"/>
      <c r="C318" s="393" t="s">
        <v>30</v>
      </c>
      <c r="D318" s="599"/>
      <c r="E318" s="599"/>
      <c r="F318" s="599"/>
      <c r="G318" s="599"/>
      <c r="H318" s="599"/>
      <c r="I318" s="599"/>
      <c r="J318" s="604"/>
      <c r="K318" s="604"/>
      <c r="L318" s="607"/>
      <c r="M318" s="559"/>
      <c r="N318" s="610"/>
      <c r="O318" s="613"/>
      <c r="P318" s="192"/>
      <c r="Q318" s="176" t="s">
        <v>205</v>
      </c>
      <c r="R318" s="233" t="s">
        <v>204</v>
      </c>
      <c r="S318" s="234"/>
      <c r="T318" s="235">
        <f>IFERROR(($R$353-8000)*T317,"")</f>
        <v>0</v>
      </c>
      <c r="U318" s="206"/>
      <c r="V318" s="220"/>
      <c r="W318" s="221" t="s">
        <v>258</v>
      </c>
      <c r="X318" s="222" t="s">
        <v>204</v>
      </c>
      <c r="Y318" s="236"/>
      <c r="Z318" s="237"/>
      <c r="AA318" s="225"/>
      <c r="AB318" s="226"/>
      <c r="AC318" s="206"/>
      <c r="AD318" s="206"/>
      <c r="AE318" s="206"/>
      <c r="AF318" s="227"/>
      <c r="AG318" s="206"/>
      <c r="AH318" s="206"/>
      <c r="AI318" s="206"/>
      <c r="AJ318" s="206"/>
      <c r="AK318" s="227"/>
      <c r="AL318" s="238"/>
      <c r="AM318" s="206"/>
      <c r="AN318" s="206"/>
      <c r="AO318" s="228"/>
      <c r="AP318" s="229"/>
      <c r="AQ318" s="206"/>
      <c r="AR318" s="206"/>
      <c r="AS318" s="228"/>
      <c r="AT318" s="229"/>
      <c r="AU318" s="228"/>
      <c r="AV318" s="229"/>
      <c r="AW318" s="228"/>
      <c r="AX318" s="229"/>
      <c r="AY318" s="206"/>
      <c r="AZ318" s="229"/>
      <c r="BA318" s="210"/>
      <c r="BB318" s="175" t="s">
        <v>26</v>
      </c>
      <c r="BC318" s="211" t="s">
        <v>115</v>
      </c>
      <c r="BD318" s="210"/>
      <c r="BE318" s="177" t="str">
        <f>IFERROR(VLOOKUP(D316,'BD M.O'!C:H,4,FALSE),"")</f>
        <v/>
      </c>
      <c r="BF318" s="177" t="s">
        <v>259</v>
      </c>
      <c r="BI318" s="210"/>
      <c r="BO318" s="210"/>
      <c r="BV318" s="184"/>
      <c r="BW318" s="210"/>
      <c r="CD318" s="184"/>
      <c r="CF318" s="185"/>
      <c r="CI318" s="184"/>
      <c r="CJ318" s="210"/>
      <c r="CK318" s="563"/>
      <c r="CM318" s="559"/>
      <c r="CN318" s="627"/>
      <c r="CO318" s="630"/>
      <c r="CP318" s="630"/>
      <c r="CQ318" s="630"/>
      <c r="CR318" s="630"/>
      <c r="CS318" s="630"/>
      <c r="CT318" s="633"/>
      <c r="CU318" s="563"/>
      <c r="CV318" s="561"/>
      <c r="CW318" s="563"/>
      <c r="CX318" s="561"/>
      <c r="CY318" s="563"/>
      <c r="CZ318" s="561"/>
      <c r="DA318" s="563"/>
      <c r="DB318" s="561"/>
      <c r="DC318" s="563"/>
      <c r="DD318" s="561"/>
      <c r="DG318" s="577"/>
      <c r="DH318" s="577"/>
      <c r="DI318" s="571"/>
      <c r="DJ318" s="571"/>
      <c r="DK318" s="571"/>
      <c r="DL318" s="571"/>
      <c r="DM318" s="574"/>
      <c r="DN318" s="571"/>
      <c r="DO318" s="571"/>
      <c r="DP318" s="571"/>
      <c r="DQ318" s="571"/>
      <c r="DR318" s="571"/>
      <c r="DS318" s="571"/>
      <c r="DT318" s="571"/>
      <c r="DU318" s="571"/>
      <c r="DV318" s="577"/>
      <c r="DW318" s="577"/>
      <c r="DX318" s="571"/>
      <c r="DY318" s="571"/>
    </row>
    <row r="319" spans="1:194" s="175" customFormat="1" ht="60" customHeight="1" x14ac:dyDescent="0.25">
      <c r="A319" s="366"/>
      <c r="B319" s="367"/>
      <c r="C319" s="395" t="s">
        <v>180</v>
      </c>
      <c r="D319" s="599" t="s">
        <v>31</v>
      </c>
      <c r="E319" s="599"/>
      <c r="F319" s="394" t="s">
        <v>9</v>
      </c>
      <c r="G319" s="599" t="s">
        <v>33</v>
      </c>
      <c r="H319" s="599"/>
      <c r="I319" s="394" t="str">
        <f>+IF($BG$9="SI","","X")</f>
        <v>X</v>
      </c>
      <c r="J319" s="604"/>
      <c r="K319" s="604"/>
      <c r="L319" s="607"/>
      <c r="M319" s="559"/>
      <c r="N319" s="610"/>
      <c r="O319" s="613"/>
      <c r="P319" s="192"/>
      <c r="Q319" s="239"/>
      <c r="R319" s="221" t="s">
        <v>209</v>
      </c>
      <c r="S319" s="234" t="str">
        <f>IF(S317="","",S317/(J316*K316))</f>
        <v/>
      </c>
      <c r="T319" s="226"/>
      <c r="U319" s="206"/>
      <c r="V319" s="220"/>
      <c r="W319" s="239" t="str">
        <f>IFERROR(IF(X318="SI",VLOOKUP(D316,'BD M.O'!C:F,4,FALSE),""),"")</f>
        <v/>
      </c>
      <c r="X319" s="221" t="s">
        <v>258</v>
      </c>
      <c r="Y319" s="221" t="s">
        <v>507</v>
      </c>
      <c r="Z319" s="221" t="s">
        <v>508</v>
      </c>
      <c r="AA319" s="225"/>
      <c r="AB319" s="226"/>
      <c r="AC319" s="206"/>
      <c r="AD319" s="206"/>
      <c r="AE319" s="206"/>
      <c r="AF319" s="227"/>
      <c r="AG319" s="206"/>
      <c r="AH319" s="206"/>
      <c r="AI319" s="206"/>
      <c r="AJ319" s="206"/>
      <c r="AK319" s="227"/>
      <c r="AL319" s="240"/>
      <c r="AM319" s="206"/>
      <c r="AN319" s="206"/>
      <c r="AO319" s="228"/>
      <c r="AP319" s="229"/>
      <c r="AQ319" s="206"/>
      <c r="AR319" s="206"/>
      <c r="AS319" s="228"/>
      <c r="AT319" s="229"/>
      <c r="AU319" s="228"/>
      <c r="AV319" s="229"/>
      <c r="AW319" s="228"/>
      <c r="AX319" s="229"/>
      <c r="AY319" s="206"/>
      <c r="AZ319" s="229"/>
      <c r="BA319" s="210"/>
      <c r="BC319" s="175" t="s">
        <v>116</v>
      </c>
      <c r="BD319" s="210"/>
      <c r="BE319" s="177" t="str">
        <f>IFERROR(VLOOKUP(COTIZACIÓN!D316,'BD M.O'!C:I,5,FALSE),"")</f>
        <v/>
      </c>
      <c r="BF319" s="177" t="s">
        <v>260</v>
      </c>
      <c r="BI319" s="210"/>
      <c r="BO319" s="210"/>
      <c r="BP319" s="183"/>
      <c r="BQ319" s="183"/>
      <c r="BR319" s="183"/>
      <c r="BS319" s="183"/>
      <c r="BT319" s="183"/>
      <c r="BU319" s="183"/>
      <c r="BV319" s="182"/>
      <c r="BW319" s="210"/>
      <c r="BX319" s="183"/>
      <c r="BY319" s="183"/>
      <c r="BZ319" s="183"/>
      <c r="CA319" s="183"/>
      <c r="CB319" s="183"/>
      <c r="CC319" s="183"/>
      <c r="CD319" s="182"/>
      <c r="CE319" s="183"/>
      <c r="CF319" s="241"/>
      <c r="CG319" s="183"/>
      <c r="CH319" s="183"/>
      <c r="CI319" s="182"/>
      <c r="CJ319" s="210"/>
      <c r="CK319" s="563"/>
      <c r="CM319" s="559"/>
      <c r="CN319" s="627"/>
      <c r="CO319" s="630"/>
      <c r="CP319" s="630"/>
      <c r="CQ319" s="630"/>
      <c r="CR319" s="630"/>
      <c r="CS319" s="630"/>
      <c r="CT319" s="633"/>
      <c r="CU319" s="563"/>
      <c r="CV319" s="561"/>
      <c r="CW319" s="563"/>
      <c r="CX319" s="561"/>
      <c r="CY319" s="563"/>
      <c r="CZ319" s="561"/>
      <c r="DA319" s="563"/>
      <c r="DB319" s="561"/>
      <c r="DC319" s="563"/>
      <c r="DD319" s="561"/>
      <c r="DG319" s="575"/>
      <c r="DH319" s="575"/>
      <c r="DI319" s="569">
        <f t="shared" ref="DI319" si="1252">IFERROR(IF(DG319&gt;0,(((N316)/(1+10%+19%*5%)+((N316)/(1+10%+19%*5%))*10%)*DH319),0),0)</f>
        <v>0</v>
      </c>
      <c r="DJ319" s="569">
        <f t="shared" ref="DJ319" si="1253">IFERROR(IF(DG319&gt;0,(N316*DH319),0),0)</f>
        <v>0</v>
      </c>
      <c r="DK319" s="569">
        <f t="shared" ref="DK319" si="1254">IF(DG319&gt;0,((R316+T316)*DH319),0)</f>
        <v>0</v>
      </c>
      <c r="DL319" s="569">
        <f t="shared" ref="DL319" si="1255">IF(DG319&gt;0,(Q316*DH319),0)</f>
        <v>0</v>
      </c>
      <c r="DM319" s="572">
        <f t="shared" ref="DM319" si="1256">IF(DG319&gt;0,(S316*DH319),0)</f>
        <v>0</v>
      </c>
      <c r="DN319" s="569">
        <f t="shared" ref="DN319" si="1257">IF(DG319&gt;0,(BN316*DH319),0)</f>
        <v>0</v>
      </c>
      <c r="DO319" s="569">
        <f t="shared" ref="DO319" si="1258">IF(DG319&gt;0,(AF316*DH319),0)</f>
        <v>0</v>
      </c>
      <c r="DP319" s="569">
        <f>IF(DG319&gt;0,((DI319)*('BD P&amp;G'!$E$16+'BD P&amp;G'!$E$17+'BD P&amp;G'!$E$18+'BD P&amp;G'!$E$19+'BD P&amp;G'!$E$20+'BD P&amp;G'!$E$21+'BD P&amp;G'!$E$22+'BD P&amp;G'!$E$23)*DH319),0)</f>
        <v>0</v>
      </c>
      <c r="DQ319" s="569">
        <f>IFERROR(IF(DG319&gt;0,((DI319*'BD P&amp;G'!$E$7)+(DI319*'BD P&amp;G'!$E$9)+AI316),0),0)</f>
        <v>0</v>
      </c>
      <c r="DR319" s="569">
        <f t="shared" ref="DR319" si="1259">IFERROR(IF(DG319&gt;0,((DI319*1%)),0),0)</f>
        <v>0</v>
      </c>
      <c r="DS319" s="569">
        <f>IFERROR(IF(DG319&gt;0,(((DI319*'BD P&amp;G'!$E$32+DI319*'BD P&amp;G'!$E$33+DI319*'BD P&amp;G'!$E$35+DI319*'BD P&amp;G'!$E$36+DI319*'BD P&amp;G'!$E$37))),0),0)</f>
        <v>0</v>
      </c>
      <c r="DT319" s="569">
        <f t="shared" ref="DT319" si="1260">IF(DG319&gt;0,(Y316*DH319),0)</f>
        <v>0</v>
      </c>
      <c r="DU319" s="569">
        <f t="shared" ref="DU319" si="1261">IF(DG319&gt;0,(Z316*DH319),0)</f>
        <v>0</v>
      </c>
      <c r="DV319" s="575">
        <f t="shared" ref="DV319" si="1262">IF(DG319&gt;0,(Y320*DH319),0)</f>
        <v>0</v>
      </c>
      <c r="DW319" s="575">
        <f t="shared" ref="DW319" si="1263">IF(DG319&gt;0,(Z320*DH319),0)</f>
        <v>0</v>
      </c>
      <c r="DX319" s="569">
        <f t="shared" ref="DX319" si="1264">IF(DV319&gt;0,DJ319,0)</f>
        <v>0</v>
      </c>
      <c r="DY319" s="569">
        <f t="shared" ref="DY319" si="1265">IF(DW319&gt;0,DJ319,0)</f>
        <v>0</v>
      </c>
    </row>
    <row r="320" spans="1:194" s="175" customFormat="1" ht="60" customHeight="1" x14ac:dyDescent="0.3">
      <c r="A320" s="366"/>
      <c r="B320" s="367"/>
      <c r="C320" s="393" t="s">
        <v>35</v>
      </c>
      <c r="D320" s="599" t="str">
        <f>IFERROR(VLOOKUP(D316,'BD GN'!C:E,3,),"")</f>
        <v/>
      </c>
      <c r="E320" s="599"/>
      <c r="F320" s="599"/>
      <c r="G320" s="599"/>
      <c r="H320" s="599"/>
      <c r="I320" s="599"/>
      <c r="J320" s="604"/>
      <c r="K320" s="604"/>
      <c r="L320" s="607"/>
      <c r="M320" s="559"/>
      <c r="N320" s="610"/>
      <c r="O320" s="613"/>
      <c r="P320" s="192"/>
      <c r="Q320" s="239"/>
      <c r="R320" s="221" t="s">
        <v>210</v>
      </c>
      <c r="S320" s="234" t="str">
        <f>IFERROR(IF(N316="","",N316/W320),"")</f>
        <v/>
      </c>
      <c r="T320" s="226"/>
      <c r="U320" s="206"/>
      <c r="V320" s="220"/>
      <c r="W320" s="242" t="str">
        <f>+IF(J316*K316&gt;=1,J316*K316,IF(AND(J316*K316&gt;0,J316*K316&lt;1),1,""))</f>
        <v/>
      </c>
      <c r="X320" s="221" t="s">
        <v>298</v>
      </c>
      <c r="Y320" s="461">
        <f>IFERROR(IF(D316='BD GN'!$C$25,COTIZACIÓN!W320,IF(D316='BD GN'!$C$26,COTIZACIÓN!W320,IF(D316='BD GN'!$C$27,COTIZACIÓN!W320,IF(COTIZACIÓN!D316='BD GN'!$C$28,COTIZACIÓN!W320,IF(COTIZACIÓN!D316='BD GN'!$C$29,COTIZACIÓN!W320,IF(COTIZACIÓN!D316='BD GN'!$C$35,COTIZACIÓN!W320,IF(COTIZACIÓN!D316='BD GN'!$C$36,COTIZACIÓN!W320,IF(COTIZACIÓN!D316='BD GN'!$C$37,COTIZACIÓN!W320,IF(COTIZACIÓN!D316='BD GN'!$C$38,COTIZACIÓN!W320,IF(COTIZACIÓN!D316='BD GN'!$C$39,COTIZACIÓN!W320,IF(COTIZACIÓN!D316='BD GN'!$C$40,COTIZACIÓN!W320,IF(COTIZACIÓN!D316='BD GN'!$C$41,COTIZACIÓN!W320,IF(COTIZACIÓN!D316='BD GN'!$C$42,COTIZACIÓN!W320,IF(COTIZACIÓN!D316='BD GN'!$C$49,COTIZACIÓN!W320,IF(COTIZACIÓN!D316='BD GN'!$C$50,COTIZACIÓN!W320,IF(COTIZACIÓN!D316='BD GN'!$C$51,COTIZACIÓN!W320,IF(COTIZACIÓN!D316='BD GN'!$C$67,COTIZACIÓN!W320,0))))))))))))))))),0)</f>
        <v>0</v>
      </c>
      <c r="Z320" s="461">
        <f>IFERROR(W320-Y320,0)</f>
        <v>0</v>
      </c>
      <c r="AA320" s="225"/>
      <c r="AB320" s="226"/>
      <c r="AC320" s="206"/>
      <c r="AD320" s="206"/>
      <c r="AE320" s="206"/>
      <c r="AF320" s="227"/>
      <c r="AG320" s="206"/>
      <c r="AH320" s="206"/>
      <c r="AI320" s="206"/>
      <c r="AJ320" s="206"/>
      <c r="AK320" s="227"/>
      <c r="AL320" s="210"/>
      <c r="AM320" s="206"/>
      <c r="AN320" s="206"/>
      <c r="AO320" s="228"/>
      <c r="AP320" s="229"/>
      <c r="AQ320" s="206"/>
      <c r="AR320" s="206"/>
      <c r="AS320" s="228"/>
      <c r="AT320" s="229"/>
      <c r="AU320" s="228"/>
      <c r="AV320" s="229"/>
      <c r="AW320" s="228"/>
      <c r="AX320" s="229"/>
      <c r="AY320" s="206"/>
      <c r="AZ320" s="229"/>
      <c r="BA320" s="210"/>
      <c r="BC320" s="211" t="s">
        <v>117</v>
      </c>
      <c r="BD320" s="210"/>
      <c r="BE320" s="177" t="str">
        <f>IFERROR(VLOOKUP(D316,'BD M.O'!C:I,6,FALSE),"")</f>
        <v/>
      </c>
      <c r="BF320" s="177" t="s">
        <v>261</v>
      </c>
      <c r="BI320" s="210"/>
      <c r="BO320" s="210"/>
      <c r="BP320" s="183"/>
      <c r="BQ320" s="183"/>
      <c r="BR320" s="183"/>
      <c r="BW320" s="210"/>
      <c r="CD320" s="184"/>
      <c r="CF320" s="185"/>
      <c r="CI320" s="184"/>
      <c r="CJ320" s="210"/>
      <c r="CK320" s="563"/>
      <c r="CM320" s="559"/>
      <c r="CN320" s="627"/>
      <c r="CO320" s="630"/>
      <c r="CP320" s="630"/>
      <c r="CQ320" s="630"/>
      <c r="CR320" s="630"/>
      <c r="CS320" s="630"/>
      <c r="CT320" s="633"/>
      <c r="CU320" s="563"/>
      <c r="CV320" s="561"/>
      <c r="CW320" s="563"/>
      <c r="CX320" s="561"/>
      <c r="CY320" s="563"/>
      <c r="CZ320" s="561"/>
      <c r="DA320" s="563"/>
      <c r="DB320" s="561"/>
      <c r="DC320" s="563"/>
      <c r="DD320" s="561"/>
      <c r="DG320" s="576"/>
      <c r="DH320" s="576"/>
      <c r="DI320" s="570"/>
      <c r="DJ320" s="570"/>
      <c r="DK320" s="570"/>
      <c r="DL320" s="570"/>
      <c r="DM320" s="573"/>
      <c r="DN320" s="570"/>
      <c r="DO320" s="570"/>
      <c r="DP320" s="570"/>
      <c r="DQ320" s="570"/>
      <c r="DR320" s="570"/>
      <c r="DS320" s="570"/>
      <c r="DT320" s="570"/>
      <c r="DU320" s="570"/>
      <c r="DV320" s="576"/>
      <c r="DW320" s="576"/>
      <c r="DX320" s="570"/>
      <c r="DY320" s="570"/>
    </row>
    <row r="321" spans="1:194" s="252" customFormat="1" ht="60" customHeight="1" x14ac:dyDescent="0.25">
      <c r="A321" s="368"/>
      <c r="B321" s="369"/>
      <c r="C321" s="396" t="s">
        <v>10</v>
      </c>
      <c r="D321" s="645" t="s">
        <v>32</v>
      </c>
      <c r="E321" s="645"/>
      <c r="F321" s="645"/>
      <c r="G321" s="645"/>
      <c r="H321" s="645"/>
      <c r="I321" s="645"/>
      <c r="J321" s="643"/>
      <c r="K321" s="643"/>
      <c r="L321" s="646"/>
      <c r="M321" s="648"/>
      <c r="N321" s="649"/>
      <c r="O321" s="644"/>
      <c r="P321" s="192"/>
      <c r="Q321" s="239"/>
      <c r="R321" s="334" t="s">
        <v>475</v>
      </c>
      <c r="S321" s="234" t="str">
        <f>IFERROR(IF($C$12='BD GN'!$CC$1,VLOOKUP(COTIZACIÓN!D316,'BD GN'!CB:CG,2,FALSE),IF(COTIZACIÓN!$C$12='BD GN'!$CD$1,VLOOKUP(COTIZACIÓN!D316,'BD GN'!CB:CG,3,FALSE),IF($C$12='BD GN'!$CE$1,VLOOKUP(COTIZACIÓN!D316,'BD GN'!CB:CG,4,FALSE),IF(COTIZACIÓN!$C$12='BD GN'!$CF$1,VLOOKUP(COTIZACIÓN!D316,'BD GN'!CB:CG,5,FALSE),IF(COTIZACIÓN!$C$12='BD GN'!$CG$1,VLOOKUP(COTIZACIÓN!D316,'BD GN'!CB:CG,6,FALSE),""))))),"-")</f>
        <v/>
      </c>
      <c r="T321" s="243"/>
      <c r="U321" s="244"/>
      <c r="V321" s="245"/>
      <c r="W321" s="177" t="s">
        <v>394</v>
      </c>
      <c r="X321" s="246">
        <f>IFERROR(SUM(W316:X316),"")</f>
        <v>0</v>
      </c>
      <c r="Y321" s="166" t="s">
        <v>404</v>
      </c>
      <c r="Z321" s="199" t="str">
        <f>IFERROR(Y316+Z316,"")</f>
        <v/>
      </c>
      <c r="AA321" s="247"/>
      <c r="AB321" s="243"/>
      <c r="AC321" s="244"/>
      <c r="AD321" s="244"/>
      <c r="AE321" s="244"/>
      <c r="AF321" s="227"/>
      <c r="AG321" s="206"/>
      <c r="AH321" s="206"/>
      <c r="AI321" s="206"/>
      <c r="AJ321" s="206"/>
      <c r="AK321" s="227"/>
      <c r="AL321" s="227"/>
      <c r="AM321" s="248"/>
      <c r="AN321" s="248"/>
      <c r="AO321" s="249"/>
      <c r="AP321" s="250"/>
      <c r="AQ321" s="248"/>
      <c r="AR321" s="248"/>
      <c r="AS321" s="249"/>
      <c r="AT321" s="250"/>
      <c r="AU321" s="249"/>
      <c r="AV321" s="250"/>
      <c r="AW321" s="249"/>
      <c r="AX321" s="250"/>
      <c r="AY321" s="248"/>
      <c r="AZ321" s="250"/>
      <c r="BA321" s="210"/>
      <c r="BB321" s="175"/>
      <c r="BC321" s="175" t="s">
        <v>118</v>
      </c>
      <c r="BD321" s="210"/>
      <c r="BE321" s="251" t="str">
        <f>IFERROR(VLOOKUP(D316,'BD M.O'!C:I,7,FALSE),"")</f>
        <v/>
      </c>
      <c r="BF321" s="251" t="s">
        <v>262</v>
      </c>
      <c r="BG321" s="175"/>
      <c r="BH321" s="175"/>
      <c r="BI321" s="210"/>
      <c r="BJ321" s="175"/>
      <c r="BK321" s="175"/>
      <c r="BL321" s="175"/>
      <c r="BM321" s="175"/>
      <c r="BN321" s="175"/>
      <c r="BO321" s="210"/>
      <c r="BP321" s="175"/>
      <c r="BQ321" s="175"/>
      <c r="BR321" s="175"/>
      <c r="BS321" s="183"/>
      <c r="BT321" s="183"/>
      <c r="BU321" s="183"/>
      <c r="BV321" s="183"/>
      <c r="BW321" s="210"/>
      <c r="BX321" s="175"/>
      <c r="BY321" s="175"/>
      <c r="BZ321" s="175"/>
      <c r="CA321" s="175"/>
      <c r="CB321" s="175"/>
      <c r="CC321" s="175"/>
      <c r="CD321" s="184"/>
      <c r="CE321" s="175"/>
      <c r="CF321" s="185"/>
      <c r="CG321" s="175"/>
      <c r="CH321" s="175"/>
      <c r="CI321" s="184"/>
      <c r="CJ321" s="210"/>
      <c r="CK321" s="564"/>
      <c r="CL321" s="257"/>
      <c r="CM321" s="597"/>
      <c r="CN321" s="628"/>
      <c r="CO321" s="631"/>
      <c r="CP321" s="631"/>
      <c r="CQ321" s="631"/>
      <c r="CR321" s="631"/>
      <c r="CS321" s="631"/>
      <c r="CT321" s="634"/>
      <c r="CU321" s="564"/>
      <c r="CV321" s="562"/>
      <c r="CW321" s="564"/>
      <c r="CX321" s="562"/>
      <c r="CY321" s="564"/>
      <c r="CZ321" s="562"/>
      <c r="DA321" s="564"/>
      <c r="DB321" s="562"/>
      <c r="DC321" s="564"/>
      <c r="DD321" s="562"/>
      <c r="DE321" s="175"/>
      <c r="DF321" s="175"/>
      <c r="DG321" s="577"/>
      <c r="DH321" s="577"/>
      <c r="DI321" s="571"/>
      <c r="DJ321" s="571"/>
      <c r="DK321" s="571"/>
      <c r="DL321" s="571"/>
      <c r="DM321" s="574"/>
      <c r="DN321" s="571"/>
      <c r="DO321" s="571"/>
      <c r="DP321" s="571"/>
      <c r="DQ321" s="571"/>
      <c r="DR321" s="571"/>
      <c r="DS321" s="571"/>
      <c r="DT321" s="571"/>
      <c r="DU321" s="571"/>
      <c r="DV321" s="577"/>
      <c r="DW321" s="577"/>
      <c r="DX321" s="571"/>
      <c r="DY321" s="571"/>
      <c r="DZ321" s="175"/>
      <c r="EA321" s="175"/>
      <c r="EB321" s="175"/>
      <c r="EC321" s="175"/>
      <c r="ED321" s="175"/>
      <c r="EE321" s="175"/>
      <c r="EF321" s="175"/>
      <c r="EG321" s="175"/>
      <c r="EH321" s="175"/>
      <c r="EI321" s="175"/>
      <c r="EJ321" s="175"/>
      <c r="EK321" s="175"/>
      <c r="EL321" s="175"/>
      <c r="EM321" s="175"/>
      <c r="EN321" s="175"/>
      <c r="EO321" s="175"/>
      <c r="EP321" s="175"/>
      <c r="EQ321" s="175"/>
      <c r="ER321" s="175"/>
      <c r="ES321" s="175"/>
      <c r="ET321" s="175"/>
      <c r="EU321" s="175"/>
      <c r="EV321" s="175"/>
      <c r="EW321" s="175"/>
      <c r="EX321" s="175"/>
      <c r="EY321" s="175"/>
      <c r="EZ321" s="175"/>
      <c r="FA321" s="175"/>
      <c r="FB321" s="175"/>
      <c r="FC321" s="175"/>
      <c r="FD321" s="175"/>
      <c r="FE321" s="175"/>
      <c r="FF321" s="175"/>
      <c r="FG321" s="175"/>
      <c r="FH321" s="175"/>
      <c r="FI321" s="175"/>
      <c r="FJ321" s="175"/>
      <c r="FK321" s="175"/>
      <c r="FL321" s="175"/>
      <c r="FM321" s="175"/>
      <c r="FN321" s="175"/>
      <c r="FO321" s="175"/>
      <c r="FP321" s="175"/>
      <c r="FQ321" s="175"/>
      <c r="FR321" s="175"/>
      <c r="FS321" s="175"/>
      <c r="FT321" s="175"/>
      <c r="FU321" s="175"/>
      <c r="FV321" s="175"/>
      <c r="FW321" s="175"/>
      <c r="FX321" s="175"/>
      <c r="FY321" s="175"/>
      <c r="FZ321" s="175"/>
      <c r="GA321" s="175"/>
      <c r="GB321" s="175"/>
      <c r="GC321" s="175"/>
      <c r="GD321" s="175"/>
      <c r="GE321" s="175"/>
      <c r="GF321" s="175"/>
      <c r="GG321" s="175"/>
      <c r="GH321" s="175"/>
      <c r="GI321" s="175"/>
      <c r="GJ321" s="175"/>
      <c r="GK321" s="175"/>
      <c r="GL321" s="175"/>
    </row>
    <row r="322" spans="1:194" s="255" customFormat="1" ht="60" customHeight="1" x14ac:dyDescent="0.3">
      <c r="A322" s="362" t="s">
        <v>193</v>
      </c>
      <c r="B322" s="363" t="s">
        <v>25</v>
      </c>
      <c r="C322" s="391" t="s">
        <v>174</v>
      </c>
      <c r="D322" s="640" t="s">
        <v>173</v>
      </c>
      <c r="E322" s="640"/>
      <c r="F322" s="640"/>
      <c r="G322" s="640"/>
      <c r="H322" s="640"/>
      <c r="I322" s="640"/>
      <c r="J322" s="418" t="s">
        <v>443</v>
      </c>
      <c r="K322" s="418" t="s">
        <v>444</v>
      </c>
      <c r="L322" s="418" t="s">
        <v>171</v>
      </c>
      <c r="M322" s="363" t="s">
        <v>2</v>
      </c>
      <c r="N322" s="419" t="s">
        <v>7</v>
      </c>
      <c r="O322" s="420" t="s">
        <v>8</v>
      </c>
      <c r="P322" s="159"/>
      <c r="Q322" s="164" t="s">
        <v>93</v>
      </c>
      <c r="R322" s="164" t="s">
        <v>34</v>
      </c>
      <c r="S322" s="164" t="s">
        <v>28</v>
      </c>
      <c r="T322" s="164" t="s">
        <v>95</v>
      </c>
      <c r="U322" s="164" t="s">
        <v>96</v>
      </c>
      <c r="V322" s="164" t="s">
        <v>97</v>
      </c>
      <c r="W322" s="164" t="s">
        <v>4</v>
      </c>
      <c r="X322" s="164" t="s">
        <v>103</v>
      </c>
      <c r="Y322" s="160" t="s">
        <v>402</v>
      </c>
      <c r="Z322" s="165" t="s">
        <v>403</v>
      </c>
      <c r="AA322" s="166" t="s">
        <v>404</v>
      </c>
      <c r="AB322" s="164" t="s">
        <v>99</v>
      </c>
      <c r="AC322" s="164" t="s">
        <v>395</v>
      </c>
      <c r="AD322" s="253" t="s">
        <v>36</v>
      </c>
      <c r="AE322" s="164" t="s">
        <v>389</v>
      </c>
      <c r="AF322" s="164" t="s">
        <v>390</v>
      </c>
      <c r="AG322" s="164" t="s">
        <v>164</v>
      </c>
      <c r="AH322" s="253" t="s">
        <v>396</v>
      </c>
      <c r="AI322" s="164" t="s">
        <v>190</v>
      </c>
      <c r="AJ322" s="164" t="s">
        <v>339</v>
      </c>
      <c r="AK322" s="253" t="s">
        <v>391</v>
      </c>
      <c r="AL322" s="253" t="s">
        <v>393</v>
      </c>
      <c r="AM322" s="167" t="s">
        <v>93</v>
      </c>
      <c r="AN322" s="168" t="s">
        <v>34</v>
      </c>
      <c r="AO322" s="169" t="s">
        <v>28</v>
      </c>
      <c r="AP322" s="170" t="s">
        <v>95</v>
      </c>
      <c r="AQ322" s="167" t="s">
        <v>3</v>
      </c>
      <c r="AR322" s="167" t="s">
        <v>96</v>
      </c>
      <c r="AS322" s="169" t="s">
        <v>97</v>
      </c>
      <c r="AT322" s="170" t="s">
        <v>4</v>
      </c>
      <c r="AU322" s="169" t="s">
        <v>103</v>
      </c>
      <c r="AV322" s="170" t="s">
        <v>99</v>
      </c>
      <c r="AW322" s="169" t="s">
        <v>36</v>
      </c>
      <c r="AX322" s="171" t="s">
        <v>29</v>
      </c>
      <c r="AY322" s="172" t="s">
        <v>190</v>
      </c>
      <c r="AZ322" s="173" t="s">
        <v>102</v>
      </c>
      <c r="BA322" s="174"/>
      <c r="BB322" s="183"/>
      <c r="BC322" s="211" t="s">
        <v>119</v>
      </c>
      <c r="BD322" s="174"/>
      <c r="BE322" s="176" t="s">
        <v>189</v>
      </c>
      <c r="BF322" s="177" t="str">
        <f>$BF$13</f>
        <v xml:space="preserve">VR SILICONA </v>
      </c>
      <c r="BG322" s="177" t="str">
        <f>$BG$13</f>
        <v xml:space="preserve">VR PELÍCULA </v>
      </c>
      <c r="BH322" s="254" t="str">
        <f>$BH$13</f>
        <v>VR EMBALAJE</v>
      </c>
      <c r="BI322" s="174"/>
      <c r="BJ322" s="176" t="str">
        <f>$BJ$13</f>
        <v>ESP. CRISTAL</v>
      </c>
      <c r="BK322" s="176" t="s">
        <v>130</v>
      </c>
      <c r="BL322" s="177" t="s">
        <v>28</v>
      </c>
      <c r="BM322" s="177" t="str">
        <f>BM315</f>
        <v>TOTAL</v>
      </c>
      <c r="BN322" s="177" t="s">
        <v>133</v>
      </c>
      <c r="BO322" s="174"/>
      <c r="BP322" s="175"/>
      <c r="BQ322" s="175"/>
      <c r="BR322" s="175"/>
      <c r="BS322" s="175"/>
      <c r="BT322" s="175"/>
      <c r="BU322" s="175"/>
      <c r="BV322" s="175"/>
      <c r="BW322" s="174"/>
      <c r="BX322" s="175"/>
      <c r="BY322" s="175"/>
      <c r="BZ322" s="175"/>
      <c r="CA322" s="175"/>
      <c r="CB322" s="175"/>
      <c r="CC322" s="175"/>
      <c r="CD322" s="184"/>
      <c r="CE322" s="175"/>
      <c r="CF322" s="185"/>
      <c r="CG322" s="175"/>
      <c r="CH322" s="175"/>
      <c r="CI322" s="184"/>
      <c r="CJ322" s="174"/>
      <c r="CK322" s="186" t="s">
        <v>415</v>
      </c>
      <c r="CL322" s="187" t="s">
        <v>417</v>
      </c>
      <c r="CM322" s="187" t="s">
        <v>416</v>
      </c>
      <c r="CN322" s="188" t="s">
        <v>418</v>
      </c>
      <c r="CO322" s="187" t="s">
        <v>417</v>
      </c>
      <c r="CP322" s="187" t="s">
        <v>409</v>
      </c>
      <c r="CQ322" s="187" t="s">
        <v>410</v>
      </c>
      <c r="CR322" s="187" t="s">
        <v>411</v>
      </c>
      <c r="CS322" s="187" t="s">
        <v>412</v>
      </c>
      <c r="CT322" s="187" t="s">
        <v>413</v>
      </c>
      <c r="CU322" s="189" t="s">
        <v>2</v>
      </c>
      <c r="CV322" s="190" t="s">
        <v>159</v>
      </c>
      <c r="CW322" s="189" t="s">
        <v>2</v>
      </c>
      <c r="CX322" s="190" t="s">
        <v>159</v>
      </c>
      <c r="CY322" s="189" t="s">
        <v>2</v>
      </c>
      <c r="CZ322" s="190" t="s">
        <v>159</v>
      </c>
      <c r="DA322" s="189" t="s">
        <v>2</v>
      </c>
      <c r="DB322" s="190" t="s">
        <v>159</v>
      </c>
      <c r="DC322" s="189" t="s">
        <v>2</v>
      </c>
      <c r="DD322" s="190" t="s">
        <v>159</v>
      </c>
      <c r="DE322" s="183"/>
      <c r="DF322" s="183"/>
      <c r="DG322" s="177" t="s">
        <v>505</v>
      </c>
      <c r="DH322" s="472" t="s">
        <v>509</v>
      </c>
      <c r="DI322" s="457" t="s">
        <v>506</v>
      </c>
      <c r="DJ322" s="457" t="s">
        <v>134</v>
      </c>
      <c r="DK322" s="457" t="s">
        <v>498</v>
      </c>
      <c r="DL322" s="457" t="s">
        <v>499</v>
      </c>
      <c r="DM322" s="457" t="s">
        <v>500</v>
      </c>
      <c r="DN322" s="457" t="s">
        <v>131</v>
      </c>
      <c r="DO322" s="457" t="s">
        <v>390</v>
      </c>
      <c r="DP322" s="457" t="s">
        <v>36</v>
      </c>
      <c r="DQ322" s="457" t="s">
        <v>501</v>
      </c>
      <c r="DR322" s="457" t="s">
        <v>502</v>
      </c>
      <c r="DS322" s="457" t="s">
        <v>503</v>
      </c>
      <c r="DT322" s="457" t="s">
        <v>4</v>
      </c>
      <c r="DU322" s="457" t="s">
        <v>504</v>
      </c>
      <c r="DV322" s="466" t="s">
        <v>507</v>
      </c>
      <c r="DW322" s="466" t="s">
        <v>508</v>
      </c>
      <c r="DX322" s="457" t="s">
        <v>510</v>
      </c>
      <c r="DY322" s="457" t="s">
        <v>511</v>
      </c>
      <c r="DZ322" s="183"/>
      <c r="EA322" s="183"/>
      <c r="EB322" s="183"/>
      <c r="EC322" s="183"/>
      <c r="ED322" s="183"/>
      <c r="EE322" s="183"/>
      <c r="EF322" s="183"/>
      <c r="EG322" s="183"/>
      <c r="EH322" s="183"/>
      <c r="EI322" s="183"/>
      <c r="EJ322" s="183"/>
      <c r="EK322" s="183"/>
      <c r="EL322" s="183"/>
      <c r="EM322" s="183"/>
      <c r="EN322" s="183"/>
      <c r="EO322" s="183"/>
      <c r="EP322" s="183"/>
      <c r="EQ322" s="183"/>
      <c r="ER322" s="183"/>
      <c r="ES322" s="183"/>
      <c r="ET322" s="183"/>
      <c r="EU322" s="183"/>
      <c r="EV322" s="183"/>
      <c r="EW322" s="183"/>
      <c r="EX322" s="183"/>
      <c r="EY322" s="183"/>
      <c r="EZ322" s="183"/>
      <c r="FA322" s="183"/>
      <c r="FB322" s="183"/>
      <c r="FC322" s="183"/>
      <c r="FD322" s="183"/>
      <c r="FE322" s="183"/>
      <c r="FF322" s="183"/>
      <c r="FG322" s="183"/>
      <c r="FH322" s="183"/>
      <c r="FI322" s="183"/>
      <c r="FJ322" s="183"/>
      <c r="FK322" s="183"/>
      <c r="FL322" s="183"/>
      <c r="FM322" s="183"/>
      <c r="FN322" s="183"/>
      <c r="FO322" s="183"/>
      <c r="FP322" s="183"/>
      <c r="FQ322" s="183"/>
      <c r="FR322" s="183"/>
      <c r="FS322" s="183"/>
      <c r="FT322" s="183"/>
      <c r="FU322" s="183"/>
      <c r="FV322" s="183"/>
      <c r="FW322" s="183"/>
      <c r="FX322" s="183"/>
      <c r="FY322" s="183"/>
      <c r="FZ322" s="183"/>
      <c r="GA322" s="183"/>
      <c r="GB322" s="183"/>
      <c r="GC322" s="183"/>
      <c r="GD322" s="183"/>
      <c r="GE322" s="183"/>
      <c r="GF322" s="183"/>
      <c r="GG322" s="183"/>
      <c r="GH322" s="183"/>
      <c r="GI322" s="183"/>
      <c r="GJ322" s="183"/>
      <c r="GK322" s="183"/>
      <c r="GL322" s="183"/>
    </row>
    <row r="323" spans="1:194" s="175" customFormat="1" ht="60" customHeight="1" x14ac:dyDescent="0.3">
      <c r="A323" s="364"/>
      <c r="B323" s="365"/>
      <c r="C323" s="392" t="s">
        <v>27</v>
      </c>
      <c r="D323" s="641"/>
      <c r="E323" s="641"/>
      <c r="F323" s="641"/>
      <c r="G323" s="641"/>
      <c r="H323" s="641"/>
      <c r="I323" s="641"/>
      <c r="J323" s="642"/>
      <c r="K323" s="642"/>
      <c r="L323" s="622">
        <f>J323*K323*M323</f>
        <v>0</v>
      </c>
      <c r="M323" s="623"/>
      <c r="N323" s="620">
        <f>IFERROR(AL323,"")</f>
        <v>1.0765546639999999</v>
      </c>
      <c r="O323" s="621">
        <f>IFERROR(N323*M323,"")</f>
        <v>0</v>
      </c>
      <c r="P323" s="192"/>
      <c r="Q323" s="193">
        <f>Q324+BF323+($R$350*Q324)</f>
        <v>0</v>
      </c>
      <c r="R323" s="193">
        <f>IFERROR(R324+($R$348*R324),"")</f>
        <v>0</v>
      </c>
      <c r="S323" s="194">
        <f>+IF(R325="SI",((W327*'BD GN'!$AB$2)+S324)*1,COTIZACIÓN!S324*1)+(P324*S324)</f>
        <v>0</v>
      </c>
      <c r="T323" s="195">
        <f>IFERROR(R323*IF(K323&lt;=3,$T$13,15%),"")</f>
        <v>0</v>
      </c>
      <c r="U323" s="196">
        <f>BH323+BG323</f>
        <v>0</v>
      </c>
      <c r="V323" s="197" t="str">
        <f>IFERROR(BN323,0)</f>
        <v/>
      </c>
      <c r="W323" s="198" t="str">
        <f>IFERROR(IF(X325="SI",W326*J323*K323,IF(BE323=3,BE325,IF(BE323=4,BE326,IF(BE323=5,BE327,IF(BE323&gt;5,BE327+(BE328*(BE323-5)),"")))))*0,"")</f>
        <v/>
      </c>
      <c r="X323" s="198" t="str">
        <f>IFERROR(IF(X324="NO",(VLOOKUP(D323,'BD M.O'!C:E,3,FALSE))*W327,((VLOOKUP(D323,'BD M.O'!C:E,3,FALSE))+7500)*W327),"")</f>
        <v/>
      </c>
      <c r="Y323" s="198">
        <f>IFERROR($Y$13*AK323,"")</f>
        <v>4.2084457416288003E-2</v>
      </c>
      <c r="Z323" s="332" t="str">
        <f>IFERROR(($Z$13*AK323)+X323,"")</f>
        <v/>
      </c>
      <c r="AA323" s="199" t="str">
        <f>IFERROR(Y323+Z323,"")</f>
        <v/>
      </c>
      <c r="AB323" s="200">
        <f>IFERROR((SUM(Q323:X323)-T323+T325)*$AB$13,"")</f>
        <v>0</v>
      </c>
      <c r="AC323" s="201">
        <f>IFERROR(((SUM(Q323:V323,IF(X328&gt;AA323,AVERAGE(X328,AA323),AA323))-T323+T325))*$AB$13,"")</f>
        <v>0</v>
      </c>
      <c r="AD323" s="202" t="str">
        <f>IFERROR((J323*K323*$BV$14),"")</f>
        <v/>
      </c>
      <c r="AE323" s="202">
        <f>IFERROR($AE$13*AK323,"")</f>
        <v>6.4010592649919984E-2</v>
      </c>
      <c r="AF323" s="203" t="str">
        <f>IFERROR(($CI$11+$CI$13)*W327,"")</f>
        <v/>
      </c>
      <c r="AG323" s="202">
        <f>IFERROR((SUM(Q323:X323,AB323,AD323,AF323)-T323+T325)*$AG$13,"")</f>
        <v>0</v>
      </c>
      <c r="AH323" s="202">
        <f>IFERROR((SUM(Q323:V323,(IF(X328&gt;AA323,AVERAGE(X328,AA323),AA323)),AC323,AE323,AF323)-T323+T325)*$AG$13,"")</f>
        <v>3.2005296324959992E-2</v>
      </c>
      <c r="AI323" s="204">
        <f>IFERROR(AL323*$AI$13,"")</f>
        <v>2.1531093279999997E-2</v>
      </c>
      <c r="AJ323" s="204">
        <f>IFERROR($AJ$13*AL323,"")</f>
        <v>6.007175025119999E-3</v>
      </c>
      <c r="AK323" s="205">
        <f>IFERROR(SUM(Q323:X323,AB323,AD323,AG323,AF323)/(1-$AI$13)+(1-$AJ$13)-T323+T325,"")</f>
        <v>0.99441999999999997</v>
      </c>
      <c r="AL323" s="205">
        <f>IFERROR(SUM(Q323:V323,AC323,(IF(AD323&gt;AE323,AVERAGE(AD323,AE323),AE323)),AF323,,AH323,(IF(SUM(X328)&gt;AA323,AVERAGE(AA323,X328),AA323)))/(1-$AJ$13)+(1-$AI$13)-T323+T325,"")</f>
        <v>1.0765546639999999</v>
      </c>
      <c r="AM323" s="206">
        <f>$M$15*Q323</f>
        <v>0</v>
      </c>
      <c r="AN323" s="207">
        <f>$M$15*R323</f>
        <v>0</v>
      </c>
      <c r="AO323" s="208">
        <f>$M$15*S323</f>
        <v>0</v>
      </c>
      <c r="AP323" s="207">
        <f>$M$15*T323</f>
        <v>0</v>
      </c>
      <c r="AQ323" s="207" t="e">
        <f>$M$15*#REF!</f>
        <v>#REF!</v>
      </c>
      <c r="AR323" s="207">
        <f>$M$15*U323</f>
        <v>0</v>
      </c>
      <c r="AS323" s="208" t="e">
        <f>$M$15*V323</f>
        <v>#VALUE!</v>
      </c>
      <c r="AT323" s="207" t="e">
        <f>$M$15*W323</f>
        <v>#VALUE!</v>
      </c>
      <c r="AU323" s="208" t="e">
        <f>$M$15*X323</f>
        <v>#VALUE!</v>
      </c>
      <c r="AV323" s="207">
        <f>$M$15*AB323</f>
        <v>0</v>
      </c>
      <c r="AW323" s="208">
        <f>$M$15*AE323</f>
        <v>0</v>
      </c>
      <c r="AX323" s="207">
        <f>$M$15*AG323</f>
        <v>0</v>
      </c>
      <c r="AY323" s="209">
        <f>$M$15*AI323</f>
        <v>0</v>
      </c>
      <c r="AZ323" s="207">
        <f>$M$15*AK323</f>
        <v>0</v>
      </c>
      <c r="BA323" s="210"/>
      <c r="BB323" s="175" t="s">
        <v>23</v>
      </c>
      <c r="BC323" s="211" t="s">
        <v>113</v>
      </c>
      <c r="BD323" s="210"/>
      <c r="BE323" s="212"/>
      <c r="BF323" s="213">
        <f>IF(BH324="NO",((2*J323)+(2*K323))*'BD GN'!$AU$3,((3*J323)+(2*K323))*'BD GN'!$AU$3)</f>
        <v>0</v>
      </c>
      <c r="BG323" s="213">
        <f>'BD GN'!$BB$3*J323*K323</f>
        <v>0</v>
      </c>
      <c r="BH323" s="214">
        <f>((J323*2*BE323)+(K323*2*BE323))*'BD GN'!$AN$4</f>
        <v>0</v>
      </c>
      <c r="BI323" s="210"/>
      <c r="BJ323" s="212"/>
      <c r="BK323" s="212"/>
      <c r="BL323" s="215">
        <f>J323*K323*2.5*BJ323</f>
        <v>0</v>
      </c>
      <c r="BM323" s="215">
        <f>BK323+BL323</f>
        <v>0</v>
      </c>
      <c r="BN323" s="216" t="str">
        <f>IFERROR((VLOOKUP($C$12,'BD GN'!BD:BM,10,FALSE)*BM323)+$BR$338,"")</f>
        <v/>
      </c>
      <c r="BO323" s="210"/>
      <c r="BW323" s="210"/>
      <c r="CD323" s="184"/>
      <c r="CF323" s="185"/>
      <c r="CI323" s="184"/>
      <c r="CJ323" s="210"/>
      <c r="CK323" s="565"/>
      <c r="CL323" s="256"/>
      <c r="CM323" s="596"/>
      <c r="CN323" s="626"/>
      <c r="CO323" s="629"/>
      <c r="CP323" s="629"/>
      <c r="CQ323" s="629"/>
      <c r="CR323" s="629"/>
      <c r="CS323" s="629"/>
      <c r="CT323" s="632"/>
      <c r="CU323" s="565"/>
      <c r="CV323" s="560">
        <f>IFERROR(N323*CU323,"")</f>
        <v>0</v>
      </c>
      <c r="CW323" s="565"/>
      <c r="CX323" s="560">
        <f>IFERROR(P323*CW323,"")</f>
        <v>0</v>
      </c>
      <c r="CY323" s="565"/>
      <c r="CZ323" s="560">
        <f>IFERROR(R323*CY323,"")</f>
        <v>0</v>
      </c>
      <c r="DA323" s="565">
        <f t="shared" ref="DA323" si="1266">CU323+CW323+CY323</f>
        <v>0</v>
      </c>
      <c r="DB323" s="560">
        <f t="shared" ref="DB323" si="1267">IFERROR(CV323+CX323+CZ323,"")</f>
        <v>0</v>
      </c>
      <c r="DC323" s="565">
        <f>M323-(CU323+CW323+CY323)</f>
        <v>0</v>
      </c>
      <c r="DD323" s="560">
        <f>IFERROR(O323-(CV323+CX323+CZ323),"")</f>
        <v>0</v>
      </c>
      <c r="DG323" s="575"/>
      <c r="DH323" s="575"/>
      <c r="DI323" s="569">
        <f t="shared" ref="DI323" si="1268">IFERROR(IF(DG323&gt;0,(((N323)/(1+10%+19%*5%)+((N323)/(1+10%+19%*5%))*10%)*DH323),0),0)</f>
        <v>0</v>
      </c>
      <c r="DJ323" s="569">
        <f t="shared" ref="DJ323" si="1269">IFERROR(IF(DG323&gt;0,(N323*DH323),0),0)</f>
        <v>0</v>
      </c>
      <c r="DK323" s="569">
        <f t="shared" ref="DK323" si="1270">IF(DG323&gt;0,((R323+T323)*DH323),0)</f>
        <v>0</v>
      </c>
      <c r="DL323" s="569">
        <f t="shared" ref="DL323" si="1271">IF(DG323&gt;0,(Q323*DH323),0)</f>
        <v>0</v>
      </c>
      <c r="DM323" s="572">
        <f t="shared" ref="DM323" si="1272">IF(DG323&gt;0,(S323*DH323),0)</f>
        <v>0</v>
      </c>
      <c r="DN323" s="569">
        <f t="shared" ref="DN323" si="1273">IF(DG323&gt;0,(BN323*DH323),0)</f>
        <v>0</v>
      </c>
      <c r="DO323" s="569">
        <f t="shared" ref="DO323" si="1274">IF(DG323&gt;0,(AF323*DH323),0)</f>
        <v>0</v>
      </c>
      <c r="DP323" s="569">
        <f>IF(DG323&gt;0,((DI323)*('BD P&amp;G'!$E$16+'BD P&amp;G'!$E$17+'BD P&amp;G'!$E$18+'BD P&amp;G'!$E$19+'BD P&amp;G'!$E$20+'BD P&amp;G'!$E$21+'BD P&amp;G'!$E$22+'BD P&amp;G'!$E$23)*DH323),0)</f>
        <v>0</v>
      </c>
      <c r="DQ323" s="569">
        <f>IFERROR(IF(DG323&gt;0,((DI323*'BD P&amp;G'!$E$7)+(DI323*'BD P&amp;G'!$E$9)+AI323),0),0)</f>
        <v>0</v>
      </c>
      <c r="DR323" s="569">
        <f t="shared" ref="DR323" si="1275">IFERROR(IF(DG323&gt;0,((DI323*1%)),0),0)</f>
        <v>0</v>
      </c>
      <c r="DS323" s="569">
        <f>IFERROR(IF(DG323&gt;0,(((DI323*'BD P&amp;G'!$E$32+DI323*'BD P&amp;G'!$E$33+DI323*'BD P&amp;G'!$E$35+DI323*'BD P&amp;G'!$E$36+DI323*'BD P&amp;G'!$E$37))),0),0)</f>
        <v>0</v>
      </c>
      <c r="DT323" s="569">
        <f t="shared" ref="DT323" si="1276">IF(DG323&gt;0,(Y323*DH323),0)</f>
        <v>0</v>
      </c>
      <c r="DU323" s="569">
        <f t="shared" ref="DU323" si="1277">IF(DG323&gt;0,(Z323*DH323),0)</f>
        <v>0</v>
      </c>
      <c r="DV323" s="575">
        <f t="shared" ref="DV323" si="1278">IF(DG323&gt;0,(Y327*DH323),0)</f>
        <v>0</v>
      </c>
      <c r="DW323" s="575">
        <f t="shared" ref="DW323" si="1279">IF(DG323&gt;0,(Z327*DH323),0)</f>
        <v>0</v>
      </c>
      <c r="DX323" s="569">
        <f t="shared" ref="DX323" si="1280">IF(DV323&gt;0,DJ323,0)</f>
        <v>0</v>
      </c>
      <c r="DY323" s="569">
        <f t="shared" ref="DY323" si="1281">IF(DW323&gt;0,DJ323,0)</f>
        <v>0</v>
      </c>
    </row>
    <row r="324" spans="1:194" s="175" customFormat="1" ht="60" customHeight="1" x14ac:dyDescent="0.25">
      <c r="A324" s="366"/>
      <c r="B324" s="367"/>
      <c r="C324" s="393" t="s">
        <v>28</v>
      </c>
      <c r="D324" s="598"/>
      <c r="E324" s="598"/>
      <c r="F324" s="598"/>
      <c r="G324" s="598"/>
      <c r="H324" s="598"/>
      <c r="I324" s="598"/>
      <c r="J324" s="604"/>
      <c r="K324" s="604"/>
      <c r="L324" s="607"/>
      <c r="M324" s="559"/>
      <c r="N324" s="610"/>
      <c r="O324" s="613"/>
      <c r="P324" s="192"/>
      <c r="Q324" s="217"/>
      <c r="R324" s="217"/>
      <c r="S324" s="218"/>
      <c r="T324" s="219">
        <f>IFERROR(T323/$R$353,"")</f>
        <v>0</v>
      </c>
      <c r="U324" s="206"/>
      <c r="V324" s="220"/>
      <c r="W324" s="221" t="s">
        <v>239</v>
      </c>
      <c r="X324" s="222" t="s">
        <v>204</v>
      </c>
      <c r="Y324" s="223"/>
      <c r="Z324" s="224"/>
      <c r="AA324" s="225"/>
      <c r="AB324" s="226"/>
      <c r="AC324" s="206"/>
      <c r="AD324" s="206"/>
      <c r="AE324" s="206"/>
      <c r="AF324" s="227"/>
      <c r="AG324" s="206"/>
      <c r="AH324" s="206"/>
      <c r="AI324" s="206"/>
      <c r="AJ324" s="206"/>
      <c r="AK324" s="227"/>
      <c r="AL324" s="210"/>
      <c r="AM324" s="206"/>
      <c r="AN324" s="206"/>
      <c r="AO324" s="228"/>
      <c r="AP324" s="229"/>
      <c r="AQ324" s="206"/>
      <c r="AR324" s="206"/>
      <c r="AS324" s="228"/>
      <c r="AT324" s="229"/>
      <c r="AU324" s="228"/>
      <c r="AV324" s="229"/>
      <c r="AW324" s="228"/>
      <c r="AX324" s="229"/>
      <c r="AY324" s="206"/>
      <c r="AZ324" s="229"/>
      <c r="BA324" s="210"/>
      <c r="BB324" s="175" t="s">
        <v>24</v>
      </c>
      <c r="BC324" s="175" t="s">
        <v>114</v>
      </c>
      <c r="BD324" s="210"/>
      <c r="BE324" s="176" t="s">
        <v>206</v>
      </c>
      <c r="BF324" s="230" t="s">
        <v>204</v>
      </c>
      <c r="BG324" s="176" t="s">
        <v>290</v>
      </c>
      <c r="BH324" s="231" t="s">
        <v>204</v>
      </c>
      <c r="BI324" s="210"/>
      <c r="BN324" s="232"/>
      <c r="BO324" s="210"/>
      <c r="BV324" s="184"/>
      <c r="BW324" s="210"/>
      <c r="CD324" s="184"/>
      <c r="CF324" s="185"/>
      <c r="CI324" s="184"/>
      <c r="CJ324" s="210"/>
      <c r="CK324" s="563"/>
      <c r="CM324" s="559"/>
      <c r="CN324" s="627"/>
      <c r="CO324" s="630"/>
      <c r="CP324" s="630"/>
      <c r="CQ324" s="630"/>
      <c r="CR324" s="630"/>
      <c r="CS324" s="630"/>
      <c r="CT324" s="633"/>
      <c r="CU324" s="563"/>
      <c r="CV324" s="561"/>
      <c r="CW324" s="563"/>
      <c r="CX324" s="561"/>
      <c r="CY324" s="563"/>
      <c r="CZ324" s="561"/>
      <c r="DA324" s="563"/>
      <c r="DB324" s="561"/>
      <c r="DC324" s="563"/>
      <c r="DD324" s="561"/>
      <c r="DG324" s="576"/>
      <c r="DH324" s="576"/>
      <c r="DI324" s="570"/>
      <c r="DJ324" s="570"/>
      <c r="DK324" s="570"/>
      <c r="DL324" s="570"/>
      <c r="DM324" s="573"/>
      <c r="DN324" s="570"/>
      <c r="DO324" s="570"/>
      <c r="DP324" s="570"/>
      <c r="DQ324" s="570"/>
      <c r="DR324" s="570"/>
      <c r="DS324" s="570"/>
      <c r="DT324" s="570"/>
      <c r="DU324" s="570"/>
      <c r="DV324" s="576"/>
      <c r="DW324" s="576"/>
      <c r="DX324" s="570"/>
      <c r="DY324" s="570"/>
    </row>
    <row r="325" spans="1:194" s="175" customFormat="1" ht="60" customHeight="1" x14ac:dyDescent="0.3">
      <c r="A325" s="366"/>
      <c r="B325" s="367"/>
      <c r="C325" s="393" t="s">
        <v>30</v>
      </c>
      <c r="D325" s="599"/>
      <c r="E325" s="599"/>
      <c r="F325" s="599"/>
      <c r="G325" s="599"/>
      <c r="H325" s="599"/>
      <c r="I325" s="599"/>
      <c r="J325" s="604"/>
      <c r="K325" s="604"/>
      <c r="L325" s="607"/>
      <c r="M325" s="559"/>
      <c r="N325" s="610"/>
      <c r="O325" s="613"/>
      <c r="P325" s="192"/>
      <c r="Q325" s="176" t="s">
        <v>205</v>
      </c>
      <c r="R325" s="233" t="s">
        <v>204</v>
      </c>
      <c r="S325" s="234"/>
      <c r="T325" s="235">
        <f>IFERROR(($R$353-8000)*T324,"")</f>
        <v>0</v>
      </c>
      <c r="U325" s="206"/>
      <c r="V325" s="220"/>
      <c r="W325" s="221" t="s">
        <v>258</v>
      </c>
      <c r="X325" s="222" t="s">
        <v>204</v>
      </c>
      <c r="Y325" s="236"/>
      <c r="Z325" s="237"/>
      <c r="AA325" s="225"/>
      <c r="AB325" s="226"/>
      <c r="AC325" s="206"/>
      <c r="AD325" s="206"/>
      <c r="AE325" s="206"/>
      <c r="AF325" s="227"/>
      <c r="AG325" s="206"/>
      <c r="AH325" s="206"/>
      <c r="AI325" s="206"/>
      <c r="AJ325" s="206"/>
      <c r="AK325" s="227"/>
      <c r="AL325" s="238"/>
      <c r="AM325" s="206"/>
      <c r="AN325" s="206"/>
      <c r="AO325" s="228"/>
      <c r="AP325" s="229"/>
      <c r="AQ325" s="206"/>
      <c r="AR325" s="206"/>
      <c r="AS325" s="228"/>
      <c r="AT325" s="229"/>
      <c r="AU325" s="228"/>
      <c r="AV325" s="229"/>
      <c r="AW325" s="228"/>
      <c r="AX325" s="229"/>
      <c r="AY325" s="206"/>
      <c r="AZ325" s="229"/>
      <c r="BA325" s="210"/>
      <c r="BB325" s="175" t="s">
        <v>26</v>
      </c>
      <c r="BC325" s="211" t="s">
        <v>115</v>
      </c>
      <c r="BD325" s="210"/>
      <c r="BE325" s="177" t="str">
        <f>IFERROR(VLOOKUP(D323,'BD M.O'!C:H,4,FALSE),"")</f>
        <v/>
      </c>
      <c r="BF325" s="177" t="s">
        <v>259</v>
      </c>
      <c r="BI325" s="210"/>
      <c r="BO325" s="210"/>
      <c r="BV325" s="184"/>
      <c r="BW325" s="210"/>
      <c r="CD325" s="184"/>
      <c r="CF325" s="185"/>
      <c r="CI325" s="184"/>
      <c r="CJ325" s="210"/>
      <c r="CK325" s="563"/>
      <c r="CM325" s="559"/>
      <c r="CN325" s="627"/>
      <c r="CO325" s="630"/>
      <c r="CP325" s="630"/>
      <c r="CQ325" s="630"/>
      <c r="CR325" s="630"/>
      <c r="CS325" s="630"/>
      <c r="CT325" s="633"/>
      <c r="CU325" s="563"/>
      <c r="CV325" s="561"/>
      <c r="CW325" s="563"/>
      <c r="CX325" s="561"/>
      <c r="CY325" s="563"/>
      <c r="CZ325" s="561"/>
      <c r="DA325" s="563"/>
      <c r="DB325" s="561"/>
      <c r="DC325" s="563"/>
      <c r="DD325" s="561"/>
      <c r="DG325" s="577"/>
      <c r="DH325" s="577"/>
      <c r="DI325" s="571"/>
      <c r="DJ325" s="571"/>
      <c r="DK325" s="571"/>
      <c r="DL325" s="571"/>
      <c r="DM325" s="574"/>
      <c r="DN325" s="571"/>
      <c r="DO325" s="571"/>
      <c r="DP325" s="571"/>
      <c r="DQ325" s="571"/>
      <c r="DR325" s="571"/>
      <c r="DS325" s="571"/>
      <c r="DT325" s="571"/>
      <c r="DU325" s="571"/>
      <c r="DV325" s="577"/>
      <c r="DW325" s="577"/>
      <c r="DX325" s="571"/>
      <c r="DY325" s="571"/>
    </row>
    <row r="326" spans="1:194" s="175" customFormat="1" ht="60" customHeight="1" x14ac:dyDescent="0.25">
      <c r="A326" s="366"/>
      <c r="B326" s="367"/>
      <c r="C326" s="395" t="s">
        <v>180</v>
      </c>
      <c r="D326" s="599" t="s">
        <v>31</v>
      </c>
      <c r="E326" s="599"/>
      <c r="F326" s="394" t="s">
        <v>9</v>
      </c>
      <c r="G326" s="599" t="s">
        <v>33</v>
      </c>
      <c r="H326" s="599"/>
      <c r="I326" s="394" t="str">
        <f>+IF($BG$9="SI","","X")</f>
        <v>X</v>
      </c>
      <c r="J326" s="604"/>
      <c r="K326" s="604"/>
      <c r="L326" s="607"/>
      <c r="M326" s="559"/>
      <c r="N326" s="610"/>
      <c r="O326" s="613"/>
      <c r="P326" s="192"/>
      <c r="Q326" s="239"/>
      <c r="R326" s="221" t="s">
        <v>209</v>
      </c>
      <c r="S326" s="234" t="str">
        <f>IF(S324="","",S324/(J323*K323))</f>
        <v/>
      </c>
      <c r="T326" s="226"/>
      <c r="U326" s="206"/>
      <c r="V326" s="220"/>
      <c r="W326" s="239" t="str">
        <f>IFERROR(IF(X325="SI",VLOOKUP(D323,'BD M.O'!C:F,4,FALSE),""),"")</f>
        <v/>
      </c>
      <c r="X326" s="221" t="s">
        <v>258</v>
      </c>
      <c r="Y326" s="221" t="s">
        <v>507</v>
      </c>
      <c r="Z326" s="221" t="s">
        <v>508</v>
      </c>
      <c r="AA326" s="225"/>
      <c r="AB326" s="226"/>
      <c r="AC326" s="206"/>
      <c r="AD326" s="206"/>
      <c r="AE326" s="206"/>
      <c r="AF326" s="227"/>
      <c r="AG326" s="206"/>
      <c r="AH326" s="206"/>
      <c r="AI326" s="206"/>
      <c r="AJ326" s="206"/>
      <c r="AK326" s="227"/>
      <c r="AL326" s="240"/>
      <c r="AM326" s="206"/>
      <c r="AN326" s="206"/>
      <c r="AO326" s="228"/>
      <c r="AP326" s="229"/>
      <c r="AQ326" s="206"/>
      <c r="AR326" s="206"/>
      <c r="AS326" s="228"/>
      <c r="AT326" s="229"/>
      <c r="AU326" s="228"/>
      <c r="AV326" s="229"/>
      <c r="AW326" s="228"/>
      <c r="AX326" s="229"/>
      <c r="AY326" s="206"/>
      <c r="AZ326" s="229"/>
      <c r="BA326" s="210"/>
      <c r="BC326" s="175" t="s">
        <v>116</v>
      </c>
      <c r="BD326" s="210"/>
      <c r="BE326" s="177" t="str">
        <f>IFERROR(VLOOKUP(COTIZACIÓN!D323,'BD M.O'!C:I,5,FALSE),"")</f>
        <v/>
      </c>
      <c r="BF326" s="177" t="s">
        <v>260</v>
      </c>
      <c r="BI326" s="210"/>
      <c r="BO326" s="210"/>
      <c r="BP326" s="183"/>
      <c r="BQ326" s="183"/>
      <c r="BR326" s="183"/>
      <c r="BS326" s="183"/>
      <c r="BT326" s="183"/>
      <c r="BU326" s="183"/>
      <c r="BV326" s="182"/>
      <c r="BW326" s="210"/>
      <c r="BX326" s="183"/>
      <c r="BY326" s="183"/>
      <c r="BZ326" s="183"/>
      <c r="CA326" s="183"/>
      <c r="CB326" s="183"/>
      <c r="CC326" s="183"/>
      <c r="CD326" s="182"/>
      <c r="CE326" s="183"/>
      <c r="CF326" s="241"/>
      <c r="CG326" s="183"/>
      <c r="CH326" s="183"/>
      <c r="CI326" s="182"/>
      <c r="CJ326" s="210"/>
      <c r="CK326" s="563"/>
      <c r="CM326" s="559"/>
      <c r="CN326" s="627"/>
      <c r="CO326" s="630"/>
      <c r="CP326" s="630"/>
      <c r="CQ326" s="630"/>
      <c r="CR326" s="630"/>
      <c r="CS326" s="630"/>
      <c r="CT326" s="633"/>
      <c r="CU326" s="563"/>
      <c r="CV326" s="561"/>
      <c r="CW326" s="563"/>
      <c r="CX326" s="561"/>
      <c r="CY326" s="563"/>
      <c r="CZ326" s="561"/>
      <c r="DA326" s="563"/>
      <c r="DB326" s="561"/>
      <c r="DC326" s="563"/>
      <c r="DD326" s="561"/>
      <c r="DG326" s="575"/>
      <c r="DH326" s="575"/>
      <c r="DI326" s="569">
        <f t="shared" ref="DI326" si="1282">IFERROR(IF(DG326&gt;0,(((N323)/(1+10%+19%*5%)+((N323)/(1+10%+19%*5%))*10%)*DH326),0),0)</f>
        <v>0</v>
      </c>
      <c r="DJ326" s="569">
        <f t="shared" ref="DJ326" si="1283">IFERROR(IF(DG326&gt;0,(N323*DH326),0),0)</f>
        <v>0</v>
      </c>
      <c r="DK326" s="569">
        <f t="shared" ref="DK326" si="1284">IF(DG326&gt;0,((R323+T323)*DH326),0)</f>
        <v>0</v>
      </c>
      <c r="DL326" s="569">
        <f t="shared" ref="DL326" si="1285">IF(DG326&gt;0,(Q323*DH326),0)</f>
        <v>0</v>
      </c>
      <c r="DM326" s="572">
        <f t="shared" ref="DM326" si="1286">IF(DG326&gt;0,(S323*DH326),0)</f>
        <v>0</v>
      </c>
      <c r="DN326" s="569">
        <f t="shared" ref="DN326" si="1287">IF(DG326&gt;0,(BN323*DH326),0)</f>
        <v>0</v>
      </c>
      <c r="DO326" s="569">
        <f t="shared" ref="DO326" si="1288">IF(DG326&gt;0,(AF323*DH326),0)</f>
        <v>0</v>
      </c>
      <c r="DP326" s="569">
        <f>IF(DG326&gt;0,((DI326)*('BD P&amp;G'!$E$16+'BD P&amp;G'!$E$17+'BD P&amp;G'!$E$18+'BD P&amp;G'!$E$19+'BD P&amp;G'!$E$20+'BD P&amp;G'!$E$21+'BD P&amp;G'!$E$22+'BD P&amp;G'!$E$23)*DH326),0)</f>
        <v>0</v>
      </c>
      <c r="DQ326" s="569">
        <f>IFERROR(IF(DG326&gt;0,((DI326*'BD P&amp;G'!$E$7)+(DI326*'BD P&amp;G'!$E$9)+AI323),0),0)</f>
        <v>0</v>
      </c>
      <c r="DR326" s="569">
        <f t="shared" ref="DR326" si="1289">IFERROR(IF(DG326&gt;0,((DI326*1%)),0),0)</f>
        <v>0</v>
      </c>
      <c r="DS326" s="569">
        <f>IFERROR(IF(DG326&gt;0,(((DI326*'BD P&amp;G'!$E$32+DI326*'BD P&amp;G'!$E$33+DI326*'BD P&amp;G'!$E$35+DI326*'BD P&amp;G'!$E$36+DI326*'BD P&amp;G'!$E$37))),0),0)</f>
        <v>0</v>
      </c>
      <c r="DT326" s="569">
        <f t="shared" ref="DT326" si="1290">IF(DG326&gt;0,(Y323*DH326),0)</f>
        <v>0</v>
      </c>
      <c r="DU326" s="569">
        <f t="shared" ref="DU326" si="1291">IF(DG326&gt;0,(Z323*DH326),0)</f>
        <v>0</v>
      </c>
      <c r="DV326" s="575">
        <f t="shared" ref="DV326" si="1292">IF(DG326&gt;0,(Y327*DH326),0)</f>
        <v>0</v>
      </c>
      <c r="DW326" s="575">
        <f t="shared" ref="DW326" si="1293">IF(DG326&gt;0,(Z327*DH326),0)</f>
        <v>0</v>
      </c>
      <c r="DX326" s="569">
        <f t="shared" ref="DX326" si="1294">IF(DV326&gt;0,DJ326,0)</f>
        <v>0</v>
      </c>
      <c r="DY326" s="569">
        <f t="shared" ref="DY326" si="1295">IF(DW326&gt;0,DJ326,0)</f>
        <v>0</v>
      </c>
    </row>
    <row r="327" spans="1:194" s="175" customFormat="1" ht="60" customHeight="1" x14ac:dyDescent="0.3">
      <c r="A327" s="366"/>
      <c r="B327" s="367"/>
      <c r="C327" s="393" t="s">
        <v>35</v>
      </c>
      <c r="D327" s="599" t="str">
        <f>IFERROR(VLOOKUP(D323,'BD GN'!C:E,3,),"")</f>
        <v/>
      </c>
      <c r="E327" s="599"/>
      <c r="F327" s="599"/>
      <c r="G327" s="599"/>
      <c r="H327" s="599"/>
      <c r="I327" s="599"/>
      <c r="J327" s="604"/>
      <c r="K327" s="604"/>
      <c r="L327" s="607"/>
      <c r="M327" s="559"/>
      <c r="N327" s="610"/>
      <c r="O327" s="613"/>
      <c r="P327" s="192"/>
      <c r="Q327" s="239"/>
      <c r="R327" s="221" t="s">
        <v>210</v>
      </c>
      <c r="S327" s="234" t="str">
        <f>IFERROR(IF(N323="","",N323/W327),"")</f>
        <v/>
      </c>
      <c r="T327" s="226"/>
      <c r="U327" s="206"/>
      <c r="V327" s="220"/>
      <c r="W327" s="242" t="str">
        <f>+IF(J323*K323&gt;=1,J323*K323,IF(AND(J323*K323&gt;0,J323*K323&lt;1),1,""))</f>
        <v/>
      </c>
      <c r="X327" s="221" t="s">
        <v>298</v>
      </c>
      <c r="Y327" s="461">
        <f>IFERROR(IF(D323='BD GN'!$C$25,COTIZACIÓN!W327,IF(D323='BD GN'!$C$26,COTIZACIÓN!W327,IF(D323='BD GN'!$C$27,COTIZACIÓN!W327,IF(COTIZACIÓN!D323='BD GN'!$C$28,COTIZACIÓN!W327,IF(COTIZACIÓN!D323='BD GN'!$C$29,COTIZACIÓN!W327,IF(COTIZACIÓN!D323='BD GN'!$C$35,COTIZACIÓN!W327,IF(COTIZACIÓN!D323='BD GN'!$C$36,COTIZACIÓN!W327,IF(COTIZACIÓN!D323='BD GN'!$C$37,COTIZACIÓN!W327,IF(COTIZACIÓN!D323='BD GN'!$C$38,COTIZACIÓN!W327,IF(COTIZACIÓN!D323='BD GN'!$C$39,COTIZACIÓN!W327,IF(COTIZACIÓN!D323='BD GN'!$C$40,COTIZACIÓN!W327,IF(COTIZACIÓN!D323='BD GN'!$C$41,COTIZACIÓN!W327,IF(COTIZACIÓN!D323='BD GN'!$C$42,COTIZACIÓN!W327,IF(COTIZACIÓN!D323='BD GN'!$C$49,COTIZACIÓN!W327,IF(COTIZACIÓN!D323='BD GN'!$C$50,COTIZACIÓN!W327,IF(COTIZACIÓN!D323='BD GN'!$C$51,COTIZACIÓN!W327,IF(COTIZACIÓN!D323='BD GN'!$C$67,COTIZACIÓN!W327,0))))))))))))))))),0)</f>
        <v>0</v>
      </c>
      <c r="Z327" s="461">
        <f>IFERROR(W327-Y327,0)</f>
        <v>0</v>
      </c>
      <c r="AA327" s="225"/>
      <c r="AB327" s="226"/>
      <c r="AC327" s="206"/>
      <c r="AD327" s="206"/>
      <c r="AE327" s="206"/>
      <c r="AF327" s="227"/>
      <c r="AG327" s="206"/>
      <c r="AH327" s="206"/>
      <c r="AI327" s="206"/>
      <c r="AJ327" s="206"/>
      <c r="AK327" s="227"/>
      <c r="AL327" s="210"/>
      <c r="AM327" s="206"/>
      <c r="AN327" s="206"/>
      <c r="AO327" s="228"/>
      <c r="AP327" s="229"/>
      <c r="AQ327" s="206"/>
      <c r="AR327" s="206"/>
      <c r="AS327" s="228"/>
      <c r="AT327" s="229"/>
      <c r="AU327" s="228"/>
      <c r="AV327" s="229"/>
      <c r="AW327" s="228"/>
      <c r="AX327" s="229"/>
      <c r="AY327" s="206"/>
      <c r="AZ327" s="229"/>
      <c r="BA327" s="210"/>
      <c r="BC327" s="211" t="s">
        <v>117</v>
      </c>
      <c r="BD327" s="210"/>
      <c r="BE327" s="177" t="str">
        <f>IFERROR(VLOOKUP(D323,'BD M.O'!C:I,6,FALSE),"")</f>
        <v/>
      </c>
      <c r="BF327" s="177" t="s">
        <v>261</v>
      </c>
      <c r="BI327" s="210"/>
      <c r="BO327" s="210"/>
      <c r="BP327" s="183"/>
      <c r="BQ327" s="183"/>
      <c r="BR327" s="183"/>
      <c r="BW327" s="210"/>
      <c r="CD327" s="184"/>
      <c r="CF327" s="185"/>
      <c r="CI327" s="184"/>
      <c r="CJ327" s="210"/>
      <c r="CK327" s="563"/>
      <c r="CM327" s="559"/>
      <c r="CN327" s="627"/>
      <c r="CO327" s="630"/>
      <c r="CP327" s="630"/>
      <c r="CQ327" s="630"/>
      <c r="CR327" s="630"/>
      <c r="CS327" s="630"/>
      <c r="CT327" s="633"/>
      <c r="CU327" s="563"/>
      <c r="CV327" s="561"/>
      <c r="CW327" s="563"/>
      <c r="CX327" s="561"/>
      <c r="CY327" s="563"/>
      <c r="CZ327" s="561"/>
      <c r="DA327" s="563"/>
      <c r="DB327" s="561"/>
      <c r="DC327" s="563"/>
      <c r="DD327" s="561"/>
      <c r="DG327" s="576"/>
      <c r="DH327" s="576"/>
      <c r="DI327" s="570"/>
      <c r="DJ327" s="570"/>
      <c r="DK327" s="570"/>
      <c r="DL327" s="570"/>
      <c r="DM327" s="573"/>
      <c r="DN327" s="570"/>
      <c r="DO327" s="570"/>
      <c r="DP327" s="570"/>
      <c r="DQ327" s="570"/>
      <c r="DR327" s="570"/>
      <c r="DS327" s="570"/>
      <c r="DT327" s="570"/>
      <c r="DU327" s="570"/>
      <c r="DV327" s="576"/>
      <c r="DW327" s="576"/>
      <c r="DX327" s="570"/>
      <c r="DY327" s="570"/>
    </row>
    <row r="328" spans="1:194" s="252" customFormat="1" ht="60" customHeight="1" x14ac:dyDescent="0.25">
      <c r="A328" s="368"/>
      <c r="B328" s="369"/>
      <c r="C328" s="396" t="s">
        <v>10</v>
      </c>
      <c r="D328" s="645" t="s">
        <v>32</v>
      </c>
      <c r="E328" s="645"/>
      <c r="F328" s="645"/>
      <c r="G328" s="645"/>
      <c r="H328" s="645"/>
      <c r="I328" s="645"/>
      <c r="J328" s="643"/>
      <c r="K328" s="643"/>
      <c r="L328" s="646"/>
      <c r="M328" s="648"/>
      <c r="N328" s="649"/>
      <c r="O328" s="644"/>
      <c r="P328" s="192"/>
      <c r="Q328" s="239"/>
      <c r="R328" s="334" t="s">
        <v>475</v>
      </c>
      <c r="S328" s="234" t="str">
        <f>IFERROR(IF($C$12='BD GN'!$CC$1,VLOOKUP(COTIZACIÓN!D323,'BD GN'!CB:CG,2,FALSE),IF(COTIZACIÓN!$C$12='BD GN'!$CD$1,VLOOKUP(COTIZACIÓN!D323,'BD GN'!CB:CG,3,FALSE),IF($C$12='BD GN'!$CE$1,VLOOKUP(COTIZACIÓN!D323,'BD GN'!CB:CG,4,FALSE),IF(COTIZACIÓN!$C$12='BD GN'!$CF$1,VLOOKUP(COTIZACIÓN!D323,'BD GN'!CB:CG,5,FALSE),IF(COTIZACIÓN!$C$12='BD GN'!$CG$1,VLOOKUP(COTIZACIÓN!D323,'BD GN'!CB:CG,6,FALSE),""))))),"-")</f>
        <v/>
      </c>
      <c r="T328" s="243"/>
      <c r="U328" s="244"/>
      <c r="V328" s="245"/>
      <c r="W328" s="177" t="s">
        <v>394</v>
      </c>
      <c r="X328" s="246">
        <f>IFERROR(SUM(W323:X323),"")</f>
        <v>0</v>
      </c>
      <c r="Y328" s="166" t="s">
        <v>404</v>
      </c>
      <c r="Z328" s="199" t="str">
        <f>IFERROR(Y323+Z323,"")</f>
        <v/>
      </c>
      <c r="AA328" s="247"/>
      <c r="AB328" s="243"/>
      <c r="AC328" s="244"/>
      <c r="AD328" s="244"/>
      <c r="AE328" s="244"/>
      <c r="AF328" s="227"/>
      <c r="AG328" s="206"/>
      <c r="AH328" s="206"/>
      <c r="AI328" s="206"/>
      <c r="AJ328" s="206"/>
      <c r="AK328" s="227"/>
      <c r="AL328" s="227"/>
      <c r="AM328" s="248"/>
      <c r="AN328" s="248"/>
      <c r="AO328" s="249"/>
      <c r="AP328" s="250"/>
      <c r="AQ328" s="248"/>
      <c r="AR328" s="248"/>
      <c r="AS328" s="249"/>
      <c r="AT328" s="250"/>
      <c r="AU328" s="249"/>
      <c r="AV328" s="250"/>
      <c r="AW328" s="249"/>
      <c r="AX328" s="250"/>
      <c r="AY328" s="248"/>
      <c r="AZ328" s="250"/>
      <c r="BA328" s="210"/>
      <c r="BB328" s="175"/>
      <c r="BC328" s="175" t="s">
        <v>118</v>
      </c>
      <c r="BD328" s="210"/>
      <c r="BE328" s="251" t="str">
        <f>IFERROR(VLOOKUP(D323,'BD M.O'!C:I,7,FALSE),"")</f>
        <v/>
      </c>
      <c r="BF328" s="251" t="s">
        <v>262</v>
      </c>
      <c r="BG328" s="175"/>
      <c r="BH328" s="175"/>
      <c r="BI328" s="210"/>
      <c r="BJ328" s="175"/>
      <c r="BK328" s="175"/>
      <c r="BL328" s="175"/>
      <c r="BM328" s="175"/>
      <c r="BN328" s="175"/>
      <c r="BO328" s="210"/>
      <c r="BP328" s="175"/>
      <c r="BQ328" s="175"/>
      <c r="BR328" s="175"/>
      <c r="BS328" s="183"/>
      <c r="BT328" s="183"/>
      <c r="BU328" s="183"/>
      <c r="BV328" s="183"/>
      <c r="BW328" s="210"/>
      <c r="BX328" s="175"/>
      <c r="BY328" s="175"/>
      <c r="BZ328" s="175"/>
      <c r="CA328" s="175"/>
      <c r="CB328" s="175"/>
      <c r="CC328" s="175"/>
      <c r="CD328" s="184"/>
      <c r="CE328" s="175"/>
      <c r="CF328" s="185"/>
      <c r="CG328" s="175"/>
      <c r="CH328" s="175"/>
      <c r="CI328" s="184"/>
      <c r="CJ328" s="210"/>
      <c r="CK328" s="564"/>
      <c r="CL328" s="257"/>
      <c r="CM328" s="597"/>
      <c r="CN328" s="628"/>
      <c r="CO328" s="631"/>
      <c r="CP328" s="631"/>
      <c r="CQ328" s="631"/>
      <c r="CR328" s="631"/>
      <c r="CS328" s="631"/>
      <c r="CT328" s="634"/>
      <c r="CU328" s="564"/>
      <c r="CV328" s="562"/>
      <c r="CW328" s="564"/>
      <c r="CX328" s="562"/>
      <c r="CY328" s="564"/>
      <c r="CZ328" s="562"/>
      <c r="DA328" s="564"/>
      <c r="DB328" s="562"/>
      <c r="DC328" s="564"/>
      <c r="DD328" s="562"/>
      <c r="DE328" s="175"/>
      <c r="DF328" s="175"/>
      <c r="DG328" s="577"/>
      <c r="DH328" s="577"/>
      <c r="DI328" s="571"/>
      <c r="DJ328" s="571"/>
      <c r="DK328" s="571"/>
      <c r="DL328" s="571"/>
      <c r="DM328" s="574"/>
      <c r="DN328" s="571"/>
      <c r="DO328" s="571"/>
      <c r="DP328" s="571"/>
      <c r="DQ328" s="571"/>
      <c r="DR328" s="571"/>
      <c r="DS328" s="571"/>
      <c r="DT328" s="571"/>
      <c r="DU328" s="571"/>
      <c r="DV328" s="577"/>
      <c r="DW328" s="577"/>
      <c r="DX328" s="571"/>
      <c r="DY328" s="571"/>
      <c r="DZ328" s="175"/>
      <c r="EA328" s="175"/>
      <c r="EB328" s="175"/>
      <c r="EC328" s="175"/>
      <c r="ED328" s="175"/>
      <c r="EE328" s="175"/>
      <c r="EF328" s="175"/>
      <c r="EG328" s="175"/>
      <c r="EH328" s="175"/>
      <c r="EI328" s="175"/>
      <c r="EJ328" s="175"/>
      <c r="EK328" s="175"/>
      <c r="EL328" s="175"/>
      <c r="EM328" s="175"/>
      <c r="EN328" s="175"/>
      <c r="EO328" s="175"/>
      <c r="EP328" s="175"/>
      <c r="EQ328" s="175"/>
      <c r="ER328" s="175"/>
      <c r="ES328" s="175"/>
      <c r="ET328" s="175"/>
      <c r="EU328" s="175"/>
      <c r="EV328" s="175"/>
      <c r="EW328" s="175"/>
      <c r="EX328" s="175"/>
      <c r="EY328" s="175"/>
      <c r="EZ328" s="175"/>
      <c r="FA328" s="175"/>
      <c r="FB328" s="175"/>
      <c r="FC328" s="175"/>
      <c r="FD328" s="175"/>
      <c r="FE328" s="175"/>
      <c r="FF328" s="175"/>
      <c r="FG328" s="175"/>
      <c r="FH328" s="175"/>
      <c r="FI328" s="175"/>
      <c r="FJ328" s="175"/>
      <c r="FK328" s="175"/>
      <c r="FL328" s="175"/>
      <c r="FM328" s="175"/>
      <c r="FN328" s="175"/>
      <c r="FO328" s="175"/>
      <c r="FP328" s="175"/>
      <c r="FQ328" s="175"/>
      <c r="FR328" s="175"/>
      <c r="FS328" s="175"/>
      <c r="FT328" s="175"/>
      <c r="FU328" s="175"/>
      <c r="FV328" s="175"/>
      <c r="FW328" s="175"/>
      <c r="FX328" s="175"/>
      <c r="FY328" s="175"/>
      <c r="FZ328" s="175"/>
      <c r="GA328" s="175"/>
      <c r="GB328" s="175"/>
      <c r="GC328" s="175"/>
      <c r="GD328" s="175"/>
      <c r="GE328" s="175"/>
      <c r="GF328" s="175"/>
      <c r="GG328" s="175"/>
      <c r="GH328" s="175"/>
      <c r="GI328" s="175"/>
      <c r="GJ328" s="175"/>
      <c r="GK328" s="175"/>
      <c r="GL328" s="175"/>
    </row>
    <row r="329" spans="1:194" s="255" customFormat="1" ht="60" customHeight="1" x14ac:dyDescent="0.3">
      <c r="A329" s="362" t="s">
        <v>193</v>
      </c>
      <c r="B329" s="363" t="s">
        <v>25</v>
      </c>
      <c r="C329" s="391" t="s">
        <v>174</v>
      </c>
      <c r="D329" s="640" t="s">
        <v>173</v>
      </c>
      <c r="E329" s="640"/>
      <c r="F329" s="640"/>
      <c r="G329" s="640"/>
      <c r="H329" s="640"/>
      <c r="I329" s="640"/>
      <c r="J329" s="418" t="s">
        <v>443</v>
      </c>
      <c r="K329" s="418" t="s">
        <v>444</v>
      </c>
      <c r="L329" s="418" t="s">
        <v>171</v>
      </c>
      <c r="M329" s="363" t="s">
        <v>2</v>
      </c>
      <c r="N329" s="419" t="s">
        <v>7</v>
      </c>
      <c r="O329" s="420" t="s">
        <v>8</v>
      </c>
      <c r="P329" s="159"/>
      <c r="Q329" s="164" t="s">
        <v>93</v>
      </c>
      <c r="R329" s="164" t="s">
        <v>34</v>
      </c>
      <c r="S329" s="164" t="s">
        <v>28</v>
      </c>
      <c r="T329" s="164" t="s">
        <v>95</v>
      </c>
      <c r="U329" s="164" t="s">
        <v>96</v>
      </c>
      <c r="V329" s="164" t="s">
        <v>97</v>
      </c>
      <c r="W329" s="164" t="s">
        <v>4</v>
      </c>
      <c r="X329" s="164" t="s">
        <v>103</v>
      </c>
      <c r="Y329" s="160" t="s">
        <v>402</v>
      </c>
      <c r="Z329" s="165" t="s">
        <v>403</v>
      </c>
      <c r="AA329" s="166" t="s">
        <v>404</v>
      </c>
      <c r="AB329" s="164" t="s">
        <v>99</v>
      </c>
      <c r="AC329" s="164" t="s">
        <v>395</v>
      </c>
      <c r="AD329" s="253" t="s">
        <v>36</v>
      </c>
      <c r="AE329" s="164" t="s">
        <v>389</v>
      </c>
      <c r="AF329" s="164" t="s">
        <v>390</v>
      </c>
      <c r="AG329" s="164" t="s">
        <v>164</v>
      </c>
      <c r="AH329" s="253" t="s">
        <v>396</v>
      </c>
      <c r="AI329" s="164" t="s">
        <v>190</v>
      </c>
      <c r="AJ329" s="164" t="s">
        <v>339</v>
      </c>
      <c r="AK329" s="253" t="s">
        <v>391</v>
      </c>
      <c r="AL329" s="253" t="s">
        <v>393</v>
      </c>
      <c r="AM329" s="167" t="s">
        <v>93</v>
      </c>
      <c r="AN329" s="168" t="s">
        <v>34</v>
      </c>
      <c r="AO329" s="169" t="s">
        <v>28</v>
      </c>
      <c r="AP329" s="170" t="s">
        <v>95</v>
      </c>
      <c r="AQ329" s="167" t="s">
        <v>3</v>
      </c>
      <c r="AR329" s="167" t="s">
        <v>96</v>
      </c>
      <c r="AS329" s="169" t="s">
        <v>97</v>
      </c>
      <c r="AT329" s="170" t="s">
        <v>4</v>
      </c>
      <c r="AU329" s="169" t="s">
        <v>103</v>
      </c>
      <c r="AV329" s="170" t="s">
        <v>99</v>
      </c>
      <c r="AW329" s="169" t="s">
        <v>36</v>
      </c>
      <c r="AX329" s="171" t="s">
        <v>29</v>
      </c>
      <c r="AY329" s="172" t="s">
        <v>190</v>
      </c>
      <c r="AZ329" s="173" t="s">
        <v>102</v>
      </c>
      <c r="BA329" s="174"/>
      <c r="BB329" s="183"/>
      <c r="BC329" s="211" t="s">
        <v>119</v>
      </c>
      <c r="BD329" s="174"/>
      <c r="BE329" s="176" t="s">
        <v>189</v>
      </c>
      <c r="BF329" s="177" t="str">
        <f>$BF$13</f>
        <v xml:space="preserve">VR SILICONA </v>
      </c>
      <c r="BG329" s="177" t="str">
        <f>$BG$13</f>
        <v xml:space="preserve">VR PELÍCULA </v>
      </c>
      <c r="BH329" s="254" t="str">
        <f>$BH$13</f>
        <v>VR EMBALAJE</v>
      </c>
      <c r="BI329" s="174"/>
      <c r="BJ329" s="176" t="str">
        <f>$BJ$13</f>
        <v>ESP. CRISTAL</v>
      </c>
      <c r="BK329" s="176" t="s">
        <v>130</v>
      </c>
      <c r="BL329" s="177" t="s">
        <v>28</v>
      </c>
      <c r="BM329" s="177" t="str">
        <f>BM322</f>
        <v>TOTAL</v>
      </c>
      <c r="BN329" s="177" t="s">
        <v>133</v>
      </c>
      <c r="BO329" s="174"/>
      <c r="BP329" s="175"/>
      <c r="BQ329" s="175"/>
      <c r="BR329" s="175"/>
      <c r="BS329" s="175"/>
      <c r="BT329" s="175"/>
      <c r="BU329" s="175"/>
      <c r="BV329" s="175"/>
      <c r="BW329" s="174"/>
      <c r="BX329" s="175"/>
      <c r="BY329" s="175"/>
      <c r="BZ329" s="175"/>
      <c r="CA329" s="175"/>
      <c r="CB329" s="175"/>
      <c r="CC329" s="175"/>
      <c r="CD329" s="184"/>
      <c r="CE329" s="175"/>
      <c r="CF329" s="185"/>
      <c r="CG329" s="175"/>
      <c r="CH329" s="175"/>
      <c r="CI329" s="184"/>
      <c r="CJ329" s="174"/>
      <c r="CK329" s="186" t="s">
        <v>415</v>
      </c>
      <c r="CL329" s="187" t="s">
        <v>417</v>
      </c>
      <c r="CM329" s="187" t="s">
        <v>416</v>
      </c>
      <c r="CN329" s="188" t="s">
        <v>418</v>
      </c>
      <c r="CO329" s="187" t="s">
        <v>417</v>
      </c>
      <c r="CP329" s="187" t="s">
        <v>409</v>
      </c>
      <c r="CQ329" s="187" t="s">
        <v>410</v>
      </c>
      <c r="CR329" s="187" t="s">
        <v>411</v>
      </c>
      <c r="CS329" s="187" t="s">
        <v>412</v>
      </c>
      <c r="CT329" s="187" t="s">
        <v>413</v>
      </c>
      <c r="CU329" s="189" t="s">
        <v>2</v>
      </c>
      <c r="CV329" s="190" t="s">
        <v>159</v>
      </c>
      <c r="CW329" s="189" t="s">
        <v>2</v>
      </c>
      <c r="CX329" s="190" t="s">
        <v>159</v>
      </c>
      <c r="CY329" s="189" t="s">
        <v>2</v>
      </c>
      <c r="CZ329" s="190" t="s">
        <v>159</v>
      </c>
      <c r="DA329" s="189" t="s">
        <v>2</v>
      </c>
      <c r="DB329" s="190" t="s">
        <v>159</v>
      </c>
      <c r="DC329" s="189" t="s">
        <v>2</v>
      </c>
      <c r="DD329" s="190" t="s">
        <v>159</v>
      </c>
      <c r="DE329" s="183"/>
      <c r="DF329" s="183"/>
      <c r="DG329" s="177" t="s">
        <v>505</v>
      </c>
      <c r="DH329" s="472" t="s">
        <v>509</v>
      </c>
      <c r="DI329" s="457" t="s">
        <v>506</v>
      </c>
      <c r="DJ329" s="457" t="s">
        <v>134</v>
      </c>
      <c r="DK329" s="457" t="s">
        <v>498</v>
      </c>
      <c r="DL329" s="457" t="s">
        <v>499</v>
      </c>
      <c r="DM329" s="457" t="s">
        <v>500</v>
      </c>
      <c r="DN329" s="457" t="s">
        <v>131</v>
      </c>
      <c r="DO329" s="457" t="s">
        <v>390</v>
      </c>
      <c r="DP329" s="457" t="s">
        <v>36</v>
      </c>
      <c r="DQ329" s="457" t="s">
        <v>501</v>
      </c>
      <c r="DR329" s="457" t="s">
        <v>502</v>
      </c>
      <c r="DS329" s="457" t="s">
        <v>503</v>
      </c>
      <c r="DT329" s="457" t="s">
        <v>4</v>
      </c>
      <c r="DU329" s="457" t="s">
        <v>504</v>
      </c>
      <c r="DV329" s="466" t="s">
        <v>507</v>
      </c>
      <c r="DW329" s="466" t="s">
        <v>508</v>
      </c>
      <c r="DX329" s="457" t="s">
        <v>510</v>
      </c>
      <c r="DY329" s="457" t="s">
        <v>511</v>
      </c>
      <c r="DZ329" s="183"/>
      <c r="EA329" s="183"/>
      <c r="EB329" s="183"/>
      <c r="EC329" s="183"/>
      <c r="ED329" s="183"/>
      <c r="EE329" s="183"/>
      <c r="EF329" s="183"/>
      <c r="EG329" s="183"/>
      <c r="EH329" s="183"/>
      <c r="EI329" s="183"/>
      <c r="EJ329" s="183"/>
      <c r="EK329" s="183"/>
      <c r="EL329" s="183"/>
      <c r="EM329" s="183"/>
      <c r="EN329" s="183"/>
      <c r="EO329" s="183"/>
      <c r="EP329" s="183"/>
      <c r="EQ329" s="183"/>
      <c r="ER329" s="183"/>
      <c r="ES329" s="183"/>
      <c r="ET329" s="183"/>
      <c r="EU329" s="183"/>
      <c r="EV329" s="183"/>
      <c r="EW329" s="183"/>
      <c r="EX329" s="183"/>
      <c r="EY329" s="183"/>
      <c r="EZ329" s="183"/>
      <c r="FA329" s="183"/>
      <c r="FB329" s="183"/>
      <c r="FC329" s="183"/>
      <c r="FD329" s="183"/>
      <c r="FE329" s="183"/>
      <c r="FF329" s="183"/>
      <c r="FG329" s="183"/>
      <c r="FH329" s="183"/>
      <c r="FI329" s="183"/>
      <c r="FJ329" s="183"/>
      <c r="FK329" s="183"/>
      <c r="FL329" s="183"/>
      <c r="FM329" s="183"/>
      <c r="FN329" s="183"/>
      <c r="FO329" s="183"/>
      <c r="FP329" s="183"/>
      <c r="FQ329" s="183"/>
      <c r="FR329" s="183"/>
      <c r="FS329" s="183"/>
      <c r="FT329" s="183"/>
      <c r="FU329" s="183"/>
      <c r="FV329" s="183"/>
      <c r="FW329" s="183"/>
      <c r="FX329" s="183"/>
      <c r="FY329" s="183"/>
      <c r="FZ329" s="183"/>
      <c r="GA329" s="183"/>
      <c r="GB329" s="183"/>
      <c r="GC329" s="183"/>
      <c r="GD329" s="183"/>
      <c r="GE329" s="183"/>
      <c r="GF329" s="183"/>
      <c r="GG329" s="183"/>
      <c r="GH329" s="183"/>
      <c r="GI329" s="183"/>
      <c r="GJ329" s="183"/>
      <c r="GK329" s="183"/>
      <c r="GL329" s="183"/>
    </row>
    <row r="330" spans="1:194" s="175" customFormat="1" ht="60" customHeight="1" x14ac:dyDescent="0.3">
      <c r="A330" s="364"/>
      <c r="B330" s="365"/>
      <c r="C330" s="392" t="s">
        <v>27</v>
      </c>
      <c r="D330" s="641"/>
      <c r="E330" s="641"/>
      <c r="F330" s="641"/>
      <c r="G330" s="641"/>
      <c r="H330" s="641"/>
      <c r="I330" s="641"/>
      <c r="J330" s="642"/>
      <c r="K330" s="642"/>
      <c r="L330" s="622">
        <f>J330*K330*M330</f>
        <v>0</v>
      </c>
      <c r="M330" s="623"/>
      <c r="N330" s="620">
        <f>IFERROR(AL330,"")</f>
        <v>1.0765546639999999</v>
      </c>
      <c r="O330" s="621">
        <f>IFERROR(N330*M330,"")</f>
        <v>0</v>
      </c>
      <c r="P330" s="192"/>
      <c r="Q330" s="193">
        <f>Q331+BF330+($R$350*Q331)</f>
        <v>0</v>
      </c>
      <c r="R330" s="193">
        <f>IFERROR(R331+($R$348*R331),"")</f>
        <v>0</v>
      </c>
      <c r="S330" s="194">
        <f>+IF(R332="SI",((W334*'BD GN'!$AB$2)+S331)*1,COTIZACIÓN!S331*1)+(P331*S331)</f>
        <v>0</v>
      </c>
      <c r="T330" s="195">
        <f>IFERROR(R330*IF(K330&lt;=3,$T$13,15%),"")</f>
        <v>0</v>
      </c>
      <c r="U330" s="196">
        <f>BH330+BG330</f>
        <v>0</v>
      </c>
      <c r="V330" s="197" t="str">
        <f>IFERROR(BN330,0)</f>
        <v/>
      </c>
      <c r="W330" s="198" t="str">
        <f>IFERROR(IF(X332="SI",W333*J330*K330,IF(BE330=3,BE332,IF(BE330=4,BE333,IF(BE330=5,BE334,IF(BE330&gt;5,BE334+(BE335*(BE330-5)),"")))))*0,"")</f>
        <v/>
      </c>
      <c r="X330" s="198" t="str">
        <f>IFERROR(IF(X331="NO",(VLOOKUP(D330,'BD M.O'!C:E,3,FALSE))*W334,((VLOOKUP(D330,'BD M.O'!C:E,3,FALSE))+7500)*W334),"")</f>
        <v/>
      </c>
      <c r="Y330" s="198">
        <f>IFERROR($Y$13*AK330,"")</f>
        <v>4.2084457416288003E-2</v>
      </c>
      <c r="Z330" s="332" t="str">
        <f>IFERROR(($Z$13*AK330)+X330,"")</f>
        <v/>
      </c>
      <c r="AA330" s="199" t="str">
        <f>IFERROR(Y330+Z330,"")</f>
        <v/>
      </c>
      <c r="AB330" s="200">
        <f>IFERROR((SUM(Q330:X330)-T330+T332)*$AB$13,"")</f>
        <v>0</v>
      </c>
      <c r="AC330" s="201">
        <f>IFERROR(((SUM(Q330:V330,IF(X335&gt;AA330,AVERAGE(X335,AA330),AA330))-T330+T332))*$AB$13,"")</f>
        <v>0</v>
      </c>
      <c r="AD330" s="202" t="str">
        <f>IFERROR((J330*K330*$BV$14),"")</f>
        <v/>
      </c>
      <c r="AE330" s="202">
        <f>IFERROR($AE$13*AK330,"")</f>
        <v>6.4010592649919984E-2</v>
      </c>
      <c r="AF330" s="203" t="str">
        <f>IFERROR(($CI$11+$CI$13)*W334,"")</f>
        <v/>
      </c>
      <c r="AG330" s="202">
        <f>IFERROR((SUM(Q330:X330,AB330,AD330,AF330)-T330+T332)*$AG$13,"")</f>
        <v>0</v>
      </c>
      <c r="AH330" s="202">
        <f>IFERROR((SUM(Q330:V330,(IF(X335&gt;AA330,AVERAGE(X335,AA330),AA330)),AC330,AE330,AF330)-T330+T332)*$AG$13,"")</f>
        <v>3.2005296324959992E-2</v>
      </c>
      <c r="AI330" s="204">
        <f>IFERROR(AL330*$AI$13,"")</f>
        <v>2.1531093279999997E-2</v>
      </c>
      <c r="AJ330" s="204">
        <f>IFERROR($AJ$13*AL330,"")</f>
        <v>6.007175025119999E-3</v>
      </c>
      <c r="AK330" s="205">
        <f>IFERROR(SUM(Q330:X330,AB330,AD330,AG330,AF330)/(1-$AI$13)+(1-$AJ$13)-T330+T332,"")</f>
        <v>0.99441999999999997</v>
      </c>
      <c r="AL330" s="205">
        <f>IFERROR(SUM(Q330:V330,AC330,(IF(AD330&gt;AE330,AVERAGE(AD330,AE330),AE330)),AF330,,AH330,(IF(SUM(X335)&gt;AA330,AVERAGE(AA330,X335),AA330)))/(1-$AJ$13)+(1-$AI$13)-T330+T332,"")</f>
        <v>1.0765546639999999</v>
      </c>
      <c r="AM330" s="206">
        <f>$M$15*Q330</f>
        <v>0</v>
      </c>
      <c r="AN330" s="207">
        <f>$M$15*R330</f>
        <v>0</v>
      </c>
      <c r="AO330" s="208">
        <f>$M$15*S330</f>
        <v>0</v>
      </c>
      <c r="AP330" s="207">
        <f>$M$15*T330</f>
        <v>0</v>
      </c>
      <c r="AQ330" s="207" t="e">
        <f>$M$15*#REF!</f>
        <v>#REF!</v>
      </c>
      <c r="AR330" s="207">
        <f>$M$15*U330</f>
        <v>0</v>
      </c>
      <c r="AS330" s="208" t="e">
        <f>$M$15*V330</f>
        <v>#VALUE!</v>
      </c>
      <c r="AT330" s="207" t="e">
        <f>$M$15*W330</f>
        <v>#VALUE!</v>
      </c>
      <c r="AU330" s="208" t="e">
        <f>$M$15*X330</f>
        <v>#VALUE!</v>
      </c>
      <c r="AV330" s="207">
        <f>$M$15*AB330</f>
        <v>0</v>
      </c>
      <c r="AW330" s="208">
        <f>$M$15*AE330</f>
        <v>0</v>
      </c>
      <c r="AX330" s="207">
        <f>$M$15*AG330</f>
        <v>0</v>
      </c>
      <c r="AY330" s="209">
        <f>$M$15*AI330</f>
        <v>0</v>
      </c>
      <c r="AZ330" s="207">
        <f>$M$15*AK330</f>
        <v>0</v>
      </c>
      <c r="BA330" s="210"/>
      <c r="BB330" s="175" t="s">
        <v>23</v>
      </c>
      <c r="BC330" s="211" t="s">
        <v>113</v>
      </c>
      <c r="BD330" s="210"/>
      <c r="BE330" s="212"/>
      <c r="BF330" s="213">
        <f>IF(BH331="NO",((2*J330)+(2*K330))*'BD GN'!$AU$3,((3*J330)+(2*K330))*'BD GN'!$AU$3)</f>
        <v>0</v>
      </c>
      <c r="BG330" s="213">
        <f>'BD GN'!$BB$3*J330*K330</f>
        <v>0</v>
      </c>
      <c r="BH330" s="214">
        <f>((J330*2*BE330)+(K330*2*BE330))*'BD GN'!$AN$4</f>
        <v>0</v>
      </c>
      <c r="BI330" s="210"/>
      <c r="BJ330" s="212"/>
      <c r="BK330" s="212"/>
      <c r="BL330" s="215">
        <f>J330*K330*2.5*BJ330</f>
        <v>0</v>
      </c>
      <c r="BM330" s="215">
        <f>BK330+BL330</f>
        <v>0</v>
      </c>
      <c r="BN330" s="216" t="str">
        <f>IFERROR((VLOOKUP($C$12,'BD GN'!BD:BM,10,FALSE)*BM330)+$BR$338,"")</f>
        <v/>
      </c>
      <c r="BO330" s="210"/>
      <c r="BW330" s="210"/>
      <c r="CD330" s="184"/>
      <c r="CF330" s="185"/>
      <c r="CI330" s="184"/>
      <c r="CJ330" s="210"/>
      <c r="CK330" s="565"/>
      <c r="CL330" s="256"/>
      <c r="CM330" s="596"/>
      <c r="CN330" s="626"/>
      <c r="CO330" s="629"/>
      <c r="CP330" s="629"/>
      <c r="CQ330" s="629"/>
      <c r="CR330" s="629"/>
      <c r="CS330" s="629"/>
      <c r="CT330" s="632"/>
      <c r="CU330" s="565"/>
      <c r="CV330" s="560">
        <f>IFERROR(N330*CU330,"")</f>
        <v>0</v>
      </c>
      <c r="CW330" s="565"/>
      <c r="CX330" s="560">
        <f>IFERROR(P330*CW330,"")</f>
        <v>0</v>
      </c>
      <c r="CY330" s="565"/>
      <c r="CZ330" s="560">
        <f>IFERROR(R330*CY330,"")</f>
        <v>0</v>
      </c>
      <c r="DA330" s="565">
        <f t="shared" ref="DA330" si="1296">CU330+CW330+CY330</f>
        <v>0</v>
      </c>
      <c r="DB330" s="560">
        <f t="shared" ref="DB330" si="1297">IFERROR(CV330+CX330+CZ330,"")</f>
        <v>0</v>
      </c>
      <c r="DC330" s="565">
        <f>M330-(CU330+CW330+CY330)</f>
        <v>0</v>
      </c>
      <c r="DD330" s="560">
        <f>IFERROR(O330-(CV330+CX330+CZ330),"")</f>
        <v>0</v>
      </c>
      <c r="DG330" s="575"/>
      <c r="DH330" s="575"/>
      <c r="DI330" s="569">
        <f t="shared" ref="DI330" si="1298">IFERROR(IF(DG330&gt;0,(((N330)/(1+10%+19%*5%)+((N330)/(1+10%+19%*5%))*10%)*DH330),0),0)</f>
        <v>0</v>
      </c>
      <c r="DJ330" s="569">
        <f t="shared" ref="DJ330" si="1299">IFERROR(IF(DG330&gt;0,(N330*DH330),0),0)</f>
        <v>0</v>
      </c>
      <c r="DK330" s="569">
        <f t="shared" ref="DK330" si="1300">IF(DG330&gt;0,((R330+T330)*DH330),0)</f>
        <v>0</v>
      </c>
      <c r="DL330" s="569">
        <f t="shared" ref="DL330" si="1301">IF(DG330&gt;0,(Q330*DH330),0)</f>
        <v>0</v>
      </c>
      <c r="DM330" s="572">
        <f t="shared" ref="DM330" si="1302">IF(DG330&gt;0,(S330*DH330),0)</f>
        <v>0</v>
      </c>
      <c r="DN330" s="569">
        <f t="shared" ref="DN330" si="1303">IF(DG330&gt;0,(BN330*DH330),0)</f>
        <v>0</v>
      </c>
      <c r="DO330" s="569">
        <f t="shared" ref="DO330" si="1304">IF(DG330&gt;0,(AF330*DH330),0)</f>
        <v>0</v>
      </c>
      <c r="DP330" s="569">
        <f>IF(DG330&gt;0,((DI330)*('BD P&amp;G'!$E$16+'BD P&amp;G'!$E$17+'BD P&amp;G'!$E$18+'BD P&amp;G'!$E$19+'BD P&amp;G'!$E$20+'BD P&amp;G'!$E$21+'BD P&amp;G'!$E$22+'BD P&amp;G'!$E$23)*DH330),0)</f>
        <v>0</v>
      </c>
      <c r="DQ330" s="569">
        <f>IFERROR(IF(DG330&gt;0,((DI330*'BD P&amp;G'!$E$7)+(DI330*'BD P&amp;G'!$E$9)+AI330),0),0)</f>
        <v>0</v>
      </c>
      <c r="DR330" s="569">
        <f t="shared" ref="DR330" si="1305">IFERROR(IF(DG330&gt;0,((DI330*1%)),0),0)</f>
        <v>0</v>
      </c>
      <c r="DS330" s="569">
        <f>IFERROR(IF(DG330&gt;0,(((DI330*'BD P&amp;G'!$E$32+DI330*'BD P&amp;G'!$E$33+DI330*'BD P&amp;G'!$E$35+DI330*'BD P&amp;G'!$E$36+DI330*'BD P&amp;G'!$E$37))),0),0)</f>
        <v>0</v>
      </c>
      <c r="DT330" s="569">
        <f t="shared" ref="DT330" si="1306">IF(DG330&gt;0,(Y330*DH330),0)</f>
        <v>0</v>
      </c>
      <c r="DU330" s="569">
        <f t="shared" ref="DU330" si="1307">IF(DG330&gt;0,(Z330*DH330),0)</f>
        <v>0</v>
      </c>
      <c r="DV330" s="575">
        <f t="shared" ref="DV330" si="1308">IF(DG330&gt;0,(Y334*DH330),0)</f>
        <v>0</v>
      </c>
      <c r="DW330" s="575">
        <f t="shared" ref="DW330" si="1309">IF(DG330&gt;0,(Z334*DH330),0)</f>
        <v>0</v>
      </c>
      <c r="DX330" s="569">
        <f t="shared" ref="DX330" si="1310">IF(DV330&gt;0,DJ330,0)</f>
        <v>0</v>
      </c>
      <c r="DY330" s="569">
        <f t="shared" ref="DY330" si="1311">IF(DW330&gt;0,DJ330,0)</f>
        <v>0</v>
      </c>
    </row>
    <row r="331" spans="1:194" s="175" customFormat="1" ht="60" customHeight="1" x14ac:dyDescent="0.25">
      <c r="A331" s="366"/>
      <c r="B331" s="367"/>
      <c r="C331" s="393" t="s">
        <v>28</v>
      </c>
      <c r="D331" s="598"/>
      <c r="E331" s="598"/>
      <c r="F331" s="598"/>
      <c r="G331" s="598"/>
      <c r="H331" s="598"/>
      <c r="I331" s="598"/>
      <c r="J331" s="604"/>
      <c r="K331" s="604"/>
      <c r="L331" s="607"/>
      <c r="M331" s="559"/>
      <c r="N331" s="610"/>
      <c r="O331" s="613"/>
      <c r="P331" s="192"/>
      <c r="Q331" s="217"/>
      <c r="R331" s="217"/>
      <c r="S331" s="218"/>
      <c r="T331" s="219">
        <f>IFERROR(T330/$R$353,"")</f>
        <v>0</v>
      </c>
      <c r="U331" s="206"/>
      <c r="V331" s="220"/>
      <c r="W331" s="221" t="s">
        <v>239</v>
      </c>
      <c r="X331" s="222" t="s">
        <v>204</v>
      </c>
      <c r="Y331" s="223"/>
      <c r="Z331" s="224"/>
      <c r="AA331" s="225"/>
      <c r="AB331" s="226"/>
      <c r="AC331" s="206"/>
      <c r="AD331" s="206"/>
      <c r="AE331" s="206"/>
      <c r="AF331" s="227"/>
      <c r="AG331" s="206"/>
      <c r="AH331" s="206"/>
      <c r="AI331" s="206"/>
      <c r="AJ331" s="206"/>
      <c r="AK331" s="227"/>
      <c r="AL331" s="210"/>
      <c r="AM331" s="206"/>
      <c r="AN331" s="206"/>
      <c r="AO331" s="228"/>
      <c r="AP331" s="229"/>
      <c r="AQ331" s="206"/>
      <c r="AR331" s="206"/>
      <c r="AS331" s="228"/>
      <c r="AT331" s="229"/>
      <c r="AU331" s="228"/>
      <c r="AV331" s="229"/>
      <c r="AW331" s="228"/>
      <c r="AX331" s="229"/>
      <c r="AY331" s="206"/>
      <c r="AZ331" s="229"/>
      <c r="BA331" s="210"/>
      <c r="BB331" s="175" t="s">
        <v>24</v>
      </c>
      <c r="BC331" s="175" t="s">
        <v>114</v>
      </c>
      <c r="BD331" s="210"/>
      <c r="BE331" s="176" t="s">
        <v>206</v>
      </c>
      <c r="BF331" s="230" t="s">
        <v>204</v>
      </c>
      <c r="BG331" s="176" t="s">
        <v>290</v>
      </c>
      <c r="BH331" s="231" t="s">
        <v>204</v>
      </c>
      <c r="BI331" s="210"/>
      <c r="BN331" s="232"/>
      <c r="BO331" s="210"/>
      <c r="BV331" s="184"/>
      <c r="BW331" s="210"/>
      <c r="CD331" s="184"/>
      <c r="CF331" s="185"/>
      <c r="CI331" s="184"/>
      <c r="CJ331" s="210"/>
      <c r="CK331" s="563"/>
      <c r="CM331" s="559"/>
      <c r="CN331" s="627"/>
      <c r="CO331" s="630"/>
      <c r="CP331" s="630"/>
      <c r="CQ331" s="630"/>
      <c r="CR331" s="630"/>
      <c r="CS331" s="630"/>
      <c r="CT331" s="633"/>
      <c r="CU331" s="563"/>
      <c r="CV331" s="561"/>
      <c r="CW331" s="563"/>
      <c r="CX331" s="561"/>
      <c r="CY331" s="563"/>
      <c r="CZ331" s="561"/>
      <c r="DA331" s="563"/>
      <c r="DB331" s="561"/>
      <c r="DC331" s="563"/>
      <c r="DD331" s="561"/>
      <c r="DG331" s="576"/>
      <c r="DH331" s="576"/>
      <c r="DI331" s="570"/>
      <c r="DJ331" s="570"/>
      <c r="DK331" s="570"/>
      <c r="DL331" s="570"/>
      <c r="DM331" s="573"/>
      <c r="DN331" s="570"/>
      <c r="DO331" s="570"/>
      <c r="DP331" s="570"/>
      <c r="DQ331" s="570"/>
      <c r="DR331" s="570"/>
      <c r="DS331" s="570"/>
      <c r="DT331" s="570"/>
      <c r="DU331" s="570"/>
      <c r="DV331" s="576"/>
      <c r="DW331" s="576"/>
      <c r="DX331" s="570"/>
      <c r="DY331" s="570"/>
    </row>
    <row r="332" spans="1:194" s="175" customFormat="1" ht="60" customHeight="1" x14ac:dyDescent="0.3">
      <c r="A332" s="366"/>
      <c r="B332" s="367"/>
      <c r="C332" s="393" t="s">
        <v>30</v>
      </c>
      <c r="D332" s="599"/>
      <c r="E332" s="599"/>
      <c r="F332" s="599"/>
      <c r="G332" s="599"/>
      <c r="H332" s="599"/>
      <c r="I332" s="599"/>
      <c r="J332" s="604"/>
      <c r="K332" s="604"/>
      <c r="L332" s="607"/>
      <c r="M332" s="559"/>
      <c r="N332" s="610"/>
      <c r="O332" s="613"/>
      <c r="P332" s="192"/>
      <c r="Q332" s="176" t="s">
        <v>205</v>
      </c>
      <c r="R332" s="233" t="s">
        <v>204</v>
      </c>
      <c r="S332" s="234"/>
      <c r="T332" s="235">
        <f>IFERROR(($R$353-8000)*T331,"")</f>
        <v>0</v>
      </c>
      <c r="U332" s="206"/>
      <c r="V332" s="220"/>
      <c r="W332" s="221" t="s">
        <v>258</v>
      </c>
      <c r="X332" s="222" t="s">
        <v>204</v>
      </c>
      <c r="Y332" s="236"/>
      <c r="Z332" s="237"/>
      <c r="AA332" s="225"/>
      <c r="AB332" s="226"/>
      <c r="AC332" s="206"/>
      <c r="AD332" s="206"/>
      <c r="AE332" s="206"/>
      <c r="AF332" s="227"/>
      <c r="AG332" s="206"/>
      <c r="AH332" s="206"/>
      <c r="AI332" s="206"/>
      <c r="AJ332" s="206"/>
      <c r="AK332" s="227"/>
      <c r="AL332" s="238"/>
      <c r="AM332" s="206"/>
      <c r="AN332" s="206"/>
      <c r="AO332" s="228"/>
      <c r="AP332" s="229"/>
      <c r="AQ332" s="206"/>
      <c r="AR332" s="206"/>
      <c r="AS332" s="228"/>
      <c r="AT332" s="229"/>
      <c r="AU332" s="228"/>
      <c r="AV332" s="229"/>
      <c r="AW332" s="228"/>
      <c r="AX332" s="229"/>
      <c r="AY332" s="206"/>
      <c r="AZ332" s="229"/>
      <c r="BA332" s="210"/>
      <c r="BB332" s="175" t="s">
        <v>26</v>
      </c>
      <c r="BC332" s="211" t="s">
        <v>115</v>
      </c>
      <c r="BD332" s="210"/>
      <c r="BE332" s="177" t="str">
        <f>IFERROR(VLOOKUP(D330,'BD M.O'!C:H,4,FALSE),"")</f>
        <v/>
      </c>
      <c r="BF332" s="177" t="s">
        <v>259</v>
      </c>
      <c r="BI332" s="210"/>
      <c r="BO332" s="210"/>
      <c r="BV332" s="184"/>
      <c r="BW332" s="210"/>
      <c r="CD332" s="184"/>
      <c r="CF332" s="185"/>
      <c r="CI332" s="184"/>
      <c r="CJ332" s="210"/>
      <c r="CK332" s="563"/>
      <c r="CM332" s="559"/>
      <c r="CN332" s="627"/>
      <c r="CO332" s="630"/>
      <c r="CP332" s="630"/>
      <c r="CQ332" s="630"/>
      <c r="CR332" s="630"/>
      <c r="CS332" s="630"/>
      <c r="CT332" s="633"/>
      <c r="CU332" s="563"/>
      <c r="CV332" s="561"/>
      <c r="CW332" s="563"/>
      <c r="CX332" s="561"/>
      <c r="CY332" s="563"/>
      <c r="CZ332" s="561"/>
      <c r="DA332" s="563"/>
      <c r="DB332" s="561"/>
      <c r="DC332" s="563"/>
      <c r="DD332" s="561"/>
      <c r="DG332" s="577"/>
      <c r="DH332" s="577"/>
      <c r="DI332" s="571"/>
      <c r="DJ332" s="571"/>
      <c r="DK332" s="571"/>
      <c r="DL332" s="571"/>
      <c r="DM332" s="574"/>
      <c r="DN332" s="571"/>
      <c r="DO332" s="571"/>
      <c r="DP332" s="571"/>
      <c r="DQ332" s="571"/>
      <c r="DR332" s="571"/>
      <c r="DS332" s="571"/>
      <c r="DT332" s="571"/>
      <c r="DU332" s="571"/>
      <c r="DV332" s="577"/>
      <c r="DW332" s="577"/>
      <c r="DX332" s="571"/>
      <c r="DY332" s="571"/>
    </row>
    <row r="333" spans="1:194" s="175" customFormat="1" ht="60" customHeight="1" x14ac:dyDescent="0.25">
      <c r="A333" s="366"/>
      <c r="B333" s="367"/>
      <c r="C333" s="395" t="s">
        <v>180</v>
      </c>
      <c r="D333" s="599" t="s">
        <v>31</v>
      </c>
      <c r="E333" s="599"/>
      <c r="F333" s="394" t="s">
        <v>9</v>
      </c>
      <c r="G333" s="599" t="s">
        <v>33</v>
      </c>
      <c r="H333" s="599"/>
      <c r="I333" s="394" t="str">
        <f>+IF($BG$9="SI","","X")</f>
        <v>X</v>
      </c>
      <c r="J333" s="604"/>
      <c r="K333" s="604"/>
      <c r="L333" s="607"/>
      <c r="M333" s="559"/>
      <c r="N333" s="610"/>
      <c r="O333" s="613"/>
      <c r="P333" s="192"/>
      <c r="Q333" s="239"/>
      <c r="R333" s="221" t="s">
        <v>209</v>
      </c>
      <c r="S333" s="234" t="str">
        <f>IF(S331="","",S331/(J330*K330))</f>
        <v/>
      </c>
      <c r="T333" s="226"/>
      <c r="U333" s="195">
        <f>T15+T22+T29+T36+T43+T50+T57+T64+T71+T78+T85+T92+T99+T106+T113+T120+T127+T134+T141+T148+T155+T162+T169+T176+T183+T190+T197+T204+T211+T218+T225+T232+T239+T246+T253+T260+T267+T274+T281+T288+T295+T302+T309+T316+T323+T330</f>
        <v>0</v>
      </c>
      <c r="V333" s="220"/>
      <c r="W333" s="239" t="str">
        <f>IFERROR(IF(X332="SI",VLOOKUP(D330,'BD M.O'!C:F,4,FALSE),""),"")</f>
        <v/>
      </c>
      <c r="X333" s="221" t="s">
        <v>258</v>
      </c>
      <c r="Y333" s="221" t="s">
        <v>507</v>
      </c>
      <c r="Z333" s="221" t="s">
        <v>508</v>
      </c>
      <c r="AA333" s="225"/>
      <c r="AB333" s="226"/>
      <c r="AC333" s="206"/>
      <c r="AD333" s="206"/>
      <c r="AE333" s="206"/>
      <c r="AF333" s="227"/>
      <c r="AG333" s="206"/>
      <c r="AH333" s="206"/>
      <c r="AI333" s="206"/>
      <c r="AJ333" s="206"/>
      <c r="AK333" s="227"/>
      <c r="AL333" s="240"/>
      <c r="AM333" s="206"/>
      <c r="AN333" s="206"/>
      <c r="AO333" s="228"/>
      <c r="AP333" s="229"/>
      <c r="AQ333" s="206"/>
      <c r="AR333" s="206"/>
      <c r="AS333" s="228"/>
      <c r="AT333" s="229"/>
      <c r="AU333" s="228"/>
      <c r="AV333" s="229"/>
      <c r="AW333" s="228"/>
      <c r="AX333" s="229"/>
      <c r="AY333" s="206"/>
      <c r="AZ333" s="229"/>
      <c r="BA333" s="210"/>
      <c r="BC333" s="175" t="s">
        <v>116</v>
      </c>
      <c r="BD333" s="210"/>
      <c r="BE333" s="177" t="str">
        <f>IFERROR(VLOOKUP(COTIZACIÓN!D330,'BD M.O'!C:I,5,FALSE),"")</f>
        <v/>
      </c>
      <c r="BF333" s="177" t="s">
        <v>260</v>
      </c>
      <c r="BI333" s="210"/>
      <c r="BO333" s="210"/>
      <c r="BP333" s="183"/>
      <c r="BQ333" s="183"/>
      <c r="BR333" s="183"/>
      <c r="BS333" s="183"/>
      <c r="BT333" s="183"/>
      <c r="BU333" s="183"/>
      <c r="BV333" s="182"/>
      <c r="BW333" s="210"/>
      <c r="BX333" s="183"/>
      <c r="BY333" s="183"/>
      <c r="BZ333" s="183"/>
      <c r="CA333" s="183"/>
      <c r="CB333" s="183"/>
      <c r="CC333" s="183"/>
      <c r="CD333" s="182"/>
      <c r="CE333" s="183"/>
      <c r="CF333" s="241"/>
      <c r="CG333" s="183"/>
      <c r="CH333" s="183"/>
      <c r="CI333" s="182"/>
      <c r="CJ333" s="210"/>
      <c r="CK333" s="563"/>
      <c r="CM333" s="559"/>
      <c r="CN333" s="627"/>
      <c r="CO333" s="630"/>
      <c r="CP333" s="630"/>
      <c r="CQ333" s="630"/>
      <c r="CR333" s="630"/>
      <c r="CS333" s="630"/>
      <c r="CT333" s="633"/>
      <c r="CU333" s="563"/>
      <c r="CV333" s="561"/>
      <c r="CW333" s="563"/>
      <c r="CX333" s="561"/>
      <c r="CY333" s="563"/>
      <c r="CZ333" s="561"/>
      <c r="DA333" s="563"/>
      <c r="DB333" s="561"/>
      <c r="DC333" s="563"/>
      <c r="DD333" s="561"/>
      <c r="DG333" s="575"/>
      <c r="DH333" s="575"/>
      <c r="DI333" s="569">
        <f t="shared" ref="DI333" si="1312">IFERROR(IF(DG333&gt;0,(((N330)/(1+10%+19%*5%)+((N330)/(1+10%+19%*5%))*10%)*DH333),0),0)</f>
        <v>0</v>
      </c>
      <c r="DJ333" s="569">
        <f t="shared" ref="DJ333" si="1313">IFERROR(IF(DG333&gt;0,(N330*DH333),0),0)</f>
        <v>0</v>
      </c>
      <c r="DK333" s="569">
        <f t="shared" ref="DK333" si="1314">IF(DG333&gt;0,((R330+T330)*DH333),0)</f>
        <v>0</v>
      </c>
      <c r="DL333" s="569">
        <f t="shared" ref="DL333" si="1315">IF(DG333&gt;0,(Q330*DH333),0)</f>
        <v>0</v>
      </c>
      <c r="DM333" s="572">
        <f t="shared" ref="DM333" si="1316">IF(DG333&gt;0,(S330*DH333),0)</f>
        <v>0</v>
      </c>
      <c r="DN333" s="569">
        <f t="shared" ref="DN333" si="1317">IF(DG333&gt;0,(BN330*DH333),0)</f>
        <v>0</v>
      </c>
      <c r="DO333" s="569">
        <f t="shared" ref="DO333" si="1318">IF(DG333&gt;0,(AF330*DH333),0)</f>
        <v>0</v>
      </c>
      <c r="DP333" s="569">
        <f>IF(DG333&gt;0,((DI333)*('BD P&amp;G'!$E$16+'BD P&amp;G'!$E$17+'BD P&amp;G'!$E$18+'BD P&amp;G'!$E$19+'BD P&amp;G'!$E$20+'BD P&amp;G'!$E$21+'BD P&amp;G'!$E$22+'BD P&amp;G'!$E$23)*DH333),0)</f>
        <v>0</v>
      </c>
      <c r="DQ333" s="569">
        <f>IFERROR(IF(DG333&gt;0,((DI333*'BD P&amp;G'!$E$7)+(DI333*'BD P&amp;G'!$E$9)+AI330),0),0)</f>
        <v>0</v>
      </c>
      <c r="DR333" s="569">
        <f t="shared" ref="DR333" si="1319">IFERROR(IF(DG333&gt;0,((DI333*1%)),0),0)</f>
        <v>0</v>
      </c>
      <c r="DS333" s="569">
        <f>IFERROR(IF(DG333&gt;0,(((DI333*'BD P&amp;G'!$E$32+DI333*'BD P&amp;G'!$E$33+DI333*'BD P&amp;G'!$E$35+DI333*'BD P&amp;G'!$E$36+DI333*'BD P&amp;G'!$E$37))),0),0)</f>
        <v>0</v>
      </c>
      <c r="DT333" s="569">
        <f t="shared" ref="DT333" si="1320">IF(DG333&gt;0,(Y330*DH333),0)</f>
        <v>0</v>
      </c>
      <c r="DU333" s="569">
        <f t="shared" ref="DU333" si="1321">IF(DG333&gt;0,(Z330*DH333),0)</f>
        <v>0</v>
      </c>
      <c r="DV333" s="575">
        <f t="shared" ref="DV333" si="1322">IF(DG333&gt;0,(Y334*DH333),0)</f>
        <v>0</v>
      </c>
      <c r="DW333" s="575">
        <f t="shared" ref="DW333" si="1323">IF(DG333&gt;0,(Z334*DH333),0)</f>
        <v>0</v>
      </c>
      <c r="DX333" s="569">
        <f t="shared" ref="DX333" si="1324">IF(DV333&gt;0,DJ333,0)</f>
        <v>0</v>
      </c>
      <c r="DY333" s="569">
        <f t="shared" ref="DY333" si="1325">IF(DW333&gt;0,DJ333,0)</f>
        <v>0</v>
      </c>
    </row>
    <row r="334" spans="1:194" s="175" customFormat="1" ht="60" customHeight="1" x14ac:dyDescent="0.3">
      <c r="A334" s="366"/>
      <c r="B334" s="367"/>
      <c r="C334" s="393" t="s">
        <v>35</v>
      </c>
      <c r="D334" s="599" t="str">
        <f>IFERROR(VLOOKUP(D330,'BD GN'!C:E,3,),"")</f>
        <v/>
      </c>
      <c r="E334" s="599"/>
      <c r="F334" s="599"/>
      <c r="G334" s="599"/>
      <c r="H334" s="599"/>
      <c r="I334" s="599"/>
      <c r="J334" s="604"/>
      <c r="K334" s="604"/>
      <c r="L334" s="607"/>
      <c r="M334" s="559"/>
      <c r="N334" s="610"/>
      <c r="O334" s="613"/>
      <c r="P334" s="192"/>
      <c r="Q334" s="239"/>
      <c r="R334" s="221" t="s">
        <v>210</v>
      </c>
      <c r="S334" s="234" t="str">
        <f>IFERROR(IF(N330="","",N330/W334),"")</f>
        <v/>
      </c>
      <c r="T334" s="226"/>
      <c r="U334" s="195">
        <f t="shared" ref="U334" si="1326">T16+T23+T30+T37+T44+T51+T58+T65+T72+T79+T86+T93+T100+T107+T114+T121+T128+T135+T142+T149+T156+T163+T170+T177+T184+T191+T198+T205+T212+T219+T226+T233+T240+T247+T254+T261+T268+T275+T282+T289+T296+T303+T310+T317+T324+T331</f>
        <v>0</v>
      </c>
      <c r="V334" s="220"/>
      <c r="W334" s="242" t="str">
        <f>+IF(J330*K330&gt;=1,J330*K330,IF(AND(J330*K330&gt;0,J330*K330&lt;1),1,""))</f>
        <v/>
      </c>
      <c r="X334" s="221" t="s">
        <v>298</v>
      </c>
      <c r="Y334" s="461">
        <f>IFERROR(IF(D330='BD GN'!$C$25,COTIZACIÓN!W334,IF(D330='BD GN'!$C$26,COTIZACIÓN!W334,IF(D330='BD GN'!$C$27,COTIZACIÓN!W334,IF(COTIZACIÓN!D330='BD GN'!$C$28,COTIZACIÓN!W334,IF(COTIZACIÓN!D330='BD GN'!$C$29,COTIZACIÓN!W334,IF(COTIZACIÓN!D330='BD GN'!$C$35,COTIZACIÓN!W334,IF(COTIZACIÓN!D330='BD GN'!$C$36,COTIZACIÓN!W334,IF(COTIZACIÓN!D330='BD GN'!$C$37,COTIZACIÓN!W334,IF(COTIZACIÓN!D330='BD GN'!$C$38,COTIZACIÓN!W334,IF(COTIZACIÓN!D330='BD GN'!$C$39,COTIZACIÓN!W334,IF(COTIZACIÓN!D330='BD GN'!$C$40,COTIZACIÓN!W334,IF(COTIZACIÓN!D330='BD GN'!$C$41,COTIZACIÓN!W334,IF(COTIZACIÓN!D330='BD GN'!$C$42,COTIZACIÓN!W334,IF(COTIZACIÓN!D330='BD GN'!$C$49,COTIZACIÓN!W334,IF(COTIZACIÓN!D330='BD GN'!$C$50,COTIZACIÓN!W334,IF(COTIZACIÓN!D330='BD GN'!$C$51,COTIZACIÓN!W334,IF(COTIZACIÓN!D330='BD GN'!$C$67,COTIZACIÓN!W334,0))))))))))))))))),0)</f>
        <v>0</v>
      </c>
      <c r="Z334" s="461">
        <f>IFERROR(W334-Y334,0)</f>
        <v>0</v>
      </c>
      <c r="AA334" s="225"/>
      <c r="AB334" s="226"/>
      <c r="AC334" s="206"/>
      <c r="AD334" s="206"/>
      <c r="AE334" s="206"/>
      <c r="AF334" s="227"/>
      <c r="AG334" s="206"/>
      <c r="AH334" s="206"/>
      <c r="AI334" s="206"/>
      <c r="AJ334" s="206"/>
      <c r="AK334" s="227"/>
      <c r="AL334" s="210"/>
      <c r="AM334" s="206"/>
      <c r="AN334" s="206"/>
      <c r="AO334" s="228"/>
      <c r="AP334" s="229"/>
      <c r="AQ334" s="206"/>
      <c r="AR334" s="206"/>
      <c r="AS334" s="228"/>
      <c r="AT334" s="229"/>
      <c r="AU334" s="228"/>
      <c r="AV334" s="229"/>
      <c r="AW334" s="228"/>
      <c r="AX334" s="229"/>
      <c r="AY334" s="206"/>
      <c r="AZ334" s="229"/>
      <c r="BA334" s="210"/>
      <c r="BC334" s="211" t="s">
        <v>117</v>
      </c>
      <c r="BD334" s="210"/>
      <c r="BE334" s="177" t="str">
        <f>IFERROR(VLOOKUP(D330,'BD M.O'!C:I,6,FALSE),"")</f>
        <v/>
      </c>
      <c r="BF334" s="177" t="s">
        <v>261</v>
      </c>
      <c r="BI334" s="210"/>
      <c r="BO334" s="210"/>
      <c r="BP334" s="183"/>
      <c r="BQ334" s="183"/>
      <c r="BR334" s="183"/>
      <c r="BW334" s="210"/>
      <c r="CD334" s="184"/>
      <c r="CF334" s="185"/>
      <c r="CI334" s="184"/>
      <c r="CJ334" s="210"/>
      <c r="CK334" s="563"/>
      <c r="CM334" s="559"/>
      <c r="CN334" s="627"/>
      <c r="CO334" s="630"/>
      <c r="CP334" s="630"/>
      <c r="CQ334" s="630"/>
      <c r="CR334" s="630"/>
      <c r="CS334" s="630"/>
      <c r="CT334" s="633"/>
      <c r="CU334" s="563"/>
      <c r="CV334" s="561"/>
      <c r="CW334" s="563"/>
      <c r="CX334" s="561"/>
      <c r="CY334" s="563"/>
      <c r="CZ334" s="561"/>
      <c r="DA334" s="563"/>
      <c r="DB334" s="561"/>
      <c r="DC334" s="563"/>
      <c r="DD334" s="561"/>
      <c r="DG334" s="576"/>
      <c r="DH334" s="576"/>
      <c r="DI334" s="570"/>
      <c r="DJ334" s="570"/>
      <c r="DK334" s="570"/>
      <c r="DL334" s="570"/>
      <c r="DM334" s="573"/>
      <c r="DN334" s="570"/>
      <c r="DO334" s="570"/>
      <c r="DP334" s="570"/>
      <c r="DQ334" s="570"/>
      <c r="DR334" s="570"/>
      <c r="DS334" s="570"/>
      <c r="DT334" s="570"/>
      <c r="DU334" s="570"/>
      <c r="DV334" s="576"/>
      <c r="DW334" s="576"/>
      <c r="DX334" s="570"/>
      <c r="DY334" s="570"/>
    </row>
    <row r="335" spans="1:194" s="252" customFormat="1" ht="60" customHeight="1" thickBot="1" x14ac:dyDescent="0.3">
      <c r="A335" s="368"/>
      <c r="B335" s="369"/>
      <c r="C335" s="396" t="s">
        <v>10</v>
      </c>
      <c r="D335" s="600" t="s">
        <v>32</v>
      </c>
      <c r="E335" s="600"/>
      <c r="F335" s="600"/>
      <c r="G335" s="600"/>
      <c r="H335" s="600"/>
      <c r="I335" s="600"/>
      <c r="J335" s="605"/>
      <c r="K335" s="605"/>
      <c r="L335" s="608"/>
      <c r="M335" s="597"/>
      <c r="N335" s="611"/>
      <c r="O335" s="614"/>
      <c r="P335" s="192"/>
      <c r="Q335" s="239"/>
      <c r="R335" s="334" t="s">
        <v>475</v>
      </c>
      <c r="S335" s="234" t="str">
        <f>IFERROR(IF($C$12='BD GN'!$CC$1,VLOOKUP(COTIZACIÓN!D330,'BD GN'!CB:CG,2,FALSE),IF(COTIZACIÓN!$C$12='BD GN'!$CD$1,VLOOKUP(COTIZACIÓN!D330,'BD GN'!CB:CG,3,FALSE),IF($C$12='BD GN'!$CE$1,VLOOKUP(COTIZACIÓN!D330,'BD GN'!CB:CG,4,FALSE),IF(COTIZACIÓN!$C$12='BD GN'!$CF$1,VLOOKUP(COTIZACIÓN!D330,'BD GN'!CB:CG,5,FALSE),IF(COTIZACIÓN!$C$12='BD GN'!$CG$1,VLOOKUP(COTIZACIÓN!D330,'BD GN'!CB:CG,6,FALSE),""))))),"-")</f>
        <v/>
      </c>
      <c r="T335" s="243"/>
      <c r="U335" s="195">
        <f>T17+T24+T31+T38+T45+T52+T59+T66+T73+T80+T87+T94+T101+T108+T115+T122+T129+T136+T143+T150+T157+T164+T171+T178+T185+T192+T199+T206+T213+T220+T227+T234+T241+T248+T255+T262+T269+T276+T283+T290+T297+T304+T311+T318+T325+T332</f>
        <v>0</v>
      </c>
      <c r="V335" s="245"/>
      <c r="W335" s="177" t="s">
        <v>394</v>
      </c>
      <c r="X335" s="246">
        <f>IFERROR(SUM(W330:X330),"")</f>
        <v>0</v>
      </c>
      <c r="Y335" s="166" t="s">
        <v>404</v>
      </c>
      <c r="Z335" s="199" t="str">
        <f>IFERROR(Y330+Z330,"")</f>
        <v/>
      </c>
      <c r="AA335" s="247"/>
      <c r="AB335" s="243"/>
      <c r="AC335" s="244"/>
      <c r="AD335" s="244"/>
      <c r="AE335" s="244"/>
      <c r="AF335" s="227"/>
      <c r="AG335" s="206"/>
      <c r="AH335" s="206"/>
      <c r="AI335" s="206"/>
      <c r="AJ335" s="206"/>
      <c r="AK335" s="227"/>
      <c r="AL335" s="227"/>
      <c r="AM335" s="248"/>
      <c r="AN335" s="248"/>
      <c r="AO335" s="249"/>
      <c r="AP335" s="250"/>
      <c r="AQ335" s="248"/>
      <c r="AR335" s="248"/>
      <c r="AS335" s="249"/>
      <c r="AT335" s="250"/>
      <c r="AU335" s="249"/>
      <c r="AV335" s="250"/>
      <c r="AW335" s="249"/>
      <c r="AX335" s="250"/>
      <c r="AY335" s="248"/>
      <c r="AZ335" s="250"/>
      <c r="BA335" s="210"/>
      <c r="BB335" s="175"/>
      <c r="BC335" s="175" t="s">
        <v>118</v>
      </c>
      <c r="BD335" s="210"/>
      <c r="BE335" s="251" t="str">
        <f>IFERROR(VLOOKUP(D330,'BD M.O'!C:I,7,FALSE),"")</f>
        <v/>
      </c>
      <c r="BF335" s="251" t="s">
        <v>262</v>
      </c>
      <c r="BG335" s="175"/>
      <c r="BH335" s="175"/>
      <c r="BI335" s="210"/>
      <c r="BJ335" s="175"/>
      <c r="BK335" s="175"/>
      <c r="BL335" s="175"/>
      <c r="BM335" s="175"/>
      <c r="BN335" s="175"/>
      <c r="BO335" s="210"/>
      <c r="BP335" s="175"/>
      <c r="BQ335" s="175"/>
      <c r="BR335" s="175"/>
      <c r="BS335" s="183"/>
      <c r="BT335" s="183"/>
      <c r="BU335" s="183"/>
      <c r="BV335" s="183"/>
      <c r="BW335" s="210"/>
      <c r="BX335" s="175"/>
      <c r="BY335" s="175"/>
      <c r="BZ335" s="175"/>
      <c r="CA335" s="175"/>
      <c r="CB335" s="175"/>
      <c r="CC335" s="175"/>
      <c r="CD335" s="184"/>
      <c r="CE335" s="175"/>
      <c r="CF335" s="185"/>
      <c r="CG335" s="175"/>
      <c r="CH335" s="175"/>
      <c r="CI335" s="184"/>
      <c r="CJ335" s="210"/>
      <c r="CK335" s="564"/>
      <c r="CL335" s="257"/>
      <c r="CM335" s="597"/>
      <c r="CN335" s="628"/>
      <c r="CO335" s="631"/>
      <c r="CP335" s="631"/>
      <c r="CQ335" s="631"/>
      <c r="CR335" s="631"/>
      <c r="CS335" s="631"/>
      <c r="CT335" s="634"/>
      <c r="CU335" s="564"/>
      <c r="CV335" s="562"/>
      <c r="CW335" s="564"/>
      <c r="CX335" s="562"/>
      <c r="CY335" s="564"/>
      <c r="CZ335" s="562"/>
      <c r="DA335" s="564"/>
      <c r="DB335" s="562"/>
      <c r="DC335" s="564"/>
      <c r="DD335" s="562"/>
      <c r="DE335" s="175"/>
      <c r="DF335" s="175"/>
      <c r="DG335" s="577"/>
      <c r="DH335" s="577"/>
      <c r="DI335" s="571"/>
      <c r="DJ335" s="571"/>
      <c r="DK335" s="571"/>
      <c r="DL335" s="571"/>
      <c r="DM335" s="574"/>
      <c r="DN335" s="571"/>
      <c r="DO335" s="571"/>
      <c r="DP335" s="571"/>
      <c r="DQ335" s="571"/>
      <c r="DR335" s="571"/>
      <c r="DS335" s="571"/>
      <c r="DT335" s="571"/>
      <c r="DU335" s="571"/>
      <c r="DV335" s="577"/>
      <c r="DW335" s="577"/>
      <c r="DX335" s="571"/>
      <c r="DY335" s="571"/>
      <c r="DZ335" s="175"/>
      <c r="EA335" s="175"/>
      <c r="EB335" s="175"/>
      <c r="EC335" s="175"/>
      <c r="ED335" s="175"/>
      <c r="EE335" s="175"/>
      <c r="EF335" s="175"/>
      <c r="EG335" s="175"/>
      <c r="EH335" s="175"/>
      <c r="EI335" s="175"/>
      <c r="EJ335" s="175"/>
      <c r="EK335" s="175"/>
      <c r="EL335" s="175"/>
      <c r="EM335" s="175"/>
      <c r="EN335" s="175"/>
      <c r="EO335" s="175"/>
      <c r="EP335" s="175"/>
      <c r="EQ335" s="175"/>
      <c r="ER335" s="175"/>
      <c r="ES335" s="175"/>
      <c r="ET335" s="175"/>
      <c r="EU335" s="175"/>
      <c r="EV335" s="175"/>
      <c r="EW335" s="175"/>
      <c r="EX335" s="175"/>
      <c r="EY335" s="175"/>
      <c r="EZ335" s="175"/>
      <c r="FA335" s="175"/>
      <c r="FB335" s="175"/>
      <c r="FC335" s="175"/>
      <c r="FD335" s="175"/>
      <c r="FE335" s="175"/>
      <c r="FF335" s="175"/>
      <c r="FG335" s="175"/>
      <c r="FH335" s="175"/>
      <c r="FI335" s="175"/>
      <c r="FJ335" s="175"/>
      <c r="FK335" s="175"/>
      <c r="FL335" s="175"/>
      <c r="FM335" s="175"/>
      <c r="FN335" s="175"/>
      <c r="FO335" s="175"/>
      <c r="FP335" s="175"/>
      <c r="FQ335" s="175"/>
      <c r="FR335" s="175"/>
      <c r="FS335" s="175"/>
      <c r="FT335" s="175"/>
      <c r="FU335" s="175"/>
      <c r="FV335" s="175"/>
      <c r="FW335" s="175"/>
      <c r="FX335" s="175"/>
      <c r="FY335" s="175"/>
      <c r="FZ335" s="175"/>
      <c r="GA335" s="175"/>
      <c r="GB335" s="175"/>
      <c r="GC335" s="175"/>
      <c r="GD335" s="175"/>
      <c r="GE335" s="175"/>
      <c r="GF335" s="175"/>
      <c r="GG335" s="175"/>
      <c r="GH335" s="175"/>
      <c r="GI335" s="175"/>
      <c r="GJ335" s="175"/>
      <c r="GK335" s="175"/>
      <c r="GL335" s="175"/>
    </row>
    <row r="336" spans="1:194" s="14" customFormat="1" ht="39.75" customHeight="1" thickBot="1" x14ac:dyDescent="0.3">
      <c r="A336" s="370"/>
      <c r="B336" s="371"/>
      <c r="C336" s="397"/>
      <c r="D336" s="398"/>
      <c r="E336" s="398"/>
      <c r="F336" s="398"/>
      <c r="G336" s="398"/>
      <c r="H336" s="398"/>
      <c r="I336" s="398"/>
      <c r="J336" s="421"/>
      <c r="K336" s="421"/>
      <c r="L336" s="422"/>
      <c r="M336" s="30"/>
      <c r="N336" s="638"/>
      <c r="O336" s="639"/>
      <c r="P336" s="72"/>
      <c r="Q336" s="112">
        <f t="shared" ref="Q336:AZ336" si="1327">SUMPRODUCT($M$15:$M$335,Q15:Q335)</f>
        <v>0</v>
      </c>
      <c r="R336" s="112">
        <f t="shared" si="1327"/>
        <v>0</v>
      </c>
      <c r="S336" s="112">
        <f t="shared" si="1327"/>
        <v>0</v>
      </c>
      <c r="T336" s="112">
        <f t="shared" si="1327"/>
        <v>0</v>
      </c>
      <c r="U336" s="112">
        <f t="shared" si="1327"/>
        <v>0</v>
      </c>
      <c r="V336" s="112">
        <f t="shared" si="1327"/>
        <v>0</v>
      </c>
      <c r="W336" s="111">
        <f t="shared" si="1327"/>
        <v>0</v>
      </c>
      <c r="X336" s="111">
        <f t="shared" si="1327"/>
        <v>0</v>
      </c>
      <c r="Y336" s="111">
        <f t="shared" si="1327"/>
        <v>0</v>
      </c>
      <c r="Z336" s="111">
        <f t="shared" si="1327"/>
        <v>0</v>
      </c>
      <c r="AA336" s="112">
        <f t="shared" si="1327"/>
        <v>0</v>
      </c>
      <c r="AB336" s="112">
        <f t="shared" si="1327"/>
        <v>0</v>
      </c>
      <c r="AC336" s="112">
        <f t="shared" si="1327"/>
        <v>0</v>
      </c>
      <c r="AD336" s="112">
        <f t="shared" si="1327"/>
        <v>0</v>
      </c>
      <c r="AE336" s="112">
        <f t="shared" si="1327"/>
        <v>0</v>
      </c>
      <c r="AF336" s="112">
        <f t="shared" si="1327"/>
        <v>0</v>
      </c>
      <c r="AG336" s="112">
        <f t="shared" si="1327"/>
        <v>0</v>
      </c>
      <c r="AH336" s="112">
        <f t="shared" si="1327"/>
        <v>0</v>
      </c>
      <c r="AI336" s="112">
        <f t="shared" si="1327"/>
        <v>0</v>
      </c>
      <c r="AJ336" s="112">
        <f t="shared" si="1327"/>
        <v>0</v>
      </c>
      <c r="AK336" s="112">
        <f t="shared" si="1327"/>
        <v>0</v>
      </c>
      <c r="AL336" s="111">
        <f t="shared" si="1327"/>
        <v>0</v>
      </c>
      <c r="AM336" s="113">
        <f t="shared" si="1327"/>
        <v>0</v>
      </c>
      <c r="AN336" s="113">
        <f t="shared" si="1327"/>
        <v>0</v>
      </c>
      <c r="AO336" s="114">
        <f t="shared" si="1327"/>
        <v>0</v>
      </c>
      <c r="AP336" s="114">
        <f t="shared" si="1327"/>
        <v>0</v>
      </c>
      <c r="AQ336" s="114" t="e">
        <f t="shared" si="1327"/>
        <v>#REF!</v>
      </c>
      <c r="AR336" s="114">
        <f t="shared" si="1327"/>
        <v>0</v>
      </c>
      <c r="AS336" s="114" t="e">
        <f t="shared" si="1327"/>
        <v>#VALUE!</v>
      </c>
      <c r="AT336" s="114" t="e">
        <f t="shared" si="1327"/>
        <v>#VALUE!</v>
      </c>
      <c r="AU336" s="114" t="e">
        <f t="shared" si="1327"/>
        <v>#VALUE!</v>
      </c>
      <c r="AV336" s="114">
        <f t="shared" si="1327"/>
        <v>0</v>
      </c>
      <c r="AW336" s="114">
        <f t="shared" si="1327"/>
        <v>0</v>
      </c>
      <c r="AX336" s="114">
        <f t="shared" si="1327"/>
        <v>0</v>
      </c>
      <c r="AY336" s="114">
        <f t="shared" si="1327"/>
        <v>0</v>
      </c>
      <c r="AZ336" s="115">
        <f t="shared" si="1327"/>
        <v>0</v>
      </c>
      <c r="BA336" s="74"/>
      <c r="BD336" s="74"/>
      <c r="BE336" s="116">
        <f>SUMPRODUCT($M$15:$M$335,BE15:BE335)</f>
        <v>0</v>
      </c>
      <c r="BF336" s="112">
        <f>SUMPRODUCT($M$15:$M$335,BF15:BF335)</f>
        <v>0</v>
      </c>
      <c r="BG336" s="112">
        <f>SUMPRODUCT($M$15:$M$335,BG15:BG335)</f>
        <v>0</v>
      </c>
      <c r="BH336" s="112">
        <f>SUMPRODUCT($M$15:$M$335,BH15:BH335)</f>
        <v>0</v>
      </c>
      <c r="BI336" s="74"/>
      <c r="BJ336" s="117"/>
      <c r="BK336" s="118">
        <f>SUMPRODUCT($M$15:$M$335,BK15:BK335)</f>
        <v>0</v>
      </c>
      <c r="BL336" s="118">
        <f>SUMPRODUCT($M$15:$M$335,BL15:BL335)</f>
        <v>0</v>
      </c>
      <c r="BM336" s="118">
        <f>SUMPRODUCT($M$15:$M$335,BM15:BM335)</f>
        <v>0</v>
      </c>
      <c r="BN336" s="112">
        <f>SUMPRODUCT($M$15:$M$335,BN15:BN335)</f>
        <v>0</v>
      </c>
      <c r="BO336" s="44"/>
      <c r="BP336" s="119" t="b">
        <f>IF(C12="CALI",(VLOOKUP(C12,'BD GN'!BD:BM,2,FALSE)),IF(C12="CUCUTA",(VLOOKUP(C12,'BD GN'!BD:BM,2,FALSE)),(IF(C12="BTA",(VLOOKUP(C12,'BD GN'!BD:BM,2,FALSE)),IF(C12="ANTQ",(VLOOKUP(C12,'BD GN'!BD:BM,2,FALSE)),IF(C12="COSTA",(VLOOKUP(C12,'BD GN'!BD:BM,2,FALSE)),((IF(C12="BGA",IF(BL342&lt;=3,(VLOOKUP(C12,'BD GN'!BD:BM,2,FALSE))/2,IF(BL342&lt;=6,(VLOOKUP(C12,'BD GN'!BD:BM,2,FALSE)),IF(BL342&gt;6,(VLOOKUP(C12,'BD GN'!BD:BM,2,FALSE)*2),0))))))))))))</f>
        <v>0</v>
      </c>
      <c r="BQ336" s="120" t="s">
        <v>399</v>
      </c>
      <c r="BR336" s="121" t="str">
        <f>+IFERROR(((BP336-BN336)/F338),"")</f>
        <v/>
      </c>
      <c r="BW336" s="74"/>
      <c r="BX336" s="6"/>
      <c r="BY336" s="6"/>
      <c r="BZ336" s="6"/>
      <c r="CA336" s="6"/>
      <c r="CB336" s="6"/>
      <c r="CC336" s="6"/>
      <c r="CD336" s="12"/>
      <c r="CE336" s="6"/>
      <c r="CF336" s="10"/>
      <c r="CG336" s="6"/>
      <c r="CH336" s="6"/>
      <c r="CI336" s="12"/>
      <c r="CJ336" s="74"/>
      <c r="CV336" s="36"/>
      <c r="CX336" s="36"/>
      <c r="CZ336" s="36"/>
      <c r="DB336" s="36"/>
      <c r="DD336" s="36"/>
      <c r="DG336" s="183"/>
      <c r="DH336" s="473"/>
      <c r="DI336" s="458"/>
      <c r="DJ336" s="458"/>
      <c r="DK336" s="458"/>
      <c r="DL336" s="458"/>
      <c r="DM336" s="458"/>
      <c r="DN336" s="458"/>
      <c r="DO336" s="458"/>
      <c r="DP336" s="458"/>
      <c r="DQ336" s="458"/>
      <c r="DR336" s="458"/>
      <c r="DS336" s="458"/>
      <c r="DT336" s="458"/>
      <c r="DU336" s="458"/>
      <c r="DV336" s="467"/>
      <c r="DW336" s="467"/>
      <c r="DX336" s="458"/>
      <c r="DY336" s="458"/>
    </row>
    <row r="337" spans="1:129" ht="45" customHeight="1" x14ac:dyDescent="0.25">
      <c r="A337" s="618" t="s">
        <v>342</v>
      </c>
      <c r="B337" s="619"/>
      <c r="C337" s="647" t="s">
        <v>523</v>
      </c>
      <c r="D337" s="647"/>
      <c r="E337" s="647"/>
      <c r="F337" s="647"/>
      <c r="G337" s="647"/>
      <c r="H337" s="647"/>
      <c r="I337" s="647"/>
      <c r="J337" s="423"/>
      <c r="K337" s="175"/>
      <c r="L337" s="424"/>
      <c r="M337" s="175"/>
      <c r="N337" s="356" t="s">
        <v>38</v>
      </c>
      <c r="O337" s="425">
        <f>(SUM(O15:O335))/(1+10%+19%*5%)</f>
        <v>0</v>
      </c>
      <c r="AM337" s="124"/>
      <c r="AN337" s="125"/>
      <c r="AO337" s="125"/>
      <c r="AP337" s="125"/>
      <c r="AQ337" s="125"/>
      <c r="AR337" s="125"/>
      <c r="AS337" s="125"/>
      <c r="AT337" s="125"/>
      <c r="AU337" s="125"/>
      <c r="AV337" s="125"/>
      <c r="AW337" s="125"/>
      <c r="AX337" s="125"/>
      <c r="AY337" s="125"/>
      <c r="AZ337" s="125"/>
      <c r="BO337" s="10"/>
      <c r="BP337" s="635" t="str">
        <f>+IF(BN336&lt;BP336,"RECONFIG VALOR TRANSP","")</f>
        <v>RECONFIG VALOR TRANSP</v>
      </c>
      <c r="BQ337" s="126" t="s">
        <v>292</v>
      </c>
      <c r="BR337" s="127" t="str">
        <f>BR336</f>
        <v/>
      </c>
      <c r="DG337" s="559"/>
      <c r="DH337" s="568"/>
      <c r="DI337" s="566"/>
      <c r="DJ337" s="566"/>
      <c r="DK337" s="566"/>
      <c r="DL337" s="566"/>
      <c r="DM337" s="566"/>
      <c r="DN337" s="566"/>
      <c r="DO337" s="566"/>
      <c r="DP337" s="566"/>
      <c r="DQ337" s="566"/>
      <c r="DR337" s="566"/>
      <c r="DS337" s="566"/>
      <c r="DT337" s="566"/>
      <c r="DU337" s="566"/>
      <c r="DV337" s="724"/>
      <c r="DW337" s="724"/>
      <c r="DX337" s="566"/>
      <c r="DY337" s="566"/>
    </row>
    <row r="338" spans="1:129" ht="45" customHeight="1" thickBot="1" x14ac:dyDescent="0.3">
      <c r="A338" s="618" t="s">
        <v>521</v>
      </c>
      <c r="B338" s="619"/>
      <c r="C338" s="728" t="s">
        <v>39</v>
      </c>
      <c r="D338" s="728"/>
      <c r="E338" s="728"/>
      <c r="F338" s="491">
        <f>SUM(M15:M335)</f>
        <v>0</v>
      </c>
      <c r="G338" s="399"/>
      <c r="H338" s="399"/>
      <c r="I338" s="399"/>
      <c r="J338" s="423"/>
      <c r="K338" s="175"/>
      <c r="L338" s="424"/>
      <c r="M338" s="175"/>
      <c r="N338" s="356" t="s">
        <v>40</v>
      </c>
      <c r="O338" s="425">
        <f>+O337*4%</f>
        <v>0</v>
      </c>
      <c r="Q338" s="726" t="s">
        <v>518</v>
      </c>
      <c r="R338" s="726"/>
      <c r="S338" s="726"/>
      <c r="T338" s="726"/>
      <c r="U338" s="726"/>
      <c r="V338" s="726"/>
      <c r="W338" s="726"/>
      <c r="X338" s="726"/>
      <c r="Y338" s="726"/>
      <c r="Z338" s="726"/>
      <c r="AA338" s="726"/>
      <c r="AB338" s="726"/>
      <c r="AC338" s="726"/>
      <c r="AD338" s="726"/>
      <c r="AE338" s="726"/>
      <c r="AF338" s="726"/>
      <c r="AG338" s="726"/>
      <c r="AH338" s="726"/>
      <c r="AI338" s="726"/>
      <c r="AJ338" s="726"/>
      <c r="AK338" s="726"/>
      <c r="AL338" s="727"/>
      <c r="AM338" s="130"/>
      <c r="AN338" s="131"/>
      <c r="AO338" s="131"/>
      <c r="AP338" s="131"/>
      <c r="AQ338" s="131"/>
      <c r="AR338" s="131"/>
      <c r="AS338" s="131"/>
      <c r="AT338" s="131"/>
      <c r="AU338" s="131"/>
      <c r="AV338" s="131"/>
      <c r="AW338" s="131"/>
      <c r="AX338" s="131"/>
      <c r="AY338" s="131"/>
      <c r="AZ338" s="131"/>
      <c r="BA338" s="74"/>
      <c r="BB338" s="14"/>
      <c r="BC338" s="14"/>
      <c r="BD338" s="133"/>
      <c r="BE338" s="132" t="str">
        <f>IFERROR((BE336*100%)/$O$343,"")</f>
        <v/>
      </c>
      <c r="BF338" s="129" t="str">
        <f>IFERROR((BF336*100%)/$O$343,"")</f>
        <v/>
      </c>
      <c r="BG338" s="129" t="str">
        <f>IFERROR((BG336*100%)/$O$343,"")</f>
        <v/>
      </c>
      <c r="BH338" s="129" t="str">
        <f>IFERROR((BH336*100%)/$O$343,"")</f>
        <v/>
      </c>
      <c r="BI338" s="133"/>
      <c r="BJ338" s="129" t="str">
        <f>IFERROR((BJ336*100%)/$O$343,"")</f>
        <v/>
      </c>
      <c r="BK338" s="129" t="str">
        <f>IFERROR((BK336*100%)/$O$343,"")</f>
        <v/>
      </c>
      <c r="BL338" s="129" t="str">
        <f>IFERROR((BL336*100%)/$O$343,"")</f>
        <v/>
      </c>
      <c r="BM338" s="129" t="str">
        <f>IFERROR((BM336*100%)/$O$343,"")</f>
        <v/>
      </c>
      <c r="BN338" s="129" t="str">
        <f>IFERROR((BN336*100%)/$O$343,"")</f>
        <v/>
      </c>
      <c r="BO338" s="10"/>
      <c r="BP338" s="636"/>
      <c r="BQ338" s="126" t="s">
        <v>512</v>
      </c>
      <c r="DG338" s="559"/>
      <c r="DH338" s="568"/>
      <c r="DI338" s="566"/>
      <c r="DJ338" s="566"/>
      <c r="DK338" s="566"/>
      <c r="DL338" s="566"/>
      <c r="DM338" s="566"/>
      <c r="DN338" s="566"/>
      <c r="DO338" s="566"/>
      <c r="DP338" s="566"/>
      <c r="DQ338" s="566"/>
      <c r="DR338" s="566"/>
      <c r="DS338" s="566"/>
      <c r="DT338" s="566"/>
      <c r="DU338" s="566"/>
      <c r="DV338" s="724"/>
      <c r="DW338" s="724"/>
      <c r="DX338" s="566"/>
      <c r="DY338" s="566"/>
    </row>
    <row r="339" spans="1:129" ht="45" customHeight="1" x14ac:dyDescent="0.25">
      <c r="A339" s="618" t="s">
        <v>522</v>
      </c>
      <c r="B339" s="619"/>
      <c r="C339" s="728" t="s">
        <v>41</v>
      </c>
      <c r="D339" s="728"/>
      <c r="E339" s="728"/>
      <c r="F339" s="492">
        <f>SUM(L15:L335)</f>
        <v>0</v>
      </c>
      <c r="G339" s="399"/>
      <c r="H339" s="399"/>
      <c r="I339" s="399"/>
      <c r="J339" s="423"/>
      <c r="K339" s="175"/>
      <c r="L339" s="424"/>
      <c r="M339" s="175"/>
      <c r="N339" s="356" t="s">
        <v>42</v>
      </c>
      <c r="O339" s="425">
        <f>+O337*1%</f>
        <v>0</v>
      </c>
      <c r="Q339" s="123" t="str">
        <f t="shared" ref="Q339:Z339" si="1328">IFERROR(Q336/$O$343,"0%")</f>
        <v>0%</v>
      </c>
      <c r="R339" s="123" t="str">
        <f t="shared" si="1328"/>
        <v>0%</v>
      </c>
      <c r="S339" s="123" t="str">
        <f t="shared" si="1328"/>
        <v>0%</v>
      </c>
      <c r="T339" s="123" t="str">
        <f t="shared" si="1328"/>
        <v>0%</v>
      </c>
      <c r="U339" s="123" t="str">
        <f t="shared" si="1328"/>
        <v>0%</v>
      </c>
      <c r="V339" s="123" t="str">
        <f t="shared" si="1328"/>
        <v>0%</v>
      </c>
      <c r="W339" s="123" t="str">
        <f t="shared" si="1328"/>
        <v>0%</v>
      </c>
      <c r="X339" s="123" t="str">
        <f t="shared" si="1328"/>
        <v>0%</v>
      </c>
      <c r="Y339" s="123" t="str">
        <f t="shared" si="1328"/>
        <v>0%</v>
      </c>
      <c r="Z339" s="123" t="str">
        <f t="shared" si="1328"/>
        <v>0%</v>
      </c>
      <c r="AA339" s="123"/>
      <c r="AB339" s="123" t="str">
        <f t="shared" ref="AB339:AL339" si="1329">IFERROR(AB336/$O$343,"0%")</f>
        <v>0%</v>
      </c>
      <c r="AC339" s="123" t="str">
        <f t="shared" si="1329"/>
        <v>0%</v>
      </c>
      <c r="AD339" s="123" t="str">
        <f t="shared" si="1329"/>
        <v>0%</v>
      </c>
      <c r="AE339" s="123" t="str">
        <f t="shared" si="1329"/>
        <v>0%</v>
      </c>
      <c r="AF339" s="123" t="str">
        <f t="shared" si="1329"/>
        <v>0%</v>
      </c>
      <c r="AG339" s="123" t="str">
        <f t="shared" si="1329"/>
        <v>0%</v>
      </c>
      <c r="AH339" s="123" t="str">
        <f t="shared" si="1329"/>
        <v>0%</v>
      </c>
      <c r="AI339" s="123" t="str">
        <f t="shared" si="1329"/>
        <v>0%</v>
      </c>
      <c r="AJ339" s="123" t="str">
        <f t="shared" si="1329"/>
        <v>0%</v>
      </c>
      <c r="AK339" s="489" t="str">
        <f t="shared" si="1329"/>
        <v>0%</v>
      </c>
      <c r="AL339" s="123" t="str">
        <f t="shared" si="1329"/>
        <v>0%</v>
      </c>
      <c r="AM339" s="137"/>
      <c r="AN339" s="136"/>
      <c r="AO339" s="136"/>
      <c r="AP339" s="136"/>
      <c r="AQ339" s="136"/>
      <c r="AR339" s="136"/>
      <c r="AS339" s="136"/>
      <c r="AT339" s="136"/>
      <c r="AU339" s="136"/>
      <c r="AV339" s="136"/>
      <c r="AW339" s="136"/>
      <c r="AX339" s="136"/>
      <c r="AY339" s="136"/>
      <c r="AZ339" s="136"/>
      <c r="DG339" s="559"/>
      <c r="DH339" s="568"/>
      <c r="DI339" s="566"/>
      <c r="DJ339" s="566"/>
      <c r="DK339" s="566"/>
      <c r="DL339" s="566"/>
      <c r="DM339" s="566"/>
      <c r="DN339" s="566"/>
      <c r="DO339" s="566"/>
      <c r="DP339" s="566"/>
      <c r="DQ339" s="566"/>
      <c r="DR339" s="566"/>
      <c r="DS339" s="566"/>
      <c r="DT339" s="566"/>
      <c r="DU339" s="566"/>
      <c r="DV339" s="724"/>
      <c r="DW339" s="724"/>
      <c r="DX339" s="566"/>
      <c r="DY339" s="566"/>
    </row>
    <row r="340" spans="1:129" ht="45" customHeight="1" x14ac:dyDescent="0.25">
      <c r="A340" s="335" t="s">
        <v>43</v>
      </c>
      <c r="B340" s="336"/>
      <c r="C340" s="8"/>
      <c r="D340" s="8"/>
      <c r="E340" s="8"/>
      <c r="F340" s="399"/>
      <c r="G340" s="399"/>
      <c r="H340" s="399"/>
      <c r="I340" s="399"/>
      <c r="J340" s="423"/>
      <c r="K340" s="175"/>
      <c r="L340" s="424"/>
      <c r="M340" s="175"/>
      <c r="N340" s="356" t="s">
        <v>44</v>
      </c>
      <c r="O340" s="425">
        <f>+O337*5%</f>
        <v>0</v>
      </c>
      <c r="W340" s="136"/>
      <c r="X340" s="136"/>
      <c r="Y340" s="140"/>
      <c r="Z340" s="140"/>
      <c r="AA340" s="140"/>
      <c r="AB340" s="136"/>
      <c r="AC340" s="136"/>
      <c r="AD340" s="136"/>
      <c r="AE340" s="136"/>
      <c r="AF340" s="136"/>
      <c r="AG340" s="136"/>
      <c r="AH340" s="136"/>
      <c r="AI340" s="136"/>
      <c r="AJ340" s="136"/>
      <c r="AK340" s="136"/>
      <c r="AL340" s="136"/>
      <c r="AM340" s="137"/>
      <c r="AN340" s="136"/>
      <c r="AO340" s="136"/>
      <c r="AP340" s="136"/>
      <c r="AQ340" s="136"/>
      <c r="AR340" s="136"/>
      <c r="AS340" s="136"/>
      <c r="AT340" s="136"/>
      <c r="AU340" s="136"/>
      <c r="AV340" s="136"/>
      <c r="AW340" s="136"/>
      <c r="AX340" s="136"/>
      <c r="AY340" s="136"/>
      <c r="AZ340" s="136"/>
      <c r="BF340" s="19" t="s">
        <v>126</v>
      </c>
      <c r="BG340" s="19" t="s">
        <v>127</v>
      </c>
      <c r="BH340" s="19" t="s">
        <v>128</v>
      </c>
      <c r="BK340" s="19" t="s">
        <v>136</v>
      </c>
      <c r="BL340" s="19" t="s">
        <v>136</v>
      </c>
      <c r="BM340" s="19" t="s">
        <v>136</v>
      </c>
      <c r="BN340" s="19" t="s">
        <v>139</v>
      </c>
      <c r="DG340" s="559"/>
      <c r="DH340" s="568"/>
      <c r="DI340" s="566"/>
      <c r="DJ340" s="566"/>
      <c r="DK340" s="566"/>
      <c r="DL340" s="566"/>
      <c r="DM340" s="566"/>
      <c r="DN340" s="566"/>
      <c r="DO340" s="566"/>
      <c r="DP340" s="566"/>
      <c r="DQ340" s="566"/>
      <c r="DR340" s="566"/>
      <c r="DS340" s="566"/>
      <c r="DT340" s="566"/>
      <c r="DU340" s="566"/>
      <c r="DV340" s="724"/>
      <c r="DW340" s="724"/>
      <c r="DX340" s="566"/>
      <c r="DY340" s="566"/>
    </row>
    <row r="341" spans="1:129" ht="45" customHeight="1" x14ac:dyDescent="0.25">
      <c r="A341" s="337" t="s">
        <v>397</v>
      </c>
      <c r="B341" s="336"/>
      <c r="C341" s="8"/>
      <c r="D341" s="8"/>
      <c r="E341" s="8"/>
      <c r="F341" s="399"/>
      <c r="G341" s="399"/>
      <c r="H341" s="399"/>
      <c r="I341" s="399"/>
      <c r="J341" s="423"/>
      <c r="K341" s="175"/>
      <c r="L341" s="426"/>
      <c r="M341" s="175"/>
      <c r="N341" s="356" t="s">
        <v>45</v>
      </c>
      <c r="O341" s="425">
        <f>O337+O338+O339+O340</f>
        <v>0</v>
      </c>
      <c r="Q341" s="726" t="s">
        <v>519</v>
      </c>
      <c r="R341" s="726"/>
      <c r="S341" s="726"/>
      <c r="T341" s="726"/>
      <c r="U341" s="726"/>
      <c r="V341" s="726"/>
      <c r="W341" s="726"/>
      <c r="X341" s="726"/>
      <c r="Y341" s="726"/>
      <c r="Z341" s="726"/>
      <c r="AA341" s="726"/>
      <c r="AB341" s="726"/>
      <c r="AC341" s="726"/>
      <c r="AD341" s="726"/>
      <c r="AE341" s="726"/>
      <c r="AF341" s="726"/>
      <c r="AG341" s="726"/>
      <c r="AH341" s="726"/>
      <c r="AI341" s="726"/>
      <c r="AJ341" s="726"/>
      <c r="AK341" s="726"/>
      <c r="AL341" s="727"/>
      <c r="AM341" s="142"/>
      <c r="AN341" s="141"/>
      <c r="AO341" s="141"/>
      <c r="AP341" s="141"/>
      <c r="AQ341" s="141"/>
      <c r="AR341" s="141"/>
      <c r="AS341" s="141"/>
      <c r="AT341" s="141"/>
      <c r="AU341" s="141"/>
      <c r="AV341" s="141"/>
      <c r="AW341" s="141"/>
      <c r="AX341" s="141"/>
      <c r="AY341" s="141"/>
      <c r="AZ341" s="141"/>
      <c r="BF341" s="143">
        <f>BF336/[1]Hoja1!$L$5</f>
        <v>0</v>
      </c>
      <c r="BG341" s="143">
        <f>BG336/[1]Hoja1!$V$5</f>
        <v>0</v>
      </c>
      <c r="BH341" s="143">
        <f>BH336/[1]Hoja1!$H$6</f>
        <v>0</v>
      </c>
      <c r="BK341" s="144">
        <f>BK336/1000</f>
        <v>0</v>
      </c>
      <c r="BL341" s="144">
        <f>BL336/1000</f>
        <v>0</v>
      </c>
      <c r="BM341" s="144">
        <f>BM336/1000</f>
        <v>0</v>
      </c>
      <c r="BN341" s="145" t="e">
        <f>BN336/(VLOOKUP(C12,[1]Hoja1!$X$5:$AC$664,2,FALSE))</f>
        <v>#N/A</v>
      </c>
      <c r="BX341" s="128"/>
      <c r="BY341" s="128"/>
      <c r="BZ341" s="128"/>
      <c r="CA341" s="128"/>
      <c r="CB341" s="128"/>
      <c r="CC341" s="128"/>
      <c r="CD341" s="146"/>
      <c r="CE341" s="128"/>
      <c r="CF341" s="147"/>
      <c r="CG341" s="128"/>
      <c r="CH341" s="128"/>
      <c r="CI341" s="146"/>
      <c r="DG341" s="559"/>
      <c r="DH341" s="568"/>
      <c r="DI341" s="566"/>
      <c r="DJ341" s="566"/>
      <c r="DK341" s="566"/>
      <c r="DL341" s="566"/>
      <c r="DM341" s="566"/>
      <c r="DN341" s="566"/>
      <c r="DO341" s="566"/>
      <c r="DP341" s="566"/>
      <c r="DQ341" s="566"/>
      <c r="DR341" s="566"/>
      <c r="DS341" s="566"/>
      <c r="DT341" s="566"/>
      <c r="DU341" s="566"/>
      <c r="DV341" s="724"/>
      <c r="DW341" s="724"/>
      <c r="DX341" s="566"/>
      <c r="DY341" s="566"/>
    </row>
    <row r="342" spans="1:129" ht="45" customHeight="1" x14ac:dyDescent="0.25">
      <c r="A342" s="372"/>
      <c r="B342" s="175"/>
      <c r="C342" s="393"/>
      <c r="D342" s="597" t="s">
        <v>46</v>
      </c>
      <c r="E342" s="597"/>
      <c r="F342" s="597"/>
      <c r="G342" s="597"/>
      <c r="H342" s="597"/>
      <c r="I342" s="597"/>
      <c r="J342" s="597"/>
      <c r="K342" s="597"/>
      <c r="L342" s="424"/>
      <c r="M342" s="175"/>
      <c r="N342" s="357" t="s">
        <v>47</v>
      </c>
      <c r="O342" s="425">
        <f>O340*19%</f>
        <v>0</v>
      </c>
      <c r="Q342" s="123" t="str">
        <f>IFERROR(Q336/($O$343-$AH$336),"0%")</f>
        <v>0%</v>
      </c>
      <c r="R342" s="123" t="str">
        <f t="shared" ref="R342:AL342" si="1330">IFERROR(R336/($O$343-$AH$336),"0%")</f>
        <v>0%</v>
      </c>
      <c r="S342" s="123" t="str">
        <f t="shared" si="1330"/>
        <v>0%</v>
      </c>
      <c r="T342" s="123" t="str">
        <f t="shared" si="1330"/>
        <v>0%</v>
      </c>
      <c r="U342" s="123" t="str">
        <f t="shared" si="1330"/>
        <v>0%</v>
      </c>
      <c r="V342" s="123" t="str">
        <f t="shared" si="1330"/>
        <v>0%</v>
      </c>
      <c r="W342" s="123" t="str">
        <f t="shared" si="1330"/>
        <v>0%</v>
      </c>
      <c r="X342" s="123" t="str">
        <f t="shared" si="1330"/>
        <v>0%</v>
      </c>
      <c r="Y342" s="123" t="str">
        <f t="shared" si="1330"/>
        <v>0%</v>
      </c>
      <c r="Z342" s="123" t="str">
        <f t="shared" si="1330"/>
        <v>0%</v>
      </c>
      <c r="AA342" s="123" t="str">
        <f t="shared" si="1330"/>
        <v>0%</v>
      </c>
      <c r="AB342" s="123" t="str">
        <f t="shared" si="1330"/>
        <v>0%</v>
      </c>
      <c r="AC342" s="123" t="str">
        <f t="shared" si="1330"/>
        <v>0%</v>
      </c>
      <c r="AD342" s="123" t="str">
        <f t="shared" si="1330"/>
        <v>0%</v>
      </c>
      <c r="AE342" s="123" t="str">
        <f t="shared" si="1330"/>
        <v>0%</v>
      </c>
      <c r="AF342" s="123" t="str">
        <f t="shared" si="1330"/>
        <v>0%</v>
      </c>
      <c r="AG342" s="123" t="str">
        <f t="shared" si="1330"/>
        <v>0%</v>
      </c>
      <c r="AH342" s="123" t="str">
        <f t="shared" si="1330"/>
        <v>0%</v>
      </c>
      <c r="AI342" s="123" t="str">
        <f t="shared" si="1330"/>
        <v>0%</v>
      </c>
      <c r="AJ342" s="123" t="str">
        <f t="shared" si="1330"/>
        <v>0%</v>
      </c>
      <c r="AK342" s="123" t="str">
        <f t="shared" si="1330"/>
        <v>0%</v>
      </c>
      <c r="AL342" s="123" t="str">
        <f t="shared" si="1330"/>
        <v>0%</v>
      </c>
      <c r="AM342" s="124"/>
      <c r="AN342" s="125"/>
      <c r="AO342" s="125"/>
      <c r="AP342" s="125"/>
      <c r="AQ342" s="125"/>
      <c r="AR342" s="125"/>
      <c r="AS342" s="125"/>
      <c r="AT342" s="125"/>
      <c r="AU342" s="125"/>
      <c r="AV342" s="125"/>
      <c r="AW342" s="125"/>
      <c r="AX342" s="125"/>
      <c r="AY342" s="125"/>
      <c r="AZ342" s="125"/>
      <c r="BL342" s="149">
        <f>BK341+BL341</f>
        <v>0</v>
      </c>
      <c r="BX342" s="128"/>
      <c r="BY342" s="128"/>
      <c r="BZ342" s="128"/>
      <c r="CA342" s="128"/>
      <c r="CB342" s="128"/>
      <c r="CC342" s="128"/>
      <c r="CD342" s="146"/>
      <c r="CE342" s="128"/>
      <c r="CF342" s="147"/>
      <c r="CG342" s="128"/>
      <c r="CH342" s="128"/>
      <c r="CI342" s="146"/>
      <c r="DG342" s="559"/>
      <c r="DH342" s="568"/>
      <c r="DI342" s="566"/>
      <c r="DJ342" s="566"/>
      <c r="DK342" s="566"/>
      <c r="DL342" s="566"/>
      <c r="DM342" s="566"/>
      <c r="DN342" s="566"/>
      <c r="DO342" s="566"/>
      <c r="DP342" s="566"/>
      <c r="DQ342" s="566"/>
      <c r="DR342" s="566"/>
      <c r="DS342" s="566"/>
      <c r="DT342" s="566"/>
      <c r="DU342" s="566"/>
      <c r="DV342" s="724"/>
      <c r="DW342" s="724"/>
      <c r="DX342" s="566"/>
      <c r="DY342" s="566"/>
    </row>
    <row r="343" spans="1:129" ht="45" customHeight="1" x14ac:dyDescent="0.25">
      <c r="A343" s="373"/>
      <c r="B343" s="257"/>
      <c r="C343" s="396"/>
      <c r="D343" s="637" t="s">
        <v>168</v>
      </c>
      <c r="E343" s="637"/>
      <c r="F343" s="637"/>
      <c r="G343" s="637"/>
      <c r="H343" s="637"/>
      <c r="I343" s="637"/>
      <c r="J343" s="637"/>
      <c r="K343" s="637"/>
      <c r="L343" s="187"/>
      <c r="M343" s="427"/>
      <c r="N343" s="358" t="s">
        <v>48</v>
      </c>
      <c r="O343" s="428">
        <f>O341+O342</f>
        <v>0</v>
      </c>
      <c r="BP343" s="128"/>
      <c r="BQ343" s="128"/>
      <c r="BR343" s="128"/>
      <c r="BX343" s="128"/>
      <c r="BY343" s="128"/>
      <c r="BZ343" s="128"/>
      <c r="CA343" s="128"/>
      <c r="CB343" s="128"/>
      <c r="CC343" s="128"/>
      <c r="CD343" s="146"/>
      <c r="CE343" s="128"/>
      <c r="CF343" s="147"/>
      <c r="CG343" s="128"/>
      <c r="CH343" s="128"/>
      <c r="CI343" s="146"/>
      <c r="DG343" s="183"/>
      <c r="DH343" s="473"/>
      <c r="DI343" s="458"/>
      <c r="DJ343" s="458"/>
      <c r="DK343" s="458"/>
      <c r="DL343" s="458"/>
      <c r="DM343" s="458"/>
      <c r="DN343" s="458"/>
      <c r="DO343" s="458"/>
      <c r="DP343" s="458"/>
      <c r="DQ343" s="458"/>
      <c r="DR343" s="458"/>
      <c r="DS343" s="458"/>
      <c r="DT343" s="458"/>
      <c r="DU343" s="458"/>
      <c r="DV343" s="467"/>
      <c r="DW343" s="467"/>
      <c r="DX343" s="458"/>
      <c r="DY343" s="458"/>
    </row>
    <row r="344" spans="1:129" s="128" customFormat="1" ht="39.950000000000003" customHeight="1" x14ac:dyDescent="0.25">
      <c r="A344" s="374"/>
      <c r="B344" s="375"/>
      <c r="C344" s="400"/>
      <c r="D344" s="401"/>
      <c r="E344" s="401"/>
      <c r="F344" s="401"/>
      <c r="G344" s="401"/>
      <c r="H344" s="401"/>
      <c r="I344" s="402"/>
      <c r="J344" s="375"/>
      <c r="K344" s="6"/>
      <c r="L344" s="429"/>
      <c r="M344" s="430"/>
      <c r="N344" s="431"/>
      <c r="O344" s="432"/>
      <c r="P344" s="122"/>
      <c r="Q344" s="726" t="s">
        <v>520</v>
      </c>
      <c r="R344" s="726"/>
      <c r="S344" s="726"/>
      <c r="T344" s="726"/>
      <c r="U344" s="726"/>
      <c r="V344" s="726"/>
      <c r="W344" s="726"/>
      <c r="X344" s="726"/>
      <c r="Y344" s="726"/>
      <c r="Z344" s="726"/>
      <c r="AA344" s="726"/>
      <c r="AB344" s="726"/>
      <c r="AC344" s="726"/>
      <c r="AD344" s="726"/>
      <c r="AE344" s="726"/>
      <c r="AF344" s="726"/>
      <c r="AG344" s="726"/>
      <c r="AH344" s="726"/>
      <c r="AI344" s="726"/>
      <c r="AJ344" s="726"/>
      <c r="AK344" s="726"/>
      <c r="AL344" s="727"/>
      <c r="AM344" s="151"/>
      <c r="BA344" s="153"/>
      <c r="BD344" s="153"/>
      <c r="BE344" s="147"/>
      <c r="BI344" s="153"/>
      <c r="BO344" s="153"/>
      <c r="BW344" s="153"/>
      <c r="CD344" s="146"/>
      <c r="CF344" s="147"/>
      <c r="CI344" s="146"/>
      <c r="CJ344" s="153"/>
      <c r="CV344" s="154"/>
      <c r="CX344" s="154"/>
      <c r="CZ344" s="154"/>
      <c r="DB344" s="154"/>
      <c r="DD344" s="154"/>
      <c r="DG344" s="559"/>
      <c r="DH344" s="568"/>
      <c r="DI344" s="566"/>
      <c r="DJ344" s="566"/>
      <c r="DK344" s="566"/>
      <c r="DL344" s="566"/>
      <c r="DM344" s="566"/>
      <c r="DN344" s="566"/>
      <c r="DO344" s="566"/>
      <c r="DP344" s="566"/>
      <c r="DQ344" s="566"/>
      <c r="DR344" s="566"/>
      <c r="DS344" s="566"/>
      <c r="DT344" s="566"/>
      <c r="DU344" s="566"/>
      <c r="DV344" s="724"/>
      <c r="DW344" s="724"/>
      <c r="DX344" s="566"/>
      <c r="DY344" s="566"/>
    </row>
    <row r="345" spans="1:129" s="128" customFormat="1" ht="54.95" customHeight="1" x14ac:dyDescent="0.25">
      <c r="A345" s="376"/>
      <c r="B345" s="338" t="s">
        <v>0</v>
      </c>
      <c r="C345" s="403" t="s">
        <v>25</v>
      </c>
      <c r="D345" s="624" t="s">
        <v>10</v>
      </c>
      <c r="E345" s="624"/>
      <c r="F345" s="624"/>
      <c r="G345" s="624"/>
      <c r="H345" s="624"/>
      <c r="I345" s="624"/>
      <c r="J345" s="624"/>
      <c r="K345" s="624"/>
      <c r="L345" s="624"/>
      <c r="M345" s="624"/>
      <c r="N345" s="624"/>
      <c r="O345" s="433"/>
      <c r="P345" s="122"/>
      <c r="Q345" s="490" t="str">
        <f t="shared" ref="Q345:AL345" si="1331">IFERROR(Q336/$F$339,"$0")</f>
        <v>$0</v>
      </c>
      <c r="R345" s="490" t="str">
        <f t="shared" si="1331"/>
        <v>$0</v>
      </c>
      <c r="S345" s="490" t="str">
        <f t="shared" si="1331"/>
        <v>$0</v>
      </c>
      <c r="T345" s="490" t="str">
        <f t="shared" si="1331"/>
        <v>$0</v>
      </c>
      <c r="U345" s="490" t="str">
        <f t="shared" si="1331"/>
        <v>$0</v>
      </c>
      <c r="V345" s="490" t="str">
        <f t="shared" si="1331"/>
        <v>$0</v>
      </c>
      <c r="W345" s="490" t="str">
        <f t="shared" si="1331"/>
        <v>$0</v>
      </c>
      <c r="X345" s="490" t="str">
        <f t="shared" si="1331"/>
        <v>$0</v>
      </c>
      <c r="Y345" s="490" t="str">
        <f t="shared" si="1331"/>
        <v>$0</v>
      </c>
      <c r="Z345" s="490" t="str">
        <f t="shared" si="1331"/>
        <v>$0</v>
      </c>
      <c r="AA345" s="490" t="str">
        <f t="shared" si="1331"/>
        <v>$0</v>
      </c>
      <c r="AB345" s="490" t="str">
        <f t="shared" si="1331"/>
        <v>$0</v>
      </c>
      <c r="AC345" s="490" t="str">
        <f t="shared" si="1331"/>
        <v>$0</v>
      </c>
      <c r="AD345" s="490" t="str">
        <f t="shared" si="1331"/>
        <v>$0</v>
      </c>
      <c r="AE345" s="490" t="str">
        <f t="shared" si="1331"/>
        <v>$0</v>
      </c>
      <c r="AF345" s="490" t="str">
        <f t="shared" si="1331"/>
        <v>$0</v>
      </c>
      <c r="AG345" s="490" t="str">
        <f t="shared" si="1331"/>
        <v>$0</v>
      </c>
      <c r="AH345" s="490" t="str">
        <f t="shared" si="1331"/>
        <v>$0</v>
      </c>
      <c r="AI345" s="490" t="str">
        <f t="shared" si="1331"/>
        <v>$0</v>
      </c>
      <c r="AJ345" s="490" t="str">
        <f t="shared" si="1331"/>
        <v>$0</v>
      </c>
      <c r="AK345" s="490" t="str">
        <f t="shared" si="1331"/>
        <v>$0</v>
      </c>
      <c r="AL345" s="490" t="str">
        <f t="shared" si="1331"/>
        <v>$0</v>
      </c>
      <c r="AM345" s="158"/>
      <c r="AN345" s="156"/>
      <c r="AO345" s="156"/>
      <c r="AP345" s="156"/>
      <c r="AQ345" s="156"/>
      <c r="AR345" s="156"/>
      <c r="AS345" s="156"/>
      <c r="AT345" s="156"/>
      <c r="AU345" s="156"/>
      <c r="AV345" s="156"/>
      <c r="AW345" s="156"/>
      <c r="AX345" s="156"/>
      <c r="AY345" s="156"/>
      <c r="AZ345" s="156"/>
      <c r="BA345" s="153"/>
      <c r="BD345" s="153"/>
      <c r="BE345" s="147"/>
      <c r="BI345" s="153"/>
      <c r="BO345" s="153"/>
      <c r="BW345" s="153"/>
      <c r="CD345" s="146"/>
      <c r="CF345" s="147"/>
      <c r="CI345" s="146"/>
      <c r="CJ345" s="153"/>
      <c r="CV345" s="154"/>
      <c r="CX345" s="154"/>
      <c r="CZ345" s="154"/>
      <c r="DB345" s="154"/>
      <c r="DD345" s="154"/>
      <c r="DG345" s="559"/>
      <c r="DH345" s="568"/>
      <c r="DI345" s="566"/>
      <c r="DJ345" s="566"/>
      <c r="DK345" s="566"/>
      <c r="DL345" s="566"/>
      <c r="DM345" s="566"/>
      <c r="DN345" s="566"/>
      <c r="DO345" s="566"/>
      <c r="DP345" s="566"/>
      <c r="DQ345" s="566"/>
      <c r="DR345" s="566"/>
      <c r="DS345" s="566"/>
      <c r="DT345" s="566"/>
      <c r="DU345" s="566"/>
      <c r="DV345" s="724"/>
      <c r="DW345" s="724"/>
      <c r="DX345" s="566"/>
      <c r="DY345" s="566"/>
    </row>
    <row r="346" spans="1:129" s="128" customFormat="1" ht="54.95" customHeight="1" x14ac:dyDescent="0.25">
      <c r="A346" s="377"/>
      <c r="B346" s="378"/>
      <c r="C346" s="404"/>
      <c r="D346" s="625"/>
      <c r="E346" s="625"/>
      <c r="F346" s="625"/>
      <c r="G346" s="625"/>
      <c r="H346" s="625"/>
      <c r="I346" s="625"/>
      <c r="J346" s="625"/>
      <c r="K346" s="625"/>
      <c r="L346" s="625"/>
      <c r="M346" s="625"/>
      <c r="N346" s="625"/>
      <c r="O346" s="433"/>
      <c r="P346" s="122"/>
      <c r="X346" s="156"/>
      <c r="Y346" s="156"/>
      <c r="Z346" s="157"/>
      <c r="AA346" s="157"/>
      <c r="AB346" s="156"/>
      <c r="AC346" s="156"/>
      <c r="AD346" s="156"/>
      <c r="AE346" s="156"/>
      <c r="AF346" s="156"/>
      <c r="AG346" s="156"/>
      <c r="AH346" s="156"/>
      <c r="AI346" s="156"/>
      <c r="AJ346" s="156"/>
      <c r="AK346" s="156"/>
      <c r="AL346" s="156"/>
      <c r="AM346" s="158"/>
      <c r="AN346" s="156"/>
      <c r="AO346" s="156"/>
      <c r="AP346" s="156"/>
      <c r="AQ346" s="156"/>
      <c r="AR346" s="156"/>
      <c r="AS346" s="156"/>
      <c r="AT346" s="156"/>
      <c r="AU346" s="156"/>
      <c r="AV346" s="156"/>
      <c r="AW346" s="156"/>
      <c r="AX346" s="156"/>
      <c r="AY346" s="156"/>
      <c r="AZ346" s="156"/>
      <c r="BA346" s="153"/>
      <c r="BD346" s="153"/>
      <c r="BE346" s="147"/>
      <c r="BI346" s="153"/>
      <c r="BO346" s="153"/>
      <c r="BW346" s="153"/>
      <c r="CD346" s="146"/>
      <c r="CF346" s="147"/>
      <c r="CI346" s="146"/>
      <c r="CJ346" s="153"/>
      <c r="CV346" s="154"/>
      <c r="CX346" s="154"/>
      <c r="CZ346" s="154"/>
      <c r="DB346" s="154"/>
      <c r="DD346" s="154"/>
      <c r="DG346" s="559"/>
      <c r="DH346" s="568"/>
      <c r="DI346" s="566"/>
      <c r="DJ346" s="566"/>
      <c r="DK346" s="566"/>
      <c r="DL346" s="566"/>
      <c r="DM346" s="566"/>
      <c r="DN346" s="566"/>
      <c r="DO346" s="566"/>
      <c r="DP346" s="566"/>
      <c r="DQ346" s="566"/>
      <c r="DR346" s="566"/>
      <c r="DS346" s="566"/>
      <c r="DT346" s="566"/>
      <c r="DU346" s="566"/>
      <c r="DV346" s="724"/>
      <c r="DW346" s="724"/>
      <c r="DX346" s="566"/>
      <c r="DY346" s="566"/>
    </row>
    <row r="347" spans="1:129" s="128" customFormat="1" ht="54.95" customHeight="1" x14ac:dyDescent="0.25">
      <c r="A347" s="377"/>
      <c r="B347" s="215"/>
      <c r="C347" s="405"/>
      <c r="D347" s="625"/>
      <c r="E347" s="625"/>
      <c r="F347" s="625"/>
      <c r="G347" s="625"/>
      <c r="H347" s="625"/>
      <c r="I347" s="625"/>
      <c r="J347" s="625"/>
      <c r="K347" s="625"/>
      <c r="L347" s="625"/>
      <c r="M347" s="625"/>
      <c r="N347" s="625"/>
      <c r="O347" s="434"/>
      <c r="P347" s="122"/>
      <c r="Q347" s="498" t="s">
        <v>349</v>
      </c>
      <c r="R347" s="135" t="s">
        <v>525</v>
      </c>
      <c r="S347" s="136"/>
      <c r="T347" s="136"/>
      <c r="U347" s="136"/>
      <c r="V347" s="136"/>
      <c r="W347" s="156"/>
      <c r="X347" s="156"/>
      <c r="Y347" s="156"/>
      <c r="Z347" s="157"/>
      <c r="AA347" s="157"/>
      <c r="AB347" s="156"/>
      <c r="AC347" s="156"/>
      <c r="AD347" s="156"/>
      <c r="AE347" s="156"/>
      <c r="AF347" s="156"/>
      <c r="AG347" s="156"/>
      <c r="AH347" s="156"/>
      <c r="AI347" s="156"/>
      <c r="AJ347" s="156"/>
      <c r="AK347" s="156"/>
      <c r="AL347" s="156"/>
      <c r="AM347" s="158"/>
      <c r="AN347" s="156"/>
      <c r="AO347" s="156"/>
      <c r="AP347" s="156"/>
      <c r="AQ347" s="156"/>
      <c r="AR347" s="156"/>
      <c r="AS347" s="156"/>
      <c r="AT347" s="156"/>
      <c r="AU347" s="156"/>
      <c r="AV347" s="156"/>
      <c r="AW347" s="156"/>
      <c r="AX347" s="156"/>
      <c r="AY347" s="156"/>
      <c r="AZ347" s="156"/>
      <c r="BA347" s="153"/>
      <c r="BD347" s="153"/>
      <c r="BE347" s="147"/>
      <c r="BI347" s="153"/>
      <c r="BO347" s="153"/>
      <c r="BW347" s="153"/>
      <c r="CD347" s="146"/>
      <c r="CF347" s="147"/>
      <c r="CI347" s="146"/>
      <c r="CJ347" s="153"/>
      <c r="CV347" s="154"/>
      <c r="CX347" s="154"/>
      <c r="CZ347" s="154"/>
      <c r="DB347" s="154"/>
      <c r="DD347" s="154"/>
      <c r="DG347" s="559"/>
      <c r="DH347" s="568"/>
      <c r="DI347" s="566"/>
      <c r="DJ347" s="566"/>
      <c r="DK347" s="566"/>
      <c r="DL347" s="566"/>
      <c r="DM347" s="566"/>
      <c r="DN347" s="566"/>
      <c r="DO347" s="566"/>
      <c r="DP347" s="566"/>
      <c r="DQ347" s="566"/>
      <c r="DR347" s="566"/>
      <c r="DS347" s="566"/>
      <c r="DT347" s="566"/>
      <c r="DU347" s="566"/>
      <c r="DV347" s="724"/>
      <c r="DW347" s="724"/>
      <c r="DX347" s="566"/>
      <c r="DY347" s="566"/>
    </row>
    <row r="348" spans="1:129" s="128" customFormat="1" ht="54.95" customHeight="1" x14ac:dyDescent="0.25">
      <c r="A348" s="377"/>
      <c r="B348" s="215"/>
      <c r="C348" s="405"/>
      <c r="D348" s="625"/>
      <c r="E348" s="625"/>
      <c r="F348" s="625"/>
      <c r="G348" s="625"/>
      <c r="H348" s="625"/>
      <c r="I348" s="625"/>
      <c r="J348" s="625"/>
      <c r="K348" s="625"/>
      <c r="L348" s="625"/>
      <c r="M348" s="625"/>
      <c r="N348" s="625"/>
      <c r="O348" s="434"/>
      <c r="P348" s="122"/>
      <c r="Q348" s="499" t="s">
        <v>350</v>
      </c>
      <c r="R348" s="138">
        <v>0</v>
      </c>
      <c r="S348" s="139"/>
      <c r="T348" s="136"/>
      <c r="U348" s="353" t="s">
        <v>489</v>
      </c>
      <c r="V348" s="354" t="s">
        <v>491</v>
      </c>
      <c r="W348" s="156"/>
      <c r="X348" s="156"/>
      <c r="Y348" s="156"/>
      <c r="Z348" s="157"/>
      <c r="AA348" s="157"/>
      <c r="AB348" s="156"/>
      <c r="AC348" s="156"/>
      <c r="AD348" s="156"/>
      <c r="AE348" s="156"/>
      <c r="AF348" s="156"/>
      <c r="AG348" s="156"/>
      <c r="AH348" s="156"/>
      <c r="AI348" s="156"/>
      <c r="AJ348" s="156"/>
      <c r="AK348" s="156"/>
      <c r="AL348" s="156"/>
      <c r="AM348" s="158"/>
      <c r="AN348" s="156"/>
      <c r="AO348" s="156"/>
      <c r="AP348" s="156"/>
      <c r="AQ348" s="156"/>
      <c r="AR348" s="156"/>
      <c r="AS348" s="156"/>
      <c r="AT348" s="156"/>
      <c r="AU348" s="156"/>
      <c r="AV348" s="156"/>
      <c r="AW348" s="156"/>
      <c r="AX348" s="156"/>
      <c r="AY348" s="156"/>
      <c r="AZ348" s="156"/>
      <c r="BA348" s="153"/>
      <c r="BD348" s="153"/>
      <c r="BE348" s="147"/>
      <c r="BI348" s="153"/>
      <c r="BO348" s="153"/>
      <c r="BW348" s="153"/>
      <c r="CD348" s="146"/>
      <c r="CF348" s="147"/>
      <c r="CI348" s="146"/>
      <c r="CJ348" s="153"/>
      <c r="CV348" s="154"/>
      <c r="CX348" s="154"/>
      <c r="CZ348" s="154"/>
      <c r="DB348" s="154"/>
      <c r="DD348" s="154"/>
      <c r="DG348" s="559"/>
      <c r="DH348" s="568"/>
      <c r="DI348" s="566"/>
      <c r="DJ348" s="566"/>
      <c r="DK348" s="566"/>
      <c r="DL348" s="566"/>
      <c r="DM348" s="566"/>
      <c r="DN348" s="566"/>
      <c r="DO348" s="566"/>
      <c r="DP348" s="566"/>
      <c r="DQ348" s="566"/>
      <c r="DR348" s="566"/>
      <c r="DS348" s="566"/>
      <c r="DT348" s="566"/>
      <c r="DU348" s="566"/>
      <c r="DV348" s="724"/>
      <c r="DW348" s="724"/>
      <c r="DX348" s="566"/>
      <c r="DY348" s="566"/>
    </row>
    <row r="349" spans="1:129" s="128" customFormat="1" ht="54.95" customHeight="1" x14ac:dyDescent="0.25">
      <c r="A349" s="377"/>
      <c r="B349" s="215"/>
      <c r="C349" s="405"/>
      <c r="D349" s="625"/>
      <c r="E349" s="625"/>
      <c r="F349" s="625"/>
      <c r="G349" s="625"/>
      <c r="H349" s="625"/>
      <c r="I349" s="625"/>
      <c r="J349" s="625"/>
      <c r="K349" s="625"/>
      <c r="L349" s="625"/>
      <c r="M349" s="625"/>
      <c r="N349" s="625"/>
      <c r="O349" s="434"/>
      <c r="P349" s="122"/>
      <c r="Q349" s="498" t="s">
        <v>351</v>
      </c>
      <c r="R349" s="135" t="s">
        <v>526</v>
      </c>
      <c r="S349" s="141"/>
      <c r="T349" s="141"/>
      <c r="U349" s="355" t="str">
        <f>IFERROR((O343/F339),"")</f>
        <v/>
      </c>
      <c r="V349" s="355" t="str">
        <f>IFERROR(IF($C$12='BD GN'!$CK$1,VLOOKUP(V348,'BD GN'!CJ:CO,2,FALSE),IF(COTIZACIÓN!$C$12='BD GN'!$CL$1,VLOOKUP(COTIZACIÓN!V348,'BD GN'!CJ:CO,3,FALSE),IF(COTIZACIÓN!$C$12='BD GN'!$CM$1,VLOOKUP(COTIZACIÓN!V348,'BD GN'!CJ:CO,4,FALSE),IF(COTIZACIÓN!$C$12='BD GN'!$CN$1,VLOOKUP(COTIZACIÓN!V348,'BD GN'!$CJ:$CO,5,FALSE),IF(COTIZACIÓN!$C$12='BD GN'!$CO$1,VLOOKUP(COTIZACIÓN!V348,'BD GN'!CJ:CO,6,FALSE),""))))),"")</f>
        <v/>
      </c>
      <c r="W349" s="156"/>
      <c r="X349" s="156"/>
      <c r="Y349" s="156"/>
      <c r="Z349" s="157"/>
      <c r="AA349" s="157"/>
      <c r="AB349" s="156"/>
      <c r="AC349" s="156"/>
      <c r="AD349" s="156"/>
      <c r="AE349" s="156"/>
      <c r="AF349" s="156"/>
      <c r="AG349" s="156"/>
      <c r="AH349" s="156"/>
      <c r="AI349" s="156"/>
      <c r="AJ349" s="156"/>
      <c r="AK349" s="156"/>
      <c r="AL349" s="156"/>
      <c r="AM349" s="158"/>
      <c r="AN349" s="156"/>
      <c r="AO349" s="156"/>
      <c r="AP349" s="156"/>
      <c r="AQ349" s="156"/>
      <c r="AR349" s="156"/>
      <c r="AS349" s="156"/>
      <c r="AT349" s="156"/>
      <c r="AU349" s="156"/>
      <c r="AV349" s="156"/>
      <c r="AW349" s="156"/>
      <c r="AX349" s="156"/>
      <c r="AY349" s="156"/>
      <c r="AZ349" s="156"/>
      <c r="BA349" s="153"/>
      <c r="BD349" s="153"/>
      <c r="BE349" s="147"/>
      <c r="BI349" s="153"/>
      <c r="BO349" s="153"/>
      <c r="BW349" s="153"/>
      <c r="CD349" s="146"/>
      <c r="CF349" s="147"/>
      <c r="CI349" s="146"/>
      <c r="CJ349" s="153"/>
      <c r="CV349" s="154"/>
      <c r="CX349" s="154"/>
      <c r="CZ349" s="154"/>
      <c r="DB349" s="154"/>
      <c r="DD349" s="154"/>
      <c r="DG349" s="559"/>
      <c r="DH349" s="568"/>
      <c r="DI349" s="566"/>
      <c r="DJ349" s="566"/>
      <c r="DK349" s="566"/>
      <c r="DL349" s="566"/>
      <c r="DM349" s="566"/>
      <c r="DN349" s="566"/>
      <c r="DO349" s="566"/>
      <c r="DP349" s="566"/>
      <c r="DQ349" s="566"/>
      <c r="DR349" s="566"/>
      <c r="DS349" s="566"/>
      <c r="DT349" s="566"/>
      <c r="DU349" s="566"/>
      <c r="DV349" s="724"/>
      <c r="DW349" s="724"/>
      <c r="DX349" s="566"/>
      <c r="DY349" s="566"/>
    </row>
    <row r="350" spans="1:129" s="128" customFormat="1" ht="54.95" customHeight="1" x14ac:dyDescent="0.25">
      <c r="A350" s="377"/>
      <c r="B350" s="215"/>
      <c r="C350" s="405"/>
      <c r="D350" s="625"/>
      <c r="E350" s="625"/>
      <c r="F350" s="625"/>
      <c r="G350" s="625"/>
      <c r="H350" s="625"/>
      <c r="I350" s="625"/>
      <c r="J350" s="625"/>
      <c r="K350" s="625"/>
      <c r="L350" s="625"/>
      <c r="M350" s="625"/>
      <c r="N350" s="625"/>
      <c r="O350" s="434"/>
      <c r="P350" s="122"/>
      <c r="Q350" s="499" t="s">
        <v>352</v>
      </c>
      <c r="R350" s="148">
        <v>0.03</v>
      </c>
      <c r="S350" s="125"/>
      <c r="T350" s="125"/>
      <c r="U350" s="125"/>
      <c r="V350" s="125"/>
      <c r="W350" s="156"/>
      <c r="X350" s="156"/>
      <c r="Y350" s="156"/>
      <c r="Z350" s="157"/>
      <c r="AA350" s="157"/>
      <c r="AB350" s="156"/>
      <c r="AC350" s="156"/>
      <c r="AD350" s="156"/>
      <c r="AE350" s="156"/>
      <c r="AF350" s="156"/>
      <c r="AG350" s="156"/>
      <c r="AH350" s="156"/>
      <c r="AI350" s="156"/>
      <c r="AJ350" s="156"/>
      <c r="AK350" s="156"/>
      <c r="AL350" s="156"/>
      <c r="AM350" s="158"/>
      <c r="AN350" s="156"/>
      <c r="AO350" s="156"/>
      <c r="AP350" s="156"/>
      <c r="AQ350" s="156"/>
      <c r="AR350" s="156"/>
      <c r="AS350" s="156"/>
      <c r="AT350" s="156"/>
      <c r="AU350" s="156"/>
      <c r="AV350" s="156"/>
      <c r="AW350" s="156"/>
      <c r="AX350" s="156"/>
      <c r="AY350" s="156"/>
      <c r="AZ350" s="156"/>
      <c r="BA350" s="153"/>
      <c r="BD350" s="153"/>
      <c r="BE350" s="147"/>
      <c r="BI350" s="153"/>
      <c r="BO350" s="153"/>
      <c r="BW350" s="153"/>
      <c r="CD350" s="146"/>
      <c r="CF350" s="147"/>
      <c r="CI350" s="146"/>
      <c r="CJ350" s="153"/>
      <c r="CV350" s="154"/>
      <c r="CX350" s="154"/>
      <c r="CZ350" s="154"/>
      <c r="DB350" s="154"/>
      <c r="DD350" s="154"/>
      <c r="DH350" s="474"/>
      <c r="DI350" s="459"/>
      <c r="DJ350" s="459"/>
      <c r="DK350" s="459"/>
      <c r="DL350" s="459"/>
      <c r="DM350" s="459"/>
      <c r="DN350" s="459"/>
      <c r="DO350" s="459"/>
      <c r="DP350" s="459"/>
      <c r="DQ350" s="459"/>
      <c r="DR350" s="459"/>
      <c r="DS350" s="459"/>
      <c r="DT350" s="459"/>
      <c r="DU350" s="459"/>
      <c r="DV350" s="468"/>
      <c r="DW350" s="468"/>
      <c r="DX350" s="459"/>
      <c r="DY350" s="459"/>
    </row>
    <row r="351" spans="1:129" s="128" customFormat="1" ht="54.95" customHeight="1" x14ac:dyDescent="0.25">
      <c r="A351" s="377"/>
      <c r="B351" s="215"/>
      <c r="C351" s="405"/>
      <c r="D351" s="625"/>
      <c r="E351" s="625"/>
      <c r="F351" s="625"/>
      <c r="G351" s="625"/>
      <c r="H351" s="625"/>
      <c r="I351" s="625"/>
      <c r="J351" s="625"/>
      <c r="K351" s="625"/>
      <c r="L351" s="625"/>
      <c r="M351" s="625"/>
      <c r="N351" s="625"/>
      <c r="O351" s="434"/>
      <c r="P351" s="122"/>
      <c r="Q351" s="498" t="s">
        <v>353</v>
      </c>
      <c r="R351" s="135" t="s">
        <v>527</v>
      </c>
      <c r="W351" s="156"/>
      <c r="X351" s="156"/>
      <c r="Y351" s="156"/>
      <c r="Z351" s="157"/>
      <c r="AA351" s="157"/>
      <c r="AB351" s="156"/>
      <c r="AC351" s="156"/>
      <c r="AD351" s="156"/>
      <c r="AE351" s="156"/>
      <c r="AF351" s="156"/>
      <c r="AG351" s="156"/>
      <c r="AH351" s="156"/>
      <c r="AI351" s="156"/>
      <c r="AJ351" s="156"/>
      <c r="AK351" s="156"/>
      <c r="AL351" s="156"/>
      <c r="AM351" s="158"/>
      <c r="AN351" s="156"/>
      <c r="AO351" s="156"/>
      <c r="AP351" s="156"/>
      <c r="AQ351" s="156"/>
      <c r="AR351" s="156"/>
      <c r="AS351" s="156"/>
      <c r="AT351" s="156"/>
      <c r="AU351" s="156"/>
      <c r="AV351" s="156"/>
      <c r="AW351" s="156"/>
      <c r="AX351" s="156"/>
      <c r="AY351" s="156"/>
      <c r="AZ351" s="156"/>
      <c r="BA351" s="153"/>
      <c r="BD351" s="153"/>
      <c r="BE351" s="147"/>
      <c r="BI351" s="153"/>
      <c r="BO351" s="153"/>
      <c r="BW351" s="153"/>
      <c r="CD351" s="146"/>
      <c r="CF351" s="147"/>
      <c r="CI351" s="146"/>
      <c r="CJ351" s="153"/>
      <c r="CV351" s="154"/>
      <c r="CX351" s="154"/>
      <c r="CZ351" s="154"/>
      <c r="DB351" s="154"/>
      <c r="DD351" s="154"/>
      <c r="DH351" s="474"/>
      <c r="DI351" s="459"/>
      <c r="DJ351" s="459"/>
      <c r="DK351" s="459"/>
      <c r="DL351" s="459"/>
      <c r="DM351" s="459"/>
      <c r="DN351" s="459"/>
      <c r="DO351" s="459"/>
      <c r="DP351" s="459"/>
      <c r="DQ351" s="459"/>
      <c r="DR351" s="459"/>
      <c r="DS351" s="459"/>
      <c r="DT351" s="459"/>
      <c r="DU351" s="459"/>
      <c r="DV351" s="468"/>
      <c r="DW351" s="468"/>
      <c r="DX351" s="459"/>
      <c r="DY351" s="459"/>
    </row>
    <row r="352" spans="1:129" s="128" customFormat="1" ht="54.95" customHeight="1" x14ac:dyDescent="0.25">
      <c r="A352" s="377"/>
      <c r="B352" s="215"/>
      <c r="C352" s="405"/>
      <c r="D352" s="625"/>
      <c r="E352" s="625"/>
      <c r="F352" s="625"/>
      <c r="G352" s="625"/>
      <c r="H352" s="625"/>
      <c r="I352" s="625"/>
      <c r="J352" s="625"/>
      <c r="K352" s="625"/>
      <c r="L352" s="625"/>
      <c r="M352" s="625"/>
      <c r="N352" s="625"/>
      <c r="O352" s="434"/>
      <c r="P352" s="122"/>
      <c r="Q352" s="499" t="s">
        <v>350</v>
      </c>
      <c r="R352" s="152">
        <v>0</v>
      </c>
      <c r="W352" s="156"/>
      <c r="X352" s="156"/>
      <c r="Y352" s="156"/>
      <c r="Z352" s="157"/>
      <c r="AA352" s="157"/>
      <c r="AB352" s="156"/>
      <c r="AC352" s="156"/>
      <c r="AD352" s="156"/>
      <c r="AE352" s="156"/>
      <c r="AF352" s="156"/>
      <c r="AG352" s="156"/>
      <c r="AH352" s="156"/>
      <c r="AI352" s="156"/>
      <c r="AJ352" s="156"/>
      <c r="AK352" s="156"/>
      <c r="AL352" s="156"/>
      <c r="AM352" s="158"/>
      <c r="AN352" s="156"/>
      <c r="AO352" s="156"/>
      <c r="AP352" s="156"/>
      <c r="AQ352" s="156"/>
      <c r="AR352" s="156"/>
      <c r="AS352" s="156"/>
      <c r="AT352" s="156"/>
      <c r="AU352" s="156"/>
      <c r="AV352" s="156"/>
      <c r="AW352" s="156"/>
      <c r="AX352" s="156"/>
      <c r="AY352" s="156"/>
      <c r="AZ352" s="156"/>
      <c r="BA352" s="153"/>
      <c r="BD352" s="153"/>
      <c r="BE352" s="147"/>
      <c r="BI352" s="153"/>
      <c r="BO352" s="153"/>
      <c r="BW352" s="153"/>
      <c r="CD352" s="146"/>
      <c r="CF352" s="147"/>
      <c r="CI352" s="146"/>
      <c r="CJ352" s="153"/>
      <c r="CV352" s="154"/>
      <c r="CX352" s="154"/>
      <c r="CZ352" s="154"/>
      <c r="DB352" s="154"/>
      <c r="DD352" s="154"/>
      <c r="DH352" s="474"/>
      <c r="DI352" s="459"/>
      <c r="DJ352" s="459"/>
      <c r="DK352" s="459"/>
      <c r="DL352" s="459"/>
      <c r="DM352" s="459"/>
      <c r="DN352" s="459"/>
      <c r="DO352" s="459"/>
      <c r="DP352" s="459"/>
      <c r="DQ352" s="459"/>
      <c r="DR352" s="459"/>
      <c r="DS352" s="459"/>
      <c r="DT352" s="459"/>
      <c r="DU352" s="459"/>
      <c r="DV352" s="468"/>
      <c r="DW352" s="468"/>
      <c r="DX352" s="459"/>
      <c r="DY352" s="459"/>
    </row>
    <row r="353" spans="1:129" s="128" customFormat="1" ht="54.95" customHeight="1" x14ac:dyDescent="0.25">
      <c r="A353" s="377"/>
      <c r="B353" s="215"/>
      <c r="C353" s="405"/>
      <c r="D353" s="625"/>
      <c r="E353" s="625"/>
      <c r="F353" s="625"/>
      <c r="G353" s="625"/>
      <c r="H353" s="625"/>
      <c r="I353" s="625"/>
      <c r="J353" s="625"/>
      <c r="K353" s="625"/>
      <c r="L353" s="625"/>
      <c r="M353" s="625"/>
      <c r="N353" s="625"/>
      <c r="O353" s="434"/>
      <c r="P353" s="122"/>
      <c r="Q353" s="500" t="s">
        <v>369</v>
      </c>
      <c r="R353" s="155">
        <v>30659</v>
      </c>
      <c r="S353" s="156"/>
      <c r="T353" s="156"/>
      <c r="U353" s="156"/>
      <c r="V353" s="156"/>
      <c r="W353" s="156"/>
      <c r="X353" s="156"/>
      <c r="Y353" s="156"/>
      <c r="Z353" s="157"/>
      <c r="AA353" s="157"/>
      <c r="AB353" s="156"/>
      <c r="AC353" s="156"/>
      <c r="AD353" s="156"/>
      <c r="AE353" s="156"/>
      <c r="AF353" s="156"/>
      <c r="AG353" s="156"/>
      <c r="AH353" s="156"/>
      <c r="AI353" s="156"/>
      <c r="AJ353" s="156"/>
      <c r="AK353" s="156"/>
      <c r="AL353" s="156"/>
      <c r="AM353" s="158"/>
      <c r="AN353" s="156"/>
      <c r="AO353" s="156"/>
      <c r="AP353" s="156"/>
      <c r="AQ353" s="156"/>
      <c r="AR353" s="156"/>
      <c r="AS353" s="156"/>
      <c r="AT353" s="156"/>
      <c r="AU353" s="156"/>
      <c r="AV353" s="156"/>
      <c r="AW353" s="156"/>
      <c r="AX353" s="156"/>
      <c r="AY353" s="156"/>
      <c r="AZ353" s="156"/>
      <c r="BA353" s="153"/>
      <c r="BD353" s="153"/>
      <c r="BE353" s="147"/>
      <c r="BI353" s="153"/>
      <c r="BO353" s="153"/>
      <c r="BW353" s="153"/>
      <c r="CD353" s="146"/>
      <c r="CF353" s="147"/>
      <c r="CI353" s="146"/>
      <c r="CJ353" s="153"/>
      <c r="CV353" s="154"/>
      <c r="CX353" s="154"/>
      <c r="CZ353" s="154"/>
      <c r="DB353" s="154"/>
      <c r="DD353" s="154"/>
      <c r="DH353" s="474"/>
      <c r="DI353" s="459"/>
      <c r="DJ353" s="459"/>
      <c r="DK353" s="459"/>
      <c r="DL353" s="459"/>
      <c r="DM353" s="459"/>
      <c r="DN353" s="459"/>
      <c r="DO353" s="459"/>
      <c r="DP353" s="459"/>
      <c r="DQ353" s="459"/>
      <c r="DR353" s="459"/>
      <c r="DS353" s="459"/>
      <c r="DT353" s="459"/>
      <c r="DU353" s="459"/>
      <c r="DV353" s="468"/>
      <c r="DW353" s="468"/>
      <c r="DX353" s="459"/>
      <c r="DY353" s="459"/>
    </row>
    <row r="354" spans="1:129" s="128" customFormat="1" ht="54.95" customHeight="1" x14ac:dyDescent="0.25">
      <c r="A354" s="377"/>
      <c r="B354" s="215"/>
      <c r="C354" s="405"/>
      <c r="D354" s="625"/>
      <c r="E354" s="625"/>
      <c r="F354" s="625"/>
      <c r="G354" s="625"/>
      <c r="H354" s="625"/>
      <c r="I354" s="625"/>
      <c r="J354" s="625"/>
      <c r="K354" s="625"/>
      <c r="L354" s="625"/>
      <c r="M354" s="625"/>
      <c r="N354" s="625"/>
      <c r="O354" s="433"/>
      <c r="P354" s="122"/>
      <c r="Q354" s="156"/>
      <c r="R354" s="156"/>
      <c r="S354" s="156"/>
      <c r="T354" s="156"/>
      <c r="U354" s="156"/>
      <c r="V354" s="156"/>
      <c r="W354" s="156"/>
      <c r="X354" s="156"/>
      <c r="Y354" s="156"/>
      <c r="Z354" s="157"/>
      <c r="AA354" s="157"/>
      <c r="AB354" s="156"/>
      <c r="AC354" s="156"/>
      <c r="AD354" s="156"/>
      <c r="AE354" s="156"/>
      <c r="AF354" s="156"/>
      <c r="AG354" s="156"/>
      <c r="AH354" s="156"/>
      <c r="AI354" s="156"/>
      <c r="AJ354" s="156"/>
      <c r="AK354" s="156"/>
      <c r="AL354" s="156"/>
      <c r="AM354" s="158"/>
      <c r="AN354" s="156"/>
      <c r="AO354" s="156"/>
      <c r="AP354" s="156"/>
      <c r="AQ354" s="156"/>
      <c r="AR354" s="156"/>
      <c r="AS354" s="156"/>
      <c r="AT354" s="156"/>
      <c r="AU354" s="156"/>
      <c r="AV354" s="156"/>
      <c r="AW354" s="156"/>
      <c r="AX354" s="156"/>
      <c r="AY354" s="156"/>
      <c r="AZ354" s="156"/>
      <c r="BA354" s="153"/>
      <c r="BD354" s="153"/>
      <c r="BE354" s="147"/>
      <c r="BI354" s="153"/>
      <c r="BO354" s="153"/>
      <c r="BW354" s="153"/>
      <c r="CD354" s="146"/>
      <c r="CF354" s="147"/>
      <c r="CI354" s="146"/>
      <c r="CJ354" s="153"/>
      <c r="CV354" s="154"/>
      <c r="CX354" s="154"/>
      <c r="CZ354" s="154"/>
      <c r="DB354" s="154"/>
      <c r="DD354" s="154"/>
      <c r="DH354" s="474"/>
      <c r="DI354" s="459"/>
      <c r="DJ354" s="459"/>
      <c r="DK354" s="459"/>
      <c r="DL354" s="459"/>
      <c r="DM354" s="459"/>
      <c r="DN354" s="459"/>
      <c r="DO354" s="459"/>
      <c r="DP354" s="459"/>
      <c r="DQ354" s="459"/>
      <c r="DR354" s="459"/>
      <c r="DS354" s="459"/>
      <c r="DT354" s="459"/>
      <c r="DU354" s="459"/>
      <c r="DV354" s="468"/>
      <c r="DW354" s="468"/>
      <c r="DX354" s="459"/>
      <c r="DY354" s="459"/>
    </row>
    <row r="355" spans="1:129" s="128" customFormat="1" ht="54.95" customHeight="1" x14ac:dyDescent="0.25">
      <c r="A355" s="377"/>
      <c r="B355" s="215"/>
      <c r="C355" s="405"/>
      <c r="D355" s="625"/>
      <c r="E355" s="625"/>
      <c r="F355" s="625"/>
      <c r="G355" s="625"/>
      <c r="H355" s="625"/>
      <c r="I355" s="625"/>
      <c r="J355" s="625"/>
      <c r="K355" s="625"/>
      <c r="L355" s="625"/>
      <c r="M355" s="625"/>
      <c r="N355" s="625"/>
      <c r="O355" s="544" t="str">
        <f>Y363</f>
        <v>SG BIOCONFORT</v>
      </c>
      <c r="P355" s="122"/>
      <c r="Q355" s="201">
        <f>$Q$336+W364</f>
        <v>0</v>
      </c>
      <c r="R355" s="201">
        <f>$R$336</f>
        <v>0</v>
      </c>
      <c r="S355" s="201">
        <f>$S$336+W363</f>
        <v>0</v>
      </c>
      <c r="T355" s="201">
        <f>$T$336</f>
        <v>0</v>
      </c>
      <c r="U355" s="201">
        <f>$U$336</f>
        <v>0</v>
      </c>
      <c r="V355" s="201">
        <f>$V$336</f>
        <v>0</v>
      </c>
      <c r="W355" s="201">
        <f>$W$336</f>
        <v>0</v>
      </c>
      <c r="X355" s="201">
        <f>$X$336</f>
        <v>0</v>
      </c>
      <c r="Y355" s="201">
        <f>IFERROR($Y$13*AK355,"")</f>
        <v>4.2084457416288003E-2</v>
      </c>
      <c r="Z355" s="201">
        <f>IFERROR(($Z$13*AK355)+X355,"")</f>
        <v>5.8166708502000002E-3</v>
      </c>
      <c r="AA355" s="201">
        <f>IFERROR(Y355+Z355,"")</f>
        <v>4.7901128266487999E-2</v>
      </c>
      <c r="AB355" s="201">
        <f>IFERROR((SUM(Q355:X355)-$U$333+$U$335)*$AB$13,"")</f>
        <v>0</v>
      </c>
      <c r="AC355" s="201">
        <f>IFERROR(((SUM(Q355:V355,IF(X355&gt;AA355,AVERAGE(X355,AA355),AA355))-$U$333+$U$335))*$AB$13,"")</f>
        <v>9.5802256532976E-4</v>
      </c>
      <c r="AD355" s="201" t="str">
        <f>IFERROR(($F$339*$BV$14),"")</f>
        <v/>
      </c>
      <c r="AE355" s="201">
        <f>IFERROR($AE$13*AK355,"")</f>
        <v>6.4010592649919984E-2</v>
      </c>
      <c r="AF355" s="201" t="str">
        <f>IFERROR(($CI$11+$CI$13)*$F$339,"")</f>
        <v/>
      </c>
      <c r="AG355" s="201">
        <f>IFERROR((SUM(Q355:X355,AB355,AD355,AF355)-$U$333+$U$335)*$AG$13,"")</f>
        <v>0</v>
      </c>
      <c r="AH355" s="201">
        <f>IFERROR((SUM(Q355:V355,(IF(X355&gt;AA355,AVERAGE(X355,AA355),AA355)),AC355,AE355,AF355)-$U$333+$U$335)*$AG$13,"")</f>
        <v>5.6434871740868871E-2</v>
      </c>
      <c r="AI355" s="201">
        <f>IFERROR(AL355*$AI$13,"")</f>
        <v>2.3005092721839999E-2</v>
      </c>
      <c r="AJ355" s="201">
        <f>IFERROR($AJ$13*AL355,"")</f>
        <v>6.4184208693933587E-3</v>
      </c>
      <c r="AK355" s="201">
        <f>IFERROR(SUM(Q355:X355,AB355,AD355,AG355,AF355)/(1-$AI$13)+(1-$AJ$13)-$U$333+$U$335,"")</f>
        <v>0.99441999999999997</v>
      </c>
      <c r="AL355" s="201">
        <f>IFERROR(SUM(Q355:V355,AC355,(IF(AD355&gt;AE355,AVERAGE(AD355,AE355),AE355)),AF355,,AH355,(IF(SUM(X355)&gt;AA355,AVERAGE(AA355,X355),AA355)))/(1-$AJ$13)+(1-$AI$13)-$U$333+$U$335,"")</f>
        <v>1.1502546360919998</v>
      </c>
      <c r="AM355" s="131"/>
      <c r="AN355" s="131"/>
      <c r="AO355" s="131"/>
      <c r="AP355" s="131"/>
      <c r="AQ355" s="131"/>
      <c r="AR355" s="131"/>
      <c r="AS355" s="131"/>
      <c r="AT355" s="131"/>
      <c r="AU355" s="131"/>
      <c r="AV355" s="131"/>
      <c r="AW355" s="131"/>
      <c r="AX355" s="131"/>
      <c r="AY355" s="131"/>
      <c r="AZ355" s="131"/>
      <c r="BA355" s="14"/>
      <c r="BB355" s="14"/>
      <c r="BC355" s="14"/>
      <c r="BD355" s="201">
        <f>AL355-$O$343</f>
        <v>1.1502546360919998</v>
      </c>
      <c r="BI355" s="153"/>
      <c r="BO355" s="153"/>
      <c r="BW355" s="153"/>
      <c r="CD355" s="146"/>
      <c r="CF355" s="147"/>
      <c r="CI355" s="146"/>
      <c r="CJ355" s="153"/>
      <c r="CV355" s="154"/>
      <c r="CX355" s="154"/>
      <c r="CZ355" s="154"/>
      <c r="DB355" s="154"/>
      <c r="DD355" s="154"/>
      <c r="DH355" s="474"/>
      <c r="DI355" s="459"/>
      <c r="DJ355" s="459"/>
      <c r="DK355" s="459"/>
      <c r="DL355" s="459"/>
      <c r="DM355" s="459"/>
      <c r="DN355" s="459"/>
      <c r="DO355" s="459"/>
      <c r="DP355" s="459"/>
      <c r="DQ355" s="459"/>
      <c r="DR355" s="459"/>
      <c r="DS355" s="459"/>
      <c r="DT355" s="459"/>
      <c r="DU355" s="459"/>
      <c r="DV355" s="468"/>
      <c r="DW355" s="468"/>
      <c r="DX355" s="459"/>
      <c r="DY355" s="459"/>
    </row>
    <row r="356" spans="1:129" s="128" customFormat="1" ht="54.95" customHeight="1" x14ac:dyDescent="0.25">
      <c r="A356" s="377"/>
      <c r="B356" s="175"/>
      <c r="C356" s="393"/>
      <c r="D356" s="168"/>
      <c r="E356" s="168"/>
      <c r="F356" s="168"/>
      <c r="G356" s="168"/>
      <c r="H356" s="168"/>
      <c r="I356" s="168"/>
      <c r="J356" s="168"/>
      <c r="K356" s="168"/>
      <c r="L356" s="168"/>
      <c r="M356" s="168"/>
      <c r="N356" s="168"/>
      <c r="O356" s="544"/>
      <c r="P356" s="122"/>
      <c r="Q356" s="502"/>
      <c r="R356" s="502"/>
      <c r="S356" s="502"/>
      <c r="T356" s="502"/>
      <c r="U356" s="502"/>
      <c r="V356" s="502"/>
      <c r="W356" s="502"/>
      <c r="X356" s="502"/>
      <c r="Y356" s="502"/>
      <c r="Z356" s="502"/>
      <c r="AA356" s="502"/>
      <c r="AB356" s="502"/>
      <c r="AC356" s="502"/>
      <c r="AD356" s="502"/>
      <c r="AE356" s="502"/>
      <c r="AF356" s="502"/>
      <c r="AG356" s="502"/>
      <c r="AH356" s="502"/>
      <c r="AI356" s="502"/>
      <c r="AJ356" s="502"/>
      <c r="AK356" s="502"/>
      <c r="AL356" s="502"/>
      <c r="AM356" s="136"/>
      <c r="AN356" s="136"/>
      <c r="AO356" s="136"/>
      <c r="AP356" s="136"/>
      <c r="AQ356" s="136"/>
      <c r="AR356" s="136"/>
      <c r="AS356" s="136"/>
      <c r="AT356" s="136"/>
      <c r="AU356" s="136"/>
      <c r="AV356" s="136"/>
      <c r="AW356" s="136"/>
      <c r="AX356" s="136"/>
      <c r="AY356" s="136"/>
      <c r="AZ356" s="136"/>
      <c r="BA356" s="6"/>
      <c r="BB356" s="6"/>
      <c r="BC356" s="6"/>
      <c r="BD356" s="6"/>
      <c r="BI356" s="153"/>
      <c r="BO356" s="153"/>
      <c r="BW356" s="153"/>
      <c r="CD356" s="146"/>
      <c r="CF356" s="147"/>
      <c r="CI356" s="146"/>
      <c r="CJ356" s="153"/>
      <c r="CV356" s="154"/>
      <c r="CX356" s="154"/>
      <c r="CZ356" s="154"/>
      <c r="DB356" s="154"/>
      <c r="DD356" s="154"/>
      <c r="DH356" s="474"/>
      <c r="DI356" s="459"/>
      <c r="DJ356" s="459"/>
      <c r="DK356" s="459"/>
      <c r="DL356" s="459"/>
      <c r="DM356" s="459"/>
      <c r="DN356" s="459"/>
      <c r="DO356" s="459"/>
      <c r="DP356" s="459"/>
      <c r="DQ356" s="459"/>
      <c r="DR356" s="459"/>
      <c r="DS356" s="459"/>
      <c r="DT356" s="459"/>
      <c r="DU356" s="459"/>
      <c r="DV356" s="468"/>
      <c r="DW356" s="468"/>
      <c r="DX356" s="459"/>
      <c r="DY356" s="459"/>
    </row>
    <row r="357" spans="1:129" s="128" customFormat="1" ht="54.95" customHeight="1" x14ac:dyDescent="0.25">
      <c r="A357" s="377"/>
      <c r="B357" s="175"/>
      <c r="C357" s="393"/>
      <c r="D357" s="168"/>
      <c r="E357" s="168"/>
      <c r="F357" s="168"/>
      <c r="G357" s="168"/>
      <c r="H357" s="168"/>
      <c r="I357" s="168"/>
      <c r="J357" s="168"/>
      <c r="K357" s="168"/>
      <c r="L357" s="168"/>
      <c r="M357" s="168"/>
      <c r="N357" s="168"/>
      <c r="O357" s="544" t="str">
        <f>Y364</f>
        <v>SG SIGNATURE - APERTURA MULTIPLE</v>
      </c>
      <c r="P357" s="122"/>
      <c r="Q357" s="201">
        <f>$Q$336+W365+W364</f>
        <v>0</v>
      </c>
      <c r="R357" s="201">
        <f>$R$336</f>
        <v>0</v>
      </c>
      <c r="S357" s="201">
        <f>$S$336+W363</f>
        <v>0</v>
      </c>
      <c r="T357" s="201">
        <f>$T$336</f>
        <v>0</v>
      </c>
      <c r="U357" s="201">
        <f>$U$336</f>
        <v>0</v>
      </c>
      <c r="V357" s="201">
        <f>$V$336</f>
        <v>0</v>
      </c>
      <c r="W357" s="201">
        <f>$W$336</f>
        <v>0</v>
      </c>
      <c r="X357" s="201">
        <f>$X$336</f>
        <v>0</v>
      </c>
      <c r="Y357" s="201">
        <f>IFERROR($Y$13*AK357,"")</f>
        <v>4.2084457416288003E-2</v>
      </c>
      <c r="Z357" s="201">
        <f>IFERROR(($Z$13*AK357)+X357,"")</f>
        <v>5.8166708502000002E-3</v>
      </c>
      <c r="AA357" s="201">
        <f>IFERROR(Y357+Z357,"")</f>
        <v>4.7901128266487999E-2</v>
      </c>
      <c r="AB357" s="201">
        <f>IFERROR((SUM(Q357:X357)-$U$333+$U$335)*$AB$13,"")</f>
        <v>0</v>
      </c>
      <c r="AC357" s="201">
        <f>IFERROR(((SUM(Q357:V357,IF(X357&gt;AA357,AVERAGE(X357,AA357),AA357))-$U$333+$U$335))*$AB$13,"")</f>
        <v>9.5802256532976E-4</v>
      </c>
      <c r="AD357" s="201" t="str">
        <f>IFERROR(($F$339*$BV$14),"")</f>
        <v/>
      </c>
      <c r="AE357" s="201">
        <f>IFERROR($AE$13*AK357,"")</f>
        <v>6.4010592649919984E-2</v>
      </c>
      <c r="AF357" s="201" t="str">
        <f>IFERROR(($CI$11+$CI$13)*$F$339,"")</f>
        <v/>
      </c>
      <c r="AG357" s="201">
        <f>IFERROR((SUM(Q357:X357,AB357,AD357,AF357)-$U$333+$U$335)*$AG$13,"")</f>
        <v>0</v>
      </c>
      <c r="AH357" s="201">
        <f>IFERROR((SUM(Q357:V357,(IF(X357&gt;AA357,AVERAGE(X357,AA357),AA357)),AC357,AE357,AF357)-$U$333+$U$335)*$AG$13,"")</f>
        <v>5.6434871740868871E-2</v>
      </c>
      <c r="AI357" s="201">
        <f>IFERROR(AL357*$AI$13,"")</f>
        <v>2.3005092721839999E-2</v>
      </c>
      <c r="AJ357" s="201">
        <f>IFERROR($AJ$13*AL357,"")</f>
        <v>6.4184208693933587E-3</v>
      </c>
      <c r="AK357" s="201">
        <f>IFERROR(SUM(Q357:X357,AB357,AD357,AG357,AF357)/(1-$AI$13)+(1-$AJ$13)-$U$333+$U$335,"")</f>
        <v>0.99441999999999997</v>
      </c>
      <c r="AL357" s="201">
        <f>IFERROR(SUM(Q357:V357,AC357,(IF(AD357&gt;AE357,AVERAGE(AD357,AE357),AE357)),AF357,,AH357,(IF(SUM(X357)&gt;AA357,AVERAGE(AA357,X357),AA357)))/(1-$AJ$13)+(1-$AI$13)-$U$333+$U$335,"")</f>
        <v>1.1502546360919998</v>
      </c>
      <c r="AM357" s="131"/>
      <c r="AN357" s="131"/>
      <c r="AO357" s="131"/>
      <c r="AP357" s="131"/>
      <c r="AQ357" s="131"/>
      <c r="AR357" s="131"/>
      <c r="AS357" s="131"/>
      <c r="AT357" s="131"/>
      <c r="AU357" s="131"/>
      <c r="AV357" s="131"/>
      <c r="AW357" s="131"/>
      <c r="AX357" s="131"/>
      <c r="AY357" s="131"/>
      <c r="AZ357" s="131"/>
      <c r="BA357" s="14"/>
      <c r="BB357" s="14"/>
      <c r="BC357" s="14"/>
      <c r="BD357" s="201">
        <f>AL357-AL355</f>
        <v>0</v>
      </c>
      <c r="BI357" s="153"/>
      <c r="BO357" s="153"/>
      <c r="BW357" s="153"/>
      <c r="CD357" s="146"/>
      <c r="CF357" s="147"/>
      <c r="CI357" s="146"/>
      <c r="CJ357" s="153"/>
      <c r="CV357" s="154"/>
      <c r="CX357" s="154"/>
      <c r="CZ357" s="154"/>
      <c r="DB357" s="154"/>
      <c r="DD357" s="154"/>
      <c r="DH357" s="474"/>
      <c r="DI357" s="459"/>
      <c r="DJ357" s="459"/>
      <c r="DK357" s="459"/>
      <c r="DL357" s="459"/>
      <c r="DM357" s="459"/>
      <c r="DN357" s="459"/>
      <c r="DO357" s="459"/>
      <c r="DP357" s="459"/>
      <c r="DQ357" s="459"/>
      <c r="DR357" s="459"/>
      <c r="DS357" s="459"/>
      <c r="DT357" s="459"/>
      <c r="DU357" s="459"/>
      <c r="DV357" s="468"/>
      <c r="DW357" s="468"/>
      <c r="DX357" s="459"/>
      <c r="DY357" s="459"/>
    </row>
    <row r="358" spans="1:129" s="128" customFormat="1" ht="54.95" customHeight="1" x14ac:dyDescent="0.25">
      <c r="A358" s="377"/>
      <c r="B358" s="175"/>
      <c r="C358" s="393"/>
      <c r="D358" s="168"/>
      <c r="E358" s="168"/>
      <c r="F358" s="168"/>
      <c r="G358" s="168"/>
      <c r="H358" s="168"/>
      <c r="I358" s="168"/>
      <c r="J358" s="168"/>
      <c r="K358" s="168"/>
      <c r="L358" s="168"/>
      <c r="M358" s="168"/>
      <c r="N358" s="168"/>
      <c r="O358" s="544"/>
      <c r="P358" s="122"/>
      <c r="Q358" s="502"/>
      <c r="R358" s="502"/>
      <c r="S358" s="502"/>
      <c r="T358" s="502"/>
      <c r="U358" s="502"/>
      <c r="V358" s="502"/>
      <c r="W358" s="502"/>
      <c r="X358" s="502"/>
      <c r="Y358" s="502"/>
      <c r="Z358" s="502"/>
      <c r="AA358" s="502"/>
      <c r="AB358" s="502"/>
      <c r="AC358" s="502"/>
      <c r="AD358" s="502"/>
      <c r="AE358" s="502"/>
      <c r="AF358" s="502"/>
      <c r="AG358" s="533"/>
      <c r="AH358" s="502"/>
      <c r="AI358" s="502"/>
      <c r="AJ358" s="502"/>
      <c r="AK358" s="502"/>
      <c r="AL358" s="502"/>
      <c r="BA358" s="6"/>
      <c r="BB358" s="6"/>
      <c r="BC358" s="6"/>
      <c r="BD358" s="6"/>
      <c r="BI358" s="153"/>
      <c r="BO358" s="153"/>
      <c r="BW358" s="153"/>
      <c r="CD358" s="146"/>
      <c r="CF358" s="147"/>
      <c r="CI358" s="146"/>
      <c r="CJ358" s="153"/>
      <c r="CV358" s="154"/>
      <c r="CX358" s="154"/>
      <c r="CZ358" s="154"/>
      <c r="DB358" s="154"/>
      <c r="DD358" s="154"/>
      <c r="DH358" s="474"/>
      <c r="DI358" s="459"/>
      <c r="DJ358" s="459"/>
      <c r="DK358" s="459"/>
      <c r="DL358" s="459"/>
      <c r="DM358" s="459"/>
      <c r="DN358" s="459"/>
      <c r="DO358" s="459"/>
      <c r="DP358" s="459"/>
      <c r="DQ358" s="459"/>
      <c r="DR358" s="459"/>
      <c r="DS358" s="459"/>
      <c r="DT358" s="459"/>
      <c r="DU358" s="459"/>
      <c r="DV358" s="468"/>
      <c r="DW358" s="468"/>
      <c r="DX358" s="459"/>
      <c r="DY358" s="459"/>
    </row>
    <row r="359" spans="1:129" s="128" customFormat="1" ht="54.95" customHeight="1" x14ac:dyDescent="0.25">
      <c r="A359" s="377"/>
      <c r="B359" s="175"/>
      <c r="C359" s="393"/>
      <c r="D359" s="168"/>
      <c r="E359" s="168"/>
      <c r="F359" s="168"/>
      <c r="G359" s="168"/>
      <c r="H359" s="168"/>
      <c r="I359" s="168"/>
      <c r="J359" s="168"/>
      <c r="K359" s="168"/>
      <c r="L359" s="168"/>
      <c r="M359" s="168"/>
      <c r="N359" s="168"/>
      <c r="O359" s="544" t="str">
        <f>Y365</f>
        <v>SG SIGNATURE - CAMBIO ACABADO ALUMINIO</v>
      </c>
      <c r="P359" s="122"/>
      <c r="Q359" s="201">
        <f>$Q$336+W364</f>
        <v>0</v>
      </c>
      <c r="R359" s="201">
        <f>$R$336+W367</f>
        <v>0</v>
      </c>
      <c r="S359" s="201">
        <f>$S$336+W363</f>
        <v>0</v>
      </c>
      <c r="T359" s="201">
        <f>$T$336</f>
        <v>0</v>
      </c>
      <c r="U359" s="201">
        <f>$U$336</f>
        <v>0</v>
      </c>
      <c r="V359" s="201">
        <f>$V$336</f>
        <v>0</v>
      </c>
      <c r="W359" s="201">
        <f>$W$336</f>
        <v>0</v>
      </c>
      <c r="X359" s="201">
        <f>$X$336</f>
        <v>0</v>
      </c>
      <c r="Y359" s="201">
        <f>IFERROR($Y$13*AK359,"")</f>
        <v>4.2084457416288003E-2</v>
      </c>
      <c r="Z359" s="201">
        <f>IFERROR(($Z$13*AK359)+X359,"")</f>
        <v>5.8166708502000002E-3</v>
      </c>
      <c r="AA359" s="201">
        <f>IFERROR(Y359+Z359,"")</f>
        <v>4.7901128266487999E-2</v>
      </c>
      <c r="AB359" s="201">
        <f>IFERROR((SUM(Q359:X359)-$U$333+$U$335)*$AB$13,"")</f>
        <v>0</v>
      </c>
      <c r="AC359" s="201">
        <f>IFERROR(((SUM(Q359:V359,IF(X359&gt;AA359,AVERAGE(X359,AA359),AA359))-$U$333+$U$335))*$AB$13,"")</f>
        <v>9.5802256532976E-4</v>
      </c>
      <c r="AD359" s="201" t="str">
        <f>IFERROR(($F$339*$BV$14),"")</f>
        <v/>
      </c>
      <c r="AE359" s="201">
        <f>IFERROR($AE$13*AK359,"")</f>
        <v>6.4010592649919984E-2</v>
      </c>
      <c r="AF359" s="201" t="str">
        <f>IFERROR(($CI$11+$CI$13)*$F$339,"")</f>
        <v/>
      </c>
      <c r="AG359" s="201">
        <f>IFERROR((SUM(Q359:X359,AB359,AD359,AF359)-$U$333+$U$335)*$AG$13,"")</f>
        <v>0</v>
      </c>
      <c r="AH359" s="201">
        <f>IFERROR((SUM(Q359:V359,(IF(X359&gt;AA359,AVERAGE(X359,AA359),AA359)),AC359,AE359,AF359)-$U$333+$U$335)*$AG$13,"")</f>
        <v>5.6434871740868871E-2</v>
      </c>
      <c r="AI359" s="201">
        <f>IFERROR(AL359*$AI$13,"")</f>
        <v>2.3005092721839999E-2</v>
      </c>
      <c r="AJ359" s="201">
        <f>IFERROR($AJ$13*AL359,"")</f>
        <v>6.4184208693933587E-3</v>
      </c>
      <c r="AK359" s="201">
        <f>IFERROR(SUM(Q359:X359,AB359,AD359,AG359,AF359)/(1-$AI$13)+(1-$AJ$13)-$U$333+$U$335,"")</f>
        <v>0.99441999999999997</v>
      </c>
      <c r="AL359" s="201">
        <f>IFERROR(SUM(Q359:V359,AC359,(IF(AD359&gt;AE359,AVERAGE(AD359,AE359),AE359)),AF359,,AH359,(IF(SUM(X359)&gt;AA359,AVERAGE(AA359,X359),AA359)))/(1-$AJ$13)+(1-$AI$13)-$U$333+$U$335,"")</f>
        <v>1.1502546360919998</v>
      </c>
      <c r="AM359" s="131"/>
      <c r="AN359" s="131"/>
      <c r="AO359" s="131"/>
      <c r="AP359" s="131"/>
      <c r="AQ359" s="131"/>
      <c r="AR359" s="131"/>
      <c r="AS359" s="131"/>
      <c r="AT359" s="131"/>
      <c r="AU359" s="131"/>
      <c r="AV359" s="131"/>
      <c r="AW359" s="131"/>
      <c r="AX359" s="131"/>
      <c r="AY359" s="131"/>
      <c r="AZ359" s="131"/>
      <c r="BA359" s="14"/>
      <c r="BB359" s="14"/>
      <c r="BC359" s="14"/>
      <c r="BD359" s="201">
        <f>AL359-AL355</f>
        <v>0</v>
      </c>
      <c r="BI359" s="153"/>
      <c r="BO359" s="153"/>
      <c r="BW359" s="153"/>
      <c r="CD359" s="146"/>
      <c r="CF359" s="147"/>
      <c r="CI359" s="146"/>
      <c r="CJ359" s="153"/>
      <c r="CV359" s="154"/>
      <c r="CX359" s="154"/>
      <c r="CZ359" s="154"/>
      <c r="DB359" s="154"/>
      <c r="DD359" s="154"/>
      <c r="DH359" s="474"/>
      <c r="DI359" s="459"/>
      <c r="DJ359" s="459"/>
      <c r="DK359" s="459"/>
      <c r="DL359" s="459"/>
      <c r="DM359" s="459"/>
      <c r="DN359" s="459"/>
      <c r="DO359" s="459"/>
      <c r="DP359" s="459"/>
      <c r="DQ359" s="459"/>
      <c r="DR359" s="459"/>
      <c r="DS359" s="459"/>
      <c r="DT359" s="459"/>
      <c r="DU359" s="459"/>
      <c r="DV359" s="468"/>
      <c r="DW359" s="468"/>
      <c r="DX359" s="459"/>
      <c r="DY359" s="459"/>
    </row>
    <row r="360" spans="1:129" s="128" customFormat="1" ht="54.95" customHeight="1" x14ac:dyDescent="0.25">
      <c r="A360" s="377"/>
      <c r="B360" s="175"/>
      <c r="C360" s="393"/>
      <c r="D360" s="168"/>
      <c r="E360" s="168"/>
      <c r="F360" s="168"/>
      <c r="G360" s="168"/>
      <c r="H360" s="168"/>
      <c r="I360" s="168"/>
      <c r="J360" s="168"/>
      <c r="K360" s="168"/>
      <c r="L360" s="168"/>
      <c r="M360" s="168"/>
      <c r="N360" s="168"/>
      <c r="O360" s="543"/>
      <c r="P360" s="122"/>
      <c r="Q360" s="502"/>
      <c r="R360" s="502"/>
      <c r="S360" s="502"/>
      <c r="T360" s="502"/>
      <c r="U360" s="502"/>
      <c r="V360" s="502"/>
      <c r="W360" s="502"/>
      <c r="X360" s="502"/>
      <c r="Y360" s="551" t="s">
        <v>593</v>
      </c>
      <c r="Z360" s="552"/>
      <c r="AA360" s="552"/>
      <c r="AB360" s="552"/>
      <c r="AC360" s="552"/>
      <c r="AD360" s="552"/>
      <c r="AE360" s="552"/>
      <c r="AF360" s="552"/>
      <c r="AG360" s="552"/>
      <c r="AH360" s="552"/>
      <c r="AI360" s="502"/>
      <c r="AJ360" s="502"/>
      <c r="AK360" s="502"/>
      <c r="AL360" s="502"/>
      <c r="AM360" s="156"/>
      <c r="AN360" s="156"/>
      <c r="AO360" s="156"/>
      <c r="AP360" s="156"/>
      <c r="AQ360" s="156"/>
      <c r="AR360" s="156"/>
      <c r="AS360" s="156"/>
      <c r="AT360" s="156"/>
      <c r="AU360" s="156"/>
      <c r="AV360" s="156"/>
      <c r="AW360" s="156"/>
      <c r="AX360" s="156"/>
      <c r="AY360" s="156"/>
      <c r="AZ360" s="156"/>
      <c r="BI360" s="153"/>
      <c r="BO360" s="153"/>
      <c r="BW360" s="153"/>
      <c r="CD360" s="146"/>
      <c r="CF360" s="147"/>
      <c r="CI360" s="146"/>
      <c r="CJ360" s="153"/>
      <c r="CV360" s="154"/>
      <c r="CX360" s="154"/>
      <c r="CZ360" s="154"/>
      <c r="DB360" s="154"/>
      <c r="DD360" s="154"/>
      <c r="DH360" s="474"/>
      <c r="DI360" s="459"/>
      <c r="DJ360" s="459"/>
      <c r="DK360" s="459"/>
      <c r="DL360" s="459"/>
      <c r="DM360" s="459"/>
      <c r="DN360" s="459"/>
      <c r="DO360" s="459"/>
      <c r="DP360" s="459"/>
      <c r="DQ360" s="459"/>
      <c r="DR360" s="459"/>
      <c r="DS360" s="459"/>
      <c r="DT360" s="459"/>
      <c r="DU360" s="459"/>
      <c r="DV360" s="468"/>
      <c r="DW360" s="468"/>
      <c r="DX360" s="459"/>
      <c r="DY360" s="459"/>
    </row>
    <row r="361" spans="1:129" s="128" customFormat="1" ht="54.95" customHeight="1" x14ac:dyDescent="0.25">
      <c r="A361" s="377"/>
      <c r="B361" s="175"/>
      <c r="C361" s="393"/>
      <c r="D361" s="168"/>
      <c r="E361" s="168"/>
      <c r="F361" s="168"/>
      <c r="G361" s="168"/>
      <c r="H361" s="168"/>
      <c r="I361" s="168"/>
      <c r="J361" s="168"/>
      <c r="K361" s="168"/>
      <c r="L361" s="168"/>
      <c r="M361" s="168"/>
      <c r="N361" s="168"/>
      <c r="O361" s="433"/>
      <c r="P361" s="122"/>
      <c r="Q361" s="551" t="s">
        <v>529</v>
      </c>
      <c r="R361" s="551"/>
      <c r="S361" s="551"/>
      <c r="T361" s="538" t="s">
        <v>530</v>
      </c>
      <c r="U361" s="538" t="s">
        <v>531</v>
      </c>
      <c r="V361" s="538" t="s">
        <v>330</v>
      </c>
      <c r="W361" s="538" t="s">
        <v>532</v>
      </c>
      <c r="X361" s="538" t="s">
        <v>546</v>
      </c>
      <c r="Y361" s="553" t="s">
        <v>529</v>
      </c>
      <c r="Z361" s="553"/>
      <c r="AA361" s="554"/>
      <c r="AB361" s="542" t="s">
        <v>533</v>
      </c>
      <c r="AC361" s="542" t="s">
        <v>534</v>
      </c>
      <c r="AD361" s="542" t="s">
        <v>263</v>
      </c>
      <c r="AE361" s="542" t="s">
        <v>535</v>
      </c>
      <c r="AF361" s="542" t="s">
        <v>536</v>
      </c>
      <c r="AG361" s="542" t="s">
        <v>535</v>
      </c>
      <c r="AH361" s="542" t="s">
        <v>330</v>
      </c>
      <c r="AI361" s="501"/>
      <c r="AJ361" s="501"/>
      <c r="AK361" s="501"/>
      <c r="AL361" s="501"/>
      <c r="AM361" s="156"/>
      <c r="AN361" s="156"/>
      <c r="AO361" s="156"/>
      <c r="AP361" s="156"/>
      <c r="AQ361" s="156"/>
      <c r="AR361" s="156"/>
      <c r="AS361" s="156"/>
      <c r="AT361" s="156"/>
      <c r="AU361" s="156"/>
      <c r="AV361" s="156"/>
      <c r="AW361" s="156"/>
      <c r="AX361" s="156"/>
      <c r="AY361" s="156"/>
      <c r="AZ361" s="156"/>
      <c r="BI361" s="153"/>
      <c r="BO361" s="153"/>
      <c r="BW361" s="153"/>
      <c r="CD361" s="146"/>
      <c r="CF361" s="147"/>
      <c r="CI361" s="146"/>
      <c r="CJ361" s="153"/>
      <c r="CV361" s="154"/>
      <c r="CX361" s="154"/>
      <c r="CZ361" s="154"/>
      <c r="DB361" s="154"/>
      <c r="DD361" s="154"/>
      <c r="DH361" s="474"/>
      <c r="DI361" s="459"/>
      <c r="DJ361" s="459"/>
      <c r="DK361" s="459"/>
      <c r="DL361" s="459"/>
      <c r="DM361" s="459"/>
      <c r="DN361" s="459"/>
      <c r="DO361" s="459"/>
      <c r="DP361" s="459"/>
      <c r="DQ361" s="459"/>
      <c r="DR361" s="459"/>
      <c r="DS361" s="459"/>
      <c r="DT361" s="459"/>
      <c r="DU361" s="459"/>
      <c r="DV361" s="468"/>
      <c r="DW361" s="468"/>
      <c r="DX361" s="459"/>
      <c r="DY361" s="459"/>
    </row>
    <row r="362" spans="1:129" s="128" customFormat="1" ht="54.95" customHeight="1" x14ac:dyDescent="0.25">
      <c r="A362" s="377"/>
      <c r="B362" s="175"/>
      <c r="C362" s="393"/>
      <c r="D362" s="168"/>
      <c r="E362" s="168"/>
      <c r="F362" s="168"/>
      <c r="G362" s="168"/>
      <c r="H362" s="168"/>
      <c r="I362" s="168"/>
      <c r="J362" s="168"/>
      <c r="K362" s="168"/>
      <c r="L362" s="168"/>
      <c r="M362" s="168"/>
      <c r="N362" s="168"/>
      <c r="O362" s="433"/>
      <c r="P362" s="122"/>
      <c r="Q362" s="555" t="s">
        <v>537</v>
      </c>
      <c r="R362" s="555"/>
      <c r="S362" s="555"/>
      <c r="T362" s="552">
        <f>O343</f>
        <v>0</v>
      </c>
      <c r="U362" s="552"/>
      <c r="V362" s="533">
        <v>0</v>
      </c>
      <c r="W362" s="502">
        <f>T362</f>
        <v>0</v>
      </c>
      <c r="X362" s="539">
        <v>0</v>
      </c>
      <c r="Y362" s="556" t="s">
        <v>590</v>
      </c>
      <c r="Z362" s="556"/>
      <c r="AA362" s="557"/>
      <c r="AB362" s="540">
        <v>0</v>
      </c>
      <c r="AC362" s="540">
        <f>O343</f>
        <v>0</v>
      </c>
      <c r="AD362" s="541" t="str">
        <f>IFERROR(AC362/$F$339,"$0")</f>
        <v>$0</v>
      </c>
      <c r="AE362" s="540">
        <v>0</v>
      </c>
      <c r="AF362" s="540" t="e">
        <f>'P&amp;G'!AK26</f>
        <v>#DIV/0!</v>
      </c>
      <c r="AG362" s="540">
        <v>0</v>
      </c>
      <c r="AH362" s="550">
        <v>0</v>
      </c>
      <c r="AI362" s="501"/>
      <c r="AJ362" s="501"/>
      <c r="AK362" s="501"/>
      <c r="AL362" s="501"/>
      <c r="AM362" s="156"/>
      <c r="AN362" s="156"/>
      <c r="AO362" s="156"/>
      <c r="AP362" s="156"/>
      <c r="AQ362" s="156"/>
      <c r="AR362" s="156"/>
      <c r="AS362" s="156"/>
      <c r="AT362" s="156"/>
      <c r="AU362" s="156"/>
      <c r="AV362" s="156"/>
      <c r="AW362" s="156"/>
      <c r="AX362" s="156"/>
      <c r="AY362" s="156"/>
      <c r="AZ362" s="156"/>
      <c r="BI362" s="153"/>
      <c r="BO362" s="153"/>
      <c r="BW362" s="153"/>
      <c r="CD362" s="146"/>
      <c r="CF362" s="147"/>
      <c r="CI362" s="146"/>
      <c r="CJ362" s="153"/>
      <c r="CV362" s="154"/>
      <c r="CX362" s="154"/>
      <c r="CZ362" s="154"/>
      <c r="DB362" s="154"/>
      <c r="DD362" s="154"/>
      <c r="DH362" s="474"/>
      <c r="DI362" s="459"/>
      <c r="DJ362" s="459"/>
      <c r="DK362" s="459"/>
      <c r="DL362" s="459"/>
      <c r="DM362" s="459"/>
      <c r="DN362" s="459"/>
      <c r="DO362" s="459"/>
      <c r="DP362" s="459"/>
      <c r="DQ362" s="459"/>
      <c r="DR362" s="459"/>
      <c r="DS362" s="459"/>
      <c r="DT362" s="459"/>
      <c r="DU362" s="459"/>
      <c r="DV362" s="468"/>
      <c r="DW362" s="468"/>
      <c r="DX362" s="459"/>
      <c r="DY362" s="459"/>
    </row>
    <row r="363" spans="1:129" s="128" customFormat="1" ht="54.95" customHeight="1" x14ac:dyDescent="0.25">
      <c r="A363" s="377"/>
      <c r="B363" s="175"/>
      <c r="C363" s="393"/>
      <c r="D363" s="168"/>
      <c r="E363" s="168"/>
      <c r="F363" s="168"/>
      <c r="G363" s="168"/>
      <c r="H363" s="168"/>
      <c r="I363" s="168"/>
      <c r="J363" s="168"/>
      <c r="K363" s="168"/>
      <c r="L363" s="168"/>
      <c r="M363" s="168"/>
      <c r="N363" s="168"/>
      <c r="O363" s="433"/>
      <c r="P363" s="122"/>
      <c r="Q363" s="555" t="s">
        <v>538</v>
      </c>
      <c r="R363" s="555"/>
      <c r="S363" s="555"/>
      <c r="T363" s="552">
        <f>R369</f>
        <v>0</v>
      </c>
      <c r="U363" s="552"/>
      <c r="V363" s="534">
        <v>1</v>
      </c>
      <c r="W363" s="538">
        <f>(T363)+(T363*V363)</f>
        <v>0</v>
      </c>
      <c r="X363" s="539">
        <v>0</v>
      </c>
      <c r="Y363" s="556" t="s">
        <v>547</v>
      </c>
      <c r="Z363" s="556"/>
      <c r="AA363" s="557"/>
      <c r="AB363" s="540">
        <f>BD355</f>
        <v>1.1502546360919998</v>
      </c>
      <c r="AC363" s="540">
        <f>AC362+AB363</f>
        <v>1.1502546360919998</v>
      </c>
      <c r="AD363" s="541" t="str">
        <f>IFERROR(AC363/$F$339,"$0")</f>
        <v>$0</v>
      </c>
      <c r="AE363" s="540">
        <f>AD363-$AD$362</f>
        <v>0</v>
      </c>
      <c r="AF363" s="540" t="e">
        <f>'P&amp;G'!AR26</f>
        <v>#DIV/0!</v>
      </c>
      <c r="AG363" s="540" t="e">
        <f>AF363-$AF$362</f>
        <v>#DIV/0!</v>
      </c>
      <c r="AH363" s="760" t="e">
        <f>+(AC363/AC362)-100%</f>
        <v>#DIV/0!</v>
      </c>
      <c r="AI363" s="501"/>
      <c r="AJ363" s="501"/>
      <c r="AK363" s="501"/>
      <c r="AL363" s="501"/>
      <c r="AM363" s="156"/>
      <c r="AN363" s="156"/>
      <c r="AO363" s="156"/>
      <c r="AP363" s="156"/>
      <c r="AQ363" s="156"/>
      <c r="AR363" s="156"/>
      <c r="AS363" s="156"/>
      <c r="AT363" s="156"/>
      <c r="AU363" s="156"/>
      <c r="AV363" s="156"/>
      <c r="AW363" s="156"/>
      <c r="AX363" s="156"/>
      <c r="AY363" s="156"/>
      <c r="AZ363" s="156"/>
      <c r="BI363" s="153"/>
      <c r="BO363" s="153"/>
      <c r="BW363" s="153"/>
      <c r="CD363" s="146"/>
      <c r="CF363" s="147"/>
      <c r="CI363" s="146"/>
      <c r="CJ363" s="153"/>
      <c r="CV363" s="154"/>
      <c r="CX363" s="154"/>
      <c r="CZ363" s="154"/>
      <c r="DB363" s="154"/>
      <c r="DD363" s="154"/>
      <c r="DH363" s="474"/>
      <c r="DI363" s="459"/>
      <c r="DJ363" s="459"/>
      <c r="DK363" s="459"/>
      <c r="DL363" s="459"/>
      <c r="DM363" s="459"/>
      <c r="DN363" s="459"/>
      <c r="DO363" s="459"/>
      <c r="DP363" s="459"/>
      <c r="DQ363" s="459"/>
      <c r="DR363" s="459"/>
      <c r="DS363" s="459"/>
      <c r="DT363" s="459"/>
      <c r="DU363" s="459"/>
      <c r="DV363" s="468"/>
      <c r="DW363" s="468"/>
      <c r="DX363" s="459"/>
      <c r="DY363" s="459"/>
    </row>
    <row r="364" spans="1:129" s="128" customFormat="1" ht="54.95" customHeight="1" x14ac:dyDescent="0.25">
      <c r="A364" s="377"/>
      <c r="B364" s="175"/>
      <c r="C364" s="393"/>
      <c r="D364" s="168"/>
      <c r="E364" s="168"/>
      <c r="F364" s="168"/>
      <c r="G364" s="168"/>
      <c r="H364" s="168"/>
      <c r="I364" s="168"/>
      <c r="J364" s="168"/>
      <c r="K364" s="168"/>
      <c r="L364" s="168"/>
      <c r="M364" s="168"/>
      <c r="N364" s="168"/>
      <c r="O364" s="433"/>
      <c r="P364" s="122"/>
      <c r="Q364" s="555" t="s">
        <v>539</v>
      </c>
      <c r="R364" s="555"/>
      <c r="S364" s="555"/>
      <c r="T364" s="535">
        <v>115000</v>
      </c>
      <c r="U364" s="535">
        <f>T364*$V$369</f>
        <v>0</v>
      </c>
      <c r="V364" s="534">
        <v>1.5</v>
      </c>
      <c r="W364" s="538">
        <f>(U364)+(U364*V364)</f>
        <v>0</v>
      </c>
      <c r="X364" s="539" t="str">
        <f>IFERROR(W364/$V$369,"$0")</f>
        <v>$0</v>
      </c>
      <c r="Y364" s="556" t="s">
        <v>591</v>
      </c>
      <c r="Z364" s="556"/>
      <c r="AA364" s="557"/>
      <c r="AB364" s="540">
        <f>BD357</f>
        <v>0</v>
      </c>
      <c r="AC364" s="540">
        <f>AC363+AB364</f>
        <v>1.1502546360919998</v>
      </c>
      <c r="AD364" s="541" t="str">
        <f>IFERROR(AC364/$F$339,"$0")</f>
        <v>$0</v>
      </c>
      <c r="AE364" s="540">
        <f>AD364-$AD$363</f>
        <v>0</v>
      </c>
      <c r="AF364" s="540" t="e">
        <f>'P&amp;G'!AY26</f>
        <v>#DIV/0!</v>
      </c>
      <c r="AG364" s="540" t="e">
        <f>AF364-$AF$363</f>
        <v>#DIV/0!</v>
      </c>
      <c r="AH364" s="550">
        <f>+(AC364/AC363)-100%</f>
        <v>0</v>
      </c>
      <c r="AI364" s="501"/>
      <c r="AJ364" s="501"/>
      <c r="AK364" s="501"/>
      <c r="AL364" s="501"/>
      <c r="AM364" s="156"/>
      <c r="AN364" s="156"/>
      <c r="AO364" s="156"/>
      <c r="AP364" s="156"/>
      <c r="AQ364" s="156"/>
      <c r="AR364" s="156"/>
      <c r="AS364" s="156"/>
      <c r="AT364" s="156"/>
      <c r="AU364" s="156"/>
      <c r="AV364" s="156"/>
      <c r="AW364" s="156"/>
      <c r="AX364" s="156"/>
      <c r="AY364" s="156"/>
      <c r="AZ364" s="156"/>
      <c r="BI364" s="153"/>
      <c r="BO364" s="153"/>
      <c r="BW364" s="153"/>
      <c r="CD364" s="146"/>
      <c r="CF364" s="147"/>
      <c r="CI364" s="146"/>
      <c r="CJ364" s="153"/>
      <c r="CV364" s="154"/>
      <c r="CX364" s="154"/>
      <c r="CZ364" s="154"/>
      <c r="DB364" s="154"/>
      <c r="DD364" s="154"/>
      <c r="DH364" s="474"/>
      <c r="DI364" s="459"/>
      <c r="DJ364" s="459"/>
      <c r="DK364" s="459"/>
      <c r="DL364" s="459"/>
      <c r="DM364" s="459"/>
      <c r="DN364" s="459"/>
      <c r="DO364" s="459"/>
      <c r="DP364" s="459"/>
      <c r="DQ364" s="459"/>
      <c r="DR364" s="459"/>
      <c r="DS364" s="459"/>
      <c r="DT364" s="459"/>
      <c r="DU364" s="459"/>
      <c r="DV364" s="468"/>
      <c r="DW364" s="468"/>
      <c r="DX364" s="459"/>
      <c r="DY364" s="459"/>
    </row>
    <row r="365" spans="1:129" s="128" customFormat="1" ht="54.95" customHeight="1" x14ac:dyDescent="0.25">
      <c r="A365" s="377"/>
      <c r="B365" s="175"/>
      <c r="C365" s="393"/>
      <c r="D365" s="168"/>
      <c r="E365" s="168"/>
      <c r="F365" s="168"/>
      <c r="G365" s="168"/>
      <c r="H365" s="168"/>
      <c r="I365" s="168"/>
      <c r="J365" s="168"/>
      <c r="K365" s="168"/>
      <c r="L365" s="168"/>
      <c r="M365" s="168"/>
      <c r="N365" s="168"/>
      <c r="O365" s="433"/>
      <c r="P365" s="122"/>
      <c r="Q365" s="555" t="s">
        <v>540</v>
      </c>
      <c r="R365" s="555"/>
      <c r="S365" s="555"/>
      <c r="T365" s="535">
        <v>352000</v>
      </c>
      <c r="U365" s="535">
        <f>T365*$V$369</f>
        <v>0</v>
      </c>
      <c r="V365" s="534">
        <v>1</v>
      </c>
      <c r="W365" s="502">
        <f>(U365)+(U365*V365)</f>
        <v>0</v>
      </c>
      <c r="X365" s="539" t="str">
        <f t="shared" ref="X365" si="1332">IFERROR(W365/$V$369,"$0")</f>
        <v>$0</v>
      </c>
      <c r="Y365" s="556" t="s">
        <v>592</v>
      </c>
      <c r="Z365" s="556"/>
      <c r="AA365" s="557"/>
      <c r="AB365" s="540">
        <f>BD359</f>
        <v>0</v>
      </c>
      <c r="AC365" s="540">
        <f>AC363+AB365</f>
        <v>1.1502546360919998</v>
      </c>
      <c r="AD365" s="541" t="str">
        <f>IFERROR(AC365/$F$339,"$0")</f>
        <v>$0</v>
      </c>
      <c r="AE365" s="540">
        <f>AD365-$AD$363</f>
        <v>0</v>
      </c>
      <c r="AF365" s="540" t="e">
        <f>'P&amp;G'!BF26</f>
        <v>#DIV/0!</v>
      </c>
      <c r="AG365" s="540" t="e">
        <f>AF365-$AF$363</f>
        <v>#DIV/0!</v>
      </c>
      <c r="AH365" s="550">
        <f>+(AC365/AC363)-100%</f>
        <v>0</v>
      </c>
      <c r="AI365" s="501"/>
      <c r="AJ365" s="501"/>
      <c r="AK365" s="501"/>
      <c r="AL365" s="501"/>
      <c r="AM365" s="156"/>
      <c r="AN365" s="156"/>
      <c r="AO365" s="156"/>
      <c r="AP365" s="156"/>
      <c r="AQ365" s="156"/>
      <c r="AR365" s="156"/>
      <c r="AS365" s="156"/>
      <c r="AT365" s="156"/>
      <c r="AU365" s="156"/>
      <c r="AV365" s="156"/>
      <c r="AW365" s="156"/>
      <c r="AX365" s="156"/>
      <c r="AY365" s="156"/>
      <c r="AZ365" s="156"/>
      <c r="BI365" s="153"/>
      <c r="BO365" s="153"/>
      <c r="BW365" s="153"/>
      <c r="CD365" s="146"/>
      <c r="CF365" s="147"/>
      <c r="CI365" s="146"/>
      <c r="CJ365" s="153"/>
      <c r="CV365" s="154"/>
      <c r="CX365" s="154"/>
      <c r="CZ365" s="154"/>
      <c r="DB365" s="154"/>
      <c r="DD365" s="154"/>
      <c r="DH365" s="474"/>
      <c r="DI365" s="459"/>
      <c r="DJ365" s="459"/>
      <c r="DK365" s="459"/>
      <c r="DL365" s="459"/>
      <c r="DM365" s="459"/>
      <c r="DN365" s="459"/>
      <c r="DO365" s="459"/>
      <c r="DP365" s="459"/>
      <c r="DQ365" s="459"/>
      <c r="DR365" s="459"/>
      <c r="DS365" s="459"/>
      <c r="DT365" s="459"/>
      <c r="DU365" s="459"/>
      <c r="DV365" s="468"/>
      <c r="DW365" s="468"/>
      <c r="DX365" s="459"/>
      <c r="DY365" s="459"/>
    </row>
    <row r="366" spans="1:129" s="128" customFormat="1" ht="54.95" customHeight="1" x14ac:dyDescent="0.25">
      <c r="A366" s="377"/>
      <c r="B366" s="175"/>
      <c r="C366" s="393"/>
      <c r="D366" s="168"/>
      <c r="E366" s="168"/>
      <c r="F366" s="168"/>
      <c r="G366" s="168"/>
      <c r="H366" s="168"/>
      <c r="I366" s="168"/>
      <c r="J366" s="168"/>
      <c r="K366" s="168"/>
      <c r="L366" s="168"/>
      <c r="M366" s="168"/>
      <c r="N366" s="168"/>
      <c r="O366" s="433"/>
      <c r="P366" s="122"/>
      <c r="Q366" s="555" t="s">
        <v>542</v>
      </c>
      <c r="R366" s="555"/>
      <c r="S366" s="555"/>
      <c r="T366" s="535">
        <v>564000</v>
      </c>
      <c r="U366" s="535">
        <f>T366*$V$369</f>
        <v>0</v>
      </c>
      <c r="V366" s="534">
        <v>1</v>
      </c>
      <c r="W366" s="502">
        <f>(U366)+(U366*V366)</f>
        <v>0</v>
      </c>
      <c r="X366" s="539" t="str">
        <f>IFERROR(W366/$V$369,"$0")</f>
        <v>$0</v>
      </c>
      <c r="AH366" s="501"/>
      <c r="AI366" s="501"/>
      <c r="AJ366" s="501"/>
      <c r="AK366" s="501"/>
      <c r="AL366" s="501"/>
      <c r="AM366" s="156"/>
      <c r="AN366" s="156"/>
      <c r="AO366" s="156"/>
      <c r="AP366" s="156"/>
      <c r="AQ366" s="156"/>
      <c r="AR366" s="156"/>
      <c r="AS366" s="156"/>
      <c r="AT366" s="156"/>
      <c r="AU366" s="156"/>
      <c r="AV366" s="156"/>
      <c r="AW366" s="156"/>
      <c r="AX366" s="156"/>
      <c r="AY366" s="156"/>
      <c r="AZ366" s="156"/>
      <c r="BI366" s="153"/>
      <c r="BO366" s="153"/>
      <c r="BW366" s="153"/>
      <c r="CD366" s="146"/>
      <c r="CF366" s="147"/>
      <c r="CI366" s="146"/>
      <c r="CJ366" s="153"/>
      <c r="CV366" s="154"/>
      <c r="CX366" s="154"/>
      <c r="CZ366" s="154"/>
      <c r="DB366" s="154"/>
      <c r="DD366" s="154"/>
      <c r="DH366" s="474"/>
      <c r="DI366" s="459"/>
      <c r="DJ366" s="459"/>
      <c r="DK366" s="459"/>
      <c r="DL366" s="459"/>
      <c r="DM366" s="459"/>
      <c r="DN366" s="459"/>
      <c r="DO366" s="459"/>
      <c r="DP366" s="459"/>
      <c r="DQ366" s="459"/>
      <c r="DR366" s="459"/>
      <c r="DS366" s="459"/>
      <c r="DT366" s="459"/>
      <c r="DU366" s="459"/>
      <c r="DV366" s="468"/>
      <c r="DW366" s="468"/>
      <c r="DX366" s="459"/>
      <c r="DY366" s="459"/>
    </row>
    <row r="367" spans="1:129" s="128" customFormat="1" ht="54.95" customHeight="1" x14ac:dyDescent="0.25">
      <c r="A367" s="377"/>
      <c r="B367" s="175"/>
      <c r="C367" s="393"/>
      <c r="D367" s="168"/>
      <c r="E367" s="168"/>
      <c r="F367" s="168"/>
      <c r="G367" s="168"/>
      <c r="H367" s="168"/>
      <c r="I367" s="168"/>
      <c r="J367" s="168"/>
      <c r="K367" s="168"/>
      <c r="L367" s="168"/>
      <c r="M367" s="168"/>
      <c r="N367" s="168"/>
      <c r="O367" s="433"/>
      <c r="P367" s="122"/>
      <c r="Q367" s="555" t="s">
        <v>541</v>
      </c>
      <c r="R367" s="555"/>
      <c r="S367" s="555"/>
      <c r="T367" s="535">
        <v>36000</v>
      </c>
      <c r="U367" s="535">
        <f>T367*$T$369</f>
        <v>0</v>
      </c>
      <c r="V367" s="534">
        <v>0.5</v>
      </c>
      <c r="W367" s="502">
        <f>(U367)+(U367*V367)</f>
        <v>0</v>
      </c>
      <c r="X367" s="539" t="str">
        <f>IFERROR(W367/$T$369,"$0")</f>
        <v>$0</v>
      </c>
      <c r="Y367" s="558"/>
      <c r="Z367" s="558"/>
      <c r="AA367" s="558"/>
      <c r="AH367" s="501"/>
      <c r="AI367" s="501"/>
      <c r="AJ367" s="501"/>
      <c r="AK367" s="501"/>
      <c r="AL367" s="501"/>
      <c r="AM367" s="156"/>
      <c r="AN367" s="156"/>
      <c r="AO367" s="156"/>
      <c r="AP367" s="156"/>
      <c r="AQ367" s="156"/>
      <c r="AR367" s="156"/>
      <c r="AS367" s="156"/>
      <c r="AT367" s="156"/>
      <c r="AU367" s="156"/>
      <c r="AV367" s="156"/>
      <c r="AW367" s="156"/>
      <c r="AX367" s="156"/>
      <c r="AY367" s="156"/>
      <c r="AZ367" s="156"/>
      <c r="BI367" s="153"/>
      <c r="BO367" s="153"/>
      <c r="BW367" s="153"/>
      <c r="CD367" s="146"/>
      <c r="CF367" s="147"/>
      <c r="CI367" s="146"/>
      <c r="CJ367" s="153"/>
      <c r="CV367" s="154"/>
      <c r="CX367" s="154"/>
      <c r="CZ367" s="154"/>
      <c r="DB367" s="154"/>
      <c r="DD367" s="154"/>
      <c r="DH367" s="474"/>
      <c r="DI367" s="459"/>
      <c r="DJ367" s="459"/>
      <c r="DK367" s="459"/>
      <c r="DL367" s="459"/>
      <c r="DM367" s="459"/>
      <c r="DN367" s="459"/>
      <c r="DO367" s="459"/>
      <c r="DP367" s="459"/>
      <c r="DQ367" s="459"/>
      <c r="DR367" s="459"/>
      <c r="DS367" s="459"/>
      <c r="DT367" s="459"/>
      <c r="DU367" s="459"/>
      <c r="DV367" s="468"/>
      <c r="DW367" s="468"/>
      <c r="DX367" s="459"/>
      <c r="DY367" s="459"/>
    </row>
    <row r="368" spans="1:129" s="128" customFormat="1" ht="54.95" customHeight="1" x14ac:dyDescent="0.25">
      <c r="A368" s="377"/>
      <c r="B368" s="175"/>
      <c r="C368" s="393"/>
      <c r="D368" s="168"/>
      <c r="E368" s="168"/>
      <c r="F368" s="168"/>
      <c r="G368" s="168"/>
      <c r="H368" s="168"/>
      <c r="I368" s="168"/>
      <c r="J368" s="168"/>
      <c r="K368" s="168"/>
      <c r="L368" s="168"/>
      <c r="M368" s="168"/>
      <c r="N368" s="168"/>
      <c r="O368" s="433"/>
      <c r="P368" s="122"/>
      <c r="Q368" s="501"/>
      <c r="R368" s="501"/>
      <c r="S368" s="501"/>
      <c r="T368" s="501"/>
      <c r="U368" s="501"/>
      <c r="V368" s="501"/>
      <c r="W368" s="501"/>
      <c r="X368" s="501"/>
      <c r="Y368" s="501"/>
      <c r="Z368" s="501"/>
      <c r="AA368" s="501"/>
      <c r="AB368" s="501"/>
      <c r="AC368" s="501"/>
      <c r="AD368" s="501"/>
      <c r="AE368" s="501"/>
      <c r="AF368" s="501"/>
      <c r="AG368" s="501"/>
      <c r="AH368" s="501"/>
      <c r="AI368" s="501"/>
      <c r="AJ368" s="501"/>
      <c r="AK368" s="501"/>
      <c r="AL368" s="501"/>
      <c r="AM368" s="156"/>
      <c r="AN368" s="156"/>
      <c r="AO368" s="156"/>
      <c r="AP368" s="156"/>
      <c r="AQ368" s="156"/>
      <c r="AR368" s="156"/>
      <c r="AS368" s="156"/>
      <c r="AT368" s="156"/>
      <c r="AU368" s="156"/>
      <c r="AV368" s="156"/>
      <c r="AW368" s="156"/>
      <c r="AX368" s="156"/>
      <c r="AY368" s="156"/>
      <c r="AZ368" s="156"/>
      <c r="BI368" s="153"/>
      <c r="BO368" s="153"/>
      <c r="BW368" s="153"/>
      <c r="CD368" s="146"/>
      <c r="CF368" s="147"/>
      <c r="CI368" s="146"/>
      <c r="CJ368" s="153"/>
      <c r="CV368" s="154"/>
      <c r="CX368" s="154"/>
      <c r="CZ368" s="154"/>
      <c r="DB368" s="154"/>
      <c r="DD368" s="154"/>
      <c r="DH368" s="474"/>
      <c r="DI368" s="459"/>
      <c r="DJ368" s="459"/>
      <c r="DK368" s="459"/>
      <c r="DL368" s="459"/>
      <c r="DM368" s="459"/>
      <c r="DN368" s="459"/>
      <c r="DO368" s="459"/>
      <c r="DP368" s="459"/>
      <c r="DQ368" s="459"/>
      <c r="DR368" s="459"/>
      <c r="DS368" s="459"/>
      <c r="DT368" s="459"/>
      <c r="DU368" s="459"/>
      <c r="DV368" s="468"/>
      <c r="DW368" s="468"/>
      <c r="DX368" s="459"/>
      <c r="DY368" s="459"/>
    </row>
    <row r="369" spans="1:129" s="128" customFormat="1" ht="54.95" customHeight="1" x14ac:dyDescent="0.25">
      <c r="A369" s="377"/>
      <c r="B369" s="175"/>
      <c r="C369" s="393"/>
      <c r="D369" s="168"/>
      <c r="E369" s="168"/>
      <c r="F369" s="168"/>
      <c r="G369" s="168"/>
      <c r="H369" s="168"/>
      <c r="I369" s="168"/>
      <c r="J369" s="168"/>
      <c r="K369" s="168"/>
      <c r="L369" s="168"/>
      <c r="M369" s="168"/>
      <c r="N369" s="168"/>
      <c r="O369" s="433"/>
      <c r="P369" s="122"/>
      <c r="Q369" s="538" t="s">
        <v>545</v>
      </c>
      <c r="R369" s="536">
        <v>0</v>
      </c>
      <c r="S369" s="538" t="s">
        <v>543</v>
      </c>
      <c r="T369" s="537">
        <v>0</v>
      </c>
      <c r="U369" s="538" t="s">
        <v>544</v>
      </c>
      <c r="V369" s="537">
        <v>0</v>
      </c>
      <c r="W369" s="501"/>
      <c r="X369" s="501"/>
      <c r="Y369" s="501"/>
      <c r="Z369" s="501"/>
      <c r="AA369" s="501"/>
      <c r="AB369" s="501"/>
      <c r="AC369" s="501"/>
      <c r="AD369" s="501"/>
      <c r="AE369" s="501"/>
      <c r="AF369" s="501"/>
      <c r="AG369" s="501"/>
      <c r="AH369" s="501"/>
      <c r="AI369" s="501"/>
      <c r="AJ369" s="501"/>
      <c r="AK369" s="501"/>
      <c r="AL369" s="501"/>
      <c r="AM369" s="156"/>
      <c r="AN369" s="156"/>
      <c r="AO369" s="156"/>
      <c r="AP369" s="156"/>
      <c r="AQ369" s="156"/>
      <c r="AR369" s="156"/>
      <c r="AS369" s="156"/>
      <c r="AT369" s="156"/>
      <c r="AU369" s="156"/>
      <c r="AV369" s="156"/>
      <c r="AW369" s="156"/>
      <c r="AX369" s="156"/>
      <c r="AY369" s="156"/>
      <c r="AZ369" s="156"/>
      <c r="BI369" s="153"/>
      <c r="BO369" s="153"/>
      <c r="BW369" s="153"/>
      <c r="CD369" s="146"/>
      <c r="CF369" s="147"/>
      <c r="CI369" s="146"/>
      <c r="CJ369" s="153"/>
      <c r="CV369" s="154"/>
      <c r="CX369" s="154"/>
      <c r="CZ369" s="154"/>
      <c r="DB369" s="154"/>
      <c r="DD369" s="154"/>
      <c r="DH369" s="474"/>
      <c r="DI369" s="459"/>
      <c r="DJ369" s="459"/>
      <c r="DK369" s="459"/>
      <c r="DL369" s="459"/>
      <c r="DM369" s="459"/>
      <c r="DN369" s="459"/>
      <c r="DO369" s="459"/>
      <c r="DP369" s="459"/>
      <c r="DQ369" s="459"/>
      <c r="DR369" s="459"/>
      <c r="DS369" s="459"/>
      <c r="DT369" s="459"/>
      <c r="DU369" s="459"/>
      <c r="DV369" s="468"/>
      <c r="DW369" s="468"/>
      <c r="DX369" s="459"/>
      <c r="DY369" s="459"/>
    </row>
    <row r="370" spans="1:129" s="128" customFormat="1" ht="54.95" customHeight="1" x14ac:dyDescent="0.25">
      <c r="A370" s="377"/>
      <c r="B370" s="175"/>
      <c r="C370" s="393"/>
      <c r="D370" s="168"/>
      <c r="E370" s="168"/>
      <c r="F370" s="168"/>
      <c r="G370" s="168"/>
      <c r="H370" s="168"/>
      <c r="I370" s="168"/>
      <c r="J370" s="168"/>
      <c r="K370" s="168"/>
      <c r="L370" s="168"/>
      <c r="M370" s="168"/>
      <c r="N370" s="168"/>
      <c r="O370" s="433"/>
      <c r="P370" s="122"/>
      <c r="Q370" s="501"/>
      <c r="R370" s="501"/>
      <c r="S370" s="501"/>
      <c r="T370" s="501"/>
      <c r="U370" s="501"/>
      <c r="V370" s="501"/>
      <c r="W370" s="501"/>
      <c r="X370" s="501"/>
      <c r="Y370" s="501"/>
      <c r="Z370" s="501"/>
      <c r="AA370" s="501"/>
      <c r="AB370" s="501"/>
      <c r="AC370" s="501"/>
      <c r="AD370" s="501"/>
      <c r="AE370" s="501"/>
      <c r="AF370" s="501"/>
      <c r="AG370" s="501"/>
      <c r="AH370" s="501"/>
      <c r="AI370" s="501"/>
      <c r="AJ370" s="501"/>
      <c r="AK370" s="501"/>
      <c r="AL370" s="501"/>
      <c r="AM370" s="258"/>
      <c r="AN370" s="258"/>
      <c r="AO370" s="258"/>
      <c r="AP370" s="258"/>
      <c r="AQ370" s="258"/>
      <c r="AR370" s="258"/>
      <c r="AS370" s="258"/>
      <c r="AT370" s="258"/>
      <c r="AU370" s="258"/>
      <c r="AV370" s="258"/>
      <c r="AW370" s="258"/>
      <c r="AX370" s="258"/>
      <c r="AY370" s="258"/>
      <c r="AZ370" s="258"/>
      <c r="BA370" s="261"/>
      <c r="BB370" s="261"/>
      <c r="BC370" s="261"/>
      <c r="BD370" s="261"/>
      <c r="BI370" s="153"/>
      <c r="BO370" s="153"/>
      <c r="BW370" s="153"/>
      <c r="CD370" s="146"/>
      <c r="CF370" s="147"/>
      <c r="CI370" s="146"/>
      <c r="CJ370" s="153"/>
      <c r="CV370" s="154"/>
      <c r="CX370" s="154"/>
      <c r="CZ370" s="154"/>
      <c r="DB370" s="154"/>
      <c r="DD370" s="154"/>
      <c r="DH370" s="474"/>
      <c r="DI370" s="459"/>
      <c r="DJ370" s="459"/>
      <c r="DK370" s="459"/>
      <c r="DL370" s="459"/>
      <c r="DM370" s="459"/>
      <c r="DN370" s="459"/>
      <c r="DO370" s="459"/>
      <c r="DP370" s="459"/>
      <c r="DQ370" s="459"/>
      <c r="DR370" s="459"/>
      <c r="DS370" s="459"/>
      <c r="DT370" s="459"/>
      <c r="DU370" s="459"/>
      <c r="DV370" s="468"/>
      <c r="DW370" s="468"/>
      <c r="DX370" s="459"/>
      <c r="DY370" s="459"/>
    </row>
    <row r="371" spans="1:129" s="128" customFormat="1" ht="54.95" customHeight="1" x14ac:dyDescent="0.25">
      <c r="A371" s="377"/>
      <c r="B371" s="175"/>
      <c r="C371" s="393"/>
      <c r="D371" s="168"/>
      <c r="E371" s="168"/>
      <c r="F371" s="168"/>
      <c r="G371" s="168"/>
      <c r="H371" s="168"/>
      <c r="I371" s="168"/>
      <c r="J371" s="168"/>
      <c r="K371" s="168"/>
      <c r="L371" s="168"/>
      <c r="M371" s="168"/>
      <c r="N371" s="168"/>
      <c r="O371" s="433"/>
      <c r="P371" s="122"/>
      <c r="Q371" s="156"/>
      <c r="R371" s="156"/>
      <c r="S371" s="156"/>
      <c r="T371" s="156"/>
      <c r="U371" s="156"/>
      <c r="V371" s="156"/>
      <c r="W371" s="156"/>
      <c r="X371" s="156"/>
      <c r="Y371" s="156"/>
      <c r="Z371" s="157"/>
      <c r="AA371" s="157"/>
      <c r="AB371" s="156"/>
      <c r="AC371" s="156"/>
      <c r="AD371" s="156"/>
      <c r="AE371" s="156"/>
      <c r="AF371" s="156"/>
      <c r="AG371" s="156"/>
      <c r="AH371" s="156"/>
      <c r="AI371" s="156"/>
      <c r="AJ371" s="156"/>
      <c r="AK371" s="156"/>
      <c r="AL371" s="156"/>
      <c r="AM371" s="158"/>
      <c r="AN371" s="156"/>
      <c r="AO371" s="156"/>
      <c r="AP371" s="156"/>
      <c r="AQ371" s="156"/>
      <c r="AR371" s="156"/>
      <c r="AS371" s="156"/>
      <c r="AT371" s="156"/>
      <c r="AU371" s="156"/>
      <c r="AV371" s="156"/>
      <c r="AW371" s="156"/>
      <c r="AX371" s="156"/>
      <c r="AY371" s="156"/>
      <c r="AZ371" s="156"/>
      <c r="BA371" s="153"/>
      <c r="BD371" s="153"/>
      <c r="BE371" s="147"/>
      <c r="BI371" s="153"/>
      <c r="BO371" s="153"/>
      <c r="BW371" s="153"/>
      <c r="CD371" s="146"/>
      <c r="CF371" s="147"/>
      <c r="CI371" s="146"/>
      <c r="CJ371" s="153"/>
      <c r="CV371" s="154"/>
      <c r="CX371" s="154"/>
      <c r="CZ371" s="154"/>
      <c r="DB371" s="154"/>
      <c r="DD371" s="154"/>
      <c r="DH371" s="474"/>
      <c r="DI371" s="459"/>
      <c r="DJ371" s="459"/>
      <c r="DK371" s="459"/>
      <c r="DL371" s="459"/>
      <c r="DM371" s="459"/>
      <c r="DN371" s="459"/>
      <c r="DO371" s="459"/>
      <c r="DP371" s="459"/>
      <c r="DQ371" s="459"/>
      <c r="DR371" s="459"/>
      <c r="DS371" s="459"/>
      <c r="DT371" s="459"/>
      <c r="DU371" s="459"/>
      <c r="DV371" s="468"/>
      <c r="DW371" s="468"/>
      <c r="DX371" s="459"/>
      <c r="DY371" s="459"/>
    </row>
    <row r="372" spans="1:129" s="128" customFormat="1" ht="54.95" customHeight="1" x14ac:dyDescent="0.25">
      <c r="A372" s="377"/>
      <c r="B372" s="175"/>
      <c r="C372" s="393"/>
      <c r="D372" s="168"/>
      <c r="E372" s="168"/>
      <c r="F372" s="168"/>
      <c r="G372" s="168"/>
      <c r="H372" s="168"/>
      <c r="I372" s="168"/>
      <c r="J372" s="168"/>
      <c r="K372" s="168"/>
      <c r="L372" s="168"/>
      <c r="M372" s="168"/>
      <c r="N372" s="168"/>
      <c r="O372" s="433"/>
      <c r="P372" s="122"/>
      <c r="Q372" s="156"/>
      <c r="R372" s="156"/>
      <c r="S372" s="156"/>
      <c r="T372" s="156"/>
      <c r="U372" s="156"/>
      <c r="V372" s="156"/>
      <c r="W372" s="156"/>
      <c r="X372" s="156"/>
      <c r="Y372" s="156"/>
      <c r="Z372" s="157"/>
      <c r="AA372" s="157"/>
      <c r="AB372" s="156"/>
      <c r="AC372" s="156"/>
      <c r="AD372" s="156"/>
      <c r="AE372" s="156"/>
      <c r="AF372" s="156"/>
      <c r="AG372" s="156"/>
      <c r="AH372" s="156"/>
      <c r="AI372" s="156"/>
      <c r="AJ372" s="156"/>
      <c r="AK372" s="156"/>
      <c r="AL372" s="156"/>
      <c r="AM372" s="158"/>
      <c r="AN372" s="156"/>
      <c r="AO372" s="156"/>
      <c r="AP372" s="156"/>
      <c r="AQ372" s="156"/>
      <c r="AR372" s="156"/>
      <c r="AS372" s="156"/>
      <c r="AT372" s="156"/>
      <c r="AU372" s="156"/>
      <c r="AV372" s="156"/>
      <c r="AW372" s="156"/>
      <c r="AX372" s="156"/>
      <c r="AY372" s="156"/>
      <c r="AZ372" s="156"/>
      <c r="BA372" s="153"/>
      <c r="BD372" s="153"/>
      <c r="BE372" s="147"/>
      <c r="BI372" s="153"/>
      <c r="BO372" s="153"/>
      <c r="BW372" s="153"/>
      <c r="CD372" s="146"/>
      <c r="CF372" s="147"/>
      <c r="CI372" s="146"/>
      <c r="CJ372" s="153"/>
      <c r="CV372" s="154"/>
      <c r="CX372" s="154"/>
      <c r="CZ372" s="154"/>
      <c r="DB372" s="154"/>
      <c r="DD372" s="154"/>
      <c r="DH372" s="474"/>
      <c r="DI372" s="459"/>
      <c r="DJ372" s="459"/>
      <c r="DK372" s="459"/>
      <c r="DL372" s="459"/>
      <c r="DM372" s="459"/>
      <c r="DN372" s="459"/>
      <c r="DO372" s="459"/>
      <c r="DP372" s="459"/>
      <c r="DQ372" s="459"/>
      <c r="DR372" s="459"/>
      <c r="DS372" s="459"/>
      <c r="DT372" s="459"/>
      <c r="DU372" s="459"/>
      <c r="DV372" s="468"/>
      <c r="DW372" s="468"/>
      <c r="DX372" s="459"/>
      <c r="DY372" s="459"/>
    </row>
    <row r="373" spans="1:129" s="128" customFormat="1" ht="54.95" customHeight="1" x14ac:dyDescent="0.25">
      <c r="A373" s="377"/>
      <c r="B373" s="175"/>
      <c r="C373" s="393"/>
      <c r="D373" s="168"/>
      <c r="E373" s="168"/>
      <c r="F373" s="168"/>
      <c r="G373" s="168"/>
      <c r="H373" s="168"/>
      <c r="I373" s="168"/>
      <c r="J373" s="168"/>
      <c r="K373" s="168"/>
      <c r="L373" s="168"/>
      <c r="M373" s="168"/>
      <c r="N373" s="168"/>
      <c r="O373" s="433"/>
      <c r="P373" s="122"/>
      <c r="Q373" s="156"/>
      <c r="R373" s="156"/>
      <c r="S373" s="156"/>
      <c r="T373" s="156"/>
      <c r="U373" s="156"/>
      <c r="V373" s="156"/>
      <c r="W373" s="156"/>
      <c r="X373" s="156"/>
      <c r="Y373" s="156"/>
      <c r="Z373" s="157"/>
      <c r="AA373" s="157"/>
      <c r="AB373" s="156"/>
      <c r="AC373" s="156"/>
      <c r="AD373" s="156"/>
      <c r="AE373" s="156"/>
      <c r="AF373" s="156"/>
      <c r="AG373" s="156"/>
      <c r="AH373" s="156"/>
      <c r="AI373" s="156"/>
      <c r="AJ373" s="156"/>
      <c r="AK373" s="156"/>
      <c r="AL373" s="156"/>
      <c r="AM373" s="158"/>
      <c r="AN373" s="156"/>
      <c r="AO373" s="156"/>
      <c r="AP373" s="156"/>
      <c r="AQ373" s="156"/>
      <c r="AR373" s="156"/>
      <c r="AS373" s="156"/>
      <c r="AT373" s="156"/>
      <c r="AU373" s="156"/>
      <c r="AV373" s="156"/>
      <c r="AW373" s="156"/>
      <c r="AX373" s="156"/>
      <c r="AY373" s="156"/>
      <c r="AZ373" s="156"/>
      <c r="BA373" s="153"/>
      <c r="BD373" s="153"/>
      <c r="BE373" s="147"/>
      <c r="BI373" s="153"/>
      <c r="BO373" s="153"/>
      <c r="BW373" s="153"/>
      <c r="CD373" s="146"/>
      <c r="CF373" s="147"/>
      <c r="CI373" s="146"/>
      <c r="CJ373" s="153"/>
      <c r="CV373" s="154"/>
      <c r="CX373" s="154"/>
      <c r="CZ373" s="154"/>
      <c r="DB373" s="154"/>
      <c r="DD373" s="154"/>
      <c r="DH373" s="474"/>
      <c r="DI373" s="459"/>
      <c r="DJ373" s="459"/>
      <c r="DK373" s="459"/>
      <c r="DL373" s="459"/>
      <c r="DM373" s="459"/>
      <c r="DN373" s="459"/>
      <c r="DO373" s="459"/>
      <c r="DP373" s="459"/>
      <c r="DQ373" s="459"/>
      <c r="DR373" s="459"/>
      <c r="DS373" s="459"/>
      <c r="DT373" s="459"/>
      <c r="DU373" s="459"/>
      <c r="DV373" s="468"/>
      <c r="DW373" s="468"/>
      <c r="DX373" s="459"/>
      <c r="DY373" s="459"/>
    </row>
    <row r="374" spans="1:129" s="128" customFormat="1" ht="54.95" customHeight="1" x14ac:dyDescent="0.25">
      <c r="A374" s="377"/>
      <c r="B374" s="175"/>
      <c r="C374" s="393"/>
      <c r="D374" s="168"/>
      <c r="E374" s="168"/>
      <c r="F374" s="168"/>
      <c r="G374" s="168"/>
      <c r="H374" s="168"/>
      <c r="I374" s="168"/>
      <c r="J374" s="168"/>
      <c r="K374" s="168"/>
      <c r="L374" s="168"/>
      <c r="M374" s="168"/>
      <c r="N374" s="168"/>
      <c r="O374" s="433"/>
      <c r="P374" s="122"/>
      <c r="Q374" s="156"/>
      <c r="R374" s="156"/>
      <c r="S374" s="156"/>
      <c r="T374" s="156"/>
      <c r="U374" s="156"/>
      <c r="V374" s="156"/>
      <c r="W374" s="156"/>
      <c r="X374" s="156"/>
      <c r="Y374" s="156"/>
      <c r="Z374" s="157"/>
      <c r="AA374" s="157"/>
      <c r="AB374" s="156"/>
      <c r="AC374" s="156"/>
      <c r="AD374" s="156"/>
      <c r="AE374" s="156"/>
      <c r="AF374" s="156"/>
      <c r="AG374" s="156"/>
      <c r="AH374" s="156"/>
      <c r="AI374" s="156"/>
      <c r="AJ374" s="156"/>
      <c r="AK374" s="156"/>
      <c r="AL374" s="156"/>
      <c r="AM374" s="158"/>
      <c r="AN374" s="156"/>
      <c r="AO374" s="156"/>
      <c r="AP374" s="156"/>
      <c r="AQ374" s="156"/>
      <c r="AR374" s="156"/>
      <c r="AS374" s="156"/>
      <c r="AT374" s="156"/>
      <c r="AU374" s="156"/>
      <c r="AV374" s="156"/>
      <c r="AW374" s="156"/>
      <c r="AX374" s="156"/>
      <c r="AY374" s="156"/>
      <c r="AZ374" s="156"/>
      <c r="BA374" s="153"/>
      <c r="BD374" s="153"/>
      <c r="BE374" s="147"/>
      <c r="BI374" s="153"/>
      <c r="BO374" s="153"/>
      <c r="BW374" s="153"/>
      <c r="CD374" s="146"/>
      <c r="CF374" s="147"/>
      <c r="CI374" s="146"/>
      <c r="CJ374" s="153"/>
      <c r="CV374" s="154"/>
      <c r="CX374" s="154"/>
      <c r="CZ374" s="154"/>
      <c r="DB374" s="154"/>
      <c r="DD374" s="154"/>
      <c r="DH374" s="474"/>
      <c r="DI374" s="459"/>
      <c r="DJ374" s="459"/>
      <c r="DK374" s="459"/>
      <c r="DL374" s="459"/>
      <c r="DM374" s="459"/>
      <c r="DN374" s="459"/>
      <c r="DO374" s="459"/>
      <c r="DP374" s="459"/>
      <c r="DQ374" s="459"/>
      <c r="DR374" s="459"/>
      <c r="DS374" s="459"/>
      <c r="DT374" s="459"/>
      <c r="DU374" s="459"/>
      <c r="DV374" s="468"/>
      <c r="DW374" s="468"/>
      <c r="DX374" s="459"/>
      <c r="DY374" s="459"/>
    </row>
    <row r="375" spans="1:129" s="128" customFormat="1" ht="54.95" customHeight="1" x14ac:dyDescent="0.25">
      <c r="A375" s="377"/>
      <c r="B375" s="175"/>
      <c r="C375" s="393"/>
      <c r="D375" s="168"/>
      <c r="E375" s="168"/>
      <c r="F375" s="168"/>
      <c r="G375" s="168"/>
      <c r="H375" s="168"/>
      <c r="I375" s="168"/>
      <c r="J375" s="168"/>
      <c r="K375" s="168"/>
      <c r="L375" s="168"/>
      <c r="M375" s="168"/>
      <c r="N375" s="168"/>
      <c r="O375" s="433"/>
      <c r="P375" s="122"/>
      <c r="Q375" s="156"/>
      <c r="R375" s="156"/>
      <c r="S375" s="156"/>
      <c r="T375" s="156"/>
      <c r="U375" s="156"/>
      <c r="V375" s="156"/>
      <c r="W375" s="156"/>
      <c r="X375" s="156"/>
      <c r="Y375" s="156"/>
      <c r="Z375" s="157"/>
      <c r="AA375" s="157"/>
      <c r="AB375" s="156"/>
      <c r="AC375" s="156"/>
      <c r="AD375" s="156"/>
      <c r="AE375" s="156"/>
      <c r="AF375" s="156"/>
      <c r="AG375" s="156"/>
      <c r="AH375" s="156"/>
      <c r="AI375" s="156"/>
      <c r="AJ375" s="156"/>
      <c r="AK375" s="156"/>
      <c r="AL375" s="156"/>
      <c r="AM375" s="158"/>
      <c r="AN375" s="156"/>
      <c r="AO375" s="156"/>
      <c r="AP375" s="156"/>
      <c r="AQ375" s="156"/>
      <c r="AR375" s="156"/>
      <c r="AS375" s="156"/>
      <c r="AT375" s="156"/>
      <c r="AU375" s="156"/>
      <c r="AV375" s="156"/>
      <c r="AW375" s="156"/>
      <c r="AX375" s="156"/>
      <c r="AY375" s="156"/>
      <c r="AZ375" s="156"/>
      <c r="BA375" s="153"/>
      <c r="BD375" s="153"/>
      <c r="BE375" s="147"/>
      <c r="BI375" s="153"/>
      <c r="BO375" s="153"/>
      <c r="BW375" s="153"/>
      <c r="CD375" s="146"/>
      <c r="CF375" s="147"/>
      <c r="CI375" s="146"/>
      <c r="CJ375" s="153"/>
      <c r="CV375" s="154"/>
      <c r="CX375" s="154"/>
      <c r="CZ375" s="154"/>
      <c r="DB375" s="154"/>
      <c r="DD375" s="154"/>
      <c r="DH375" s="474"/>
      <c r="DI375" s="459"/>
      <c r="DJ375" s="459"/>
      <c r="DK375" s="459"/>
      <c r="DL375" s="459"/>
      <c r="DM375" s="459"/>
      <c r="DN375" s="459"/>
      <c r="DO375" s="459"/>
      <c r="DP375" s="459"/>
      <c r="DQ375" s="459"/>
      <c r="DR375" s="459"/>
      <c r="DS375" s="459"/>
      <c r="DT375" s="459"/>
      <c r="DU375" s="459"/>
      <c r="DV375" s="468"/>
      <c r="DW375" s="468"/>
      <c r="DX375" s="459"/>
      <c r="DY375" s="459"/>
    </row>
    <row r="376" spans="1:129" s="128" customFormat="1" ht="54.95" customHeight="1" x14ac:dyDescent="0.25">
      <c r="A376" s="377"/>
      <c r="B376" s="175"/>
      <c r="C376" s="393"/>
      <c r="D376" s="168"/>
      <c r="E376" s="168"/>
      <c r="F376" s="168"/>
      <c r="G376" s="168"/>
      <c r="H376" s="168"/>
      <c r="I376" s="168"/>
      <c r="J376" s="168"/>
      <c r="K376" s="168"/>
      <c r="L376" s="168"/>
      <c r="M376" s="168"/>
      <c r="N376" s="168"/>
      <c r="O376" s="433"/>
      <c r="P376" s="122"/>
      <c r="Q376" s="156"/>
      <c r="R376" s="156"/>
      <c r="S376" s="156"/>
      <c r="T376" s="156"/>
      <c r="U376" s="156"/>
      <c r="V376" s="156"/>
      <c r="W376" s="156"/>
      <c r="X376" s="156"/>
      <c r="Y376" s="156"/>
      <c r="Z376" s="157"/>
      <c r="AA376" s="157"/>
      <c r="AB376" s="156"/>
      <c r="AC376" s="156"/>
      <c r="AD376" s="156"/>
      <c r="AE376" s="156"/>
      <c r="AF376" s="156"/>
      <c r="AG376" s="156"/>
      <c r="AH376" s="156"/>
      <c r="AI376" s="156"/>
      <c r="AJ376" s="156"/>
      <c r="AK376" s="156"/>
      <c r="AL376" s="156"/>
      <c r="AM376" s="158"/>
      <c r="AN376" s="156"/>
      <c r="AO376" s="156"/>
      <c r="AP376" s="156"/>
      <c r="AQ376" s="156"/>
      <c r="AR376" s="156"/>
      <c r="AS376" s="156"/>
      <c r="AT376" s="156"/>
      <c r="AU376" s="156"/>
      <c r="AV376" s="156"/>
      <c r="AW376" s="156"/>
      <c r="AX376" s="156"/>
      <c r="AY376" s="156"/>
      <c r="AZ376" s="156"/>
      <c r="BA376" s="153"/>
      <c r="BD376" s="153"/>
      <c r="BE376" s="147"/>
      <c r="BI376" s="153"/>
      <c r="BO376" s="153"/>
      <c r="BW376" s="153"/>
      <c r="CD376" s="146"/>
      <c r="CF376" s="147"/>
      <c r="CI376" s="146"/>
      <c r="CJ376" s="153"/>
      <c r="CV376" s="154"/>
      <c r="CX376" s="154"/>
      <c r="CZ376" s="154"/>
      <c r="DB376" s="154"/>
      <c r="DD376" s="154"/>
      <c r="DH376" s="474"/>
      <c r="DI376" s="459"/>
      <c r="DJ376" s="459"/>
      <c r="DK376" s="459"/>
      <c r="DL376" s="459"/>
      <c r="DM376" s="459"/>
      <c r="DN376" s="459"/>
      <c r="DO376" s="459"/>
      <c r="DP376" s="459"/>
      <c r="DQ376" s="459"/>
      <c r="DR376" s="459"/>
      <c r="DS376" s="459"/>
      <c r="DT376" s="459"/>
      <c r="DU376" s="459"/>
      <c r="DV376" s="468"/>
      <c r="DW376" s="468"/>
      <c r="DX376" s="459"/>
      <c r="DY376" s="459"/>
    </row>
    <row r="377" spans="1:129" s="128" customFormat="1" ht="54.95" customHeight="1" x14ac:dyDescent="0.25">
      <c r="A377" s="377"/>
      <c r="B377" s="175"/>
      <c r="C377" s="393"/>
      <c r="D377" s="168"/>
      <c r="E377" s="168"/>
      <c r="F377" s="168"/>
      <c r="G377" s="168"/>
      <c r="H377" s="168"/>
      <c r="I377" s="168"/>
      <c r="J377" s="168"/>
      <c r="K377" s="168"/>
      <c r="L377" s="168"/>
      <c r="M377" s="168"/>
      <c r="N377" s="168"/>
      <c r="O377" s="433"/>
      <c r="P377" s="122"/>
      <c r="Q377" s="156"/>
      <c r="R377" s="156"/>
      <c r="S377" s="156"/>
      <c r="T377" s="156"/>
      <c r="U377" s="156"/>
      <c r="V377" s="156"/>
      <c r="W377" s="156"/>
      <c r="X377" s="156"/>
      <c r="Y377" s="156"/>
      <c r="Z377" s="157"/>
      <c r="AA377" s="157"/>
      <c r="AB377" s="156"/>
      <c r="AC377" s="156"/>
      <c r="AD377" s="156"/>
      <c r="AE377" s="156"/>
      <c r="AF377" s="156"/>
      <c r="AG377" s="156"/>
      <c r="AH377" s="156"/>
      <c r="AI377" s="156"/>
      <c r="AJ377" s="156"/>
      <c r="AK377" s="156"/>
      <c r="AL377" s="156"/>
      <c r="AM377" s="158"/>
      <c r="AN377" s="156"/>
      <c r="AO377" s="156"/>
      <c r="AP377" s="156"/>
      <c r="AQ377" s="156"/>
      <c r="AR377" s="156"/>
      <c r="AS377" s="156"/>
      <c r="AT377" s="156"/>
      <c r="AU377" s="156"/>
      <c r="AV377" s="156"/>
      <c r="AW377" s="156"/>
      <c r="AX377" s="156"/>
      <c r="AY377" s="156"/>
      <c r="AZ377" s="156"/>
      <c r="BA377" s="153"/>
      <c r="BD377" s="153"/>
      <c r="BE377" s="147"/>
      <c r="BI377" s="153"/>
      <c r="BO377" s="153"/>
      <c r="BW377" s="153"/>
      <c r="CD377" s="146"/>
      <c r="CF377" s="147"/>
      <c r="CI377" s="146"/>
      <c r="CJ377" s="153"/>
      <c r="CV377" s="154"/>
      <c r="CX377" s="154"/>
      <c r="CZ377" s="154"/>
      <c r="DB377" s="154"/>
      <c r="DD377" s="154"/>
      <c r="DH377" s="474"/>
      <c r="DI377" s="459"/>
      <c r="DJ377" s="459"/>
      <c r="DK377" s="459"/>
      <c r="DL377" s="459"/>
      <c r="DM377" s="459"/>
      <c r="DN377" s="459"/>
      <c r="DO377" s="459"/>
      <c r="DP377" s="459"/>
      <c r="DQ377" s="459"/>
      <c r="DR377" s="459"/>
      <c r="DS377" s="459"/>
      <c r="DT377" s="459"/>
      <c r="DU377" s="459"/>
      <c r="DV377" s="468"/>
      <c r="DW377" s="468"/>
      <c r="DX377" s="459"/>
      <c r="DY377" s="459"/>
    </row>
    <row r="378" spans="1:129" s="128" customFormat="1" ht="54.95" customHeight="1" x14ac:dyDescent="0.25">
      <c r="A378" s="377"/>
      <c r="B378" s="175"/>
      <c r="C378" s="393"/>
      <c r="D378" s="168"/>
      <c r="E378" s="168"/>
      <c r="F378" s="168"/>
      <c r="G378" s="168"/>
      <c r="H378" s="168"/>
      <c r="I378" s="168"/>
      <c r="J378" s="168"/>
      <c r="K378" s="168"/>
      <c r="L378" s="168"/>
      <c r="M378" s="168"/>
      <c r="N378" s="168"/>
      <c r="O378" s="433"/>
      <c r="P378" s="122"/>
      <c r="Q378" s="156"/>
      <c r="R378" s="156"/>
      <c r="S378" s="156"/>
      <c r="T378" s="156"/>
      <c r="U378" s="156"/>
      <c r="V378" s="156"/>
      <c r="W378" s="156"/>
      <c r="X378" s="156"/>
      <c r="Y378" s="156"/>
      <c r="Z378" s="157"/>
      <c r="AA378" s="157"/>
      <c r="AB378" s="156"/>
      <c r="AC378" s="156"/>
      <c r="AD378" s="156"/>
      <c r="AE378" s="156"/>
      <c r="AF378" s="156"/>
      <c r="AG378" s="156"/>
      <c r="AH378" s="156"/>
      <c r="AI378" s="156"/>
      <c r="AJ378" s="156"/>
      <c r="AK378" s="156"/>
      <c r="AL378" s="156"/>
      <c r="AM378" s="158"/>
      <c r="AN378" s="156"/>
      <c r="AO378" s="156"/>
      <c r="AP378" s="156"/>
      <c r="AQ378" s="156"/>
      <c r="AR378" s="156"/>
      <c r="AS378" s="156"/>
      <c r="AT378" s="156"/>
      <c r="AU378" s="156"/>
      <c r="AV378" s="156"/>
      <c r="AW378" s="156"/>
      <c r="AX378" s="156"/>
      <c r="AY378" s="156"/>
      <c r="AZ378" s="156"/>
      <c r="BA378" s="153"/>
      <c r="BD378" s="153"/>
      <c r="BE378" s="147"/>
      <c r="BI378" s="153"/>
      <c r="BO378" s="153"/>
      <c r="BW378" s="153"/>
      <c r="CD378" s="146"/>
      <c r="CF378" s="147"/>
      <c r="CI378" s="146"/>
      <c r="CJ378" s="153"/>
      <c r="CV378" s="154"/>
      <c r="CX378" s="154"/>
      <c r="CZ378" s="154"/>
      <c r="DB378" s="154"/>
      <c r="DD378" s="154"/>
      <c r="DH378" s="474"/>
      <c r="DI378" s="459"/>
      <c r="DJ378" s="459"/>
      <c r="DK378" s="459"/>
      <c r="DL378" s="459"/>
      <c r="DM378" s="459"/>
      <c r="DN378" s="459"/>
      <c r="DO378" s="459"/>
      <c r="DP378" s="459"/>
      <c r="DQ378" s="459"/>
      <c r="DR378" s="459"/>
      <c r="DS378" s="459"/>
      <c r="DT378" s="459"/>
      <c r="DU378" s="459"/>
      <c r="DV378" s="468"/>
      <c r="DW378" s="468"/>
      <c r="DX378" s="459"/>
      <c r="DY378" s="459"/>
    </row>
    <row r="379" spans="1:129" s="128" customFormat="1" ht="54.95" customHeight="1" x14ac:dyDescent="0.25">
      <c r="A379" s="377"/>
      <c r="B379" s="175"/>
      <c r="C379" s="393"/>
      <c r="D379" s="168"/>
      <c r="E379" s="168"/>
      <c r="F379" s="168"/>
      <c r="G379" s="168"/>
      <c r="H379" s="168"/>
      <c r="I379" s="168"/>
      <c r="J379" s="168"/>
      <c r="K379" s="168"/>
      <c r="L379" s="168"/>
      <c r="M379" s="168"/>
      <c r="N379" s="168"/>
      <c r="O379" s="433"/>
      <c r="P379" s="122"/>
      <c r="Q379" s="156"/>
      <c r="R379" s="156"/>
      <c r="S379" s="156"/>
      <c r="T379" s="156"/>
      <c r="U379" s="156"/>
      <c r="V379" s="156"/>
      <c r="W379" s="156"/>
      <c r="X379" s="156"/>
      <c r="Y379" s="156"/>
      <c r="Z379" s="157"/>
      <c r="AA379" s="157"/>
      <c r="AB379" s="156"/>
      <c r="AC379" s="156"/>
      <c r="AD379" s="156"/>
      <c r="AE379" s="156"/>
      <c r="AF379" s="156"/>
      <c r="AG379" s="156"/>
      <c r="AH379" s="156"/>
      <c r="AI379" s="156"/>
      <c r="AJ379" s="156"/>
      <c r="AK379" s="156"/>
      <c r="AL379" s="156"/>
      <c r="AM379" s="158"/>
      <c r="AN379" s="156"/>
      <c r="AO379" s="156"/>
      <c r="AP379" s="156"/>
      <c r="AQ379" s="156"/>
      <c r="AR379" s="156"/>
      <c r="AS379" s="156"/>
      <c r="AT379" s="156"/>
      <c r="AU379" s="156"/>
      <c r="AV379" s="156"/>
      <c r="AW379" s="156"/>
      <c r="AX379" s="156"/>
      <c r="AY379" s="156"/>
      <c r="AZ379" s="156"/>
      <c r="BA379" s="153"/>
      <c r="BD379" s="153"/>
      <c r="BE379" s="147"/>
      <c r="BI379" s="153"/>
      <c r="BO379" s="153"/>
      <c r="BW379" s="153"/>
      <c r="CD379" s="146"/>
      <c r="CF379" s="147"/>
      <c r="CI379" s="146"/>
      <c r="CJ379" s="153"/>
      <c r="CV379" s="154"/>
      <c r="CX379" s="154"/>
      <c r="CZ379" s="154"/>
      <c r="DB379" s="154"/>
      <c r="DD379" s="154"/>
      <c r="DH379" s="474"/>
      <c r="DI379" s="459"/>
      <c r="DJ379" s="459"/>
      <c r="DK379" s="459"/>
      <c r="DL379" s="459"/>
      <c r="DM379" s="459"/>
      <c r="DN379" s="459"/>
      <c r="DO379" s="459"/>
      <c r="DP379" s="459"/>
      <c r="DQ379" s="459"/>
      <c r="DR379" s="459"/>
      <c r="DS379" s="459"/>
      <c r="DT379" s="459"/>
      <c r="DU379" s="459"/>
      <c r="DV379" s="468"/>
      <c r="DW379" s="468"/>
      <c r="DX379" s="459"/>
      <c r="DY379" s="459"/>
    </row>
    <row r="380" spans="1:129" s="128" customFormat="1" ht="54.95" customHeight="1" x14ac:dyDescent="0.25">
      <c r="A380" s="377"/>
      <c r="B380" s="175"/>
      <c r="C380" s="393"/>
      <c r="D380" s="168"/>
      <c r="E380" s="168"/>
      <c r="F380" s="168"/>
      <c r="G380" s="168"/>
      <c r="H380" s="168"/>
      <c r="I380" s="168"/>
      <c r="J380" s="168"/>
      <c r="K380" s="168"/>
      <c r="L380" s="168"/>
      <c r="M380" s="168"/>
      <c r="N380" s="168"/>
      <c r="O380" s="433"/>
      <c r="P380" s="122"/>
      <c r="Q380" s="156"/>
      <c r="R380" s="156"/>
      <c r="S380" s="156"/>
      <c r="T380" s="156"/>
      <c r="U380" s="156"/>
      <c r="V380" s="156"/>
      <c r="W380" s="156"/>
      <c r="X380" s="156"/>
      <c r="Y380" s="156"/>
      <c r="Z380" s="157"/>
      <c r="AA380" s="157"/>
      <c r="AB380" s="156"/>
      <c r="AC380" s="156"/>
      <c r="AD380" s="156"/>
      <c r="AE380" s="156"/>
      <c r="AF380" s="156"/>
      <c r="AG380" s="156"/>
      <c r="AH380" s="156"/>
      <c r="AI380" s="156"/>
      <c r="AJ380" s="156"/>
      <c r="AK380" s="156"/>
      <c r="AL380" s="156"/>
      <c r="AM380" s="158"/>
      <c r="AN380" s="156"/>
      <c r="AO380" s="156"/>
      <c r="AP380" s="156"/>
      <c r="AQ380" s="156"/>
      <c r="AR380" s="156"/>
      <c r="AS380" s="156"/>
      <c r="AT380" s="156"/>
      <c r="AU380" s="156"/>
      <c r="AV380" s="156"/>
      <c r="AW380" s="156"/>
      <c r="AX380" s="156"/>
      <c r="AY380" s="156"/>
      <c r="AZ380" s="156"/>
      <c r="BA380" s="153"/>
      <c r="BD380" s="153"/>
      <c r="BE380" s="147"/>
      <c r="BI380" s="153"/>
      <c r="BO380" s="153"/>
      <c r="BW380" s="153"/>
      <c r="CD380" s="146"/>
      <c r="CF380" s="147"/>
      <c r="CI380" s="146"/>
      <c r="CJ380" s="153"/>
      <c r="CV380" s="154"/>
      <c r="CX380" s="154"/>
      <c r="CZ380" s="154"/>
      <c r="DB380" s="154"/>
      <c r="DD380" s="154"/>
      <c r="DH380" s="474"/>
      <c r="DI380" s="459"/>
      <c r="DJ380" s="459"/>
      <c r="DK380" s="459"/>
      <c r="DL380" s="459"/>
      <c r="DM380" s="459"/>
      <c r="DN380" s="459"/>
      <c r="DO380" s="459"/>
      <c r="DP380" s="459"/>
      <c r="DQ380" s="459"/>
      <c r="DR380" s="459"/>
      <c r="DS380" s="459"/>
      <c r="DT380" s="459"/>
      <c r="DU380" s="459"/>
      <c r="DV380" s="468"/>
      <c r="DW380" s="468"/>
      <c r="DX380" s="459"/>
      <c r="DY380" s="459"/>
    </row>
    <row r="381" spans="1:129" s="128" customFormat="1" ht="54.95" customHeight="1" x14ac:dyDescent="0.25">
      <c r="A381" s="377"/>
      <c r="B381" s="175"/>
      <c r="C381" s="393"/>
      <c r="D381" s="168"/>
      <c r="E381" s="168"/>
      <c r="F381" s="168"/>
      <c r="G381" s="168"/>
      <c r="H381" s="168"/>
      <c r="I381" s="168"/>
      <c r="J381" s="168"/>
      <c r="K381" s="168"/>
      <c r="L381" s="168"/>
      <c r="M381" s="168"/>
      <c r="N381" s="168"/>
      <c r="O381" s="433"/>
      <c r="P381" s="122"/>
      <c r="Q381" s="156"/>
      <c r="R381" s="156"/>
      <c r="S381" s="156"/>
      <c r="T381" s="156"/>
      <c r="U381" s="156"/>
      <c r="V381" s="156"/>
      <c r="W381" s="156"/>
      <c r="X381" s="156"/>
      <c r="Y381" s="156"/>
      <c r="Z381" s="157"/>
      <c r="AA381" s="157"/>
      <c r="AB381" s="156"/>
      <c r="AC381" s="156"/>
      <c r="AD381" s="156"/>
      <c r="AE381" s="156"/>
      <c r="AF381" s="156"/>
      <c r="AG381" s="156"/>
      <c r="AH381" s="156"/>
      <c r="AI381" s="156"/>
      <c r="AJ381" s="156"/>
      <c r="AK381" s="156"/>
      <c r="AL381" s="156"/>
      <c r="AM381" s="158"/>
      <c r="AN381" s="156"/>
      <c r="AO381" s="156"/>
      <c r="AP381" s="156"/>
      <c r="AQ381" s="156"/>
      <c r="AR381" s="156"/>
      <c r="AS381" s="156"/>
      <c r="AT381" s="156"/>
      <c r="AU381" s="156"/>
      <c r="AV381" s="156"/>
      <c r="AW381" s="156"/>
      <c r="AX381" s="156"/>
      <c r="AY381" s="156"/>
      <c r="AZ381" s="156"/>
      <c r="BA381" s="153"/>
      <c r="BD381" s="153"/>
      <c r="BE381" s="147"/>
      <c r="BI381" s="153"/>
      <c r="BO381" s="153"/>
      <c r="BW381" s="153"/>
      <c r="CD381" s="146"/>
      <c r="CF381" s="147"/>
      <c r="CI381" s="146"/>
      <c r="CJ381" s="153"/>
      <c r="CV381" s="154"/>
      <c r="CX381" s="154"/>
      <c r="CZ381" s="154"/>
      <c r="DB381" s="154"/>
      <c r="DD381" s="154"/>
      <c r="DH381" s="474"/>
      <c r="DI381" s="459"/>
      <c r="DJ381" s="459"/>
      <c r="DK381" s="459"/>
      <c r="DL381" s="459"/>
      <c r="DM381" s="459"/>
      <c r="DN381" s="459"/>
      <c r="DO381" s="459"/>
      <c r="DP381" s="459"/>
      <c r="DQ381" s="459"/>
      <c r="DR381" s="459"/>
      <c r="DS381" s="459"/>
      <c r="DT381" s="459"/>
      <c r="DU381" s="459"/>
      <c r="DV381" s="468"/>
      <c r="DW381" s="468"/>
      <c r="DX381" s="459"/>
      <c r="DY381" s="459"/>
    </row>
    <row r="382" spans="1:129" s="128" customFormat="1" ht="54.95" customHeight="1" x14ac:dyDescent="0.25">
      <c r="A382" s="377"/>
      <c r="B382" s="175"/>
      <c r="C382" s="393"/>
      <c r="D382" s="168"/>
      <c r="E382" s="168"/>
      <c r="F382" s="168"/>
      <c r="G382" s="168"/>
      <c r="H382" s="168"/>
      <c r="I382" s="168"/>
      <c r="J382" s="168"/>
      <c r="K382" s="168"/>
      <c r="L382" s="168"/>
      <c r="M382" s="168"/>
      <c r="N382" s="168"/>
      <c r="O382" s="433"/>
      <c r="P382" s="122"/>
      <c r="Q382" s="156"/>
      <c r="R382" s="156"/>
      <c r="S382" s="156"/>
      <c r="T382" s="156"/>
      <c r="U382" s="156"/>
      <c r="V382" s="156"/>
      <c r="W382" s="156"/>
      <c r="X382" s="156"/>
      <c r="Y382" s="156"/>
      <c r="Z382" s="157"/>
      <c r="AA382" s="157"/>
      <c r="AB382" s="156"/>
      <c r="AC382" s="156"/>
      <c r="AD382" s="156"/>
      <c r="AE382" s="156"/>
      <c r="AF382" s="156"/>
      <c r="AG382" s="156"/>
      <c r="AH382" s="156"/>
      <c r="AI382" s="156"/>
      <c r="AJ382" s="156"/>
      <c r="AK382" s="156"/>
      <c r="AL382" s="156"/>
      <c r="AM382" s="158"/>
      <c r="AN382" s="156"/>
      <c r="AO382" s="156"/>
      <c r="AP382" s="156"/>
      <c r="AQ382" s="156"/>
      <c r="AR382" s="156"/>
      <c r="AS382" s="156"/>
      <c r="AT382" s="156"/>
      <c r="AU382" s="156"/>
      <c r="AV382" s="156"/>
      <c r="AW382" s="156"/>
      <c r="AX382" s="156"/>
      <c r="AY382" s="156"/>
      <c r="AZ382" s="156"/>
      <c r="BA382" s="153"/>
      <c r="BD382" s="153"/>
      <c r="BE382" s="147"/>
      <c r="BI382" s="153"/>
      <c r="BO382" s="153"/>
      <c r="BW382" s="153"/>
      <c r="CD382" s="146"/>
      <c r="CF382" s="147"/>
      <c r="CI382" s="146"/>
      <c r="CJ382" s="153"/>
      <c r="CV382" s="154"/>
      <c r="CX382" s="154"/>
      <c r="CZ382" s="154"/>
      <c r="DB382" s="154"/>
      <c r="DD382" s="154"/>
      <c r="DH382" s="474"/>
      <c r="DI382" s="459"/>
      <c r="DJ382" s="459"/>
      <c r="DK382" s="459"/>
      <c r="DL382" s="459"/>
      <c r="DM382" s="459"/>
      <c r="DN382" s="459"/>
      <c r="DO382" s="459"/>
      <c r="DP382" s="459"/>
      <c r="DQ382" s="459"/>
      <c r="DR382" s="459"/>
      <c r="DS382" s="459"/>
      <c r="DT382" s="459"/>
      <c r="DU382" s="459"/>
      <c r="DV382" s="468"/>
      <c r="DW382" s="468"/>
      <c r="DX382" s="459"/>
      <c r="DY382" s="459"/>
    </row>
    <row r="383" spans="1:129" s="128" customFormat="1" ht="54.95" customHeight="1" x14ac:dyDescent="0.25">
      <c r="A383" s="377"/>
      <c r="B383" s="175"/>
      <c r="C383" s="393"/>
      <c r="D383" s="168"/>
      <c r="E383" s="168"/>
      <c r="F383" s="168"/>
      <c r="G383" s="168"/>
      <c r="H383" s="168"/>
      <c r="I383" s="168"/>
      <c r="J383" s="168"/>
      <c r="K383" s="168"/>
      <c r="L383" s="168"/>
      <c r="M383" s="168"/>
      <c r="N383" s="168"/>
      <c r="O383" s="433"/>
      <c r="P383" s="122"/>
      <c r="Q383" s="156"/>
      <c r="R383" s="156"/>
      <c r="S383" s="156"/>
      <c r="T383" s="156"/>
      <c r="U383" s="156"/>
      <c r="V383" s="156"/>
      <c r="W383" s="156"/>
      <c r="X383" s="156"/>
      <c r="Y383" s="156"/>
      <c r="Z383" s="157"/>
      <c r="AA383" s="157"/>
      <c r="AB383" s="156"/>
      <c r="AC383" s="156"/>
      <c r="AD383" s="156"/>
      <c r="AE383" s="156"/>
      <c r="AF383" s="156"/>
      <c r="AG383" s="156"/>
      <c r="AH383" s="156"/>
      <c r="AI383" s="156"/>
      <c r="AJ383" s="156"/>
      <c r="AK383" s="156"/>
      <c r="AL383" s="156"/>
      <c r="AM383" s="158"/>
      <c r="AN383" s="156"/>
      <c r="AO383" s="156"/>
      <c r="AP383" s="156"/>
      <c r="AQ383" s="156"/>
      <c r="AR383" s="156"/>
      <c r="AS383" s="156"/>
      <c r="AT383" s="156"/>
      <c r="AU383" s="156"/>
      <c r="AV383" s="156"/>
      <c r="AW383" s="156"/>
      <c r="AX383" s="156"/>
      <c r="AY383" s="156"/>
      <c r="AZ383" s="156"/>
      <c r="BA383" s="153"/>
      <c r="BD383" s="153"/>
      <c r="BE383" s="147"/>
      <c r="BI383" s="153"/>
      <c r="BO383" s="153"/>
      <c r="BW383" s="153"/>
      <c r="CD383" s="146"/>
      <c r="CF383" s="147"/>
      <c r="CI383" s="146"/>
      <c r="CJ383" s="153"/>
      <c r="CV383" s="154"/>
      <c r="CX383" s="154"/>
      <c r="CZ383" s="154"/>
      <c r="DB383" s="154"/>
      <c r="DD383" s="154"/>
      <c r="DH383" s="474"/>
      <c r="DI383" s="459"/>
      <c r="DJ383" s="459"/>
      <c r="DK383" s="459"/>
      <c r="DL383" s="459"/>
      <c r="DM383" s="459"/>
      <c r="DN383" s="459"/>
      <c r="DO383" s="459"/>
      <c r="DP383" s="459"/>
      <c r="DQ383" s="459"/>
      <c r="DR383" s="459"/>
      <c r="DS383" s="459"/>
      <c r="DT383" s="459"/>
      <c r="DU383" s="459"/>
      <c r="DV383" s="468"/>
      <c r="DW383" s="468"/>
      <c r="DX383" s="459"/>
      <c r="DY383" s="459"/>
    </row>
    <row r="384" spans="1:129" s="128" customFormat="1" ht="54.95" customHeight="1" x14ac:dyDescent="0.25">
      <c r="A384" s="377"/>
      <c r="B384" s="175"/>
      <c r="C384" s="393"/>
      <c r="D384" s="168"/>
      <c r="E384" s="168"/>
      <c r="F384" s="168"/>
      <c r="G384" s="168"/>
      <c r="H384" s="168"/>
      <c r="I384" s="168"/>
      <c r="J384" s="168"/>
      <c r="K384" s="168"/>
      <c r="L384" s="168"/>
      <c r="M384" s="168"/>
      <c r="N384" s="168"/>
      <c r="O384" s="433"/>
      <c r="P384" s="122"/>
      <c r="Q384" s="156"/>
      <c r="R384" s="156"/>
      <c r="S384" s="156"/>
      <c r="T384" s="156"/>
      <c r="U384" s="156"/>
      <c r="V384" s="156"/>
      <c r="W384" s="156"/>
      <c r="X384" s="156"/>
      <c r="Y384" s="156"/>
      <c r="Z384" s="157"/>
      <c r="AA384" s="157"/>
      <c r="AB384" s="156"/>
      <c r="AC384" s="156"/>
      <c r="AD384" s="156"/>
      <c r="AE384" s="156"/>
      <c r="AF384" s="156"/>
      <c r="AG384" s="156"/>
      <c r="AH384" s="156"/>
      <c r="AI384" s="156"/>
      <c r="AJ384" s="156"/>
      <c r="AK384" s="156"/>
      <c r="AL384" s="156"/>
      <c r="AM384" s="158"/>
      <c r="AN384" s="156"/>
      <c r="AO384" s="156"/>
      <c r="AP384" s="156"/>
      <c r="AQ384" s="156"/>
      <c r="AR384" s="156"/>
      <c r="AS384" s="156"/>
      <c r="AT384" s="156"/>
      <c r="AU384" s="156"/>
      <c r="AV384" s="156"/>
      <c r="AW384" s="156"/>
      <c r="AX384" s="156"/>
      <c r="AY384" s="156"/>
      <c r="AZ384" s="156"/>
      <c r="BA384" s="153"/>
      <c r="BD384" s="153"/>
      <c r="BE384" s="147"/>
      <c r="BI384" s="153"/>
      <c r="BO384" s="153"/>
      <c r="BW384" s="153"/>
      <c r="CD384" s="146"/>
      <c r="CF384" s="147"/>
      <c r="CI384" s="146"/>
      <c r="CJ384" s="153"/>
      <c r="CV384" s="154"/>
      <c r="CX384" s="154"/>
      <c r="CZ384" s="154"/>
      <c r="DB384" s="154"/>
      <c r="DD384" s="154"/>
      <c r="DH384" s="474"/>
      <c r="DI384" s="459"/>
      <c r="DJ384" s="459"/>
      <c r="DK384" s="459"/>
      <c r="DL384" s="459"/>
      <c r="DM384" s="459"/>
      <c r="DN384" s="459"/>
      <c r="DO384" s="459"/>
      <c r="DP384" s="459"/>
      <c r="DQ384" s="459"/>
      <c r="DR384" s="459"/>
      <c r="DS384" s="459"/>
      <c r="DT384" s="459"/>
      <c r="DU384" s="459"/>
      <c r="DV384" s="468"/>
      <c r="DW384" s="468"/>
      <c r="DX384" s="459"/>
      <c r="DY384" s="459"/>
    </row>
    <row r="385" spans="1:129" s="128" customFormat="1" ht="54.95" customHeight="1" x14ac:dyDescent="0.25">
      <c r="A385" s="377"/>
      <c r="B385" s="175"/>
      <c r="C385" s="393"/>
      <c r="D385" s="168"/>
      <c r="E385" s="168"/>
      <c r="F385" s="168"/>
      <c r="G385" s="168"/>
      <c r="H385" s="168"/>
      <c r="I385" s="168"/>
      <c r="J385" s="168"/>
      <c r="K385" s="168"/>
      <c r="L385" s="168"/>
      <c r="M385" s="168"/>
      <c r="N385" s="168"/>
      <c r="O385" s="433"/>
      <c r="P385" s="122"/>
      <c r="Q385" s="156"/>
      <c r="R385" s="156"/>
      <c r="S385" s="156"/>
      <c r="T385" s="156"/>
      <c r="U385" s="156"/>
      <c r="V385" s="156"/>
      <c r="W385" s="156"/>
      <c r="X385" s="156"/>
      <c r="Y385" s="156"/>
      <c r="Z385" s="157"/>
      <c r="AA385" s="157"/>
      <c r="AB385" s="156"/>
      <c r="AC385" s="156"/>
      <c r="AD385" s="156"/>
      <c r="AE385" s="156"/>
      <c r="AF385" s="156"/>
      <c r="AG385" s="156"/>
      <c r="AH385" s="156"/>
      <c r="AI385" s="156"/>
      <c r="AJ385" s="156"/>
      <c r="AK385" s="156"/>
      <c r="AL385" s="156"/>
      <c r="AM385" s="158"/>
      <c r="AN385" s="156"/>
      <c r="AO385" s="156"/>
      <c r="AP385" s="156"/>
      <c r="AQ385" s="156"/>
      <c r="AR385" s="156"/>
      <c r="AS385" s="156"/>
      <c r="AT385" s="156"/>
      <c r="AU385" s="156"/>
      <c r="AV385" s="156"/>
      <c r="AW385" s="156"/>
      <c r="AX385" s="156"/>
      <c r="AY385" s="156"/>
      <c r="AZ385" s="156"/>
      <c r="BA385" s="153"/>
      <c r="BD385" s="153"/>
      <c r="BE385" s="147"/>
      <c r="BI385" s="153"/>
      <c r="BO385" s="153"/>
      <c r="BW385" s="153"/>
      <c r="CD385" s="146"/>
      <c r="CF385" s="147"/>
      <c r="CI385" s="146"/>
      <c r="CJ385" s="153"/>
      <c r="CV385" s="154"/>
      <c r="CX385" s="154"/>
      <c r="CZ385" s="154"/>
      <c r="DB385" s="154"/>
      <c r="DD385" s="154"/>
      <c r="DH385" s="474"/>
      <c r="DI385" s="459"/>
      <c r="DJ385" s="459"/>
      <c r="DK385" s="459"/>
      <c r="DL385" s="459"/>
      <c r="DM385" s="459"/>
      <c r="DN385" s="459"/>
      <c r="DO385" s="459"/>
      <c r="DP385" s="459"/>
      <c r="DQ385" s="459"/>
      <c r="DR385" s="459"/>
      <c r="DS385" s="459"/>
      <c r="DT385" s="459"/>
      <c r="DU385" s="459"/>
      <c r="DV385" s="468"/>
      <c r="DW385" s="468"/>
      <c r="DX385" s="459"/>
      <c r="DY385" s="459"/>
    </row>
    <row r="386" spans="1:129" s="128" customFormat="1" ht="54.95" customHeight="1" x14ac:dyDescent="0.25">
      <c r="A386" s="377"/>
      <c r="B386" s="175"/>
      <c r="C386" s="393"/>
      <c r="D386" s="168"/>
      <c r="E386" s="168"/>
      <c r="F386" s="168"/>
      <c r="G386" s="168"/>
      <c r="H386" s="168"/>
      <c r="I386" s="168"/>
      <c r="J386" s="168"/>
      <c r="K386" s="168"/>
      <c r="L386" s="168"/>
      <c r="M386" s="168"/>
      <c r="N386" s="168"/>
      <c r="O386" s="433"/>
      <c r="P386" s="122"/>
      <c r="Q386" s="156"/>
      <c r="R386" s="156"/>
      <c r="S386" s="156"/>
      <c r="T386" s="156"/>
      <c r="U386" s="156"/>
      <c r="V386" s="156"/>
      <c r="W386" s="156"/>
      <c r="X386" s="156"/>
      <c r="Y386" s="156"/>
      <c r="Z386" s="157"/>
      <c r="AA386" s="157"/>
      <c r="AB386" s="156"/>
      <c r="AC386" s="156"/>
      <c r="AD386" s="156"/>
      <c r="AE386" s="156"/>
      <c r="AF386" s="156"/>
      <c r="AG386" s="156"/>
      <c r="AH386" s="156"/>
      <c r="AI386" s="156"/>
      <c r="AJ386" s="156"/>
      <c r="AK386" s="156"/>
      <c r="AL386" s="156"/>
      <c r="AM386" s="158"/>
      <c r="AN386" s="156"/>
      <c r="AO386" s="156"/>
      <c r="AP386" s="156"/>
      <c r="AQ386" s="156"/>
      <c r="AR386" s="156"/>
      <c r="AS386" s="156"/>
      <c r="AT386" s="156"/>
      <c r="AU386" s="156"/>
      <c r="AV386" s="156"/>
      <c r="AW386" s="156"/>
      <c r="AX386" s="156"/>
      <c r="AY386" s="156"/>
      <c r="AZ386" s="156"/>
      <c r="BA386" s="153"/>
      <c r="BD386" s="153"/>
      <c r="BE386" s="147"/>
      <c r="BI386" s="153"/>
      <c r="BO386" s="153"/>
      <c r="BW386" s="153"/>
      <c r="CD386" s="146"/>
      <c r="CF386" s="147"/>
      <c r="CI386" s="146"/>
      <c r="CJ386" s="153"/>
      <c r="CV386" s="154"/>
      <c r="CX386" s="154"/>
      <c r="CZ386" s="154"/>
      <c r="DB386" s="154"/>
      <c r="DD386" s="154"/>
      <c r="DH386" s="474"/>
      <c r="DI386" s="459"/>
      <c r="DJ386" s="459"/>
      <c r="DK386" s="459"/>
      <c r="DL386" s="459"/>
      <c r="DM386" s="459"/>
      <c r="DN386" s="459"/>
      <c r="DO386" s="459"/>
      <c r="DP386" s="459"/>
      <c r="DQ386" s="459"/>
      <c r="DR386" s="459"/>
      <c r="DS386" s="459"/>
      <c r="DT386" s="459"/>
      <c r="DU386" s="459"/>
      <c r="DV386" s="468"/>
      <c r="DW386" s="468"/>
      <c r="DX386" s="459"/>
      <c r="DY386" s="459"/>
    </row>
    <row r="387" spans="1:129" s="128" customFormat="1" ht="54.95" customHeight="1" x14ac:dyDescent="0.25">
      <c r="A387" s="377"/>
      <c r="B387" s="175"/>
      <c r="C387" s="393"/>
      <c r="D387" s="168"/>
      <c r="E387" s="168"/>
      <c r="F387" s="168"/>
      <c r="G387" s="168"/>
      <c r="H387" s="168"/>
      <c r="I387" s="168"/>
      <c r="J387" s="168"/>
      <c r="K387" s="168"/>
      <c r="L387" s="168"/>
      <c r="M387" s="168"/>
      <c r="N387" s="168"/>
      <c r="O387" s="433"/>
      <c r="P387" s="122"/>
      <c r="Q387" s="156"/>
      <c r="R387" s="156"/>
      <c r="S387" s="156"/>
      <c r="T387" s="156"/>
      <c r="U387" s="156"/>
      <c r="V387" s="156"/>
      <c r="W387" s="156"/>
      <c r="X387" s="156"/>
      <c r="Y387" s="156"/>
      <c r="Z387" s="157"/>
      <c r="AA387" s="157"/>
      <c r="AB387" s="156"/>
      <c r="AC387" s="156"/>
      <c r="AD387" s="156"/>
      <c r="AE387" s="156"/>
      <c r="AF387" s="156"/>
      <c r="AG387" s="156"/>
      <c r="AH387" s="156"/>
      <c r="AI387" s="156"/>
      <c r="AJ387" s="156"/>
      <c r="AK387" s="156"/>
      <c r="AL387" s="156"/>
      <c r="AM387" s="158"/>
      <c r="AN387" s="156"/>
      <c r="AO387" s="156"/>
      <c r="AP387" s="156"/>
      <c r="AQ387" s="156"/>
      <c r="AR387" s="156"/>
      <c r="AS387" s="156"/>
      <c r="AT387" s="156"/>
      <c r="AU387" s="156"/>
      <c r="AV387" s="156"/>
      <c r="AW387" s="156"/>
      <c r="AX387" s="156"/>
      <c r="AY387" s="156"/>
      <c r="AZ387" s="156"/>
      <c r="BA387" s="153"/>
      <c r="BD387" s="153"/>
      <c r="BE387" s="147"/>
      <c r="BI387" s="153"/>
      <c r="BO387" s="153"/>
      <c r="BW387" s="153"/>
      <c r="CD387" s="146"/>
      <c r="CF387" s="147"/>
      <c r="CI387" s="146"/>
      <c r="CJ387" s="153"/>
      <c r="CV387" s="154"/>
      <c r="CX387" s="154"/>
      <c r="CZ387" s="154"/>
      <c r="DB387" s="154"/>
      <c r="DD387" s="154"/>
      <c r="DH387" s="474"/>
      <c r="DI387" s="459"/>
      <c r="DJ387" s="459"/>
      <c r="DK387" s="459"/>
      <c r="DL387" s="459"/>
      <c r="DM387" s="459"/>
      <c r="DN387" s="459"/>
      <c r="DO387" s="459"/>
      <c r="DP387" s="459"/>
      <c r="DQ387" s="459"/>
      <c r="DR387" s="459"/>
      <c r="DS387" s="459"/>
      <c r="DT387" s="459"/>
      <c r="DU387" s="459"/>
      <c r="DV387" s="468"/>
      <c r="DW387" s="468"/>
      <c r="DX387" s="459"/>
      <c r="DY387" s="459"/>
    </row>
    <row r="388" spans="1:129" s="128" customFormat="1" ht="54.95" customHeight="1" x14ac:dyDescent="0.25">
      <c r="A388" s="377"/>
      <c r="B388" s="175"/>
      <c r="C388" s="393"/>
      <c r="D388" s="168"/>
      <c r="E388" s="168"/>
      <c r="F388" s="168"/>
      <c r="G388" s="168"/>
      <c r="H388" s="168"/>
      <c r="I388" s="168"/>
      <c r="J388" s="168"/>
      <c r="K388" s="168"/>
      <c r="L388" s="168"/>
      <c r="M388" s="168"/>
      <c r="N388" s="168"/>
      <c r="O388" s="433"/>
      <c r="P388" s="122"/>
      <c r="Q388" s="156"/>
      <c r="R388" s="156"/>
      <c r="S388" s="156"/>
      <c r="T388" s="156"/>
      <c r="U388" s="156"/>
      <c r="V388" s="156"/>
      <c r="W388" s="156"/>
      <c r="X388" s="156"/>
      <c r="Y388" s="156"/>
      <c r="Z388" s="157"/>
      <c r="AA388" s="157"/>
      <c r="AB388" s="156"/>
      <c r="AC388" s="156"/>
      <c r="AD388" s="156"/>
      <c r="AE388" s="156"/>
      <c r="AF388" s="156"/>
      <c r="AG388" s="156"/>
      <c r="AH388" s="156"/>
      <c r="AI388" s="156"/>
      <c r="AJ388" s="156"/>
      <c r="AK388" s="156"/>
      <c r="AL388" s="156"/>
      <c r="AM388" s="158"/>
      <c r="AN388" s="156"/>
      <c r="AO388" s="156"/>
      <c r="AP388" s="156"/>
      <c r="AQ388" s="156"/>
      <c r="AR388" s="156"/>
      <c r="AS388" s="156"/>
      <c r="AT388" s="156"/>
      <c r="AU388" s="156"/>
      <c r="AV388" s="156"/>
      <c r="AW388" s="156"/>
      <c r="AX388" s="156"/>
      <c r="AY388" s="156"/>
      <c r="AZ388" s="156"/>
      <c r="BA388" s="153"/>
      <c r="BD388" s="153"/>
      <c r="BE388" s="147"/>
      <c r="BI388" s="153"/>
      <c r="BO388" s="153"/>
      <c r="BW388" s="153"/>
      <c r="CD388" s="146"/>
      <c r="CF388" s="147"/>
      <c r="CI388" s="146"/>
      <c r="CJ388" s="153"/>
      <c r="CV388" s="154"/>
      <c r="CX388" s="154"/>
      <c r="CZ388" s="154"/>
      <c r="DB388" s="154"/>
      <c r="DD388" s="154"/>
      <c r="DH388" s="474"/>
      <c r="DI388" s="459"/>
      <c r="DJ388" s="459"/>
      <c r="DK388" s="459"/>
      <c r="DL388" s="459"/>
      <c r="DM388" s="459"/>
      <c r="DN388" s="459"/>
      <c r="DO388" s="459"/>
      <c r="DP388" s="459"/>
      <c r="DQ388" s="459"/>
      <c r="DR388" s="459"/>
      <c r="DS388" s="459"/>
      <c r="DT388" s="459"/>
      <c r="DU388" s="459"/>
      <c r="DV388" s="468"/>
      <c r="DW388" s="468"/>
      <c r="DX388" s="459"/>
      <c r="DY388" s="459"/>
    </row>
    <row r="389" spans="1:129" s="128" customFormat="1" ht="54.95" customHeight="1" x14ac:dyDescent="0.25">
      <c r="A389" s="377"/>
      <c r="B389" s="175"/>
      <c r="C389" s="393"/>
      <c r="D389" s="168"/>
      <c r="E389" s="168"/>
      <c r="F389" s="168"/>
      <c r="G389" s="168"/>
      <c r="H389" s="168"/>
      <c r="I389" s="168"/>
      <c r="J389" s="168"/>
      <c r="K389" s="168"/>
      <c r="L389" s="168"/>
      <c r="M389" s="168"/>
      <c r="N389" s="168"/>
      <c r="O389" s="433"/>
      <c r="P389" s="122"/>
      <c r="Q389" s="156"/>
      <c r="R389" s="156"/>
      <c r="S389" s="156"/>
      <c r="T389" s="156"/>
      <c r="U389" s="156"/>
      <c r="V389" s="156"/>
      <c r="W389" s="156"/>
      <c r="X389" s="156"/>
      <c r="Y389" s="156"/>
      <c r="Z389" s="157"/>
      <c r="AA389" s="157"/>
      <c r="AB389" s="156"/>
      <c r="AC389" s="156"/>
      <c r="AD389" s="156"/>
      <c r="AE389" s="156"/>
      <c r="AF389" s="156"/>
      <c r="AG389" s="156"/>
      <c r="AH389" s="156"/>
      <c r="AI389" s="156"/>
      <c r="AJ389" s="156"/>
      <c r="AK389" s="156"/>
      <c r="AL389" s="156"/>
      <c r="AM389" s="158"/>
      <c r="AN389" s="156"/>
      <c r="AO389" s="156"/>
      <c r="AP389" s="156"/>
      <c r="AQ389" s="156"/>
      <c r="AR389" s="156"/>
      <c r="AS389" s="156"/>
      <c r="AT389" s="156"/>
      <c r="AU389" s="156"/>
      <c r="AV389" s="156"/>
      <c r="AW389" s="156"/>
      <c r="AX389" s="156"/>
      <c r="AY389" s="156"/>
      <c r="AZ389" s="156"/>
      <c r="BA389" s="153"/>
      <c r="BD389" s="153"/>
      <c r="BE389" s="147"/>
      <c r="BI389" s="153"/>
      <c r="BO389" s="153"/>
      <c r="BW389" s="153"/>
      <c r="CD389" s="146"/>
      <c r="CF389" s="147"/>
      <c r="CI389" s="146"/>
      <c r="CJ389" s="153"/>
      <c r="CV389" s="154"/>
      <c r="CX389" s="154"/>
      <c r="CZ389" s="154"/>
      <c r="DB389" s="154"/>
      <c r="DD389" s="154"/>
      <c r="DH389" s="474"/>
      <c r="DI389" s="459"/>
      <c r="DJ389" s="459"/>
      <c r="DK389" s="459"/>
      <c r="DL389" s="459"/>
      <c r="DM389" s="459"/>
      <c r="DN389" s="459"/>
      <c r="DO389" s="459"/>
      <c r="DP389" s="459"/>
      <c r="DQ389" s="459"/>
      <c r="DR389" s="459"/>
      <c r="DS389" s="459"/>
      <c r="DT389" s="459"/>
      <c r="DU389" s="459"/>
      <c r="DV389" s="468"/>
      <c r="DW389" s="468"/>
      <c r="DX389" s="459"/>
      <c r="DY389" s="459"/>
    </row>
    <row r="390" spans="1:129" s="128" customFormat="1" ht="54.95" customHeight="1" x14ac:dyDescent="0.25">
      <c r="A390" s="377"/>
      <c r="B390" s="175"/>
      <c r="C390" s="393"/>
      <c r="D390" s="168"/>
      <c r="E390" s="168"/>
      <c r="F390" s="168"/>
      <c r="G390" s="168"/>
      <c r="H390" s="168"/>
      <c r="I390" s="168"/>
      <c r="J390" s="168"/>
      <c r="K390" s="168"/>
      <c r="L390" s="168"/>
      <c r="M390" s="168"/>
      <c r="N390" s="168"/>
      <c r="O390" s="433"/>
      <c r="P390" s="122"/>
      <c r="Q390" s="156"/>
      <c r="R390" s="156"/>
      <c r="S390" s="156"/>
      <c r="T390" s="156"/>
      <c r="U390" s="156"/>
      <c r="V390" s="156"/>
      <c r="W390" s="156"/>
      <c r="X390" s="156"/>
      <c r="Y390" s="156"/>
      <c r="Z390" s="157"/>
      <c r="AA390" s="157"/>
      <c r="AB390" s="156"/>
      <c r="AC390" s="156"/>
      <c r="AD390" s="156"/>
      <c r="AE390" s="156"/>
      <c r="AF390" s="156"/>
      <c r="AG390" s="156"/>
      <c r="AH390" s="156"/>
      <c r="AI390" s="156"/>
      <c r="AJ390" s="156"/>
      <c r="AK390" s="156"/>
      <c r="AL390" s="156"/>
      <c r="AM390" s="158"/>
      <c r="AN390" s="156"/>
      <c r="AO390" s="156"/>
      <c r="AP390" s="156"/>
      <c r="AQ390" s="156"/>
      <c r="AR390" s="156"/>
      <c r="AS390" s="156"/>
      <c r="AT390" s="156"/>
      <c r="AU390" s="156"/>
      <c r="AV390" s="156"/>
      <c r="AW390" s="156"/>
      <c r="AX390" s="156"/>
      <c r="AY390" s="156"/>
      <c r="AZ390" s="156"/>
      <c r="BA390" s="153"/>
      <c r="BD390" s="153"/>
      <c r="BE390" s="147"/>
      <c r="BI390" s="153"/>
      <c r="BO390" s="153"/>
      <c r="BW390" s="153"/>
      <c r="CD390" s="146"/>
      <c r="CF390" s="147"/>
      <c r="CI390" s="146"/>
      <c r="CJ390" s="153"/>
      <c r="CV390" s="154"/>
      <c r="CX390" s="154"/>
      <c r="CZ390" s="154"/>
      <c r="DB390" s="154"/>
      <c r="DD390" s="154"/>
      <c r="DH390" s="474"/>
      <c r="DI390" s="459"/>
      <c r="DJ390" s="459"/>
      <c r="DK390" s="459"/>
      <c r="DL390" s="459"/>
      <c r="DM390" s="459"/>
      <c r="DN390" s="459"/>
      <c r="DO390" s="459"/>
      <c r="DP390" s="459"/>
      <c r="DQ390" s="459"/>
      <c r="DR390" s="459"/>
      <c r="DS390" s="459"/>
      <c r="DT390" s="459"/>
      <c r="DU390" s="459"/>
      <c r="DV390" s="468"/>
      <c r="DW390" s="468"/>
      <c r="DX390" s="459"/>
      <c r="DY390" s="459"/>
    </row>
    <row r="391" spans="1:129" s="128" customFormat="1" ht="54.95" customHeight="1" x14ac:dyDescent="0.25">
      <c r="A391" s="377"/>
      <c r="B391" s="175"/>
      <c r="C391" s="393"/>
      <c r="D391" s="168"/>
      <c r="E391" s="168"/>
      <c r="F391" s="168"/>
      <c r="G391" s="168"/>
      <c r="H391" s="168"/>
      <c r="I391" s="168"/>
      <c r="J391" s="168"/>
      <c r="K391" s="168"/>
      <c r="L391" s="168"/>
      <c r="M391" s="168"/>
      <c r="N391" s="168"/>
      <c r="O391" s="433"/>
      <c r="P391" s="122"/>
      <c r="Q391" s="156"/>
      <c r="R391" s="156"/>
      <c r="S391" s="156"/>
      <c r="T391" s="156"/>
      <c r="U391" s="156"/>
      <c r="V391" s="156"/>
      <c r="W391" s="156"/>
      <c r="X391" s="156"/>
      <c r="Y391" s="156"/>
      <c r="Z391" s="157"/>
      <c r="AA391" s="157"/>
      <c r="AB391" s="156"/>
      <c r="AC391" s="156"/>
      <c r="AD391" s="156"/>
      <c r="AE391" s="156"/>
      <c r="AF391" s="156"/>
      <c r="AG391" s="156"/>
      <c r="AH391" s="156"/>
      <c r="AI391" s="156"/>
      <c r="AJ391" s="156"/>
      <c r="AK391" s="156"/>
      <c r="AL391" s="156"/>
      <c r="AM391" s="158"/>
      <c r="AN391" s="156"/>
      <c r="AO391" s="156"/>
      <c r="AP391" s="156"/>
      <c r="AQ391" s="156"/>
      <c r="AR391" s="156"/>
      <c r="AS391" s="156"/>
      <c r="AT391" s="156"/>
      <c r="AU391" s="156"/>
      <c r="AV391" s="156"/>
      <c r="AW391" s="156"/>
      <c r="AX391" s="156"/>
      <c r="AY391" s="156"/>
      <c r="AZ391" s="156"/>
      <c r="BA391" s="153"/>
      <c r="BD391" s="153"/>
      <c r="BE391" s="147"/>
      <c r="BI391" s="153"/>
      <c r="BO391" s="153"/>
      <c r="BW391" s="153"/>
      <c r="CD391" s="146"/>
      <c r="CF391" s="147"/>
      <c r="CI391" s="146"/>
      <c r="CJ391" s="153"/>
      <c r="CV391" s="154"/>
      <c r="CX391" s="154"/>
      <c r="CZ391" s="154"/>
      <c r="DB391" s="154"/>
      <c r="DD391" s="154"/>
      <c r="DH391" s="474"/>
      <c r="DI391" s="459"/>
      <c r="DJ391" s="459"/>
      <c r="DK391" s="459"/>
      <c r="DL391" s="459"/>
      <c r="DM391" s="459"/>
      <c r="DN391" s="459"/>
      <c r="DO391" s="459"/>
      <c r="DP391" s="459"/>
      <c r="DQ391" s="459"/>
      <c r="DR391" s="459"/>
      <c r="DS391" s="459"/>
      <c r="DT391" s="459"/>
      <c r="DU391" s="459"/>
      <c r="DV391" s="468"/>
      <c r="DW391" s="468"/>
      <c r="DX391" s="459"/>
      <c r="DY391" s="459"/>
    </row>
    <row r="392" spans="1:129" s="128" customFormat="1" ht="54.95" customHeight="1" x14ac:dyDescent="0.25">
      <c r="A392" s="377"/>
      <c r="B392" s="175"/>
      <c r="C392" s="393"/>
      <c r="D392" s="168"/>
      <c r="E392" s="168"/>
      <c r="F392" s="168"/>
      <c r="G392" s="168"/>
      <c r="H392" s="168"/>
      <c r="I392" s="168"/>
      <c r="J392" s="168"/>
      <c r="K392" s="168"/>
      <c r="L392" s="168"/>
      <c r="M392" s="168"/>
      <c r="N392" s="168"/>
      <c r="O392" s="433"/>
      <c r="P392" s="122"/>
      <c r="Q392" s="156"/>
      <c r="R392" s="156"/>
      <c r="S392" s="156"/>
      <c r="T392" s="156"/>
      <c r="U392" s="156"/>
      <c r="V392" s="156"/>
      <c r="W392" s="156"/>
      <c r="X392" s="156"/>
      <c r="Y392" s="156"/>
      <c r="Z392" s="157"/>
      <c r="AA392" s="157"/>
      <c r="AB392" s="156"/>
      <c r="AC392" s="156"/>
      <c r="AD392" s="156"/>
      <c r="AE392" s="156"/>
      <c r="AF392" s="156"/>
      <c r="AG392" s="156"/>
      <c r="AH392" s="156"/>
      <c r="AI392" s="156"/>
      <c r="AJ392" s="156"/>
      <c r="AK392" s="156"/>
      <c r="AL392" s="156"/>
      <c r="AM392" s="158"/>
      <c r="AN392" s="156"/>
      <c r="AO392" s="156"/>
      <c r="AP392" s="156"/>
      <c r="AQ392" s="156"/>
      <c r="AR392" s="156"/>
      <c r="AS392" s="156"/>
      <c r="AT392" s="156"/>
      <c r="AU392" s="156"/>
      <c r="AV392" s="156"/>
      <c r="AW392" s="156"/>
      <c r="AX392" s="156"/>
      <c r="AY392" s="156"/>
      <c r="AZ392" s="156"/>
      <c r="BA392" s="153"/>
      <c r="BD392" s="153"/>
      <c r="BE392" s="147"/>
      <c r="BI392" s="153"/>
      <c r="BO392" s="153"/>
      <c r="BW392" s="153"/>
      <c r="CD392" s="146"/>
      <c r="CF392" s="147"/>
      <c r="CI392" s="146"/>
      <c r="CJ392" s="153"/>
      <c r="CV392" s="154"/>
      <c r="CX392" s="154"/>
      <c r="CZ392" s="154"/>
      <c r="DB392" s="154"/>
      <c r="DD392" s="154"/>
      <c r="DH392" s="474"/>
      <c r="DI392" s="459"/>
      <c r="DJ392" s="459"/>
      <c r="DK392" s="459"/>
      <c r="DL392" s="459"/>
      <c r="DM392" s="459"/>
      <c r="DN392" s="459"/>
      <c r="DO392" s="459"/>
      <c r="DP392" s="459"/>
      <c r="DQ392" s="459"/>
      <c r="DR392" s="459"/>
      <c r="DS392" s="459"/>
      <c r="DT392" s="459"/>
      <c r="DU392" s="459"/>
      <c r="DV392" s="468"/>
      <c r="DW392" s="468"/>
      <c r="DX392" s="459"/>
      <c r="DY392" s="459"/>
    </row>
    <row r="393" spans="1:129" s="128" customFormat="1" ht="54.95" customHeight="1" x14ac:dyDescent="0.25">
      <c r="A393" s="377"/>
      <c r="B393" s="175"/>
      <c r="C393" s="393"/>
      <c r="D393" s="168"/>
      <c r="E393" s="168"/>
      <c r="F393" s="168"/>
      <c r="G393" s="168"/>
      <c r="H393" s="168"/>
      <c r="I393" s="168"/>
      <c r="J393" s="168"/>
      <c r="K393" s="168"/>
      <c r="L393" s="168"/>
      <c r="M393" s="168"/>
      <c r="N393" s="168"/>
      <c r="O393" s="433"/>
      <c r="P393" s="122"/>
      <c r="Q393" s="156"/>
      <c r="R393" s="156"/>
      <c r="S393" s="156"/>
      <c r="T393" s="156"/>
      <c r="U393" s="156"/>
      <c r="V393" s="156"/>
      <c r="W393" s="156"/>
      <c r="X393" s="156"/>
      <c r="Y393" s="156"/>
      <c r="Z393" s="157"/>
      <c r="AA393" s="157"/>
      <c r="AB393" s="156"/>
      <c r="AC393" s="156"/>
      <c r="AD393" s="156"/>
      <c r="AE393" s="156"/>
      <c r="AF393" s="156"/>
      <c r="AG393" s="156"/>
      <c r="AH393" s="156"/>
      <c r="AI393" s="156"/>
      <c r="AJ393" s="156"/>
      <c r="AK393" s="156"/>
      <c r="AL393" s="156"/>
      <c r="AM393" s="158"/>
      <c r="AN393" s="156"/>
      <c r="AO393" s="156"/>
      <c r="AP393" s="156"/>
      <c r="AQ393" s="156"/>
      <c r="AR393" s="156"/>
      <c r="AS393" s="156"/>
      <c r="AT393" s="156"/>
      <c r="AU393" s="156"/>
      <c r="AV393" s="156"/>
      <c r="AW393" s="156"/>
      <c r="AX393" s="156"/>
      <c r="AY393" s="156"/>
      <c r="AZ393" s="156"/>
      <c r="BA393" s="153"/>
      <c r="BD393" s="153"/>
      <c r="BE393" s="147"/>
      <c r="BI393" s="153"/>
      <c r="BO393" s="153"/>
      <c r="BW393" s="153"/>
      <c r="CD393" s="146"/>
      <c r="CF393" s="147"/>
      <c r="CI393" s="146"/>
      <c r="CJ393" s="153"/>
      <c r="CV393" s="154"/>
      <c r="CX393" s="154"/>
      <c r="CZ393" s="154"/>
      <c r="DB393" s="154"/>
      <c r="DD393" s="154"/>
      <c r="DH393" s="474"/>
      <c r="DI393" s="459"/>
      <c r="DJ393" s="459"/>
      <c r="DK393" s="459"/>
      <c r="DL393" s="459"/>
      <c r="DM393" s="459"/>
      <c r="DN393" s="459"/>
      <c r="DO393" s="459"/>
      <c r="DP393" s="459"/>
      <c r="DQ393" s="459"/>
      <c r="DR393" s="459"/>
      <c r="DS393" s="459"/>
      <c r="DT393" s="459"/>
      <c r="DU393" s="459"/>
      <c r="DV393" s="468"/>
      <c r="DW393" s="468"/>
      <c r="DX393" s="459"/>
      <c r="DY393" s="459"/>
    </row>
    <row r="394" spans="1:129" s="128" customFormat="1" ht="54.95" customHeight="1" x14ac:dyDescent="0.25">
      <c r="A394" s="377"/>
      <c r="B394" s="175"/>
      <c r="C394" s="393"/>
      <c r="D394" s="168"/>
      <c r="E394" s="168"/>
      <c r="F394" s="168"/>
      <c r="G394" s="168"/>
      <c r="H394" s="168"/>
      <c r="I394" s="168"/>
      <c r="J394" s="168"/>
      <c r="K394" s="168"/>
      <c r="L394" s="168"/>
      <c r="M394" s="168"/>
      <c r="N394" s="168"/>
      <c r="O394" s="433"/>
      <c r="P394" s="122"/>
      <c r="Q394" s="156"/>
      <c r="R394" s="156"/>
      <c r="S394" s="156"/>
      <c r="T394" s="156"/>
      <c r="U394" s="156"/>
      <c r="V394" s="156"/>
      <c r="W394" s="156"/>
      <c r="X394" s="156"/>
      <c r="Y394" s="156"/>
      <c r="Z394" s="157"/>
      <c r="AA394" s="157"/>
      <c r="AB394" s="156"/>
      <c r="AC394" s="156"/>
      <c r="AD394" s="156"/>
      <c r="AE394" s="156"/>
      <c r="AF394" s="156"/>
      <c r="AG394" s="156"/>
      <c r="AH394" s="156"/>
      <c r="AI394" s="156"/>
      <c r="AJ394" s="156"/>
      <c r="AK394" s="156"/>
      <c r="AL394" s="156"/>
      <c r="AM394" s="158"/>
      <c r="AN394" s="156"/>
      <c r="AO394" s="156"/>
      <c r="AP394" s="156"/>
      <c r="AQ394" s="156"/>
      <c r="AR394" s="156"/>
      <c r="AS394" s="156"/>
      <c r="AT394" s="156"/>
      <c r="AU394" s="156"/>
      <c r="AV394" s="156"/>
      <c r="AW394" s="156"/>
      <c r="AX394" s="156"/>
      <c r="AY394" s="156"/>
      <c r="AZ394" s="156"/>
      <c r="BA394" s="153"/>
      <c r="BD394" s="153"/>
      <c r="BE394" s="147"/>
      <c r="BI394" s="153"/>
      <c r="BO394" s="153"/>
      <c r="BW394" s="153"/>
      <c r="CD394" s="146"/>
      <c r="CF394" s="147"/>
      <c r="CI394" s="146"/>
      <c r="CJ394" s="153"/>
      <c r="CV394" s="154"/>
      <c r="CX394" s="154"/>
      <c r="CZ394" s="154"/>
      <c r="DB394" s="154"/>
      <c r="DD394" s="154"/>
      <c r="DH394" s="474"/>
      <c r="DI394" s="459"/>
      <c r="DJ394" s="459"/>
      <c r="DK394" s="459"/>
      <c r="DL394" s="459"/>
      <c r="DM394" s="459"/>
      <c r="DN394" s="459"/>
      <c r="DO394" s="459"/>
      <c r="DP394" s="459"/>
      <c r="DQ394" s="459"/>
      <c r="DR394" s="459"/>
      <c r="DS394" s="459"/>
      <c r="DT394" s="459"/>
      <c r="DU394" s="459"/>
      <c r="DV394" s="468"/>
      <c r="DW394" s="468"/>
      <c r="DX394" s="459"/>
      <c r="DY394" s="459"/>
    </row>
    <row r="395" spans="1:129" s="128" customFormat="1" ht="54.95" customHeight="1" x14ac:dyDescent="0.25">
      <c r="A395" s="377"/>
      <c r="B395" s="175"/>
      <c r="C395" s="393"/>
      <c r="D395" s="168"/>
      <c r="E395" s="168"/>
      <c r="F395" s="168"/>
      <c r="G395" s="168"/>
      <c r="H395" s="168"/>
      <c r="I395" s="168"/>
      <c r="J395" s="168"/>
      <c r="K395" s="168"/>
      <c r="L395" s="168"/>
      <c r="M395" s="168"/>
      <c r="N395" s="168"/>
      <c r="O395" s="433"/>
      <c r="P395" s="122"/>
      <c r="Q395" s="156"/>
      <c r="R395" s="156"/>
      <c r="S395" s="156"/>
      <c r="T395" s="156"/>
      <c r="U395" s="156"/>
      <c r="V395" s="156"/>
      <c r="W395" s="156"/>
      <c r="X395" s="156"/>
      <c r="Y395" s="156"/>
      <c r="Z395" s="157"/>
      <c r="AA395" s="157"/>
      <c r="AB395" s="156"/>
      <c r="AC395" s="156"/>
      <c r="AD395" s="156"/>
      <c r="AE395" s="156"/>
      <c r="AF395" s="156"/>
      <c r="AG395" s="156"/>
      <c r="AH395" s="156"/>
      <c r="AI395" s="156"/>
      <c r="AJ395" s="156"/>
      <c r="AK395" s="156"/>
      <c r="AL395" s="156"/>
      <c r="AM395" s="158"/>
      <c r="AN395" s="156"/>
      <c r="AO395" s="156"/>
      <c r="AP395" s="156"/>
      <c r="AQ395" s="156"/>
      <c r="AR395" s="156"/>
      <c r="AS395" s="156"/>
      <c r="AT395" s="156"/>
      <c r="AU395" s="156"/>
      <c r="AV395" s="156"/>
      <c r="AW395" s="156"/>
      <c r="AX395" s="156"/>
      <c r="AY395" s="156"/>
      <c r="AZ395" s="156"/>
      <c r="BA395" s="153"/>
      <c r="BD395" s="153"/>
      <c r="BE395" s="147"/>
      <c r="BI395" s="153"/>
      <c r="BO395" s="153"/>
      <c r="BW395" s="153"/>
      <c r="CD395" s="146"/>
      <c r="CF395" s="147"/>
      <c r="CI395" s="146"/>
      <c r="CJ395" s="153"/>
      <c r="CV395" s="154"/>
      <c r="CX395" s="154"/>
      <c r="CZ395" s="154"/>
      <c r="DB395" s="154"/>
      <c r="DD395" s="154"/>
      <c r="DH395" s="474"/>
      <c r="DI395" s="459"/>
      <c r="DJ395" s="459"/>
      <c r="DK395" s="459"/>
      <c r="DL395" s="459"/>
      <c r="DM395" s="459"/>
      <c r="DN395" s="459"/>
      <c r="DO395" s="459"/>
      <c r="DP395" s="459"/>
      <c r="DQ395" s="459"/>
      <c r="DR395" s="459"/>
      <c r="DS395" s="459"/>
      <c r="DT395" s="459"/>
      <c r="DU395" s="459"/>
      <c r="DV395" s="468"/>
      <c r="DW395" s="468"/>
      <c r="DX395" s="459"/>
      <c r="DY395" s="459"/>
    </row>
    <row r="396" spans="1:129" s="128" customFormat="1" ht="54.95" customHeight="1" x14ac:dyDescent="0.25">
      <c r="A396" s="377"/>
      <c r="B396" s="175"/>
      <c r="C396" s="393"/>
      <c r="D396" s="168"/>
      <c r="E396" s="168"/>
      <c r="F396" s="168"/>
      <c r="G396" s="168"/>
      <c r="H396" s="168"/>
      <c r="I396" s="168"/>
      <c r="J396" s="168"/>
      <c r="K396" s="168"/>
      <c r="L396" s="168"/>
      <c r="M396" s="168"/>
      <c r="N396" s="168"/>
      <c r="O396" s="433"/>
      <c r="P396" s="122"/>
      <c r="Q396" s="156"/>
      <c r="R396" s="156"/>
      <c r="S396" s="156"/>
      <c r="T396" s="156"/>
      <c r="U396" s="156"/>
      <c r="V396" s="156"/>
      <c r="W396" s="156"/>
      <c r="X396" s="156"/>
      <c r="Y396" s="156"/>
      <c r="Z396" s="157"/>
      <c r="AA396" s="157"/>
      <c r="AB396" s="156"/>
      <c r="AC396" s="156"/>
      <c r="AD396" s="156"/>
      <c r="AE396" s="156"/>
      <c r="AF396" s="156"/>
      <c r="AG396" s="156"/>
      <c r="AH396" s="156"/>
      <c r="AI396" s="156"/>
      <c r="AJ396" s="156"/>
      <c r="AK396" s="156"/>
      <c r="AL396" s="156"/>
      <c r="AM396" s="158"/>
      <c r="AN396" s="156"/>
      <c r="AO396" s="156"/>
      <c r="AP396" s="156"/>
      <c r="AQ396" s="156"/>
      <c r="AR396" s="156"/>
      <c r="AS396" s="156"/>
      <c r="AT396" s="156"/>
      <c r="AU396" s="156"/>
      <c r="AV396" s="156"/>
      <c r="AW396" s="156"/>
      <c r="AX396" s="156"/>
      <c r="AY396" s="156"/>
      <c r="AZ396" s="156"/>
      <c r="BA396" s="153"/>
      <c r="BD396" s="153"/>
      <c r="BE396" s="147"/>
      <c r="BI396" s="153"/>
      <c r="BO396" s="153"/>
      <c r="BW396" s="153"/>
      <c r="CD396" s="146"/>
      <c r="CF396" s="147"/>
      <c r="CI396" s="146"/>
      <c r="CJ396" s="153"/>
      <c r="CV396" s="154"/>
      <c r="CX396" s="154"/>
      <c r="CZ396" s="154"/>
      <c r="DB396" s="154"/>
      <c r="DD396" s="154"/>
      <c r="DH396" s="474"/>
      <c r="DI396" s="459"/>
      <c r="DJ396" s="459"/>
      <c r="DK396" s="459"/>
      <c r="DL396" s="459"/>
      <c r="DM396" s="459"/>
      <c r="DN396" s="459"/>
      <c r="DO396" s="459"/>
      <c r="DP396" s="459"/>
      <c r="DQ396" s="459"/>
      <c r="DR396" s="459"/>
      <c r="DS396" s="459"/>
      <c r="DT396" s="459"/>
      <c r="DU396" s="459"/>
      <c r="DV396" s="468"/>
      <c r="DW396" s="468"/>
      <c r="DX396" s="459"/>
      <c r="DY396" s="459"/>
    </row>
    <row r="397" spans="1:129" s="128" customFormat="1" ht="54.95" customHeight="1" x14ac:dyDescent="0.25">
      <c r="A397" s="377"/>
      <c r="B397" s="175"/>
      <c r="C397" s="393"/>
      <c r="D397" s="168"/>
      <c r="E397" s="168"/>
      <c r="F397" s="168"/>
      <c r="G397" s="168"/>
      <c r="H397" s="168"/>
      <c r="I397" s="168"/>
      <c r="J397" s="168"/>
      <c r="K397" s="168"/>
      <c r="L397" s="168"/>
      <c r="M397" s="168"/>
      <c r="N397" s="168"/>
      <c r="O397" s="433"/>
      <c r="P397" s="122"/>
      <c r="Q397" s="156"/>
      <c r="R397" s="156"/>
      <c r="S397" s="156"/>
      <c r="T397" s="156"/>
      <c r="U397" s="156"/>
      <c r="V397" s="156"/>
      <c r="W397" s="156"/>
      <c r="X397" s="156"/>
      <c r="Y397" s="156"/>
      <c r="Z397" s="157"/>
      <c r="AA397" s="157"/>
      <c r="AB397" s="156"/>
      <c r="AC397" s="156"/>
      <c r="AD397" s="156"/>
      <c r="AE397" s="156"/>
      <c r="AF397" s="156"/>
      <c r="AG397" s="156"/>
      <c r="AH397" s="156"/>
      <c r="AI397" s="156"/>
      <c r="AJ397" s="156"/>
      <c r="AK397" s="156"/>
      <c r="AL397" s="156"/>
      <c r="AM397" s="158"/>
      <c r="AN397" s="156"/>
      <c r="AO397" s="156"/>
      <c r="AP397" s="156"/>
      <c r="AQ397" s="156"/>
      <c r="AR397" s="156"/>
      <c r="AS397" s="156"/>
      <c r="AT397" s="156"/>
      <c r="AU397" s="156"/>
      <c r="AV397" s="156"/>
      <c r="AW397" s="156"/>
      <c r="AX397" s="156"/>
      <c r="AY397" s="156"/>
      <c r="AZ397" s="156"/>
      <c r="BA397" s="153"/>
      <c r="BD397" s="153"/>
      <c r="BE397" s="147"/>
      <c r="BI397" s="153"/>
      <c r="BO397" s="153"/>
      <c r="BW397" s="153"/>
      <c r="CD397" s="146"/>
      <c r="CF397" s="147"/>
      <c r="CI397" s="146"/>
      <c r="CJ397" s="153"/>
      <c r="CV397" s="154"/>
      <c r="CX397" s="154"/>
      <c r="CZ397" s="154"/>
      <c r="DB397" s="154"/>
      <c r="DD397" s="154"/>
      <c r="DH397" s="474"/>
      <c r="DI397" s="459"/>
      <c r="DJ397" s="459"/>
      <c r="DK397" s="459"/>
      <c r="DL397" s="459"/>
      <c r="DM397" s="459"/>
      <c r="DN397" s="459"/>
      <c r="DO397" s="459"/>
      <c r="DP397" s="459"/>
      <c r="DQ397" s="459"/>
      <c r="DR397" s="459"/>
      <c r="DS397" s="459"/>
      <c r="DT397" s="459"/>
      <c r="DU397" s="459"/>
      <c r="DV397" s="468"/>
      <c r="DW397" s="468"/>
      <c r="DX397" s="459"/>
      <c r="DY397" s="459"/>
    </row>
    <row r="398" spans="1:129" s="128" customFormat="1" ht="54.95" customHeight="1" x14ac:dyDescent="0.25">
      <c r="A398" s="377"/>
      <c r="B398" s="175"/>
      <c r="C398" s="393"/>
      <c r="D398" s="168"/>
      <c r="E398" s="168"/>
      <c r="F398" s="168"/>
      <c r="G398" s="168"/>
      <c r="H398" s="168"/>
      <c r="I398" s="168"/>
      <c r="J398" s="168"/>
      <c r="K398" s="168"/>
      <c r="L398" s="168"/>
      <c r="M398" s="168"/>
      <c r="N398" s="168"/>
      <c r="O398" s="433"/>
      <c r="P398" s="122"/>
      <c r="Q398" s="156"/>
      <c r="R398" s="156"/>
      <c r="S398" s="156"/>
      <c r="T398" s="156"/>
      <c r="U398" s="156"/>
      <c r="V398" s="156"/>
      <c r="W398" s="156"/>
      <c r="X398" s="156"/>
      <c r="Y398" s="156"/>
      <c r="Z398" s="157"/>
      <c r="AA398" s="157"/>
      <c r="AB398" s="156"/>
      <c r="AC398" s="156"/>
      <c r="AD398" s="156"/>
      <c r="AE398" s="156"/>
      <c r="AF398" s="156"/>
      <c r="AG398" s="156"/>
      <c r="AH398" s="156"/>
      <c r="AI398" s="156"/>
      <c r="AJ398" s="156"/>
      <c r="AK398" s="156"/>
      <c r="AL398" s="156"/>
      <c r="AM398" s="158"/>
      <c r="AN398" s="156"/>
      <c r="AO398" s="156"/>
      <c r="AP398" s="156"/>
      <c r="AQ398" s="156"/>
      <c r="AR398" s="156"/>
      <c r="AS398" s="156"/>
      <c r="AT398" s="156"/>
      <c r="AU398" s="156"/>
      <c r="AV398" s="156"/>
      <c r="AW398" s="156"/>
      <c r="AX398" s="156"/>
      <c r="AY398" s="156"/>
      <c r="AZ398" s="156"/>
      <c r="BA398" s="153"/>
      <c r="BD398" s="153"/>
      <c r="BE398" s="147"/>
      <c r="BI398" s="153"/>
      <c r="BO398" s="153"/>
      <c r="BW398" s="153"/>
      <c r="CD398" s="146"/>
      <c r="CF398" s="147"/>
      <c r="CI398" s="146"/>
      <c r="CJ398" s="153"/>
      <c r="CV398" s="154"/>
      <c r="CX398" s="154"/>
      <c r="CZ398" s="154"/>
      <c r="DB398" s="154"/>
      <c r="DD398" s="154"/>
      <c r="DH398" s="474"/>
      <c r="DI398" s="459"/>
      <c r="DJ398" s="459"/>
      <c r="DK398" s="459"/>
      <c r="DL398" s="459"/>
      <c r="DM398" s="459"/>
      <c r="DN398" s="459"/>
      <c r="DO398" s="459"/>
      <c r="DP398" s="459"/>
      <c r="DQ398" s="459"/>
      <c r="DR398" s="459"/>
      <c r="DS398" s="459"/>
      <c r="DT398" s="459"/>
      <c r="DU398" s="459"/>
      <c r="DV398" s="468"/>
      <c r="DW398" s="468"/>
      <c r="DX398" s="459"/>
      <c r="DY398" s="459"/>
    </row>
    <row r="399" spans="1:129" s="128" customFormat="1" ht="54.95" customHeight="1" x14ac:dyDescent="0.25">
      <c r="A399" s="377"/>
      <c r="B399" s="175"/>
      <c r="C399" s="393"/>
      <c r="D399" s="168"/>
      <c r="E399" s="168"/>
      <c r="F399" s="168"/>
      <c r="G399" s="168"/>
      <c r="H399" s="168"/>
      <c r="I399" s="168"/>
      <c r="J399" s="168"/>
      <c r="K399" s="168"/>
      <c r="L399" s="168"/>
      <c r="M399" s="168"/>
      <c r="N399" s="168"/>
      <c r="O399" s="433"/>
      <c r="P399" s="122"/>
      <c r="Q399" s="156"/>
      <c r="R399" s="156"/>
      <c r="S399" s="156"/>
      <c r="T399" s="156"/>
      <c r="U399" s="156"/>
      <c r="V399" s="156"/>
      <c r="W399" s="156"/>
      <c r="X399" s="156"/>
      <c r="Y399" s="156"/>
      <c r="Z399" s="157"/>
      <c r="AA399" s="157"/>
      <c r="AB399" s="156"/>
      <c r="AC399" s="156"/>
      <c r="AD399" s="156"/>
      <c r="AE399" s="156"/>
      <c r="AF399" s="156"/>
      <c r="AG399" s="156"/>
      <c r="AH399" s="156"/>
      <c r="AI399" s="156"/>
      <c r="AJ399" s="156"/>
      <c r="AK399" s="156"/>
      <c r="AL399" s="156"/>
      <c r="AM399" s="158"/>
      <c r="AN399" s="156"/>
      <c r="AO399" s="156"/>
      <c r="AP399" s="156"/>
      <c r="AQ399" s="156"/>
      <c r="AR399" s="156"/>
      <c r="AS399" s="156"/>
      <c r="AT399" s="156"/>
      <c r="AU399" s="156"/>
      <c r="AV399" s="156"/>
      <c r="AW399" s="156"/>
      <c r="AX399" s="156"/>
      <c r="AY399" s="156"/>
      <c r="AZ399" s="156"/>
      <c r="BA399" s="153"/>
      <c r="BD399" s="153"/>
      <c r="BE399" s="147"/>
      <c r="BI399" s="153"/>
      <c r="BO399" s="153"/>
      <c r="BW399" s="153"/>
      <c r="CD399" s="146"/>
      <c r="CF399" s="147"/>
      <c r="CI399" s="146"/>
      <c r="CJ399" s="153"/>
      <c r="CV399" s="154"/>
      <c r="CX399" s="154"/>
      <c r="CZ399" s="154"/>
      <c r="DB399" s="154"/>
      <c r="DD399" s="154"/>
      <c r="DH399" s="474"/>
      <c r="DI399" s="459"/>
      <c r="DJ399" s="459"/>
      <c r="DK399" s="459"/>
      <c r="DL399" s="459"/>
      <c r="DM399" s="459"/>
      <c r="DN399" s="459"/>
      <c r="DO399" s="459"/>
      <c r="DP399" s="459"/>
      <c r="DQ399" s="459"/>
      <c r="DR399" s="459"/>
      <c r="DS399" s="459"/>
      <c r="DT399" s="459"/>
      <c r="DU399" s="459"/>
      <c r="DV399" s="468"/>
      <c r="DW399" s="468"/>
      <c r="DX399" s="459"/>
      <c r="DY399" s="459"/>
    </row>
    <row r="400" spans="1:129" s="128" customFormat="1" ht="54.95" customHeight="1" x14ac:dyDescent="0.25">
      <c r="A400" s="377"/>
      <c r="B400" s="175"/>
      <c r="C400" s="393"/>
      <c r="D400" s="168"/>
      <c r="E400" s="168"/>
      <c r="F400" s="168"/>
      <c r="G400" s="168"/>
      <c r="H400" s="168"/>
      <c r="I400" s="168"/>
      <c r="J400" s="168"/>
      <c r="K400" s="168"/>
      <c r="L400" s="168"/>
      <c r="M400" s="168"/>
      <c r="N400" s="168"/>
      <c r="O400" s="433"/>
      <c r="P400" s="122"/>
      <c r="Q400" s="156"/>
      <c r="R400" s="156"/>
      <c r="S400" s="156"/>
      <c r="T400" s="156"/>
      <c r="U400" s="156"/>
      <c r="V400" s="156"/>
      <c r="W400" s="156"/>
      <c r="X400" s="156"/>
      <c r="Y400" s="156"/>
      <c r="Z400" s="157"/>
      <c r="AA400" s="157"/>
      <c r="AB400" s="156"/>
      <c r="AC400" s="156"/>
      <c r="AD400" s="156"/>
      <c r="AE400" s="156"/>
      <c r="AF400" s="156"/>
      <c r="AG400" s="156"/>
      <c r="AH400" s="156"/>
      <c r="AI400" s="156"/>
      <c r="AJ400" s="156"/>
      <c r="AK400" s="156"/>
      <c r="AL400" s="156"/>
      <c r="AM400" s="158"/>
      <c r="AN400" s="156"/>
      <c r="AO400" s="156"/>
      <c r="AP400" s="156"/>
      <c r="AQ400" s="156"/>
      <c r="AR400" s="156"/>
      <c r="AS400" s="156"/>
      <c r="AT400" s="156"/>
      <c r="AU400" s="156"/>
      <c r="AV400" s="156"/>
      <c r="AW400" s="156"/>
      <c r="AX400" s="156"/>
      <c r="AY400" s="156"/>
      <c r="AZ400" s="156"/>
      <c r="BA400" s="153"/>
      <c r="BD400" s="153"/>
      <c r="BE400" s="147"/>
      <c r="BI400" s="153"/>
      <c r="BO400" s="153"/>
      <c r="BW400" s="153"/>
      <c r="CD400" s="146"/>
      <c r="CF400" s="147"/>
      <c r="CI400" s="146"/>
      <c r="CJ400" s="153"/>
      <c r="CV400" s="154"/>
      <c r="CX400" s="154"/>
      <c r="CZ400" s="154"/>
      <c r="DB400" s="154"/>
      <c r="DD400" s="154"/>
      <c r="DH400" s="474"/>
      <c r="DI400" s="459"/>
      <c r="DJ400" s="459"/>
      <c r="DK400" s="459"/>
      <c r="DL400" s="459"/>
      <c r="DM400" s="459"/>
      <c r="DN400" s="459"/>
      <c r="DO400" s="459"/>
      <c r="DP400" s="459"/>
      <c r="DQ400" s="459"/>
      <c r="DR400" s="459"/>
      <c r="DS400" s="459"/>
      <c r="DT400" s="459"/>
      <c r="DU400" s="459"/>
      <c r="DV400" s="468"/>
      <c r="DW400" s="468"/>
      <c r="DX400" s="459"/>
      <c r="DY400" s="459"/>
    </row>
    <row r="401" spans="1:129" s="128" customFormat="1" ht="54.95" customHeight="1" x14ac:dyDescent="0.25">
      <c r="A401" s="377"/>
      <c r="B401" s="175"/>
      <c r="C401" s="393"/>
      <c r="D401" s="168"/>
      <c r="E401" s="168"/>
      <c r="F401" s="168"/>
      <c r="G401" s="168"/>
      <c r="H401" s="168"/>
      <c r="I401" s="168"/>
      <c r="J401" s="168"/>
      <c r="K401" s="168"/>
      <c r="L401" s="168"/>
      <c r="M401" s="168"/>
      <c r="N401" s="168"/>
      <c r="O401" s="433"/>
      <c r="P401" s="122"/>
      <c r="Q401" s="156"/>
      <c r="R401" s="156"/>
      <c r="S401" s="156"/>
      <c r="T401" s="156"/>
      <c r="U401" s="156"/>
      <c r="V401" s="156"/>
      <c r="W401" s="156"/>
      <c r="X401" s="156"/>
      <c r="Y401" s="156"/>
      <c r="Z401" s="157"/>
      <c r="AA401" s="157"/>
      <c r="AB401" s="156"/>
      <c r="AC401" s="156"/>
      <c r="AD401" s="156"/>
      <c r="AE401" s="156"/>
      <c r="AF401" s="156"/>
      <c r="AG401" s="156"/>
      <c r="AH401" s="156"/>
      <c r="AI401" s="156"/>
      <c r="AJ401" s="156"/>
      <c r="AK401" s="156"/>
      <c r="AL401" s="156"/>
      <c r="AM401" s="158"/>
      <c r="AN401" s="156"/>
      <c r="AO401" s="156"/>
      <c r="AP401" s="156"/>
      <c r="AQ401" s="156"/>
      <c r="AR401" s="156"/>
      <c r="AS401" s="156"/>
      <c r="AT401" s="156"/>
      <c r="AU401" s="156"/>
      <c r="AV401" s="156"/>
      <c r="AW401" s="156"/>
      <c r="AX401" s="156"/>
      <c r="AY401" s="156"/>
      <c r="AZ401" s="156"/>
      <c r="BA401" s="153"/>
      <c r="BD401" s="153"/>
      <c r="BE401" s="147"/>
      <c r="BI401" s="153"/>
      <c r="BO401" s="153"/>
      <c r="BW401" s="153"/>
      <c r="CD401" s="146"/>
      <c r="CF401" s="147"/>
      <c r="CI401" s="146"/>
      <c r="CJ401" s="153"/>
      <c r="CV401" s="154"/>
      <c r="CX401" s="154"/>
      <c r="CZ401" s="154"/>
      <c r="DB401" s="154"/>
      <c r="DD401" s="154"/>
      <c r="DH401" s="474"/>
      <c r="DI401" s="459"/>
      <c r="DJ401" s="459"/>
      <c r="DK401" s="459"/>
      <c r="DL401" s="459"/>
      <c r="DM401" s="459"/>
      <c r="DN401" s="459"/>
      <c r="DO401" s="459"/>
      <c r="DP401" s="459"/>
      <c r="DQ401" s="459"/>
      <c r="DR401" s="459"/>
      <c r="DS401" s="459"/>
      <c r="DT401" s="459"/>
      <c r="DU401" s="459"/>
      <c r="DV401" s="468"/>
      <c r="DW401" s="468"/>
      <c r="DX401" s="459"/>
      <c r="DY401" s="459"/>
    </row>
    <row r="402" spans="1:129" s="128" customFormat="1" ht="54.95" customHeight="1" x14ac:dyDescent="0.25">
      <c r="A402" s="377"/>
      <c r="B402" s="175"/>
      <c r="C402" s="393"/>
      <c r="D402" s="168"/>
      <c r="E402" s="168"/>
      <c r="F402" s="168"/>
      <c r="G402" s="168"/>
      <c r="H402" s="168"/>
      <c r="I402" s="168"/>
      <c r="J402" s="168"/>
      <c r="K402" s="168"/>
      <c r="L402" s="168"/>
      <c r="M402" s="168"/>
      <c r="N402" s="168"/>
      <c r="O402" s="433"/>
      <c r="P402" s="122"/>
      <c r="Q402" s="156"/>
      <c r="R402" s="156"/>
      <c r="S402" s="156"/>
      <c r="T402" s="156"/>
      <c r="U402" s="156"/>
      <c r="V402" s="156"/>
      <c r="W402" s="156"/>
      <c r="X402" s="156"/>
      <c r="Y402" s="156"/>
      <c r="Z402" s="157"/>
      <c r="AA402" s="157"/>
      <c r="AB402" s="156"/>
      <c r="AC402" s="156"/>
      <c r="AD402" s="156"/>
      <c r="AE402" s="156"/>
      <c r="AF402" s="156"/>
      <c r="AG402" s="156"/>
      <c r="AH402" s="156"/>
      <c r="AI402" s="156"/>
      <c r="AJ402" s="156"/>
      <c r="AK402" s="156"/>
      <c r="AL402" s="156"/>
      <c r="AM402" s="158"/>
      <c r="AN402" s="156"/>
      <c r="AO402" s="156"/>
      <c r="AP402" s="156"/>
      <c r="AQ402" s="156"/>
      <c r="AR402" s="156"/>
      <c r="AS402" s="156"/>
      <c r="AT402" s="156"/>
      <c r="AU402" s="156"/>
      <c r="AV402" s="156"/>
      <c r="AW402" s="156"/>
      <c r="AX402" s="156"/>
      <c r="AY402" s="156"/>
      <c r="AZ402" s="156"/>
      <c r="BA402" s="153"/>
      <c r="BD402" s="153"/>
      <c r="BE402" s="147"/>
      <c r="BI402" s="153"/>
      <c r="BO402" s="153"/>
      <c r="BW402" s="153"/>
      <c r="CD402" s="146"/>
      <c r="CF402" s="147"/>
      <c r="CI402" s="146"/>
      <c r="CJ402" s="153"/>
      <c r="CV402" s="154"/>
      <c r="CX402" s="154"/>
      <c r="CZ402" s="154"/>
      <c r="DB402" s="154"/>
      <c r="DD402" s="154"/>
      <c r="DH402" s="474"/>
      <c r="DI402" s="459"/>
      <c r="DJ402" s="459"/>
      <c r="DK402" s="459"/>
      <c r="DL402" s="459"/>
      <c r="DM402" s="459"/>
      <c r="DN402" s="459"/>
      <c r="DO402" s="459"/>
      <c r="DP402" s="459"/>
      <c r="DQ402" s="459"/>
      <c r="DR402" s="459"/>
      <c r="DS402" s="459"/>
      <c r="DT402" s="459"/>
      <c r="DU402" s="459"/>
      <c r="DV402" s="468"/>
      <c r="DW402" s="468"/>
      <c r="DX402" s="459"/>
      <c r="DY402" s="459"/>
    </row>
    <row r="403" spans="1:129" s="128" customFormat="1" ht="54.95" customHeight="1" x14ac:dyDescent="0.25">
      <c r="A403" s="377"/>
      <c r="B403" s="175"/>
      <c r="C403" s="393"/>
      <c r="D403" s="168"/>
      <c r="E403" s="168"/>
      <c r="F403" s="168"/>
      <c r="G403" s="168"/>
      <c r="H403" s="168"/>
      <c r="I403" s="168"/>
      <c r="J403" s="168"/>
      <c r="K403" s="168"/>
      <c r="L403" s="168"/>
      <c r="M403" s="168"/>
      <c r="N403" s="168"/>
      <c r="O403" s="433"/>
      <c r="P403" s="122"/>
      <c r="Q403" s="156"/>
      <c r="R403" s="156"/>
      <c r="S403" s="156"/>
      <c r="T403" s="156"/>
      <c r="U403" s="156"/>
      <c r="V403" s="156"/>
      <c r="W403" s="156"/>
      <c r="X403" s="156"/>
      <c r="Y403" s="156"/>
      <c r="Z403" s="157"/>
      <c r="AA403" s="157"/>
      <c r="AB403" s="156"/>
      <c r="AC403" s="156"/>
      <c r="AD403" s="156"/>
      <c r="AE403" s="156"/>
      <c r="AF403" s="156"/>
      <c r="AG403" s="156"/>
      <c r="AH403" s="156"/>
      <c r="AI403" s="156"/>
      <c r="AJ403" s="156"/>
      <c r="AK403" s="156"/>
      <c r="AL403" s="156"/>
      <c r="AM403" s="158"/>
      <c r="AN403" s="156"/>
      <c r="AO403" s="156"/>
      <c r="AP403" s="156"/>
      <c r="AQ403" s="156"/>
      <c r="AR403" s="156"/>
      <c r="AS403" s="156"/>
      <c r="AT403" s="156"/>
      <c r="AU403" s="156"/>
      <c r="AV403" s="156"/>
      <c r="AW403" s="156"/>
      <c r="AX403" s="156"/>
      <c r="AY403" s="156"/>
      <c r="AZ403" s="156"/>
      <c r="BA403" s="153"/>
      <c r="BD403" s="153"/>
      <c r="BE403" s="147"/>
      <c r="BI403" s="153"/>
      <c r="BO403" s="153"/>
      <c r="BW403" s="153"/>
      <c r="CD403" s="146"/>
      <c r="CF403" s="147"/>
      <c r="CI403" s="146"/>
      <c r="CJ403" s="153"/>
      <c r="CV403" s="154"/>
      <c r="CX403" s="154"/>
      <c r="CZ403" s="154"/>
      <c r="DB403" s="154"/>
      <c r="DD403" s="154"/>
      <c r="DH403" s="474"/>
      <c r="DI403" s="459"/>
      <c r="DJ403" s="459"/>
      <c r="DK403" s="459"/>
      <c r="DL403" s="459"/>
      <c r="DM403" s="459"/>
      <c r="DN403" s="459"/>
      <c r="DO403" s="459"/>
      <c r="DP403" s="459"/>
      <c r="DQ403" s="459"/>
      <c r="DR403" s="459"/>
      <c r="DS403" s="459"/>
      <c r="DT403" s="459"/>
      <c r="DU403" s="459"/>
      <c r="DV403" s="468"/>
      <c r="DW403" s="468"/>
      <c r="DX403" s="459"/>
      <c r="DY403" s="459"/>
    </row>
    <row r="404" spans="1:129" s="128" customFormat="1" ht="54.95" customHeight="1" x14ac:dyDescent="0.25">
      <c r="A404" s="377"/>
      <c r="B404" s="175"/>
      <c r="C404" s="393"/>
      <c r="D404" s="168"/>
      <c r="E404" s="168"/>
      <c r="F404" s="168"/>
      <c r="G404" s="168"/>
      <c r="H404" s="168"/>
      <c r="I404" s="168"/>
      <c r="J404" s="168"/>
      <c r="K404" s="168"/>
      <c r="L404" s="168"/>
      <c r="M404" s="168"/>
      <c r="N404" s="168"/>
      <c r="O404" s="433"/>
      <c r="P404" s="122"/>
      <c r="Q404" s="156"/>
      <c r="R404" s="156"/>
      <c r="S404" s="156"/>
      <c r="T404" s="156"/>
      <c r="U404" s="156"/>
      <c r="V404" s="156"/>
      <c r="W404" s="156"/>
      <c r="X404" s="156"/>
      <c r="Y404" s="156"/>
      <c r="Z404" s="157"/>
      <c r="AA404" s="157"/>
      <c r="AB404" s="156"/>
      <c r="AC404" s="156"/>
      <c r="AD404" s="156"/>
      <c r="AE404" s="156"/>
      <c r="AF404" s="156"/>
      <c r="AG404" s="156"/>
      <c r="AH404" s="156"/>
      <c r="AI404" s="156"/>
      <c r="AJ404" s="156"/>
      <c r="AK404" s="156"/>
      <c r="AL404" s="156"/>
      <c r="AM404" s="158"/>
      <c r="AN404" s="156"/>
      <c r="AO404" s="156"/>
      <c r="AP404" s="156"/>
      <c r="AQ404" s="156"/>
      <c r="AR404" s="156"/>
      <c r="AS404" s="156"/>
      <c r="AT404" s="156"/>
      <c r="AU404" s="156"/>
      <c r="AV404" s="156"/>
      <c r="AW404" s="156"/>
      <c r="AX404" s="156"/>
      <c r="AY404" s="156"/>
      <c r="AZ404" s="156"/>
      <c r="BA404" s="153"/>
      <c r="BD404" s="153"/>
      <c r="BE404" s="147"/>
      <c r="BI404" s="153"/>
      <c r="BO404" s="153"/>
      <c r="BW404" s="153"/>
      <c r="CD404" s="146"/>
      <c r="CF404" s="147"/>
      <c r="CI404" s="146"/>
      <c r="CJ404" s="153"/>
      <c r="CV404" s="154"/>
      <c r="CX404" s="154"/>
      <c r="CZ404" s="154"/>
      <c r="DB404" s="154"/>
      <c r="DD404" s="154"/>
      <c r="DH404" s="474"/>
      <c r="DI404" s="459"/>
      <c r="DJ404" s="459"/>
      <c r="DK404" s="459"/>
      <c r="DL404" s="459"/>
      <c r="DM404" s="459"/>
      <c r="DN404" s="459"/>
      <c r="DO404" s="459"/>
      <c r="DP404" s="459"/>
      <c r="DQ404" s="459"/>
      <c r="DR404" s="459"/>
      <c r="DS404" s="459"/>
      <c r="DT404" s="459"/>
      <c r="DU404" s="459"/>
      <c r="DV404" s="468"/>
      <c r="DW404" s="468"/>
      <c r="DX404" s="459"/>
      <c r="DY404" s="459"/>
    </row>
    <row r="405" spans="1:129" s="128" customFormat="1" ht="54.95" customHeight="1" x14ac:dyDescent="0.25">
      <c r="A405" s="377"/>
      <c r="B405" s="175"/>
      <c r="C405" s="393"/>
      <c r="D405" s="168"/>
      <c r="E405" s="168"/>
      <c r="F405" s="168"/>
      <c r="G405" s="168"/>
      <c r="H405" s="168"/>
      <c r="I405" s="168"/>
      <c r="J405" s="168"/>
      <c r="K405" s="168"/>
      <c r="L405" s="168"/>
      <c r="M405" s="168"/>
      <c r="N405" s="168"/>
      <c r="O405" s="433"/>
      <c r="P405" s="122"/>
      <c r="Q405" s="156"/>
      <c r="R405" s="156"/>
      <c r="S405" s="156"/>
      <c r="T405" s="156"/>
      <c r="U405" s="156"/>
      <c r="V405" s="156"/>
      <c r="W405" s="156"/>
      <c r="X405" s="156"/>
      <c r="Y405" s="156"/>
      <c r="Z405" s="157"/>
      <c r="AA405" s="157"/>
      <c r="AB405" s="156"/>
      <c r="AC405" s="156"/>
      <c r="AD405" s="156"/>
      <c r="AE405" s="156"/>
      <c r="AF405" s="156"/>
      <c r="AG405" s="156"/>
      <c r="AH405" s="156"/>
      <c r="AI405" s="156"/>
      <c r="AJ405" s="156"/>
      <c r="AK405" s="156"/>
      <c r="AL405" s="156"/>
      <c r="AM405" s="158"/>
      <c r="AN405" s="156"/>
      <c r="AO405" s="156"/>
      <c r="AP405" s="156"/>
      <c r="AQ405" s="156"/>
      <c r="AR405" s="156"/>
      <c r="AS405" s="156"/>
      <c r="AT405" s="156"/>
      <c r="AU405" s="156"/>
      <c r="AV405" s="156"/>
      <c r="AW405" s="156"/>
      <c r="AX405" s="156"/>
      <c r="AY405" s="156"/>
      <c r="AZ405" s="156"/>
      <c r="BA405" s="153"/>
      <c r="BD405" s="153"/>
      <c r="BE405" s="147"/>
      <c r="BI405" s="153"/>
      <c r="BO405" s="153"/>
      <c r="BW405" s="153"/>
      <c r="CD405" s="146"/>
      <c r="CF405" s="147"/>
      <c r="CI405" s="146"/>
      <c r="CJ405" s="153"/>
      <c r="CV405" s="154"/>
      <c r="CX405" s="154"/>
      <c r="CZ405" s="154"/>
      <c r="DB405" s="154"/>
      <c r="DD405" s="154"/>
      <c r="DH405" s="474"/>
      <c r="DI405" s="459"/>
      <c r="DJ405" s="459"/>
      <c r="DK405" s="459"/>
      <c r="DL405" s="459"/>
      <c r="DM405" s="459"/>
      <c r="DN405" s="459"/>
      <c r="DO405" s="459"/>
      <c r="DP405" s="459"/>
      <c r="DQ405" s="459"/>
      <c r="DR405" s="459"/>
      <c r="DS405" s="459"/>
      <c r="DT405" s="459"/>
      <c r="DU405" s="459"/>
      <c r="DV405" s="468"/>
      <c r="DW405" s="468"/>
      <c r="DX405" s="459"/>
      <c r="DY405" s="459"/>
    </row>
    <row r="406" spans="1:129" s="128" customFormat="1" ht="54.95" customHeight="1" x14ac:dyDescent="0.25">
      <c r="A406" s="377"/>
      <c r="B406" s="175"/>
      <c r="C406" s="393"/>
      <c r="D406" s="168"/>
      <c r="E406" s="168"/>
      <c r="F406" s="168"/>
      <c r="G406" s="168"/>
      <c r="H406" s="168"/>
      <c r="I406" s="168"/>
      <c r="J406" s="168"/>
      <c r="K406" s="168"/>
      <c r="L406" s="168"/>
      <c r="M406" s="168"/>
      <c r="N406" s="168"/>
      <c r="O406" s="433"/>
      <c r="P406" s="122"/>
      <c r="Q406" s="156"/>
      <c r="R406" s="156"/>
      <c r="S406" s="156"/>
      <c r="T406" s="156"/>
      <c r="U406" s="156"/>
      <c r="V406" s="156"/>
      <c r="W406" s="156"/>
      <c r="X406" s="156"/>
      <c r="Y406" s="156"/>
      <c r="Z406" s="157"/>
      <c r="AA406" s="157"/>
      <c r="AB406" s="156"/>
      <c r="AC406" s="156"/>
      <c r="AD406" s="156"/>
      <c r="AE406" s="156"/>
      <c r="AF406" s="156"/>
      <c r="AG406" s="156"/>
      <c r="AH406" s="156"/>
      <c r="AI406" s="156"/>
      <c r="AJ406" s="156"/>
      <c r="AK406" s="156"/>
      <c r="AL406" s="156"/>
      <c r="AM406" s="158"/>
      <c r="AN406" s="156"/>
      <c r="AO406" s="156"/>
      <c r="AP406" s="156"/>
      <c r="AQ406" s="156"/>
      <c r="AR406" s="156"/>
      <c r="AS406" s="156"/>
      <c r="AT406" s="156"/>
      <c r="AU406" s="156"/>
      <c r="AV406" s="156"/>
      <c r="AW406" s="156"/>
      <c r="AX406" s="156"/>
      <c r="AY406" s="156"/>
      <c r="AZ406" s="156"/>
      <c r="BA406" s="153"/>
      <c r="BD406" s="153"/>
      <c r="BE406" s="147"/>
      <c r="BI406" s="153"/>
      <c r="BO406" s="153"/>
      <c r="BW406" s="153"/>
      <c r="CD406" s="146"/>
      <c r="CF406" s="147"/>
      <c r="CI406" s="146"/>
      <c r="CJ406" s="153"/>
      <c r="CV406" s="154"/>
      <c r="CX406" s="154"/>
      <c r="CZ406" s="154"/>
      <c r="DB406" s="154"/>
      <c r="DD406" s="154"/>
      <c r="DH406" s="474"/>
      <c r="DI406" s="459"/>
      <c r="DJ406" s="459"/>
      <c r="DK406" s="459"/>
      <c r="DL406" s="459"/>
      <c r="DM406" s="459"/>
      <c r="DN406" s="459"/>
      <c r="DO406" s="459"/>
      <c r="DP406" s="459"/>
      <c r="DQ406" s="459"/>
      <c r="DR406" s="459"/>
      <c r="DS406" s="459"/>
      <c r="DT406" s="459"/>
      <c r="DU406" s="459"/>
      <c r="DV406" s="468"/>
      <c r="DW406" s="468"/>
      <c r="DX406" s="459"/>
      <c r="DY406" s="459"/>
    </row>
    <row r="407" spans="1:129" s="128" customFormat="1" ht="54.95" customHeight="1" x14ac:dyDescent="0.25">
      <c r="A407" s="377"/>
      <c r="B407" s="175"/>
      <c r="C407" s="393"/>
      <c r="D407" s="168"/>
      <c r="E407" s="168"/>
      <c r="F407" s="168"/>
      <c r="G407" s="168"/>
      <c r="H407" s="168"/>
      <c r="I407" s="168"/>
      <c r="J407" s="168"/>
      <c r="K407" s="168"/>
      <c r="L407" s="168"/>
      <c r="M407" s="168"/>
      <c r="N407" s="168"/>
      <c r="O407" s="433"/>
      <c r="P407" s="122"/>
      <c r="Q407" s="156"/>
      <c r="R407" s="156"/>
      <c r="S407" s="156"/>
      <c r="T407" s="156"/>
      <c r="U407" s="156"/>
      <c r="V407" s="156"/>
      <c r="W407" s="156"/>
      <c r="X407" s="156"/>
      <c r="Y407" s="156"/>
      <c r="Z407" s="157"/>
      <c r="AA407" s="157"/>
      <c r="AB407" s="156"/>
      <c r="AC407" s="156"/>
      <c r="AD407" s="156"/>
      <c r="AE407" s="156"/>
      <c r="AF407" s="156"/>
      <c r="AG407" s="156"/>
      <c r="AH407" s="156"/>
      <c r="AI407" s="156"/>
      <c r="AJ407" s="156"/>
      <c r="AK407" s="156"/>
      <c r="AL407" s="156"/>
      <c r="AM407" s="158"/>
      <c r="AN407" s="156"/>
      <c r="AO407" s="156"/>
      <c r="AP407" s="156"/>
      <c r="AQ407" s="156"/>
      <c r="AR407" s="156"/>
      <c r="AS407" s="156"/>
      <c r="AT407" s="156"/>
      <c r="AU407" s="156"/>
      <c r="AV407" s="156"/>
      <c r="AW407" s="156"/>
      <c r="AX407" s="156"/>
      <c r="AY407" s="156"/>
      <c r="AZ407" s="156"/>
      <c r="BA407" s="153"/>
      <c r="BD407" s="153"/>
      <c r="BE407" s="147"/>
      <c r="BI407" s="153"/>
      <c r="BO407" s="153"/>
      <c r="BW407" s="153"/>
      <c r="CD407" s="146"/>
      <c r="CF407" s="147"/>
      <c r="CI407" s="146"/>
      <c r="CJ407" s="153"/>
      <c r="CV407" s="154"/>
      <c r="CX407" s="154"/>
      <c r="CZ407" s="154"/>
      <c r="DB407" s="154"/>
      <c r="DD407" s="154"/>
      <c r="DH407" s="474"/>
      <c r="DI407" s="459"/>
      <c r="DJ407" s="459"/>
      <c r="DK407" s="459"/>
      <c r="DL407" s="459"/>
      <c r="DM407" s="459"/>
      <c r="DN407" s="459"/>
      <c r="DO407" s="459"/>
      <c r="DP407" s="459"/>
      <c r="DQ407" s="459"/>
      <c r="DR407" s="459"/>
      <c r="DS407" s="459"/>
      <c r="DT407" s="459"/>
      <c r="DU407" s="459"/>
      <c r="DV407" s="468"/>
      <c r="DW407" s="468"/>
      <c r="DX407" s="459"/>
      <c r="DY407" s="459"/>
    </row>
    <row r="408" spans="1:129" s="128" customFormat="1" ht="54.95" customHeight="1" x14ac:dyDescent="0.25">
      <c r="A408" s="377"/>
      <c r="B408" s="175"/>
      <c r="C408" s="393"/>
      <c r="D408" s="168"/>
      <c r="E408" s="168"/>
      <c r="F408" s="168"/>
      <c r="G408" s="168"/>
      <c r="H408" s="168"/>
      <c r="I408" s="168"/>
      <c r="J408" s="168"/>
      <c r="K408" s="168"/>
      <c r="L408" s="168"/>
      <c r="M408" s="168"/>
      <c r="N408" s="168"/>
      <c r="O408" s="433"/>
      <c r="P408" s="122"/>
      <c r="Q408" s="156"/>
      <c r="R408" s="156"/>
      <c r="S408" s="156"/>
      <c r="T408" s="156"/>
      <c r="U408" s="156"/>
      <c r="V408" s="156"/>
      <c r="W408" s="156"/>
      <c r="X408" s="156"/>
      <c r="Y408" s="156"/>
      <c r="Z408" s="157"/>
      <c r="AA408" s="157"/>
      <c r="AB408" s="156"/>
      <c r="AC408" s="156"/>
      <c r="AD408" s="156"/>
      <c r="AE408" s="156"/>
      <c r="AF408" s="156"/>
      <c r="AG408" s="156"/>
      <c r="AH408" s="156"/>
      <c r="AI408" s="156"/>
      <c r="AJ408" s="156"/>
      <c r="AK408" s="156"/>
      <c r="AL408" s="156"/>
      <c r="AM408" s="158"/>
      <c r="AN408" s="156"/>
      <c r="AO408" s="156"/>
      <c r="AP408" s="156"/>
      <c r="AQ408" s="156"/>
      <c r="AR408" s="156"/>
      <c r="AS408" s="156"/>
      <c r="AT408" s="156"/>
      <c r="AU408" s="156"/>
      <c r="AV408" s="156"/>
      <c r="AW408" s="156"/>
      <c r="AX408" s="156"/>
      <c r="AY408" s="156"/>
      <c r="AZ408" s="156"/>
      <c r="BA408" s="153"/>
      <c r="BD408" s="153"/>
      <c r="BE408" s="147"/>
      <c r="BI408" s="153"/>
      <c r="BO408" s="153"/>
      <c r="BW408" s="153"/>
      <c r="CD408" s="146"/>
      <c r="CF408" s="147"/>
      <c r="CI408" s="146"/>
      <c r="CJ408" s="153"/>
      <c r="CV408" s="154"/>
      <c r="CX408" s="154"/>
      <c r="CZ408" s="154"/>
      <c r="DB408" s="154"/>
      <c r="DD408" s="154"/>
      <c r="DH408" s="474"/>
      <c r="DI408" s="459"/>
      <c r="DJ408" s="459"/>
      <c r="DK408" s="459"/>
      <c r="DL408" s="459"/>
      <c r="DM408" s="459"/>
      <c r="DN408" s="459"/>
      <c r="DO408" s="459"/>
      <c r="DP408" s="459"/>
      <c r="DQ408" s="459"/>
      <c r="DR408" s="459"/>
      <c r="DS408" s="459"/>
      <c r="DT408" s="459"/>
      <c r="DU408" s="459"/>
      <c r="DV408" s="468"/>
      <c r="DW408" s="468"/>
      <c r="DX408" s="459"/>
      <c r="DY408" s="459"/>
    </row>
    <row r="409" spans="1:129" s="128" customFormat="1" ht="54.95" customHeight="1" x14ac:dyDescent="0.25">
      <c r="A409" s="377"/>
      <c r="B409" s="175"/>
      <c r="C409" s="393"/>
      <c r="D409" s="168"/>
      <c r="E409" s="168"/>
      <c r="F409" s="168"/>
      <c r="G409" s="168"/>
      <c r="H409" s="168"/>
      <c r="I409" s="168"/>
      <c r="J409" s="168"/>
      <c r="K409" s="168"/>
      <c r="L409" s="168"/>
      <c r="M409" s="168"/>
      <c r="N409" s="168"/>
      <c r="O409" s="433"/>
      <c r="P409" s="122"/>
      <c r="Q409" s="156"/>
      <c r="R409" s="156"/>
      <c r="S409" s="156"/>
      <c r="T409" s="156"/>
      <c r="U409" s="156"/>
      <c r="V409" s="156"/>
      <c r="W409" s="156"/>
      <c r="X409" s="156"/>
      <c r="Y409" s="156"/>
      <c r="Z409" s="157"/>
      <c r="AA409" s="157"/>
      <c r="AB409" s="156"/>
      <c r="AC409" s="156"/>
      <c r="AD409" s="156"/>
      <c r="AE409" s="156"/>
      <c r="AF409" s="156"/>
      <c r="AG409" s="156"/>
      <c r="AH409" s="156"/>
      <c r="AI409" s="156"/>
      <c r="AJ409" s="156"/>
      <c r="AK409" s="156"/>
      <c r="AL409" s="156"/>
      <c r="AM409" s="158"/>
      <c r="AN409" s="156"/>
      <c r="AO409" s="156"/>
      <c r="AP409" s="156"/>
      <c r="AQ409" s="156"/>
      <c r="AR409" s="156"/>
      <c r="AS409" s="156"/>
      <c r="AT409" s="156"/>
      <c r="AU409" s="156"/>
      <c r="AV409" s="156"/>
      <c r="AW409" s="156"/>
      <c r="AX409" s="156"/>
      <c r="AY409" s="156"/>
      <c r="AZ409" s="156"/>
      <c r="BA409" s="153"/>
      <c r="BD409" s="153"/>
      <c r="BE409" s="147"/>
      <c r="BI409" s="153"/>
      <c r="BO409" s="153"/>
      <c r="BW409" s="153"/>
      <c r="CD409" s="146"/>
      <c r="CF409" s="147"/>
      <c r="CI409" s="146"/>
      <c r="CJ409" s="153"/>
      <c r="CV409" s="154"/>
      <c r="CX409" s="154"/>
      <c r="CZ409" s="154"/>
      <c r="DB409" s="154"/>
      <c r="DD409" s="154"/>
      <c r="DH409" s="474"/>
      <c r="DI409" s="459"/>
      <c r="DJ409" s="459"/>
      <c r="DK409" s="459"/>
      <c r="DL409" s="459"/>
      <c r="DM409" s="459"/>
      <c r="DN409" s="459"/>
      <c r="DO409" s="459"/>
      <c r="DP409" s="459"/>
      <c r="DQ409" s="459"/>
      <c r="DR409" s="459"/>
      <c r="DS409" s="459"/>
      <c r="DT409" s="459"/>
      <c r="DU409" s="459"/>
      <c r="DV409" s="468"/>
      <c r="DW409" s="468"/>
      <c r="DX409" s="459"/>
      <c r="DY409" s="459"/>
    </row>
    <row r="410" spans="1:129" s="128" customFormat="1" ht="54.95" customHeight="1" x14ac:dyDescent="0.25">
      <c r="A410" s="377"/>
      <c r="B410" s="175"/>
      <c r="C410" s="393"/>
      <c r="D410" s="168"/>
      <c r="E410" s="168"/>
      <c r="F410" s="168"/>
      <c r="G410" s="168"/>
      <c r="H410" s="168"/>
      <c r="I410" s="168"/>
      <c r="J410" s="168"/>
      <c r="K410" s="168"/>
      <c r="L410" s="168"/>
      <c r="M410" s="168"/>
      <c r="N410" s="168"/>
      <c r="O410" s="433"/>
      <c r="P410" s="122"/>
      <c r="Q410" s="156"/>
      <c r="R410" s="156"/>
      <c r="S410" s="156"/>
      <c r="T410" s="156"/>
      <c r="U410" s="156"/>
      <c r="V410" s="156"/>
      <c r="W410" s="156"/>
      <c r="X410" s="156"/>
      <c r="Y410" s="156"/>
      <c r="Z410" s="157"/>
      <c r="AA410" s="157"/>
      <c r="AB410" s="156"/>
      <c r="AC410" s="156"/>
      <c r="AD410" s="156"/>
      <c r="AE410" s="156"/>
      <c r="AF410" s="156"/>
      <c r="AG410" s="156"/>
      <c r="AH410" s="156"/>
      <c r="AI410" s="156"/>
      <c r="AJ410" s="156"/>
      <c r="AK410" s="156"/>
      <c r="AL410" s="156"/>
      <c r="AM410" s="158"/>
      <c r="AN410" s="156"/>
      <c r="AO410" s="156"/>
      <c r="AP410" s="156"/>
      <c r="AQ410" s="156"/>
      <c r="AR410" s="156"/>
      <c r="AS410" s="156"/>
      <c r="AT410" s="156"/>
      <c r="AU410" s="156"/>
      <c r="AV410" s="156"/>
      <c r="AW410" s="156"/>
      <c r="AX410" s="156"/>
      <c r="AY410" s="156"/>
      <c r="AZ410" s="156"/>
      <c r="BA410" s="153"/>
      <c r="BD410" s="153"/>
      <c r="BE410" s="147"/>
      <c r="BI410" s="153"/>
      <c r="BO410" s="153"/>
      <c r="BW410" s="153"/>
      <c r="CD410" s="146"/>
      <c r="CF410" s="147"/>
      <c r="CI410" s="146"/>
      <c r="CJ410" s="153"/>
      <c r="CV410" s="154"/>
      <c r="CX410" s="154"/>
      <c r="CZ410" s="154"/>
      <c r="DB410" s="154"/>
      <c r="DD410" s="154"/>
      <c r="DH410" s="474"/>
      <c r="DI410" s="459"/>
      <c r="DJ410" s="459"/>
      <c r="DK410" s="459"/>
      <c r="DL410" s="459"/>
      <c r="DM410" s="459"/>
      <c r="DN410" s="459"/>
      <c r="DO410" s="459"/>
      <c r="DP410" s="459"/>
      <c r="DQ410" s="459"/>
      <c r="DR410" s="459"/>
      <c r="DS410" s="459"/>
      <c r="DT410" s="459"/>
      <c r="DU410" s="459"/>
      <c r="DV410" s="468"/>
      <c r="DW410" s="468"/>
      <c r="DX410" s="459"/>
      <c r="DY410" s="459"/>
    </row>
    <row r="411" spans="1:129" s="128" customFormat="1" ht="54.95" customHeight="1" x14ac:dyDescent="0.25">
      <c r="A411" s="377"/>
      <c r="B411" s="175"/>
      <c r="C411" s="393"/>
      <c r="D411" s="168"/>
      <c r="E411" s="168"/>
      <c r="F411" s="168"/>
      <c r="G411" s="168"/>
      <c r="H411" s="168"/>
      <c r="I411" s="168"/>
      <c r="J411" s="168"/>
      <c r="K411" s="168"/>
      <c r="L411" s="168"/>
      <c r="M411" s="168"/>
      <c r="N411" s="168"/>
      <c r="O411" s="433"/>
      <c r="P411" s="122"/>
      <c r="Q411" s="156"/>
      <c r="R411" s="156"/>
      <c r="S411" s="156"/>
      <c r="T411" s="156"/>
      <c r="U411" s="156"/>
      <c r="V411" s="156"/>
      <c r="W411" s="156"/>
      <c r="X411" s="156"/>
      <c r="Y411" s="156"/>
      <c r="Z411" s="157"/>
      <c r="AA411" s="157"/>
      <c r="AB411" s="156"/>
      <c r="AC411" s="156"/>
      <c r="AD411" s="156"/>
      <c r="AE411" s="156"/>
      <c r="AF411" s="156"/>
      <c r="AG411" s="156"/>
      <c r="AH411" s="156"/>
      <c r="AI411" s="156"/>
      <c r="AJ411" s="156"/>
      <c r="AK411" s="156"/>
      <c r="AL411" s="156"/>
      <c r="AM411" s="158"/>
      <c r="AN411" s="156"/>
      <c r="AO411" s="156"/>
      <c r="AP411" s="156"/>
      <c r="AQ411" s="156"/>
      <c r="AR411" s="156"/>
      <c r="AS411" s="156"/>
      <c r="AT411" s="156"/>
      <c r="AU411" s="156"/>
      <c r="AV411" s="156"/>
      <c r="AW411" s="156"/>
      <c r="AX411" s="156"/>
      <c r="AY411" s="156"/>
      <c r="AZ411" s="156"/>
      <c r="BA411" s="153"/>
      <c r="BD411" s="153"/>
      <c r="BE411" s="147"/>
      <c r="BI411" s="153"/>
      <c r="BO411" s="153"/>
      <c r="BW411" s="153"/>
      <c r="CD411" s="146"/>
      <c r="CF411" s="147"/>
      <c r="CI411" s="146"/>
      <c r="CJ411" s="153"/>
      <c r="CV411" s="154"/>
      <c r="CX411" s="154"/>
      <c r="CZ411" s="154"/>
      <c r="DB411" s="154"/>
      <c r="DD411" s="154"/>
      <c r="DH411" s="474"/>
      <c r="DI411" s="459"/>
      <c r="DJ411" s="459"/>
      <c r="DK411" s="459"/>
      <c r="DL411" s="459"/>
      <c r="DM411" s="459"/>
      <c r="DN411" s="459"/>
      <c r="DO411" s="459"/>
      <c r="DP411" s="459"/>
      <c r="DQ411" s="459"/>
      <c r="DR411" s="459"/>
      <c r="DS411" s="459"/>
      <c r="DT411" s="459"/>
      <c r="DU411" s="459"/>
      <c r="DV411" s="468"/>
      <c r="DW411" s="468"/>
      <c r="DX411" s="459"/>
      <c r="DY411" s="459"/>
    </row>
    <row r="412" spans="1:129" s="128" customFormat="1" ht="54.95" customHeight="1" x14ac:dyDescent="0.25">
      <c r="A412" s="377"/>
      <c r="B412" s="175"/>
      <c r="C412" s="393"/>
      <c r="D412" s="168"/>
      <c r="E412" s="168"/>
      <c r="F412" s="168"/>
      <c r="G412" s="168"/>
      <c r="H412" s="168"/>
      <c r="I412" s="168"/>
      <c r="J412" s="168"/>
      <c r="K412" s="168"/>
      <c r="L412" s="168"/>
      <c r="M412" s="168"/>
      <c r="N412" s="168"/>
      <c r="O412" s="433"/>
      <c r="P412" s="122"/>
      <c r="Q412" s="156"/>
      <c r="R412" s="156"/>
      <c r="S412" s="156"/>
      <c r="T412" s="156"/>
      <c r="U412" s="156"/>
      <c r="V412" s="156"/>
      <c r="W412" s="156"/>
      <c r="X412" s="156"/>
      <c r="Y412" s="156"/>
      <c r="Z412" s="157"/>
      <c r="AA412" s="157"/>
      <c r="AB412" s="156"/>
      <c r="AC412" s="156"/>
      <c r="AD412" s="156"/>
      <c r="AE412" s="156"/>
      <c r="AF412" s="156"/>
      <c r="AG412" s="156"/>
      <c r="AH412" s="156"/>
      <c r="AI412" s="156"/>
      <c r="AJ412" s="156"/>
      <c r="AK412" s="156"/>
      <c r="AL412" s="156"/>
      <c r="AM412" s="158"/>
      <c r="AN412" s="156"/>
      <c r="AO412" s="156"/>
      <c r="AP412" s="156"/>
      <c r="AQ412" s="156"/>
      <c r="AR412" s="156"/>
      <c r="AS412" s="156"/>
      <c r="AT412" s="156"/>
      <c r="AU412" s="156"/>
      <c r="AV412" s="156"/>
      <c r="AW412" s="156"/>
      <c r="AX412" s="156"/>
      <c r="AY412" s="156"/>
      <c r="AZ412" s="156"/>
      <c r="BA412" s="153"/>
      <c r="BD412" s="153"/>
      <c r="BE412" s="147"/>
      <c r="BI412" s="153"/>
      <c r="BO412" s="153"/>
      <c r="BW412" s="153"/>
      <c r="CD412" s="146"/>
      <c r="CF412" s="147"/>
      <c r="CI412" s="146"/>
      <c r="CJ412" s="153"/>
      <c r="CV412" s="154"/>
      <c r="CX412" s="154"/>
      <c r="CZ412" s="154"/>
      <c r="DB412" s="154"/>
      <c r="DD412" s="154"/>
      <c r="DH412" s="474"/>
      <c r="DI412" s="459"/>
      <c r="DJ412" s="459"/>
      <c r="DK412" s="459"/>
      <c r="DL412" s="459"/>
      <c r="DM412" s="459"/>
      <c r="DN412" s="459"/>
      <c r="DO412" s="459"/>
      <c r="DP412" s="459"/>
      <c r="DQ412" s="459"/>
      <c r="DR412" s="459"/>
      <c r="DS412" s="459"/>
      <c r="DT412" s="459"/>
      <c r="DU412" s="459"/>
      <c r="DV412" s="468"/>
      <c r="DW412" s="468"/>
      <c r="DX412" s="459"/>
      <c r="DY412" s="459"/>
    </row>
    <row r="413" spans="1:129" s="128" customFormat="1" ht="54.95" customHeight="1" x14ac:dyDescent="0.25">
      <c r="A413" s="377"/>
      <c r="B413" s="175"/>
      <c r="C413" s="393"/>
      <c r="D413" s="168"/>
      <c r="E413" s="168"/>
      <c r="F413" s="168"/>
      <c r="G413" s="168"/>
      <c r="H413" s="168"/>
      <c r="I413" s="168"/>
      <c r="J413" s="168"/>
      <c r="K413" s="168"/>
      <c r="L413" s="168"/>
      <c r="M413" s="168"/>
      <c r="N413" s="168"/>
      <c r="O413" s="433"/>
      <c r="P413" s="122"/>
      <c r="Q413" s="156"/>
      <c r="R413" s="156"/>
      <c r="S413" s="156"/>
      <c r="T413" s="156"/>
      <c r="U413" s="156"/>
      <c r="V413" s="156"/>
      <c r="W413" s="156"/>
      <c r="X413" s="156"/>
      <c r="Y413" s="156"/>
      <c r="Z413" s="157"/>
      <c r="AA413" s="157"/>
      <c r="AB413" s="156"/>
      <c r="AC413" s="156"/>
      <c r="AD413" s="156"/>
      <c r="AE413" s="156"/>
      <c r="AF413" s="156"/>
      <c r="AG413" s="156"/>
      <c r="AH413" s="156"/>
      <c r="AI413" s="156"/>
      <c r="AJ413" s="156"/>
      <c r="AK413" s="156"/>
      <c r="AL413" s="156"/>
      <c r="AM413" s="158"/>
      <c r="AN413" s="156"/>
      <c r="AO413" s="156"/>
      <c r="AP413" s="156"/>
      <c r="AQ413" s="156"/>
      <c r="AR413" s="156"/>
      <c r="AS413" s="156"/>
      <c r="AT413" s="156"/>
      <c r="AU413" s="156"/>
      <c r="AV413" s="156"/>
      <c r="AW413" s="156"/>
      <c r="AX413" s="156"/>
      <c r="AY413" s="156"/>
      <c r="AZ413" s="156"/>
      <c r="BA413" s="153"/>
      <c r="BD413" s="153"/>
      <c r="BE413" s="147"/>
      <c r="BI413" s="153"/>
      <c r="BO413" s="153"/>
      <c r="BW413" s="153"/>
      <c r="CD413" s="146"/>
      <c r="CF413" s="147"/>
      <c r="CI413" s="146"/>
      <c r="CJ413" s="153"/>
      <c r="CV413" s="154"/>
      <c r="CX413" s="154"/>
      <c r="CZ413" s="154"/>
      <c r="DB413" s="154"/>
      <c r="DD413" s="154"/>
      <c r="DH413" s="474"/>
      <c r="DI413" s="459"/>
      <c r="DJ413" s="459"/>
      <c r="DK413" s="459"/>
      <c r="DL413" s="459"/>
      <c r="DM413" s="459"/>
      <c r="DN413" s="459"/>
      <c r="DO413" s="459"/>
      <c r="DP413" s="459"/>
      <c r="DQ413" s="459"/>
      <c r="DR413" s="459"/>
      <c r="DS413" s="459"/>
      <c r="DT413" s="459"/>
      <c r="DU413" s="459"/>
      <c r="DV413" s="468"/>
      <c r="DW413" s="468"/>
      <c r="DX413" s="459"/>
      <c r="DY413" s="459"/>
    </row>
    <row r="414" spans="1:129" s="128" customFormat="1" ht="54.95" customHeight="1" x14ac:dyDescent="0.25">
      <c r="A414" s="377"/>
      <c r="B414" s="175"/>
      <c r="C414" s="393"/>
      <c r="D414" s="168"/>
      <c r="E414" s="168"/>
      <c r="F414" s="168"/>
      <c r="G414" s="168"/>
      <c r="H414" s="168"/>
      <c r="I414" s="168"/>
      <c r="J414" s="168"/>
      <c r="K414" s="168"/>
      <c r="L414" s="168"/>
      <c r="M414" s="168"/>
      <c r="N414" s="168"/>
      <c r="O414" s="433"/>
      <c r="P414" s="122"/>
      <c r="Q414" s="156"/>
      <c r="R414" s="156"/>
      <c r="S414" s="156"/>
      <c r="T414" s="156"/>
      <c r="U414" s="156"/>
      <c r="V414" s="156"/>
      <c r="W414" s="156"/>
      <c r="X414" s="156"/>
      <c r="Y414" s="156"/>
      <c r="Z414" s="157"/>
      <c r="AA414" s="157"/>
      <c r="AB414" s="156"/>
      <c r="AC414" s="156"/>
      <c r="AD414" s="156"/>
      <c r="AE414" s="156"/>
      <c r="AF414" s="156"/>
      <c r="AG414" s="156"/>
      <c r="AH414" s="156"/>
      <c r="AI414" s="156"/>
      <c r="AJ414" s="156"/>
      <c r="AK414" s="156"/>
      <c r="AL414" s="156"/>
      <c r="AM414" s="158"/>
      <c r="AN414" s="156"/>
      <c r="AO414" s="156"/>
      <c r="AP414" s="156"/>
      <c r="AQ414" s="156"/>
      <c r="AR414" s="156"/>
      <c r="AS414" s="156"/>
      <c r="AT414" s="156"/>
      <c r="AU414" s="156"/>
      <c r="AV414" s="156"/>
      <c r="AW414" s="156"/>
      <c r="AX414" s="156"/>
      <c r="AY414" s="156"/>
      <c r="AZ414" s="156"/>
      <c r="BA414" s="153"/>
      <c r="BD414" s="153"/>
      <c r="BE414" s="147"/>
      <c r="BI414" s="153"/>
      <c r="BO414" s="153"/>
      <c r="BW414" s="153"/>
      <c r="CD414" s="146"/>
      <c r="CF414" s="147"/>
      <c r="CI414" s="146"/>
      <c r="CJ414" s="153"/>
      <c r="CV414" s="154"/>
      <c r="CX414" s="154"/>
      <c r="CZ414" s="154"/>
      <c r="DB414" s="154"/>
      <c r="DD414" s="154"/>
      <c r="DH414" s="474"/>
      <c r="DI414" s="459"/>
      <c r="DJ414" s="459"/>
      <c r="DK414" s="459"/>
      <c r="DL414" s="459"/>
      <c r="DM414" s="459"/>
      <c r="DN414" s="459"/>
      <c r="DO414" s="459"/>
      <c r="DP414" s="459"/>
      <c r="DQ414" s="459"/>
      <c r="DR414" s="459"/>
      <c r="DS414" s="459"/>
      <c r="DT414" s="459"/>
      <c r="DU414" s="459"/>
      <c r="DV414" s="468"/>
      <c r="DW414" s="468"/>
      <c r="DX414" s="459"/>
      <c r="DY414" s="459"/>
    </row>
    <row r="415" spans="1:129" s="128" customFormat="1" ht="54.95" customHeight="1" x14ac:dyDescent="0.25">
      <c r="A415" s="377"/>
      <c r="B415" s="175"/>
      <c r="C415" s="393"/>
      <c r="D415" s="168"/>
      <c r="E415" s="168"/>
      <c r="F415" s="168"/>
      <c r="G415" s="168"/>
      <c r="H415" s="168"/>
      <c r="I415" s="168"/>
      <c r="J415" s="168"/>
      <c r="K415" s="168"/>
      <c r="L415" s="168"/>
      <c r="M415" s="168"/>
      <c r="N415" s="168"/>
      <c r="O415" s="433"/>
      <c r="P415" s="122"/>
      <c r="Q415" s="156"/>
      <c r="R415" s="156"/>
      <c r="S415" s="156"/>
      <c r="T415" s="156"/>
      <c r="U415" s="156"/>
      <c r="V415" s="156"/>
      <c r="W415" s="156"/>
      <c r="X415" s="156"/>
      <c r="Y415" s="156"/>
      <c r="Z415" s="157"/>
      <c r="AA415" s="157"/>
      <c r="AB415" s="156"/>
      <c r="AC415" s="156"/>
      <c r="AD415" s="156"/>
      <c r="AE415" s="156"/>
      <c r="AF415" s="156"/>
      <c r="AG415" s="156"/>
      <c r="AH415" s="156"/>
      <c r="AI415" s="156"/>
      <c r="AJ415" s="156"/>
      <c r="AK415" s="156"/>
      <c r="AL415" s="156"/>
      <c r="AM415" s="158"/>
      <c r="AN415" s="156"/>
      <c r="AO415" s="156"/>
      <c r="AP415" s="156"/>
      <c r="AQ415" s="156"/>
      <c r="AR415" s="156"/>
      <c r="AS415" s="156"/>
      <c r="AT415" s="156"/>
      <c r="AU415" s="156"/>
      <c r="AV415" s="156"/>
      <c r="AW415" s="156"/>
      <c r="AX415" s="156"/>
      <c r="AY415" s="156"/>
      <c r="AZ415" s="156"/>
      <c r="BA415" s="153"/>
      <c r="BD415" s="153"/>
      <c r="BE415" s="147"/>
      <c r="BI415" s="153"/>
      <c r="BO415" s="153"/>
      <c r="BW415" s="153"/>
      <c r="CD415" s="146"/>
      <c r="CF415" s="147"/>
      <c r="CI415" s="146"/>
      <c r="CJ415" s="153"/>
      <c r="CV415" s="154"/>
      <c r="CX415" s="154"/>
      <c r="CZ415" s="154"/>
      <c r="DB415" s="154"/>
      <c r="DD415" s="154"/>
      <c r="DH415" s="474"/>
      <c r="DI415" s="459"/>
      <c r="DJ415" s="459"/>
      <c r="DK415" s="459"/>
      <c r="DL415" s="459"/>
      <c r="DM415" s="459"/>
      <c r="DN415" s="459"/>
      <c r="DO415" s="459"/>
      <c r="DP415" s="459"/>
      <c r="DQ415" s="459"/>
      <c r="DR415" s="459"/>
      <c r="DS415" s="459"/>
      <c r="DT415" s="459"/>
      <c r="DU415" s="459"/>
      <c r="DV415" s="468"/>
      <c r="DW415" s="468"/>
      <c r="DX415" s="459"/>
      <c r="DY415" s="459"/>
    </row>
    <row r="416" spans="1:129" s="128" customFormat="1" ht="54.95" customHeight="1" x14ac:dyDescent="0.25">
      <c r="A416" s="377"/>
      <c r="B416" s="175"/>
      <c r="C416" s="393"/>
      <c r="D416" s="168"/>
      <c r="E416" s="168"/>
      <c r="F416" s="168"/>
      <c r="G416" s="168"/>
      <c r="H416" s="168"/>
      <c r="I416" s="168"/>
      <c r="J416" s="168"/>
      <c r="K416" s="168"/>
      <c r="L416" s="168"/>
      <c r="M416" s="168"/>
      <c r="N416" s="168"/>
      <c r="O416" s="433"/>
      <c r="P416" s="122"/>
      <c r="Q416" s="156"/>
      <c r="R416" s="156"/>
      <c r="S416" s="156"/>
      <c r="T416" s="156"/>
      <c r="U416" s="156"/>
      <c r="V416" s="156"/>
      <c r="W416" s="156"/>
      <c r="X416" s="156"/>
      <c r="Y416" s="156"/>
      <c r="Z416" s="157"/>
      <c r="AA416" s="157"/>
      <c r="AB416" s="156"/>
      <c r="AC416" s="156"/>
      <c r="AD416" s="156"/>
      <c r="AE416" s="156"/>
      <c r="AF416" s="156"/>
      <c r="AG416" s="156"/>
      <c r="AH416" s="156"/>
      <c r="AI416" s="156"/>
      <c r="AJ416" s="156"/>
      <c r="AK416" s="156"/>
      <c r="AL416" s="156"/>
      <c r="AM416" s="158"/>
      <c r="AN416" s="156"/>
      <c r="AO416" s="156"/>
      <c r="AP416" s="156"/>
      <c r="AQ416" s="156"/>
      <c r="AR416" s="156"/>
      <c r="AS416" s="156"/>
      <c r="AT416" s="156"/>
      <c r="AU416" s="156"/>
      <c r="AV416" s="156"/>
      <c r="AW416" s="156"/>
      <c r="AX416" s="156"/>
      <c r="AY416" s="156"/>
      <c r="AZ416" s="156"/>
      <c r="BA416" s="153"/>
      <c r="BD416" s="153"/>
      <c r="BE416" s="147"/>
      <c r="BI416" s="153"/>
      <c r="BO416" s="153"/>
      <c r="BW416" s="153"/>
      <c r="CD416" s="146"/>
      <c r="CF416" s="147"/>
      <c r="CI416" s="146"/>
      <c r="CJ416" s="153"/>
      <c r="CV416" s="154"/>
      <c r="CX416" s="154"/>
      <c r="CZ416" s="154"/>
      <c r="DB416" s="154"/>
      <c r="DD416" s="154"/>
      <c r="DH416" s="474"/>
      <c r="DI416" s="459"/>
      <c r="DJ416" s="459"/>
      <c r="DK416" s="459"/>
      <c r="DL416" s="459"/>
      <c r="DM416" s="459"/>
      <c r="DN416" s="459"/>
      <c r="DO416" s="459"/>
      <c r="DP416" s="459"/>
      <c r="DQ416" s="459"/>
      <c r="DR416" s="459"/>
      <c r="DS416" s="459"/>
      <c r="DT416" s="459"/>
      <c r="DU416" s="459"/>
      <c r="DV416" s="468"/>
      <c r="DW416" s="468"/>
      <c r="DX416" s="459"/>
      <c r="DY416" s="459"/>
    </row>
    <row r="417" spans="1:129" s="128" customFormat="1" ht="54.95" customHeight="1" x14ac:dyDescent="0.25">
      <c r="A417" s="377"/>
      <c r="B417" s="175"/>
      <c r="C417" s="393"/>
      <c r="D417" s="168"/>
      <c r="E417" s="168"/>
      <c r="F417" s="168"/>
      <c r="G417" s="168"/>
      <c r="H417" s="168"/>
      <c r="I417" s="168"/>
      <c r="J417" s="168"/>
      <c r="K417" s="168"/>
      <c r="L417" s="168"/>
      <c r="M417" s="168"/>
      <c r="N417" s="168"/>
      <c r="O417" s="433"/>
      <c r="P417" s="122"/>
      <c r="Q417" s="156"/>
      <c r="R417" s="156"/>
      <c r="S417" s="156"/>
      <c r="T417" s="156"/>
      <c r="U417" s="156"/>
      <c r="V417" s="156"/>
      <c r="W417" s="156"/>
      <c r="X417" s="156"/>
      <c r="Y417" s="156"/>
      <c r="Z417" s="157"/>
      <c r="AA417" s="157"/>
      <c r="AB417" s="156"/>
      <c r="AC417" s="156"/>
      <c r="AD417" s="156"/>
      <c r="AE417" s="156"/>
      <c r="AF417" s="156"/>
      <c r="AG417" s="156"/>
      <c r="AH417" s="156"/>
      <c r="AI417" s="156"/>
      <c r="AJ417" s="156"/>
      <c r="AK417" s="156"/>
      <c r="AL417" s="156"/>
      <c r="AM417" s="158"/>
      <c r="AN417" s="156"/>
      <c r="AO417" s="156"/>
      <c r="AP417" s="156"/>
      <c r="AQ417" s="156"/>
      <c r="AR417" s="156"/>
      <c r="AS417" s="156"/>
      <c r="AT417" s="156"/>
      <c r="AU417" s="156"/>
      <c r="AV417" s="156"/>
      <c r="AW417" s="156"/>
      <c r="AX417" s="156"/>
      <c r="AY417" s="156"/>
      <c r="AZ417" s="156"/>
      <c r="BA417" s="153"/>
      <c r="BD417" s="153"/>
      <c r="BE417" s="147"/>
      <c r="BI417" s="153"/>
      <c r="BO417" s="153"/>
      <c r="BW417" s="153"/>
      <c r="CD417" s="146"/>
      <c r="CF417" s="147"/>
      <c r="CI417" s="146"/>
      <c r="CJ417" s="153"/>
      <c r="CV417" s="154"/>
      <c r="CX417" s="154"/>
      <c r="CZ417" s="154"/>
      <c r="DB417" s="154"/>
      <c r="DD417" s="154"/>
      <c r="DH417" s="474"/>
      <c r="DI417" s="459"/>
      <c r="DJ417" s="459"/>
      <c r="DK417" s="459"/>
      <c r="DL417" s="459"/>
      <c r="DM417" s="459"/>
      <c r="DN417" s="459"/>
      <c r="DO417" s="459"/>
      <c r="DP417" s="459"/>
      <c r="DQ417" s="459"/>
      <c r="DR417" s="459"/>
      <c r="DS417" s="459"/>
      <c r="DT417" s="459"/>
      <c r="DU417" s="459"/>
      <c r="DV417" s="468"/>
      <c r="DW417" s="468"/>
      <c r="DX417" s="459"/>
      <c r="DY417" s="459"/>
    </row>
    <row r="418" spans="1:129" s="128" customFormat="1" ht="54.95" customHeight="1" x14ac:dyDescent="0.25">
      <c r="A418" s="377"/>
      <c r="B418" s="175"/>
      <c r="C418" s="393"/>
      <c r="D418" s="168"/>
      <c r="E418" s="168"/>
      <c r="F418" s="168"/>
      <c r="G418" s="168"/>
      <c r="H418" s="168"/>
      <c r="I418" s="168"/>
      <c r="J418" s="168"/>
      <c r="K418" s="168"/>
      <c r="L418" s="168"/>
      <c r="M418" s="168"/>
      <c r="N418" s="168"/>
      <c r="O418" s="433"/>
      <c r="P418" s="122"/>
      <c r="Q418" s="156"/>
      <c r="R418" s="156"/>
      <c r="S418" s="156"/>
      <c r="T418" s="156"/>
      <c r="U418" s="156"/>
      <c r="V418" s="156"/>
      <c r="W418" s="156"/>
      <c r="X418" s="156"/>
      <c r="Y418" s="156"/>
      <c r="Z418" s="157"/>
      <c r="AA418" s="157"/>
      <c r="AB418" s="156"/>
      <c r="AC418" s="156"/>
      <c r="AD418" s="156"/>
      <c r="AE418" s="156"/>
      <c r="AF418" s="156"/>
      <c r="AG418" s="156"/>
      <c r="AH418" s="156"/>
      <c r="AI418" s="156"/>
      <c r="AJ418" s="156"/>
      <c r="AK418" s="156"/>
      <c r="AL418" s="156"/>
      <c r="AM418" s="158"/>
      <c r="AN418" s="156"/>
      <c r="AO418" s="156"/>
      <c r="AP418" s="156"/>
      <c r="AQ418" s="156"/>
      <c r="AR418" s="156"/>
      <c r="AS418" s="156"/>
      <c r="AT418" s="156"/>
      <c r="AU418" s="156"/>
      <c r="AV418" s="156"/>
      <c r="AW418" s="156"/>
      <c r="AX418" s="156"/>
      <c r="AY418" s="156"/>
      <c r="AZ418" s="156"/>
      <c r="BA418" s="153"/>
      <c r="BD418" s="153"/>
      <c r="BE418" s="147"/>
      <c r="BI418" s="153"/>
      <c r="BO418" s="153"/>
      <c r="BW418" s="153"/>
      <c r="CD418" s="146"/>
      <c r="CF418" s="147"/>
      <c r="CI418" s="146"/>
      <c r="CJ418" s="153"/>
      <c r="CV418" s="154"/>
      <c r="CX418" s="154"/>
      <c r="CZ418" s="154"/>
      <c r="DB418" s="154"/>
      <c r="DD418" s="154"/>
      <c r="DH418" s="474"/>
      <c r="DI418" s="459"/>
      <c r="DJ418" s="459"/>
      <c r="DK418" s="459"/>
      <c r="DL418" s="459"/>
      <c r="DM418" s="459"/>
      <c r="DN418" s="459"/>
      <c r="DO418" s="459"/>
      <c r="DP418" s="459"/>
      <c r="DQ418" s="459"/>
      <c r="DR418" s="459"/>
      <c r="DS418" s="459"/>
      <c r="DT418" s="459"/>
      <c r="DU418" s="459"/>
      <c r="DV418" s="468"/>
      <c r="DW418" s="468"/>
      <c r="DX418" s="459"/>
      <c r="DY418" s="459"/>
    </row>
    <row r="419" spans="1:129" s="128" customFormat="1" ht="54.95" customHeight="1" x14ac:dyDescent="0.25">
      <c r="A419" s="377"/>
      <c r="B419" s="175"/>
      <c r="C419" s="393"/>
      <c r="D419" s="168"/>
      <c r="E419" s="168"/>
      <c r="F419" s="168"/>
      <c r="G419" s="168"/>
      <c r="H419" s="168"/>
      <c r="I419" s="168"/>
      <c r="J419" s="168"/>
      <c r="K419" s="168"/>
      <c r="L419" s="168"/>
      <c r="M419" s="168"/>
      <c r="N419" s="168"/>
      <c r="O419" s="433"/>
      <c r="P419" s="122"/>
      <c r="Q419" s="156"/>
      <c r="R419" s="156"/>
      <c r="S419" s="156"/>
      <c r="T419" s="156"/>
      <c r="U419" s="156"/>
      <c r="V419" s="156"/>
      <c r="W419" s="156"/>
      <c r="X419" s="156"/>
      <c r="Y419" s="156"/>
      <c r="Z419" s="157"/>
      <c r="AA419" s="157"/>
      <c r="AB419" s="156"/>
      <c r="AC419" s="156"/>
      <c r="AD419" s="156"/>
      <c r="AE419" s="156"/>
      <c r="AF419" s="156"/>
      <c r="AG419" s="156"/>
      <c r="AH419" s="156"/>
      <c r="AI419" s="156"/>
      <c r="AJ419" s="156"/>
      <c r="AK419" s="156"/>
      <c r="AL419" s="156"/>
      <c r="AM419" s="158"/>
      <c r="AN419" s="156"/>
      <c r="AO419" s="156"/>
      <c r="AP419" s="156"/>
      <c r="AQ419" s="156"/>
      <c r="AR419" s="156"/>
      <c r="AS419" s="156"/>
      <c r="AT419" s="156"/>
      <c r="AU419" s="156"/>
      <c r="AV419" s="156"/>
      <c r="AW419" s="156"/>
      <c r="AX419" s="156"/>
      <c r="AY419" s="156"/>
      <c r="AZ419" s="156"/>
      <c r="BA419" s="153"/>
      <c r="BD419" s="153"/>
      <c r="BE419" s="147"/>
      <c r="BI419" s="153"/>
      <c r="BO419" s="153"/>
      <c r="BW419" s="153"/>
      <c r="CD419" s="146"/>
      <c r="CF419" s="147"/>
      <c r="CI419" s="146"/>
      <c r="CJ419" s="153"/>
      <c r="CV419" s="154"/>
      <c r="CX419" s="154"/>
      <c r="CZ419" s="154"/>
      <c r="DB419" s="154"/>
      <c r="DD419" s="154"/>
      <c r="DH419" s="474"/>
      <c r="DI419" s="459"/>
      <c r="DJ419" s="459"/>
      <c r="DK419" s="459"/>
      <c r="DL419" s="459"/>
      <c r="DM419" s="459"/>
      <c r="DN419" s="459"/>
      <c r="DO419" s="459"/>
      <c r="DP419" s="459"/>
      <c r="DQ419" s="459"/>
      <c r="DR419" s="459"/>
      <c r="DS419" s="459"/>
      <c r="DT419" s="459"/>
      <c r="DU419" s="459"/>
      <c r="DV419" s="468"/>
      <c r="DW419" s="468"/>
      <c r="DX419" s="459"/>
      <c r="DY419" s="459"/>
    </row>
    <row r="420" spans="1:129" s="128" customFormat="1" ht="54.95" customHeight="1" x14ac:dyDescent="0.25">
      <c r="A420" s="377"/>
      <c r="B420" s="175"/>
      <c r="C420" s="393"/>
      <c r="D420" s="168"/>
      <c r="E420" s="168"/>
      <c r="F420" s="168"/>
      <c r="G420" s="168"/>
      <c r="H420" s="168"/>
      <c r="I420" s="168"/>
      <c r="J420" s="168"/>
      <c r="K420" s="168"/>
      <c r="L420" s="168"/>
      <c r="M420" s="168"/>
      <c r="N420" s="168"/>
      <c r="O420" s="433"/>
      <c r="P420" s="122"/>
      <c r="Q420" s="156"/>
      <c r="R420" s="156"/>
      <c r="S420" s="156"/>
      <c r="T420" s="156"/>
      <c r="U420" s="156"/>
      <c r="V420" s="156"/>
      <c r="W420" s="156"/>
      <c r="X420" s="156"/>
      <c r="Y420" s="156"/>
      <c r="Z420" s="157"/>
      <c r="AA420" s="157"/>
      <c r="AB420" s="156"/>
      <c r="AC420" s="156"/>
      <c r="AD420" s="156"/>
      <c r="AE420" s="156"/>
      <c r="AF420" s="156"/>
      <c r="AG420" s="156"/>
      <c r="AH420" s="156"/>
      <c r="AI420" s="156"/>
      <c r="AJ420" s="156"/>
      <c r="AK420" s="156"/>
      <c r="AL420" s="156"/>
      <c r="AM420" s="158"/>
      <c r="AN420" s="156"/>
      <c r="AO420" s="156"/>
      <c r="AP420" s="156"/>
      <c r="AQ420" s="156"/>
      <c r="AR420" s="156"/>
      <c r="AS420" s="156"/>
      <c r="AT420" s="156"/>
      <c r="AU420" s="156"/>
      <c r="AV420" s="156"/>
      <c r="AW420" s="156"/>
      <c r="AX420" s="156"/>
      <c r="AY420" s="156"/>
      <c r="AZ420" s="156"/>
      <c r="BA420" s="153"/>
      <c r="BD420" s="153"/>
      <c r="BE420" s="147"/>
      <c r="BI420" s="153"/>
      <c r="BO420" s="153"/>
      <c r="BW420" s="153"/>
      <c r="CD420" s="146"/>
      <c r="CF420" s="147"/>
      <c r="CI420" s="146"/>
      <c r="CJ420" s="153"/>
      <c r="CV420" s="154"/>
      <c r="CX420" s="154"/>
      <c r="CZ420" s="154"/>
      <c r="DB420" s="154"/>
      <c r="DD420" s="154"/>
      <c r="DH420" s="474"/>
      <c r="DI420" s="459"/>
      <c r="DJ420" s="459"/>
      <c r="DK420" s="459"/>
      <c r="DL420" s="459"/>
      <c r="DM420" s="459"/>
      <c r="DN420" s="459"/>
      <c r="DO420" s="459"/>
      <c r="DP420" s="459"/>
      <c r="DQ420" s="459"/>
      <c r="DR420" s="459"/>
      <c r="DS420" s="459"/>
      <c r="DT420" s="459"/>
      <c r="DU420" s="459"/>
      <c r="DV420" s="468"/>
      <c r="DW420" s="468"/>
      <c r="DX420" s="459"/>
      <c r="DY420" s="459"/>
    </row>
    <row r="421" spans="1:129" s="128" customFormat="1" ht="54.95" customHeight="1" x14ac:dyDescent="0.25">
      <c r="A421" s="377"/>
      <c r="B421" s="175"/>
      <c r="C421" s="393"/>
      <c r="D421" s="168"/>
      <c r="E421" s="168"/>
      <c r="F421" s="168"/>
      <c r="G421" s="168"/>
      <c r="H421" s="168"/>
      <c r="I421" s="168"/>
      <c r="J421" s="168"/>
      <c r="K421" s="168"/>
      <c r="L421" s="168"/>
      <c r="M421" s="168"/>
      <c r="N421" s="168"/>
      <c r="O421" s="433"/>
      <c r="P421" s="122"/>
      <c r="Q421" s="156"/>
      <c r="R421" s="156"/>
      <c r="S421" s="156"/>
      <c r="T421" s="156"/>
      <c r="U421" s="156"/>
      <c r="V421" s="156"/>
      <c r="W421" s="156"/>
      <c r="X421" s="156"/>
      <c r="Y421" s="156"/>
      <c r="Z421" s="157"/>
      <c r="AA421" s="157"/>
      <c r="AB421" s="156"/>
      <c r="AC421" s="156"/>
      <c r="AD421" s="156"/>
      <c r="AE421" s="156"/>
      <c r="AF421" s="156"/>
      <c r="AG421" s="156"/>
      <c r="AH421" s="156"/>
      <c r="AI421" s="156"/>
      <c r="AJ421" s="156"/>
      <c r="AK421" s="156"/>
      <c r="AL421" s="156"/>
      <c r="AM421" s="158"/>
      <c r="AN421" s="156"/>
      <c r="AO421" s="156"/>
      <c r="AP421" s="156"/>
      <c r="AQ421" s="156"/>
      <c r="AR421" s="156"/>
      <c r="AS421" s="156"/>
      <c r="AT421" s="156"/>
      <c r="AU421" s="156"/>
      <c r="AV421" s="156"/>
      <c r="AW421" s="156"/>
      <c r="AX421" s="156"/>
      <c r="AY421" s="156"/>
      <c r="AZ421" s="156"/>
      <c r="BA421" s="153"/>
      <c r="BD421" s="153"/>
      <c r="BE421" s="147"/>
      <c r="BI421" s="153"/>
      <c r="BO421" s="153"/>
      <c r="BW421" s="153"/>
      <c r="CD421" s="146"/>
      <c r="CF421" s="147"/>
      <c r="CI421" s="146"/>
      <c r="CJ421" s="153"/>
      <c r="CV421" s="154"/>
      <c r="CX421" s="154"/>
      <c r="CZ421" s="154"/>
      <c r="DB421" s="154"/>
      <c r="DD421" s="154"/>
      <c r="DH421" s="474"/>
      <c r="DI421" s="459"/>
      <c r="DJ421" s="459"/>
      <c r="DK421" s="459"/>
      <c r="DL421" s="459"/>
      <c r="DM421" s="459"/>
      <c r="DN421" s="459"/>
      <c r="DO421" s="459"/>
      <c r="DP421" s="459"/>
      <c r="DQ421" s="459"/>
      <c r="DR421" s="459"/>
      <c r="DS421" s="459"/>
      <c r="DT421" s="459"/>
      <c r="DU421" s="459"/>
      <c r="DV421" s="468"/>
      <c r="DW421" s="468"/>
      <c r="DX421" s="459"/>
      <c r="DY421" s="459"/>
    </row>
    <row r="422" spans="1:129" s="128" customFormat="1" ht="54.95" customHeight="1" x14ac:dyDescent="0.25">
      <c r="A422" s="377"/>
      <c r="B422" s="175"/>
      <c r="C422" s="393"/>
      <c r="D422" s="168"/>
      <c r="E422" s="168"/>
      <c r="F422" s="168"/>
      <c r="G422" s="168"/>
      <c r="H422" s="168"/>
      <c r="I422" s="168"/>
      <c r="J422" s="168"/>
      <c r="K422" s="168"/>
      <c r="L422" s="168"/>
      <c r="M422" s="168"/>
      <c r="N422" s="168"/>
      <c r="O422" s="433"/>
      <c r="P422" s="122"/>
      <c r="Q422" s="156"/>
      <c r="R422" s="156"/>
      <c r="S422" s="156"/>
      <c r="T422" s="156"/>
      <c r="U422" s="156"/>
      <c r="V422" s="156"/>
      <c r="W422" s="156"/>
      <c r="X422" s="156"/>
      <c r="Y422" s="156"/>
      <c r="Z422" s="157"/>
      <c r="AA422" s="157"/>
      <c r="AB422" s="156"/>
      <c r="AC422" s="156"/>
      <c r="AD422" s="156"/>
      <c r="AE422" s="156"/>
      <c r="AF422" s="156"/>
      <c r="AG422" s="156"/>
      <c r="AH422" s="156"/>
      <c r="AI422" s="156"/>
      <c r="AJ422" s="156"/>
      <c r="AK422" s="156"/>
      <c r="AL422" s="156"/>
      <c r="AM422" s="158"/>
      <c r="AN422" s="156"/>
      <c r="AO422" s="156"/>
      <c r="AP422" s="156"/>
      <c r="AQ422" s="156"/>
      <c r="AR422" s="156"/>
      <c r="AS422" s="156"/>
      <c r="AT422" s="156"/>
      <c r="AU422" s="156"/>
      <c r="AV422" s="156"/>
      <c r="AW422" s="156"/>
      <c r="AX422" s="156"/>
      <c r="AY422" s="156"/>
      <c r="AZ422" s="156"/>
      <c r="BA422" s="153"/>
      <c r="BD422" s="153"/>
      <c r="BE422" s="147"/>
      <c r="BI422" s="153"/>
      <c r="BO422" s="153"/>
      <c r="BW422" s="153"/>
      <c r="CD422" s="146"/>
      <c r="CF422" s="147"/>
      <c r="CI422" s="146"/>
      <c r="CJ422" s="153"/>
      <c r="CV422" s="154"/>
      <c r="CX422" s="154"/>
      <c r="CZ422" s="154"/>
      <c r="DB422" s="154"/>
      <c r="DD422" s="154"/>
      <c r="DH422" s="474"/>
      <c r="DI422" s="459"/>
      <c r="DJ422" s="459"/>
      <c r="DK422" s="459"/>
      <c r="DL422" s="459"/>
      <c r="DM422" s="459"/>
      <c r="DN422" s="459"/>
      <c r="DO422" s="459"/>
      <c r="DP422" s="459"/>
      <c r="DQ422" s="459"/>
      <c r="DR422" s="459"/>
      <c r="DS422" s="459"/>
      <c r="DT422" s="459"/>
      <c r="DU422" s="459"/>
      <c r="DV422" s="468"/>
      <c r="DW422" s="468"/>
      <c r="DX422" s="459"/>
      <c r="DY422" s="459"/>
    </row>
    <row r="423" spans="1:129" s="128" customFormat="1" ht="54.95" customHeight="1" x14ac:dyDescent="0.25">
      <c r="A423" s="377"/>
      <c r="B423" s="175"/>
      <c r="C423" s="393"/>
      <c r="D423" s="168"/>
      <c r="E423" s="168"/>
      <c r="F423" s="168"/>
      <c r="G423" s="168"/>
      <c r="H423" s="168"/>
      <c r="I423" s="168"/>
      <c r="J423" s="168"/>
      <c r="K423" s="168"/>
      <c r="L423" s="168"/>
      <c r="M423" s="168"/>
      <c r="N423" s="168"/>
      <c r="O423" s="433"/>
      <c r="P423" s="122"/>
      <c r="Q423" s="156"/>
      <c r="R423" s="156"/>
      <c r="S423" s="156"/>
      <c r="T423" s="156"/>
      <c r="U423" s="156"/>
      <c r="V423" s="156"/>
      <c r="W423" s="156"/>
      <c r="X423" s="156"/>
      <c r="Y423" s="156"/>
      <c r="Z423" s="157"/>
      <c r="AA423" s="157"/>
      <c r="AB423" s="156"/>
      <c r="AC423" s="156"/>
      <c r="AD423" s="156"/>
      <c r="AE423" s="156"/>
      <c r="AF423" s="156"/>
      <c r="AG423" s="156"/>
      <c r="AH423" s="156"/>
      <c r="AI423" s="156"/>
      <c r="AJ423" s="156"/>
      <c r="AK423" s="156"/>
      <c r="AL423" s="156"/>
      <c r="AM423" s="158"/>
      <c r="AN423" s="156"/>
      <c r="AO423" s="156"/>
      <c r="AP423" s="156"/>
      <c r="AQ423" s="156"/>
      <c r="AR423" s="156"/>
      <c r="AS423" s="156"/>
      <c r="AT423" s="156"/>
      <c r="AU423" s="156"/>
      <c r="AV423" s="156"/>
      <c r="AW423" s="156"/>
      <c r="AX423" s="156"/>
      <c r="AY423" s="156"/>
      <c r="AZ423" s="156"/>
      <c r="BA423" s="153"/>
      <c r="BD423" s="153"/>
      <c r="BE423" s="147"/>
      <c r="BI423" s="153"/>
      <c r="BO423" s="153"/>
      <c r="BW423" s="153"/>
      <c r="CD423" s="146"/>
      <c r="CF423" s="147"/>
      <c r="CI423" s="146"/>
      <c r="CJ423" s="153"/>
      <c r="CV423" s="154"/>
      <c r="CX423" s="154"/>
      <c r="CZ423" s="154"/>
      <c r="DB423" s="154"/>
      <c r="DD423" s="154"/>
      <c r="DH423" s="474"/>
      <c r="DI423" s="459"/>
      <c r="DJ423" s="459"/>
      <c r="DK423" s="459"/>
      <c r="DL423" s="459"/>
      <c r="DM423" s="459"/>
      <c r="DN423" s="459"/>
      <c r="DO423" s="459"/>
      <c r="DP423" s="459"/>
      <c r="DQ423" s="459"/>
      <c r="DR423" s="459"/>
      <c r="DS423" s="459"/>
      <c r="DT423" s="459"/>
      <c r="DU423" s="459"/>
      <c r="DV423" s="468"/>
      <c r="DW423" s="468"/>
      <c r="DX423" s="459"/>
      <c r="DY423" s="459"/>
    </row>
    <row r="424" spans="1:129" s="128" customFormat="1" ht="54.95" customHeight="1" x14ac:dyDescent="0.25">
      <c r="A424" s="377"/>
      <c r="B424" s="175"/>
      <c r="C424" s="393"/>
      <c r="D424" s="168"/>
      <c r="E424" s="168"/>
      <c r="F424" s="168"/>
      <c r="G424" s="168"/>
      <c r="H424" s="168"/>
      <c r="I424" s="168"/>
      <c r="J424" s="168"/>
      <c r="K424" s="168"/>
      <c r="L424" s="168"/>
      <c r="M424" s="168"/>
      <c r="N424" s="168"/>
      <c r="O424" s="433"/>
      <c r="P424" s="122"/>
      <c r="Q424" s="156"/>
      <c r="R424" s="156"/>
      <c r="S424" s="156"/>
      <c r="T424" s="156"/>
      <c r="U424" s="156"/>
      <c r="V424" s="156"/>
      <c r="W424" s="156"/>
      <c r="X424" s="156"/>
      <c r="Y424" s="156"/>
      <c r="Z424" s="157"/>
      <c r="AA424" s="157"/>
      <c r="AB424" s="156"/>
      <c r="AC424" s="156"/>
      <c r="AD424" s="156"/>
      <c r="AE424" s="156"/>
      <c r="AF424" s="156"/>
      <c r="AG424" s="156"/>
      <c r="AH424" s="156"/>
      <c r="AI424" s="156"/>
      <c r="AJ424" s="156"/>
      <c r="AK424" s="156"/>
      <c r="AL424" s="156"/>
      <c r="AM424" s="158"/>
      <c r="AN424" s="156"/>
      <c r="AO424" s="156"/>
      <c r="AP424" s="156"/>
      <c r="AQ424" s="156"/>
      <c r="AR424" s="156"/>
      <c r="AS424" s="156"/>
      <c r="AT424" s="156"/>
      <c r="AU424" s="156"/>
      <c r="AV424" s="156"/>
      <c r="AW424" s="156"/>
      <c r="AX424" s="156"/>
      <c r="AY424" s="156"/>
      <c r="AZ424" s="156"/>
      <c r="BA424" s="153"/>
      <c r="BD424" s="153"/>
      <c r="BE424" s="147"/>
      <c r="BI424" s="153"/>
      <c r="BO424" s="153"/>
      <c r="BW424" s="153"/>
      <c r="CD424" s="146"/>
      <c r="CF424" s="147"/>
      <c r="CI424" s="146"/>
      <c r="CJ424" s="153"/>
      <c r="CV424" s="154"/>
      <c r="CX424" s="154"/>
      <c r="CZ424" s="154"/>
      <c r="DB424" s="154"/>
      <c r="DD424" s="154"/>
      <c r="DH424" s="474"/>
      <c r="DI424" s="459"/>
      <c r="DJ424" s="459"/>
      <c r="DK424" s="459"/>
      <c r="DL424" s="459"/>
      <c r="DM424" s="459"/>
      <c r="DN424" s="459"/>
      <c r="DO424" s="459"/>
      <c r="DP424" s="459"/>
      <c r="DQ424" s="459"/>
      <c r="DR424" s="459"/>
      <c r="DS424" s="459"/>
      <c r="DT424" s="459"/>
      <c r="DU424" s="459"/>
      <c r="DV424" s="468"/>
      <c r="DW424" s="468"/>
      <c r="DX424" s="459"/>
      <c r="DY424" s="459"/>
    </row>
    <row r="425" spans="1:129" s="128" customFormat="1" ht="54.95" customHeight="1" x14ac:dyDescent="0.25">
      <c r="A425" s="377"/>
      <c r="B425" s="175"/>
      <c r="C425" s="393"/>
      <c r="D425" s="168"/>
      <c r="E425" s="168"/>
      <c r="F425" s="168"/>
      <c r="G425" s="168"/>
      <c r="H425" s="168"/>
      <c r="I425" s="168"/>
      <c r="J425" s="168"/>
      <c r="K425" s="168"/>
      <c r="L425" s="168"/>
      <c r="M425" s="168"/>
      <c r="N425" s="168"/>
      <c r="O425" s="433"/>
      <c r="P425" s="122"/>
      <c r="Q425" s="156"/>
      <c r="R425" s="156"/>
      <c r="S425" s="156"/>
      <c r="T425" s="156"/>
      <c r="U425" s="156"/>
      <c r="V425" s="156"/>
      <c r="W425" s="156"/>
      <c r="X425" s="156"/>
      <c r="Y425" s="156"/>
      <c r="Z425" s="157"/>
      <c r="AA425" s="157"/>
      <c r="AB425" s="156"/>
      <c r="AC425" s="156"/>
      <c r="AD425" s="156"/>
      <c r="AE425" s="156"/>
      <c r="AF425" s="156"/>
      <c r="AG425" s="156"/>
      <c r="AH425" s="156"/>
      <c r="AI425" s="156"/>
      <c r="AJ425" s="156"/>
      <c r="AK425" s="156"/>
      <c r="AL425" s="156"/>
      <c r="AM425" s="158"/>
      <c r="AN425" s="156"/>
      <c r="AO425" s="156"/>
      <c r="AP425" s="156"/>
      <c r="AQ425" s="156"/>
      <c r="AR425" s="156"/>
      <c r="AS425" s="156"/>
      <c r="AT425" s="156"/>
      <c r="AU425" s="156"/>
      <c r="AV425" s="156"/>
      <c r="AW425" s="156"/>
      <c r="AX425" s="156"/>
      <c r="AY425" s="156"/>
      <c r="AZ425" s="156"/>
      <c r="BA425" s="153"/>
      <c r="BD425" s="153"/>
      <c r="BE425" s="147"/>
      <c r="BI425" s="153"/>
      <c r="BO425" s="153"/>
      <c r="BW425" s="153"/>
      <c r="CD425" s="146"/>
      <c r="CF425" s="147"/>
      <c r="CI425" s="146"/>
      <c r="CJ425" s="153"/>
      <c r="CV425" s="154"/>
      <c r="CX425" s="154"/>
      <c r="CZ425" s="154"/>
      <c r="DB425" s="154"/>
      <c r="DD425" s="154"/>
      <c r="DH425" s="474"/>
      <c r="DI425" s="459"/>
      <c r="DJ425" s="459"/>
      <c r="DK425" s="459"/>
      <c r="DL425" s="459"/>
      <c r="DM425" s="459"/>
      <c r="DN425" s="459"/>
      <c r="DO425" s="459"/>
      <c r="DP425" s="459"/>
      <c r="DQ425" s="459"/>
      <c r="DR425" s="459"/>
      <c r="DS425" s="459"/>
      <c r="DT425" s="459"/>
      <c r="DU425" s="459"/>
      <c r="DV425" s="468"/>
      <c r="DW425" s="468"/>
      <c r="DX425" s="459"/>
      <c r="DY425" s="459"/>
    </row>
    <row r="426" spans="1:129" s="128" customFormat="1" ht="54.95" customHeight="1" x14ac:dyDescent="0.25">
      <c r="A426" s="377"/>
      <c r="B426" s="175"/>
      <c r="C426" s="393"/>
      <c r="D426" s="168"/>
      <c r="E426" s="168"/>
      <c r="F426" s="168"/>
      <c r="G426" s="168"/>
      <c r="H426" s="168"/>
      <c r="I426" s="168"/>
      <c r="J426" s="168"/>
      <c r="K426" s="168"/>
      <c r="L426" s="168"/>
      <c r="M426" s="168"/>
      <c r="N426" s="168"/>
      <c r="O426" s="433"/>
      <c r="P426" s="122"/>
      <c r="Q426" s="156"/>
      <c r="R426" s="156"/>
      <c r="S426" s="156"/>
      <c r="T426" s="156"/>
      <c r="U426" s="156"/>
      <c r="V426" s="156"/>
      <c r="W426" s="156"/>
      <c r="X426" s="156"/>
      <c r="Y426" s="156"/>
      <c r="Z426" s="157"/>
      <c r="AA426" s="157"/>
      <c r="AB426" s="156"/>
      <c r="AC426" s="156"/>
      <c r="AD426" s="156"/>
      <c r="AE426" s="156"/>
      <c r="AF426" s="156"/>
      <c r="AG426" s="156"/>
      <c r="AH426" s="156"/>
      <c r="AI426" s="156"/>
      <c r="AJ426" s="156"/>
      <c r="AK426" s="156"/>
      <c r="AL426" s="156"/>
      <c r="AM426" s="158"/>
      <c r="AN426" s="156"/>
      <c r="AO426" s="156"/>
      <c r="AP426" s="156"/>
      <c r="AQ426" s="156"/>
      <c r="AR426" s="156"/>
      <c r="AS426" s="156"/>
      <c r="AT426" s="156"/>
      <c r="AU426" s="156"/>
      <c r="AV426" s="156"/>
      <c r="AW426" s="156"/>
      <c r="AX426" s="156"/>
      <c r="AY426" s="156"/>
      <c r="AZ426" s="156"/>
      <c r="BA426" s="153"/>
      <c r="BD426" s="153"/>
      <c r="BE426" s="147"/>
      <c r="BI426" s="153"/>
      <c r="BO426" s="153"/>
      <c r="BW426" s="153"/>
      <c r="CD426" s="146"/>
      <c r="CF426" s="147"/>
      <c r="CI426" s="146"/>
      <c r="CJ426" s="153"/>
      <c r="CV426" s="154"/>
      <c r="CX426" s="154"/>
      <c r="CZ426" s="154"/>
      <c r="DB426" s="154"/>
      <c r="DD426" s="154"/>
      <c r="DH426" s="474"/>
      <c r="DI426" s="459"/>
      <c r="DJ426" s="459"/>
      <c r="DK426" s="459"/>
      <c r="DL426" s="459"/>
      <c r="DM426" s="459"/>
      <c r="DN426" s="459"/>
      <c r="DO426" s="459"/>
      <c r="DP426" s="459"/>
      <c r="DQ426" s="459"/>
      <c r="DR426" s="459"/>
      <c r="DS426" s="459"/>
      <c r="DT426" s="459"/>
      <c r="DU426" s="459"/>
      <c r="DV426" s="468"/>
      <c r="DW426" s="468"/>
      <c r="DX426" s="459"/>
      <c r="DY426" s="459"/>
    </row>
    <row r="427" spans="1:129" s="128" customFormat="1" ht="54.95" customHeight="1" x14ac:dyDescent="0.25">
      <c r="A427" s="377"/>
      <c r="B427" s="175"/>
      <c r="C427" s="393"/>
      <c r="D427" s="168"/>
      <c r="E427" s="168"/>
      <c r="F427" s="168"/>
      <c r="G427" s="168"/>
      <c r="H427" s="168"/>
      <c r="I427" s="168"/>
      <c r="J427" s="168"/>
      <c r="K427" s="168"/>
      <c r="L427" s="168"/>
      <c r="M427" s="168"/>
      <c r="N427" s="168"/>
      <c r="O427" s="433"/>
      <c r="P427" s="122"/>
      <c r="Q427" s="156"/>
      <c r="R427" s="156"/>
      <c r="S427" s="156"/>
      <c r="T427" s="156"/>
      <c r="U427" s="156"/>
      <c r="V427" s="156"/>
      <c r="W427" s="156"/>
      <c r="X427" s="156"/>
      <c r="Y427" s="156"/>
      <c r="Z427" s="157"/>
      <c r="AA427" s="157"/>
      <c r="AB427" s="156"/>
      <c r="AC427" s="156"/>
      <c r="AD427" s="156"/>
      <c r="AE427" s="156"/>
      <c r="AF427" s="156"/>
      <c r="AG427" s="156"/>
      <c r="AH427" s="156"/>
      <c r="AI427" s="156"/>
      <c r="AJ427" s="156"/>
      <c r="AK427" s="156"/>
      <c r="AL427" s="156"/>
      <c r="AM427" s="158"/>
      <c r="AN427" s="156"/>
      <c r="AO427" s="156"/>
      <c r="AP427" s="156"/>
      <c r="AQ427" s="156"/>
      <c r="AR427" s="156"/>
      <c r="AS427" s="156"/>
      <c r="AT427" s="156"/>
      <c r="AU427" s="156"/>
      <c r="AV427" s="156"/>
      <c r="AW427" s="156"/>
      <c r="AX427" s="156"/>
      <c r="AY427" s="156"/>
      <c r="AZ427" s="156"/>
      <c r="BA427" s="153"/>
      <c r="BD427" s="153"/>
      <c r="BE427" s="147"/>
      <c r="BI427" s="153"/>
      <c r="BO427" s="153"/>
      <c r="BW427" s="153"/>
      <c r="CD427" s="146"/>
      <c r="CF427" s="147"/>
      <c r="CI427" s="146"/>
      <c r="CJ427" s="153"/>
      <c r="CV427" s="154"/>
      <c r="CX427" s="154"/>
      <c r="CZ427" s="154"/>
      <c r="DB427" s="154"/>
      <c r="DD427" s="154"/>
      <c r="DH427" s="474"/>
      <c r="DI427" s="459"/>
      <c r="DJ427" s="459"/>
      <c r="DK427" s="459"/>
      <c r="DL427" s="459"/>
      <c r="DM427" s="459"/>
      <c r="DN427" s="459"/>
      <c r="DO427" s="459"/>
      <c r="DP427" s="459"/>
      <c r="DQ427" s="459"/>
      <c r="DR427" s="459"/>
      <c r="DS427" s="459"/>
      <c r="DT427" s="459"/>
      <c r="DU427" s="459"/>
      <c r="DV427" s="468"/>
      <c r="DW427" s="468"/>
      <c r="DX427" s="459"/>
      <c r="DY427" s="459"/>
    </row>
    <row r="428" spans="1:129" s="128" customFormat="1" ht="54.95" customHeight="1" x14ac:dyDescent="0.25">
      <c r="A428" s="377"/>
      <c r="B428" s="175"/>
      <c r="C428" s="393"/>
      <c r="D428" s="168"/>
      <c r="E428" s="168"/>
      <c r="F428" s="168"/>
      <c r="G428" s="168"/>
      <c r="H428" s="168"/>
      <c r="I428" s="168"/>
      <c r="J428" s="168"/>
      <c r="K428" s="168"/>
      <c r="L428" s="168"/>
      <c r="M428" s="168"/>
      <c r="N428" s="168"/>
      <c r="O428" s="433"/>
      <c r="P428" s="122"/>
      <c r="Q428" s="156"/>
      <c r="R428" s="156"/>
      <c r="S428" s="156"/>
      <c r="T428" s="156"/>
      <c r="U428" s="156"/>
      <c r="V428" s="156"/>
      <c r="W428" s="156"/>
      <c r="X428" s="156"/>
      <c r="Y428" s="156"/>
      <c r="Z428" s="157"/>
      <c r="AA428" s="157"/>
      <c r="AB428" s="156"/>
      <c r="AC428" s="156"/>
      <c r="AD428" s="156"/>
      <c r="AE428" s="156"/>
      <c r="AF428" s="156"/>
      <c r="AG428" s="156"/>
      <c r="AH428" s="156"/>
      <c r="AI428" s="156"/>
      <c r="AJ428" s="156"/>
      <c r="AK428" s="156"/>
      <c r="AL428" s="156"/>
      <c r="AM428" s="158"/>
      <c r="AN428" s="156"/>
      <c r="AO428" s="156"/>
      <c r="AP428" s="156"/>
      <c r="AQ428" s="156"/>
      <c r="AR428" s="156"/>
      <c r="AS428" s="156"/>
      <c r="AT428" s="156"/>
      <c r="AU428" s="156"/>
      <c r="AV428" s="156"/>
      <c r="AW428" s="156"/>
      <c r="AX428" s="156"/>
      <c r="AY428" s="156"/>
      <c r="AZ428" s="156"/>
      <c r="BA428" s="153"/>
      <c r="BD428" s="153"/>
      <c r="BE428" s="147"/>
      <c r="BI428" s="153"/>
      <c r="BO428" s="153"/>
      <c r="BW428" s="153"/>
      <c r="CD428" s="146"/>
      <c r="CF428" s="147"/>
      <c r="CI428" s="146"/>
      <c r="CJ428" s="153"/>
      <c r="CV428" s="154"/>
      <c r="CX428" s="154"/>
      <c r="CZ428" s="154"/>
      <c r="DB428" s="154"/>
      <c r="DD428" s="154"/>
      <c r="DH428" s="474"/>
      <c r="DI428" s="459"/>
      <c r="DJ428" s="459"/>
      <c r="DK428" s="459"/>
      <c r="DL428" s="459"/>
      <c r="DM428" s="459"/>
      <c r="DN428" s="459"/>
      <c r="DO428" s="459"/>
      <c r="DP428" s="459"/>
      <c r="DQ428" s="459"/>
      <c r="DR428" s="459"/>
      <c r="DS428" s="459"/>
      <c r="DT428" s="459"/>
      <c r="DU428" s="459"/>
      <c r="DV428" s="468"/>
      <c r="DW428" s="468"/>
      <c r="DX428" s="459"/>
      <c r="DY428" s="459"/>
    </row>
    <row r="429" spans="1:129" s="128" customFormat="1" ht="54.95" customHeight="1" x14ac:dyDescent="0.25">
      <c r="A429" s="377"/>
      <c r="B429" s="175"/>
      <c r="C429" s="393"/>
      <c r="D429" s="168"/>
      <c r="E429" s="168"/>
      <c r="F429" s="168"/>
      <c r="G429" s="168"/>
      <c r="H429" s="168"/>
      <c r="I429" s="168"/>
      <c r="J429" s="168"/>
      <c r="K429" s="168"/>
      <c r="L429" s="168"/>
      <c r="M429" s="168"/>
      <c r="N429" s="168"/>
      <c r="O429" s="433"/>
      <c r="P429" s="122"/>
      <c r="Q429" s="156"/>
      <c r="R429" s="156"/>
      <c r="S429" s="156"/>
      <c r="T429" s="156"/>
      <c r="U429" s="156"/>
      <c r="V429" s="156"/>
      <c r="W429" s="156"/>
      <c r="X429" s="156"/>
      <c r="Y429" s="156"/>
      <c r="Z429" s="157"/>
      <c r="AA429" s="157"/>
      <c r="AB429" s="156"/>
      <c r="AC429" s="156"/>
      <c r="AD429" s="156"/>
      <c r="AE429" s="156"/>
      <c r="AF429" s="156"/>
      <c r="AG429" s="156"/>
      <c r="AH429" s="156"/>
      <c r="AI429" s="156"/>
      <c r="AJ429" s="156"/>
      <c r="AK429" s="156"/>
      <c r="AL429" s="156"/>
      <c r="AM429" s="158"/>
      <c r="AN429" s="156"/>
      <c r="AO429" s="156"/>
      <c r="AP429" s="156"/>
      <c r="AQ429" s="156"/>
      <c r="AR429" s="156"/>
      <c r="AS429" s="156"/>
      <c r="AT429" s="156"/>
      <c r="AU429" s="156"/>
      <c r="AV429" s="156"/>
      <c r="AW429" s="156"/>
      <c r="AX429" s="156"/>
      <c r="AY429" s="156"/>
      <c r="AZ429" s="156"/>
      <c r="BA429" s="153"/>
      <c r="BD429" s="153"/>
      <c r="BE429" s="147"/>
      <c r="BI429" s="153"/>
      <c r="BO429" s="153"/>
      <c r="BW429" s="153"/>
      <c r="CD429" s="146"/>
      <c r="CF429" s="147"/>
      <c r="CI429" s="146"/>
      <c r="CJ429" s="153"/>
      <c r="CV429" s="154"/>
      <c r="CX429" s="154"/>
      <c r="CZ429" s="154"/>
      <c r="DB429" s="154"/>
      <c r="DD429" s="154"/>
      <c r="DH429" s="474"/>
      <c r="DI429" s="459"/>
      <c r="DJ429" s="459"/>
      <c r="DK429" s="459"/>
      <c r="DL429" s="459"/>
      <c r="DM429" s="459"/>
      <c r="DN429" s="459"/>
      <c r="DO429" s="459"/>
      <c r="DP429" s="459"/>
      <c r="DQ429" s="459"/>
      <c r="DR429" s="459"/>
      <c r="DS429" s="459"/>
      <c r="DT429" s="459"/>
      <c r="DU429" s="459"/>
      <c r="DV429" s="468"/>
      <c r="DW429" s="468"/>
      <c r="DX429" s="459"/>
      <c r="DY429" s="459"/>
    </row>
    <row r="430" spans="1:129" s="128" customFormat="1" ht="54.95" customHeight="1" x14ac:dyDescent="0.25">
      <c r="A430" s="377"/>
      <c r="B430" s="175"/>
      <c r="C430" s="393"/>
      <c r="D430" s="168"/>
      <c r="E430" s="168"/>
      <c r="F430" s="168"/>
      <c r="G430" s="168"/>
      <c r="H430" s="168"/>
      <c r="I430" s="168"/>
      <c r="J430" s="168"/>
      <c r="K430" s="168"/>
      <c r="L430" s="168"/>
      <c r="M430" s="168"/>
      <c r="N430" s="168"/>
      <c r="O430" s="433"/>
      <c r="P430" s="122"/>
      <c r="Q430" s="156"/>
      <c r="R430" s="156"/>
      <c r="S430" s="156"/>
      <c r="T430" s="156"/>
      <c r="U430" s="156"/>
      <c r="V430" s="156"/>
      <c r="W430" s="156"/>
      <c r="X430" s="156"/>
      <c r="Y430" s="156"/>
      <c r="Z430" s="157"/>
      <c r="AA430" s="157"/>
      <c r="AB430" s="156"/>
      <c r="AC430" s="156"/>
      <c r="AD430" s="156"/>
      <c r="AE430" s="156"/>
      <c r="AF430" s="156"/>
      <c r="AG430" s="156"/>
      <c r="AH430" s="156"/>
      <c r="AI430" s="156"/>
      <c r="AJ430" s="156"/>
      <c r="AK430" s="156"/>
      <c r="AL430" s="156"/>
      <c r="AM430" s="158"/>
      <c r="AN430" s="156"/>
      <c r="AO430" s="156"/>
      <c r="AP430" s="156"/>
      <c r="AQ430" s="156"/>
      <c r="AR430" s="156"/>
      <c r="AS430" s="156"/>
      <c r="AT430" s="156"/>
      <c r="AU430" s="156"/>
      <c r="AV430" s="156"/>
      <c r="AW430" s="156"/>
      <c r="AX430" s="156"/>
      <c r="AY430" s="156"/>
      <c r="AZ430" s="156"/>
      <c r="BA430" s="153"/>
      <c r="BD430" s="153"/>
      <c r="BE430" s="147"/>
      <c r="BI430" s="153"/>
      <c r="BO430" s="153"/>
      <c r="BW430" s="153"/>
      <c r="CD430" s="146"/>
      <c r="CF430" s="147"/>
      <c r="CI430" s="146"/>
      <c r="CJ430" s="153"/>
      <c r="CV430" s="154"/>
      <c r="CX430" s="154"/>
      <c r="CZ430" s="154"/>
      <c r="DB430" s="154"/>
      <c r="DD430" s="154"/>
      <c r="DH430" s="474"/>
      <c r="DI430" s="459"/>
      <c r="DJ430" s="459"/>
      <c r="DK430" s="459"/>
      <c r="DL430" s="459"/>
      <c r="DM430" s="459"/>
      <c r="DN430" s="459"/>
      <c r="DO430" s="459"/>
      <c r="DP430" s="459"/>
      <c r="DQ430" s="459"/>
      <c r="DR430" s="459"/>
      <c r="DS430" s="459"/>
      <c r="DT430" s="459"/>
      <c r="DU430" s="459"/>
      <c r="DV430" s="468"/>
      <c r="DW430" s="468"/>
      <c r="DX430" s="459"/>
      <c r="DY430" s="459"/>
    </row>
    <row r="431" spans="1:129" s="128" customFormat="1" ht="54.95" customHeight="1" x14ac:dyDescent="0.25">
      <c r="A431" s="377"/>
      <c r="B431" s="175"/>
      <c r="C431" s="393"/>
      <c r="D431" s="168"/>
      <c r="E431" s="168"/>
      <c r="F431" s="168"/>
      <c r="G431" s="168"/>
      <c r="H431" s="168"/>
      <c r="I431" s="168"/>
      <c r="J431" s="168"/>
      <c r="K431" s="168"/>
      <c r="L431" s="168"/>
      <c r="M431" s="168"/>
      <c r="N431" s="168"/>
      <c r="O431" s="433"/>
      <c r="P431" s="122"/>
      <c r="Q431" s="156"/>
      <c r="R431" s="156"/>
      <c r="S431" s="156"/>
      <c r="T431" s="156"/>
      <c r="U431" s="156"/>
      <c r="V431" s="156"/>
      <c r="W431" s="156"/>
      <c r="X431" s="156"/>
      <c r="Y431" s="156"/>
      <c r="Z431" s="157"/>
      <c r="AA431" s="157"/>
      <c r="AB431" s="156"/>
      <c r="AC431" s="156"/>
      <c r="AD431" s="156"/>
      <c r="AE431" s="156"/>
      <c r="AF431" s="156"/>
      <c r="AG431" s="156"/>
      <c r="AH431" s="156"/>
      <c r="AI431" s="156"/>
      <c r="AJ431" s="156"/>
      <c r="AK431" s="156"/>
      <c r="AL431" s="156"/>
      <c r="AM431" s="158"/>
      <c r="AN431" s="156"/>
      <c r="AO431" s="156"/>
      <c r="AP431" s="156"/>
      <c r="AQ431" s="156"/>
      <c r="AR431" s="156"/>
      <c r="AS431" s="156"/>
      <c r="AT431" s="156"/>
      <c r="AU431" s="156"/>
      <c r="AV431" s="156"/>
      <c r="AW431" s="156"/>
      <c r="AX431" s="156"/>
      <c r="AY431" s="156"/>
      <c r="AZ431" s="156"/>
      <c r="BA431" s="153"/>
      <c r="BD431" s="153"/>
      <c r="BE431" s="147"/>
      <c r="BI431" s="153"/>
      <c r="BO431" s="153"/>
      <c r="BW431" s="153"/>
      <c r="CD431" s="146"/>
      <c r="CF431" s="147"/>
      <c r="CI431" s="146"/>
      <c r="CJ431" s="153"/>
      <c r="CV431" s="154"/>
      <c r="CX431" s="154"/>
      <c r="CZ431" s="154"/>
      <c r="DB431" s="154"/>
      <c r="DD431" s="154"/>
      <c r="DH431" s="474"/>
      <c r="DI431" s="459"/>
      <c r="DJ431" s="459"/>
      <c r="DK431" s="459"/>
      <c r="DL431" s="459"/>
      <c r="DM431" s="459"/>
      <c r="DN431" s="459"/>
      <c r="DO431" s="459"/>
      <c r="DP431" s="459"/>
      <c r="DQ431" s="459"/>
      <c r="DR431" s="459"/>
      <c r="DS431" s="459"/>
      <c r="DT431" s="459"/>
      <c r="DU431" s="459"/>
      <c r="DV431" s="468"/>
      <c r="DW431" s="468"/>
      <c r="DX431" s="459"/>
      <c r="DY431" s="459"/>
    </row>
    <row r="432" spans="1:129" s="128" customFormat="1" ht="54.95" customHeight="1" x14ac:dyDescent="0.25">
      <c r="A432" s="377"/>
      <c r="B432" s="175"/>
      <c r="C432" s="393"/>
      <c r="D432" s="168"/>
      <c r="E432" s="168"/>
      <c r="F432" s="168"/>
      <c r="G432" s="168"/>
      <c r="H432" s="168"/>
      <c r="I432" s="168"/>
      <c r="J432" s="168"/>
      <c r="K432" s="168"/>
      <c r="L432" s="168"/>
      <c r="M432" s="168"/>
      <c r="N432" s="168"/>
      <c r="O432" s="433"/>
      <c r="P432" s="122"/>
      <c r="Q432" s="156"/>
      <c r="R432" s="156"/>
      <c r="S432" s="156"/>
      <c r="T432" s="156"/>
      <c r="U432" s="156"/>
      <c r="V432" s="156"/>
      <c r="W432" s="156"/>
      <c r="X432" s="156"/>
      <c r="Y432" s="156"/>
      <c r="Z432" s="157"/>
      <c r="AA432" s="157"/>
      <c r="AB432" s="156"/>
      <c r="AC432" s="156"/>
      <c r="AD432" s="156"/>
      <c r="AE432" s="156"/>
      <c r="AF432" s="156"/>
      <c r="AG432" s="156"/>
      <c r="AH432" s="156"/>
      <c r="AI432" s="156"/>
      <c r="AJ432" s="156"/>
      <c r="AK432" s="156"/>
      <c r="AL432" s="156"/>
      <c r="AM432" s="158"/>
      <c r="AN432" s="156"/>
      <c r="AO432" s="156"/>
      <c r="AP432" s="156"/>
      <c r="AQ432" s="156"/>
      <c r="AR432" s="156"/>
      <c r="AS432" s="156"/>
      <c r="AT432" s="156"/>
      <c r="AU432" s="156"/>
      <c r="AV432" s="156"/>
      <c r="AW432" s="156"/>
      <c r="AX432" s="156"/>
      <c r="AY432" s="156"/>
      <c r="AZ432" s="156"/>
      <c r="BA432" s="153"/>
      <c r="BD432" s="153"/>
      <c r="BE432" s="147"/>
      <c r="BI432" s="153"/>
      <c r="BO432" s="153"/>
      <c r="BW432" s="153"/>
      <c r="CD432" s="146"/>
      <c r="CF432" s="147"/>
      <c r="CI432" s="146"/>
      <c r="CJ432" s="153"/>
      <c r="CV432" s="154"/>
      <c r="CX432" s="154"/>
      <c r="CZ432" s="154"/>
      <c r="DB432" s="154"/>
      <c r="DD432" s="154"/>
      <c r="DH432" s="474"/>
      <c r="DI432" s="459"/>
      <c r="DJ432" s="459"/>
      <c r="DK432" s="459"/>
      <c r="DL432" s="459"/>
      <c r="DM432" s="459"/>
      <c r="DN432" s="459"/>
      <c r="DO432" s="459"/>
      <c r="DP432" s="459"/>
      <c r="DQ432" s="459"/>
      <c r="DR432" s="459"/>
      <c r="DS432" s="459"/>
      <c r="DT432" s="459"/>
      <c r="DU432" s="459"/>
      <c r="DV432" s="468"/>
      <c r="DW432" s="468"/>
      <c r="DX432" s="459"/>
      <c r="DY432" s="459"/>
    </row>
    <row r="433" spans="1:129" s="128" customFormat="1" ht="54.95" customHeight="1" x14ac:dyDescent="0.25">
      <c r="A433" s="377"/>
      <c r="B433" s="175"/>
      <c r="C433" s="393"/>
      <c r="D433" s="168"/>
      <c r="E433" s="168"/>
      <c r="F433" s="168"/>
      <c r="G433" s="168"/>
      <c r="H433" s="168"/>
      <c r="I433" s="168"/>
      <c r="J433" s="168"/>
      <c r="K433" s="168"/>
      <c r="L433" s="168"/>
      <c r="M433" s="168"/>
      <c r="N433" s="168"/>
      <c r="O433" s="433"/>
      <c r="P433" s="122"/>
      <c r="Q433" s="156"/>
      <c r="R433" s="156"/>
      <c r="S433" s="156"/>
      <c r="T433" s="156"/>
      <c r="U433" s="156"/>
      <c r="V433" s="156"/>
      <c r="W433" s="156"/>
      <c r="X433" s="156"/>
      <c r="Y433" s="156"/>
      <c r="Z433" s="157"/>
      <c r="AA433" s="157"/>
      <c r="AB433" s="156"/>
      <c r="AC433" s="156"/>
      <c r="AD433" s="156"/>
      <c r="AE433" s="156"/>
      <c r="AF433" s="156"/>
      <c r="AG433" s="156"/>
      <c r="AH433" s="156"/>
      <c r="AI433" s="156"/>
      <c r="AJ433" s="156"/>
      <c r="AK433" s="156"/>
      <c r="AL433" s="156"/>
      <c r="AM433" s="158"/>
      <c r="AN433" s="156"/>
      <c r="AO433" s="156"/>
      <c r="AP433" s="156"/>
      <c r="AQ433" s="156"/>
      <c r="AR433" s="156"/>
      <c r="AS433" s="156"/>
      <c r="AT433" s="156"/>
      <c r="AU433" s="156"/>
      <c r="AV433" s="156"/>
      <c r="AW433" s="156"/>
      <c r="AX433" s="156"/>
      <c r="AY433" s="156"/>
      <c r="AZ433" s="156"/>
      <c r="BA433" s="153"/>
      <c r="BD433" s="153"/>
      <c r="BE433" s="147"/>
      <c r="BI433" s="153"/>
      <c r="BO433" s="153"/>
      <c r="BW433" s="153"/>
      <c r="CD433" s="146"/>
      <c r="CF433" s="147"/>
      <c r="CI433" s="146"/>
      <c r="CJ433" s="153"/>
      <c r="CV433" s="154"/>
      <c r="CX433" s="154"/>
      <c r="CZ433" s="154"/>
      <c r="DB433" s="154"/>
      <c r="DD433" s="154"/>
      <c r="DH433" s="474"/>
      <c r="DI433" s="459"/>
      <c r="DJ433" s="459"/>
      <c r="DK433" s="459"/>
      <c r="DL433" s="459"/>
      <c r="DM433" s="459"/>
      <c r="DN433" s="459"/>
      <c r="DO433" s="459"/>
      <c r="DP433" s="459"/>
      <c r="DQ433" s="459"/>
      <c r="DR433" s="459"/>
      <c r="DS433" s="459"/>
      <c r="DT433" s="459"/>
      <c r="DU433" s="459"/>
      <c r="DV433" s="468"/>
      <c r="DW433" s="468"/>
      <c r="DX433" s="459"/>
      <c r="DY433" s="459"/>
    </row>
    <row r="434" spans="1:129" s="128" customFormat="1" ht="54.95" customHeight="1" x14ac:dyDescent="0.25">
      <c r="A434" s="377"/>
      <c r="B434" s="175"/>
      <c r="C434" s="393"/>
      <c r="D434" s="168"/>
      <c r="E434" s="168"/>
      <c r="F434" s="168"/>
      <c r="G434" s="168"/>
      <c r="H434" s="168"/>
      <c r="I434" s="168"/>
      <c r="J434" s="168"/>
      <c r="K434" s="168"/>
      <c r="L434" s="168"/>
      <c r="M434" s="168"/>
      <c r="N434" s="168"/>
      <c r="O434" s="433"/>
      <c r="P434" s="122"/>
      <c r="Q434" s="156"/>
      <c r="R434" s="156"/>
      <c r="S434" s="156"/>
      <c r="T434" s="156"/>
      <c r="U434" s="156"/>
      <c r="V434" s="156"/>
      <c r="W434" s="156"/>
      <c r="X434" s="156"/>
      <c r="Y434" s="156"/>
      <c r="Z434" s="157"/>
      <c r="AA434" s="157"/>
      <c r="AB434" s="156"/>
      <c r="AC434" s="156"/>
      <c r="AD434" s="156"/>
      <c r="AE434" s="156"/>
      <c r="AF434" s="156"/>
      <c r="AG434" s="156"/>
      <c r="AH434" s="156"/>
      <c r="AI434" s="156"/>
      <c r="AJ434" s="156"/>
      <c r="AK434" s="156"/>
      <c r="AL434" s="156"/>
      <c r="AM434" s="158"/>
      <c r="AN434" s="156"/>
      <c r="AO434" s="156"/>
      <c r="AP434" s="156"/>
      <c r="AQ434" s="156"/>
      <c r="AR434" s="156"/>
      <c r="AS434" s="156"/>
      <c r="AT434" s="156"/>
      <c r="AU434" s="156"/>
      <c r="AV434" s="156"/>
      <c r="AW434" s="156"/>
      <c r="AX434" s="156"/>
      <c r="AY434" s="156"/>
      <c r="AZ434" s="156"/>
      <c r="BA434" s="153"/>
      <c r="BD434" s="153"/>
      <c r="BE434" s="147"/>
      <c r="BI434" s="153"/>
      <c r="BO434" s="153"/>
      <c r="BW434" s="153"/>
      <c r="CD434" s="146"/>
      <c r="CF434" s="147"/>
      <c r="CI434" s="146"/>
      <c r="CJ434" s="153"/>
      <c r="CV434" s="154"/>
      <c r="CX434" s="154"/>
      <c r="CZ434" s="154"/>
      <c r="DB434" s="154"/>
      <c r="DD434" s="154"/>
      <c r="DH434" s="474"/>
      <c r="DI434" s="459"/>
      <c r="DJ434" s="459"/>
      <c r="DK434" s="459"/>
      <c r="DL434" s="459"/>
      <c r="DM434" s="459"/>
      <c r="DN434" s="459"/>
      <c r="DO434" s="459"/>
      <c r="DP434" s="459"/>
      <c r="DQ434" s="459"/>
      <c r="DR434" s="459"/>
      <c r="DS434" s="459"/>
      <c r="DT434" s="459"/>
      <c r="DU434" s="459"/>
      <c r="DV434" s="468"/>
      <c r="DW434" s="468"/>
      <c r="DX434" s="459"/>
      <c r="DY434" s="459"/>
    </row>
    <row r="435" spans="1:129" s="128" customFormat="1" ht="54.95" customHeight="1" x14ac:dyDescent="0.25">
      <c r="A435" s="377"/>
      <c r="B435" s="175"/>
      <c r="C435" s="393"/>
      <c r="D435" s="168"/>
      <c r="E435" s="168"/>
      <c r="F435" s="168"/>
      <c r="G435" s="168"/>
      <c r="H435" s="168"/>
      <c r="I435" s="168"/>
      <c r="J435" s="168"/>
      <c r="K435" s="168"/>
      <c r="L435" s="168"/>
      <c r="M435" s="168"/>
      <c r="N435" s="168"/>
      <c r="O435" s="433"/>
      <c r="P435" s="122"/>
      <c r="Q435" s="156"/>
      <c r="R435" s="156"/>
      <c r="S435" s="156"/>
      <c r="T435" s="156"/>
      <c r="U435" s="156"/>
      <c r="V435" s="156"/>
      <c r="W435" s="156"/>
      <c r="X435" s="156"/>
      <c r="Y435" s="156"/>
      <c r="Z435" s="157"/>
      <c r="AA435" s="157"/>
      <c r="AB435" s="156"/>
      <c r="AC435" s="156"/>
      <c r="AD435" s="156"/>
      <c r="AE435" s="156"/>
      <c r="AF435" s="156"/>
      <c r="AG435" s="156"/>
      <c r="AH435" s="156"/>
      <c r="AI435" s="156"/>
      <c r="AJ435" s="156"/>
      <c r="AK435" s="156"/>
      <c r="AL435" s="156"/>
      <c r="AM435" s="158"/>
      <c r="AN435" s="156"/>
      <c r="AO435" s="156"/>
      <c r="AP435" s="156"/>
      <c r="AQ435" s="156"/>
      <c r="AR435" s="156"/>
      <c r="AS435" s="156"/>
      <c r="AT435" s="156"/>
      <c r="AU435" s="156"/>
      <c r="AV435" s="156"/>
      <c r="AW435" s="156"/>
      <c r="AX435" s="156"/>
      <c r="AY435" s="156"/>
      <c r="AZ435" s="156"/>
      <c r="BA435" s="153"/>
      <c r="BD435" s="153"/>
      <c r="BE435" s="147"/>
      <c r="BI435" s="153"/>
      <c r="BO435" s="153"/>
      <c r="BW435" s="153"/>
      <c r="CD435" s="146"/>
      <c r="CF435" s="147"/>
      <c r="CI435" s="146"/>
      <c r="CJ435" s="153"/>
      <c r="CV435" s="154"/>
      <c r="CX435" s="154"/>
      <c r="CZ435" s="154"/>
      <c r="DB435" s="154"/>
      <c r="DD435" s="154"/>
      <c r="DH435" s="474"/>
      <c r="DI435" s="459"/>
      <c r="DJ435" s="459"/>
      <c r="DK435" s="459"/>
      <c r="DL435" s="459"/>
      <c r="DM435" s="459"/>
      <c r="DN435" s="459"/>
      <c r="DO435" s="459"/>
      <c r="DP435" s="459"/>
      <c r="DQ435" s="459"/>
      <c r="DR435" s="459"/>
      <c r="DS435" s="459"/>
      <c r="DT435" s="459"/>
      <c r="DU435" s="459"/>
      <c r="DV435" s="468"/>
      <c r="DW435" s="468"/>
      <c r="DX435" s="459"/>
      <c r="DY435" s="459"/>
    </row>
    <row r="436" spans="1:129" s="128" customFormat="1" ht="54.95" customHeight="1" x14ac:dyDescent="0.25">
      <c r="A436" s="377"/>
      <c r="B436" s="175"/>
      <c r="C436" s="393"/>
      <c r="D436" s="168"/>
      <c r="E436" s="168"/>
      <c r="F436" s="168"/>
      <c r="G436" s="168"/>
      <c r="H436" s="168"/>
      <c r="I436" s="168"/>
      <c r="J436" s="168"/>
      <c r="K436" s="168"/>
      <c r="L436" s="168"/>
      <c r="M436" s="168"/>
      <c r="N436" s="168"/>
      <c r="O436" s="433"/>
      <c r="P436" s="122"/>
      <c r="Q436" s="156"/>
      <c r="R436" s="156"/>
      <c r="S436" s="156"/>
      <c r="T436" s="156"/>
      <c r="U436" s="156"/>
      <c r="V436" s="156"/>
      <c r="W436" s="156"/>
      <c r="X436" s="156"/>
      <c r="Y436" s="156"/>
      <c r="Z436" s="157"/>
      <c r="AA436" s="157"/>
      <c r="AB436" s="156"/>
      <c r="AC436" s="156"/>
      <c r="AD436" s="156"/>
      <c r="AE436" s="156"/>
      <c r="AF436" s="156"/>
      <c r="AG436" s="156"/>
      <c r="AH436" s="156"/>
      <c r="AI436" s="156"/>
      <c r="AJ436" s="156"/>
      <c r="AK436" s="156"/>
      <c r="AL436" s="156"/>
      <c r="AM436" s="158"/>
      <c r="AN436" s="156"/>
      <c r="AO436" s="156"/>
      <c r="AP436" s="156"/>
      <c r="AQ436" s="156"/>
      <c r="AR436" s="156"/>
      <c r="AS436" s="156"/>
      <c r="AT436" s="156"/>
      <c r="AU436" s="156"/>
      <c r="AV436" s="156"/>
      <c r="AW436" s="156"/>
      <c r="AX436" s="156"/>
      <c r="AY436" s="156"/>
      <c r="AZ436" s="156"/>
      <c r="BA436" s="153"/>
      <c r="BD436" s="153"/>
      <c r="BE436" s="147"/>
      <c r="BI436" s="153"/>
      <c r="BO436" s="153"/>
      <c r="BW436" s="153"/>
      <c r="CD436" s="146"/>
      <c r="CF436" s="147"/>
      <c r="CI436" s="146"/>
      <c r="CJ436" s="153"/>
      <c r="CV436" s="154"/>
      <c r="CX436" s="154"/>
      <c r="CZ436" s="154"/>
      <c r="DB436" s="154"/>
      <c r="DD436" s="154"/>
      <c r="DH436" s="474"/>
      <c r="DI436" s="459"/>
      <c r="DJ436" s="459"/>
      <c r="DK436" s="459"/>
      <c r="DL436" s="459"/>
      <c r="DM436" s="459"/>
      <c r="DN436" s="459"/>
      <c r="DO436" s="459"/>
      <c r="DP436" s="459"/>
      <c r="DQ436" s="459"/>
      <c r="DR436" s="459"/>
      <c r="DS436" s="459"/>
      <c r="DT436" s="459"/>
      <c r="DU436" s="459"/>
      <c r="DV436" s="468"/>
      <c r="DW436" s="468"/>
      <c r="DX436" s="459"/>
      <c r="DY436" s="459"/>
    </row>
    <row r="437" spans="1:129" s="128" customFormat="1" ht="54.95" customHeight="1" x14ac:dyDescent="0.25">
      <c r="A437" s="377"/>
      <c r="B437" s="175"/>
      <c r="C437" s="393"/>
      <c r="D437" s="168"/>
      <c r="E437" s="168"/>
      <c r="F437" s="168"/>
      <c r="G437" s="168"/>
      <c r="H437" s="168"/>
      <c r="I437" s="168"/>
      <c r="J437" s="168"/>
      <c r="K437" s="168"/>
      <c r="L437" s="168"/>
      <c r="M437" s="168"/>
      <c r="N437" s="168"/>
      <c r="O437" s="433"/>
      <c r="P437" s="122"/>
      <c r="Q437" s="156"/>
      <c r="R437" s="156"/>
      <c r="S437" s="156"/>
      <c r="T437" s="156"/>
      <c r="U437" s="156"/>
      <c r="V437" s="156"/>
      <c r="W437" s="156"/>
      <c r="X437" s="156"/>
      <c r="Y437" s="156"/>
      <c r="Z437" s="157"/>
      <c r="AA437" s="157"/>
      <c r="AB437" s="156"/>
      <c r="AC437" s="156"/>
      <c r="AD437" s="156"/>
      <c r="AE437" s="156"/>
      <c r="AF437" s="156"/>
      <c r="AG437" s="156"/>
      <c r="AH437" s="156"/>
      <c r="AI437" s="156"/>
      <c r="AJ437" s="156"/>
      <c r="AK437" s="156"/>
      <c r="AL437" s="156"/>
      <c r="AM437" s="158"/>
      <c r="AN437" s="156"/>
      <c r="AO437" s="156"/>
      <c r="AP437" s="156"/>
      <c r="AQ437" s="156"/>
      <c r="AR437" s="156"/>
      <c r="AS437" s="156"/>
      <c r="AT437" s="156"/>
      <c r="AU437" s="156"/>
      <c r="AV437" s="156"/>
      <c r="AW437" s="156"/>
      <c r="AX437" s="156"/>
      <c r="AY437" s="156"/>
      <c r="AZ437" s="156"/>
      <c r="BA437" s="153"/>
      <c r="BD437" s="153"/>
      <c r="BE437" s="147"/>
      <c r="BI437" s="153"/>
      <c r="BO437" s="153"/>
      <c r="BW437" s="153"/>
      <c r="CD437" s="146"/>
      <c r="CF437" s="147"/>
      <c r="CI437" s="146"/>
      <c r="CJ437" s="153"/>
      <c r="CV437" s="154"/>
      <c r="CX437" s="154"/>
      <c r="CZ437" s="154"/>
      <c r="DB437" s="154"/>
      <c r="DD437" s="154"/>
      <c r="DH437" s="474"/>
      <c r="DI437" s="459"/>
      <c r="DJ437" s="459"/>
      <c r="DK437" s="459"/>
      <c r="DL437" s="459"/>
      <c r="DM437" s="459"/>
      <c r="DN437" s="459"/>
      <c r="DO437" s="459"/>
      <c r="DP437" s="459"/>
      <c r="DQ437" s="459"/>
      <c r="DR437" s="459"/>
      <c r="DS437" s="459"/>
      <c r="DT437" s="459"/>
      <c r="DU437" s="459"/>
      <c r="DV437" s="468"/>
      <c r="DW437" s="468"/>
      <c r="DX437" s="459"/>
      <c r="DY437" s="459"/>
    </row>
    <row r="438" spans="1:129" s="128" customFormat="1" ht="54.95" customHeight="1" x14ac:dyDescent="0.25">
      <c r="A438" s="377"/>
      <c r="B438" s="175"/>
      <c r="C438" s="393"/>
      <c r="D438" s="168"/>
      <c r="E438" s="168"/>
      <c r="F438" s="168"/>
      <c r="G438" s="168"/>
      <c r="H438" s="168"/>
      <c r="I438" s="168"/>
      <c r="J438" s="168"/>
      <c r="K438" s="168"/>
      <c r="L438" s="168"/>
      <c r="M438" s="168"/>
      <c r="N438" s="168"/>
      <c r="O438" s="433"/>
      <c r="P438" s="122"/>
      <c r="Q438" s="156"/>
      <c r="R438" s="156"/>
      <c r="S438" s="156"/>
      <c r="T438" s="156"/>
      <c r="U438" s="156"/>
      <c r="V438" s="156"/>
      <c r="W438" s="156"/>
      <c r="X438" s="156"/>
      <c r="Y438" s="156"/>
      <c r="Z438" s="157"/>
      <c r="AA438" s="157"/>
      <c r="AB438" s="156"/>
      <c r="AC438" s="156"/>
      <c r="AD438" s="156"/>
      <c r="AE438" s="156"/>
      <c r="AF438" s="156"/>
      <c r="AG438" s="156"/>
      <c r="AH438" s="156"/>
      <c r="AI438" s="156"/>
      <c r="AJ438" s="156"/>
      <c r="AK438" s="156"/>
      <c r="AL438" s="156"/>
      <c r="AM438" s="158"/>
      <c r="AN438" s="156"/>
      <c r="AO438" s="156"/>
      <c r="AP438" s="156"/>
      <c r="AQ438" s="156"/>
      <c r="AR438" s="156"/>
      <c r="AS438" s="156"/>
      <c r="AT438" s="156"/>
      <c r="AU438" s="156"/>
      <c r="AV438" s="156"/>
      <c r="AW438" s="156"/>
      <c r="AX438" s="156"/>
      <c r="AY438" s="156"/>
      <c r="AZ438" s="156"/>
      <c r="BA438" s="153"/>
      <c r="BD438" s="153"/>
      <c r="BE438" s="147"/>
      <c r="BI438" s="153"/>
      <c r="BO438" s="153"/>
      <c r="BW438" s="153"/>
      <c r="CD438" s="146"/>
      <c r="CF438" s="147"/>
      <c r="CI438" s="146"/>
      <c r="CJ438" s="153"/>
      <c r="CV438" s="154"/>
      <c r="CX438" s="154"/>
      <c r="CZ438" s="154"/>
      <c r="DB438" s="154"/>
      <c r="DD438" s="154"/>
      <c r="DH438" s="474"/>
      <c r="DI438" s="459"/>
      <c r="DJ438" s="459"/>
      <c r="DK438" s="459"/>
      <c r="DL438" s="459"/>
      <c r="DM438" s="459"/>
      <c r="DN438" s="459"/>
      <c r="DO438" s="459"/>
      <c r="DP438" s="459"/>
      <c r="DQ438" s="459"/>
      <c r="DR438" s="459"/>
      <c r="DS438" s="459"/>
      <c r="DT438" s="459"/>
      <c r="DU438" s="459"/>
      <c r="DV438" s="468"/>
      <c r="DW438" s="468"/>
      <c r="DX438" s="459"/>
      <c r="DY438" s="459"/>
    </row>
    <row r="439" spans="1:129" s="128" customFormat="1" ht="54.95" customHeight="1" x14ac:dyDescent="0.25">
      <c r="A439" s="377"/>
      <c r="B439" s="175"/>
      <c r="C439" s="393"/>
      <c r="D439" s="168"/>
      <c r="E439" s="168"/>
      <c r="F439" s="168"/>
      <c r="G439" s="168"/>
      <c r="H439" s="168"/>
      <c r="I439" s="168"/>
      <c r="J439" s="168"/>
      <c r="K439" s="168"/>
      <c r="L439" s="168"/>
      <c r="M439" s="168"/>
      <c r="N439" s="168"/>
      <c r="O439" s="433"/>
      <c r="P439" s="122"/>
      <c r="Q439" s="156"/>
      <c r="R439" s="156"/>
      <c r="S439" s="156"/>
      <c r="T439" s="156"/>
      <c r="U439" s="156"/>
      <c r="V439" s="156"/>
      <c r="W439" s="156"/>
      <c r="X439" s="156"/>
      <c r="Y439" s="156"/>
      <c r="Z439" s="157"/>
      <c r="AA439" s="157"/>
      <c r="AB439" s="156"/>
      <c r="AC439" s="156"/>
      <c r="AD439" s="156"/>
      <c r="AE439" s="156"/>
      <c r="AF439" s="156"/>
      <c r="AG439" s="156"/>
      <c r="AH439" s="156"/>
      <c r="AI439" s="156"/>
      <c r="AJ439" s="156"/>
      <c r="AK439" s="156"/>
      <c r="AL439" s="156"/>
      <c r="AM439" s="158"/>
      <c r="AN439" s="156"/>
      <c r="AO439" s="156"/>
      <c r="AP439" s="156"/>
      <c r="AQ439" s="156"/>
      <c r="AR439" s="156"/>
      <c r="AS439" s="156"/>
      <c r="AT439" s="156"/>
      <c r="AU439" s="156"/>
      <c r="AV439" s="156"/>
      <c r="AW439" s="156"/>
      <c r="AX439" s="156"/>
      <c r="AY439" s="156"/>
      <c r="AZ439" s="156"/>
      <c r="BA439" s="153"/>
      <c r="BD439" s="153"/>
      <c r="BE439" s="147"/>
      <c r="BI439" s="153"/>
      <c r="BO439" s="153"/>
      <c r="BW439" s="153"/>
      <c r="CD439" s="146"/>
      <c r="CF439" s="147"/>
      <c r="CI439" s="146"/>
      <c r="CJ439" s="153"/>
      <c r="CV439" s="154"/>
      <c r="CX439" s="154"/>
      <c r="CZ439" s="154"/>
      <c r="DB439" s="154"/>
      <c r="DD439" s="154"/>
      <c r="DH439" s="474"/>
      <c r="DI439" s="459"/>
      <c r="DJ439" s="459"/>
      <c r="DK439" s="459"/>
      <c r="DL439" s="459"/>
      <c r="DM439" s="459"/>
      <c r="DN439" s="459"/>
      <c r="DO439" s="459"/>
      <c r="DP439" s="459"/>
      <c r="DQ439" s="459"/>
      <c r="DR439" s="459"/>
      <c r="DS439" s="459"/>
      <c r="DT439" s="459"/>
      <c r="DU439" s="459"/>
      <c r="DV439" s="468"/>
      <c r="DW439" s="468"/>
      <c r="DX439" s="459"/>
      <c r="DY439" s="459"/>
    </row>
    <row r="440" spans="1:129" s="128" customFormat="1" ht="54.95" customHeight="1" x14ac:dyDescent="0.25">
      <c r="A440" s="377"/>
      <c r="B440" s="175"/>
      <c r="C440" s="393"/>
      <c r="D440" s="168"/>
      <c r="E440" s="168"/>
      <c r="F440" s="168"/>
      <c r="G440" s="168"/>
      <c r="H440" s="168"/>
      <c r="I440" s="168"/>
      <c r="J440" s="168"/>
      <c r="K440" s="168"/>
      <c r="L440" s="168"/>
      <c r="M440" s="168"/>
      <c r="N440" s="168"/>
      <c r="O440" s="433"/>
      <c r="P440" s="122"/>
      <c r="Q440" s="156"/>
      <c r="R440" s="156"/>
      <c r="S440" s="156"/>
      <c r="T440" s="156"/>
      <c r="U440" s="156"/>
      <c r="V440" s="156"/>
      <c r="W440" s="156"/>
      <c r="X440" s="156"/>
      <c r="Y440" s="156"/>
      <c r="Z440" s="157"/>
      <c r="AA440" s="157"/>
      <c r="AB440" s="156"/>
      <c r="AC440" s="156"/>
      <c r="AD440" s="156"/>
      <c r="AE440" s="156"/>
      <c r="AF440" s="156"/>
      <c r="AG440" s="156"/>
      <c r="AH440" s="156"/>
      <c r="AI440" s="156"/>
      <c r="AJ440" s="156"/>
      <c r="AK440" s="156"/>
      <c r="AL440" s="156"/>
      <c r="AM440" s="158"/>
      <c r="AN440" s="156"/>
      <c r="AO440" s="156"/>
      <c r="AP440" s="156"/>
      <c r="AQ440" s="156"/>
      <c r="AR440" s="156"/>
      <c r="AS440" s="156"/>
      <c r="AT440" s="156"/>
      <c r="AU440" s="156"/>
      <c r="AV440" s="156"/>
      <c r="AW440" s="156"/>
      <c r="AX440" s="156"/>
      <c r="AY440" s="156"/>
      <c r="AZ440" s="156"/>
      <c r="BA440" s="153"/>
      <c r="BD440" s="153"/>
      <c r="BE440" s="147"/>
      <c r="BI440" s="153"/>
      <c r="BO440" s="153"/>
      <c r="BW440" s="153"/>
      <c r="CD440" s="146"/>
      <c r="CF440" s="147"/>
      <c r="CI440" s="146"/>
      <c r="CJ440" s="153"/>
      <c r="CV440" s="154"/>
      <c r="CX440" s="154"/>
      <c r="CZ440" s="154"/>
      <c r="DB440" s="154"/>
      <c r="DD440" s="154"/>
      <c r="DH440" s="474"/>
      <c r="DI440" s="459"/>
      <c r="DJ440" s="459"/>
      <c r="DK440" s="459"/>
      <c r="DL440" s="459"/>
      <c r="DM440" s="459"/>
      <c r="DN440" s="459"/>
      <c r="DO440" s="459"/>
      <c r="DP440" s="459"/>
      <c r="DQ440" s="459"/>
      <c r="DR440" s="459"/>
      <c r="DS440" s="459"/>
      <c r="DT440" s="459"/>
      <c r="DU440" s="459"/>
      <c r="DV440" s="468"/>
      <c r="DW440" s="468"/>
      <c r="DX440" s="459"/>
      <c r="DY440" s="459"/>
    </row>
    <row r="441" spans="1:129" s="128" customFormat="1" ht="54.95" customHeight="1" x14ac:dyDescent="0.25">
      <c r="A441" s="377"/>
      <c r="B441" s="175"/>
      <c r="C441" s="393"/>
      <c r="D441" s="168"/>
      <c r="E441" s="168"/>
      <c r="F441" s="168"/>
      <c r="G441" s="168"/>
      <c r="H441" s="168"/>
      <c r="I441" s="168"/>
      <c r="J441" s="168"/>
      <c r="K441" s="168"/>
      <c r="L441" s="168"/>
      <c r="M441" s="168"/>
      <c r="N441" s="168"/>
      <c r="O441" s="433"/>
      <c r="P441" s="122"/>
      <c r="Q441" s="156"/>
      <c r="R441" s="156"/>
      <c r="S441" s="156"/>
      <c r="T441" s="156"/>
      <c r="U441" s="156"/>
      <c r="V441" s="156"/>
      <c r="W441" s="156"/>
      <c r="X441" s="156"/>
      <c r="Y441" s="156"/>
      <c r="Z441" s="157"/>
      <c r="AA441" s="157"/>
      <c r="AB441" s="156"/>
      <c r="AC441" s="156"/>
      <c r="AD441" s="156"/>
      <c r="AE441" s="156"/>
      <c r="AF441" s="156"/>
      <c r="AG441" s="156"/>
      <c r="AH441" s="156"/>
      <c r="AI441" s="156"/>
      <c r="AJ441" s="156"/>
      <c r="AK441" s="156"/>
      <c r="AL441" s="156"/>
      <c r="AM441" s="158"/>
      <c r="AN441" s="156"/>
      <c r="AO441" s="156"/>
      <c r="AP441" s="156"/>
      <c r="AQ441" s="156"/>
      <c r="AR441" s="156"/>
      <c r="AS441" s="156"/>
      <c r="AT441" s="156"/>
      <c r="AU441" s="156"/>
      <c r="AV441" s="156"/>
      <c r="AW441" s="156"/>
      <c r="AX441" s="156"/>
      <c r="AY441" s="156"/>
      <c r="AZ441" s="156"/>
      <c r="BA441" s="153"/>
      <c r="BD441" s="153"/>
      <c r="BE441" s="147"/>
      <c r="BI441" s="153"/>
      <c r="BO441" s="153"/>
      <c r="BW441" s="153"/>
      <c r="CD441" s="146"/>
      <c r="CF441" s="147"/>
      <c r="CI441" s="146"/>
      <c r="CJ441" s="153"/>
      <c r="CV441" s="154"/>
      <c r="CX441" s="154"/>
      <c r="CZ441" s="154"/>
      <c r="DB441" s="154"/>
      <c r="DD441" s="154"/>
      <c r="DH441" s="474"/>
      <c r="DI441" s="459"/>
      <c r="DJ441" s="459"/>
      <c r="DK441" s="459"/>
      <c r="DL441" s="459"/>
      <c r="DM441" s="459"/>
      <c r="DN441" s="459"/>
      <c r="DO441" s="459"/>
      <c r="DP441" s="459"/>
      <c r="DQ441" s="459"/>
      <c r="DR441" s="459"/>
      <c r="DS441" s="459"/>
      <c r="DT441" s="459"/>
      <c r="DU441" s="459"/>
      <c r="DV441" s="468"/>
      <c r="DW441" s="468"/>
      <c r="DX441" s="459"/>
      <c r="DY441" s="459"/>
    </row>
    <row r="442" spans="1:129" s="128" customFormat="1" ht="54.95" customHeight="1" x14ac:dyDescent="0.25">
      <c r="A442" s="377"/>
      <c r="B442" s="175"/>
      <c r="C442" s="393"/>
      <c r="D442" s="168"/>
      <c r="E442" s="168"/>
      <c r="F442" s="168"/>
      <c r="G442" s="168"/>
      <c r="H442" s="168"/>
      <c r="I442" s="168"/>
      <c r="J442" s="168"/>
      <c r="K442" s="168"/>
      <c r="L442" s="168"/>
      <c r="M442" s="168"/>
      <c r="N442" s="168"/>
      <c r="O442" s="433"/>
      <c r="P442" s="122"/>
      <c r="Q442" s="156"/>
      <c r="R442" s="156"/>
      <c r="S442" s="156"/>
      <c r="T442" s="156"/>
      <c r="U442" s="156"/>
      <c r="V442" s="156"/>
      <c r="W442" s="156"/>
      <c r="X442" s="156"/>
      <c r="Y442" s="156"/>
      <c r="Z442" s="157"/>
      <c r="AA442" s="157"/>
      <c r="AB442" s="156"/>
      <c r="AC442" s="156"/>
      <c r="AD442" s="156"/>
      <c r="AE442" s="156"/>
      <c r="AF442" s="156"/>
      <c r="AG442" s="156"/>
      <c r="AH442" s="156"/>
      <c r="AI442" s="156"/>
      <c r="AJ442" s="156"/>
      <c r="AK442" s="156"/>
      <c r="AL442" s="156"/>
      <c r="AM442" s="158"/>
      <c r="AN442" s="156"/>
      <c r="AO442" s="156"/>
      <c r="AP442" s="156"/>
      <c r="AQ442" s="156"/>
      <c r="AR442" s="156"/>
      <c r="AS442" s="156"/>
      <c r="AT442" s="156"/>
      <c r="AU442" s="156"/>
      <c r="AV442" s="156"/>
      <c r="AW442" s="156"/>
      <c r="AX442" s="156"/>
      <c r="AY442" s="156"/>
      <c r="AZ442" s="156"/>
      <c r="BA442" s="153"/>
      <c r="BD442" s="153"/>
      <c r="BE442" s="147"/>
      <c r="BI442" s="153"/>
      <c r="BO442" s="153"/>
      <c r="BW442" s="153"/>
      <c r="CD442" s="146"/>
      <c r="CF442" s="147"/>
      <c r="CI442" s="146"/>
      <c r="CJ442" s="153"/>
      <c r="CV442" s="154"/>
      <c r="CX442" s="154"/>
      <c r="CZ442" s="154"/>
      <c r="DB442" s="154"/>
      <c r="DD442" s="154"/>
      <c r="DH442" s="474"/>
      <c r="DI442" s="459"/>
      <c r="DJ442" s="459"/>
      <c r="DK442" s="459"/>
      <c r="DL442" s="459"/>
      <c r="DM442" s="459"/>
      <c r="DN442" s="459"/>
      <c r="DO442" s="459"/>
      <c r="DP442" s="459"/>
      <c r="DQ442" s="459"/>
      <c r="DR442" s="459"/>
      <c r="DS442" s="459"/>
      <c r="DT442" s="459"/>
      <c r="DU442" s="459"/>
      <c r="DV442" s="468"/>
      <c r="DW442" s="468"/>
      <c r="DX442" s="459"/>
      <c r="DY442" s="459"/>
    </row>
    <row r="443" spans="1:129" s="128" customFormat="1" ht="54.95" customHeight="1" x14ac:dyDescent="0.25">
      <c r="A443" s="377"/>
      <c r="B443" s="175"/>
      <c r="C443" s="393"/>
      <c r="D443" s="168"/>
      <c r="E443" s="168"/>
      <c r="F443" s="168"/>
      <c r="G443" s="168"/>
      <c r="H443" s="168"/>
      <c r="I443" s="168"/>
      <c r="J443" s="168"/>
      <c r="K443" s="168"/>
      <c r="L443" s="168"/>
      <c r="M443" s="168"/>
      <c r="N443" s="168"/>
      <c r="O443" s="433"/>
      <c r="P443" s="122"/>
      <c r="Q443" s="156"/>
      <c r="R443" s="156"/>
      <c r="S443" s="156"/>
      <c r="T443" s="156"/>
      <c r="U443" s="156"/>
      <c r="V443" s="156"/>
      <c r="W443" s="156"/>
      <c r="X443" s="156"/>
      <c r="Y443" s="156"/>
      <c r="Z443" s="157"/>
      <c r="AA443" s="157"/>
      <c r="AB443" s="156"/>
      <c r="AC443" s="156"/>
      <c r="AD443" s="156"/>
      <c r="AE443" s="156"/>
      <c r="AF443" s="156"/>
      <c r="AG443" s="156"/>
      <c r="AH443" s="156"/>
      <c r="AI443" s="156"/>
      <c r="AJ443" s="156"/>
      <c r="AK443" s="156"/>
      <c r="AL443" s="156"/>
      <c r="AM443" s="158"/>
      <c r="AN443" s="156"/>
      <c r="AO443" s="156"/>
      <c r="AP443" s="156"/>
      <c r="AQ443" s="156"/>
      <c r="AR443" s="156"/>
      <c r="AS443" s="156"/>
      <c r="AT443" s="156"/>
      <c r="AU443" s="156"/>
      <c r="AV443" s="156"/>
      <c r="AW443" s="156"/>
      <c r="AX443" s="156"/>
      <c r="AY443" s="156"/>
      <c r="AZ443" s="156"/>
      <c r="BA443" s="153"/>
      <c r="BD443" s="153"/>
      <c r="BE443" s="147"/>
      <c r="BI443" s="153"/>
      <c r="BO443" s="153"/>
      <c r="BW443" s="153"/>
      <c r="CD443" s="146"/>
      <c r="CF443" s="147"/>
      <c r="CI443" s="146"/>
      <c r="CJ443" s="153"/>
      <c r="CV443" s="154"/>
      <c r="CX443" s="154"/>
      <c r="CZ443" s="154"/>
      <c r="DB443" s="154"/>
      <c r="DD443" s="154"/>
      <c r="DH443" s="474"/>
      <c r="DI443" s="459"/>
      <c r="DJ443" s="459"/>
      <c r="DK443" s="459"/>
      <c r="DL443" s="459"/>
      <c r="DM443" s="459"/>
      <c r="DN443" s="459"/>
      <c r="DO443" s="459"/>
      <c r="DP443" s="459"/>
      <c r="DQ443" s="459"/>
      <c r="DR443" s="459"/>
      <c r="DS443" s="459"/>
      <c r="DT443" s="459"/>
      <c r="DU443" s="459"/>
      <c r="DV443" s="468"/>
      <c r="DW443" s="468"/>
      <c r="DX443" s="459"/>
      <c r="DY443" s="459"/>
    </row>
    <row r="444" spans="1:129" s="128" customFormat="1" ht="54.95" customHeight="1" x14ac:dyDescent="0.25">
      <c r="A444" s="377"/>
      <c r="B444" s="175"/>
      <c r="C444" s="393"/>
      <c r="D444" s="168"/>
      <c r="E444" s="168"/>
      <c r="F444" s="168"/>
      <c r="G444" s="168"/>
      <c r="H444" s="168"/>
      <c r="I444" s="168"/>
      <c r="J444" s="168"/>
      <c r="K444" s="168"/>
      <c r="L444" s="168"/>
      <c r="M444" s="168"/>
      <c r="N444" s="168"/>
      <c r="O444" s="433"/>
      <c r="P444" s="122"/>
      <c r="Q444" s="156"/>
      <c r="R444" s="156"/>
      <c r="S444" s="156"/>
      <c r="T444" s="156"/>
      <c r="U444" s="156"/>
      <c r="V444" s="156"/>
      <c r="W444" s="156"/>
      <c r="X444" s="156"/>
      <c r="Y444" s="156"/>
      <c r="Z444" s="157"/>
      <c r="AA444" s="157"/>
      <c r="AB444" s="156"/>
      <c r="AC444" s="156"/>
      <c r="AD444" s="156"/>
      <c r="AE444" s="156"/>
      <c r="AF444" s="156"/>
      <c r="AG444" s="156"/>
      <c r="AH444" s="156"/>
      <c r="AI444" s="156"/>
      <c r="AJ444" s="156"/>
      <c r="AK444" s="156"/>
      <c r="AL444" s="156"/>
      <c r="AM444" s="158"/>
      <c r="AN444" s="156"/>
      <c r="AO444" s="156"/>
      <c r="AP444" s="156"/>
      <c r="AQ444" s="156"/>
      <c r="AR444" s="156"/>
      <c r="AS444" s="156"/>
      <c r="AT444" s="156"/>
      <c r="AU444" s="156"/>
      <c r="AV444" s="156"/>
      <c r="AW444" s="156"/>
      <c r="AX444" s="156"/>
      <c r="AY444" s="156"/>
      <c r="AZ444" s="156"/>
      <c r="BA444" s="153"/>
      <c r="BD444" s="153"/>
      <c r="BE444" s="147"/>
      <c r="BI444" s="153"/>
      <c r="BO444" s="153"/>
      <c r="BW444" s="153"/>
      <c r="CD444" s="146"/>
      <c r="CF444" s="147"/>
      <c r="CI444" s="146"/>
      <c r="CJ444" s="153"/>
      <c r="CV444" s="154"/>
      <c r="CX444" s="154"/>
      <c r="CZ444" s="154"/>
      <c r="DB444" s="154"/>
      <c r="DD444" s="154"/>
      <c r="DH444" s="474"/>
      <c r="DI444" s="459"/>
      <c r="DJ444" s="459"/>
      <c r="DK444" s="459"/>
      <c r="DL444" s="459"/>
      <c r="DM444" s="459"/>
      <c r="DN444" s="459"/>
      <c r="DO444" s="459"/>
      <c r="DP444" s="459"/>
      <c r="DQ444" s="459"/>
      <c r="DR444" s="459"/>
      <c r="DS444" s="459"/>
      <c r="DT444" s="459"/>
      <c r="DU444" s="459"/>
      <c r="DV444" s="468"/>
      <c r="DW444" s="468"/>
      <c r="DX444" s="459"/>
      <c r="DY444" s="459"/>
    </row>
    <row r="445" spans="1:129" s="128" customFormat="1" ht="54.95" customHeight="1" x14ac:dyDescent="0.25">
      <c r="A445" s="377"/>
      <c r="B445" s="175"/>
      <c r="C445" s="393"/>
      <c r="D445" s="168"/>
      <c r="E445" s="168"/>
      <c r="F445" s="168"/>
      <c r="G445" s="168"/>
      <c r="H445" s="168"/>
      <c r="I445" s="168"/>
      <c r="J445" s="168"/>
      <c r="K445" s="168"/>
      <c r="L445" s="168"/>
      <c r="M445" s="168"/>
      <c r="N445" s="168"/>
      <c r="O445" s="433"/>
      <c r="P445" s="122"/>
      <c r="Q445" s="156"/>
      <c r="R445" s="156"/>
      <c r="S445" s="156"/>
      <c r="T445" s="156"/>
      <c r="U445" s="156"/>
      <c r="V445" s="156"/>
      <c r="W445" s="156"/>
      <c r="X445" s="156"/>
      <c r="Y445" s="156"/>
      <c r="Z445" s="157"/>
      <c r="AA445" s="157"/>
      <c r="AB445" s="156"/>
      <c r="AC445" s="156"/>
      <c r="AD445" s="156"/>
      <c r="AE445" s="156"/>
      <c r="AF445" s="156"/>
      <c r="AG445" s="156"/>
      <c r="AH445" s="156"/>
      <c r="AI445" s="156"/>
      <c r="AJ445" s="156"/>
      <c r="AK445" s="156"/>
      <c r="AL445" s="156"/>
      <c r="AM445" s="158"/>
      <c r="AN445" s="156"/>
      <c r="AO445" s="156"/>
      <c r="AP445" s="156"/>
      <c r="AQ445" s="156"/>
      <c r="AR445" s="156"/>
      <c r="AS445" s="156"/>
      <c r="AT445" s="156"/>
      <c r="AU445" s="156"/>
      <c r="AV445" s="156"/>
      <c r="AW445" s="156"/>
      <c r="AX445" s="156"/>
      <c r="AY445" s="156"/>
      <c r="AZ445" s="156"/>
      <c r="BA445" s="153"/>
      <c r="BD445" s="153"/>
      <c r="BE445" s="147"/>
      <c r="BI445" s="153"/>
      <c r="BO445" s="153"/>
      <c r="BW445" s="153"/>
      <c r="CD445" s="146"/>
      <c r="CF445" s="147"/>
      <c r="CI445" s="146"/>
      <c r="CJ445" s="153"/>
      <c r="CV445" s="154"/>
      <c r="CX445" s="154"/>
      <c r="CZ445" s="154"/>
      <c r="DB445" s="154"/>
      <c r="DD445" s="154"/>
      <c r="DH445" s="474"/>
      <c r="DI445" s="459"/>
      <c r="DJ445" s="459"/>
      <c r="DK445" s="459"/>
      <c r="DL445" s="459"/>
      <c r="DM445" s="459"/>
      <c r="DN445" s="459"/>
      <c r="DO445" s="459"/>
      <c r="DP445" s="459"/>
      <c r="DQ445" s="459"/>
      <c r="DR445" s="459"/>
      <c r="DS445" s="459"/>
      <c r="DT445" s="459"/>
      <c r="DU445" s="459"/>
      <c r="DV445" s="468"/>
      <c r="DW445" s="468"/>
      <c r="DX445" s="459"/>
      <c r="DY445" s="459"/>
    </row>
    <row r="446" spans="1:129" s="128" customFormat="1" ht="54.95" customHeight="1" x14ac:dyDescent="0.25">
      <c r="A446" s="377"/>
      <c r="B446" s="175"/>
      <c r="C446" s="393"/>
      <c r="D446" s="168"/>
      <c r="E446" s="168"/>
      <c r="F446" s="168"/>
      <c r="G446" s="168"/>
      <c r="H446" s="168"/>
      <c r="I446" s="168"/>
      <c r="J446" s="168"/>
      <c r="K446" s="168"/>
      <c r="L446" s="168"/>
      <c r="M446" s="168"/>
      <c r="N446" s="168"/>
      <c r="O446" s="433"/>
      <c r="P446" s="122"/>
      <c r="Q446" s="156"/>
      <c r="R446" s="156"/>
      <c r="S446" s="156"/>
      <c r="T446" s="156"/>
      <c r="U446" s="156"/>
      <c r="V446" s="156"/>
      <c r="W446" s="156"/>
      <c r="X446" s="156"/>
      <c r="Y446" s="156"/>
      <c r="Z446" s="157"/>
      <c r="AA446" s="157"/>
      <c r="AB446" s="156"/>
      <c r="AC446" s="156"/>
      <c r="AD446" s="156"/>
      <c r="AE446" s="156"/>
      <c r="AF446" s="156"/>
      <c r="AG446" s="156"/>
      <c r="AH446" s="156"/>
      <c r="AI446" s="156"/>
      <c r="AJ446" s="156"/>
      <c r="AK446" s="156"/>
      <c r="AL446" s="156"/>
      <c r="AM446" s="158"/>
      <c r="AN446" s="156"/>
      <c r="AO446" s="156"/>
      <c r="AP446" s="156"/>
      <c r="AQ446" s="156"/>
      <c r="AR446" s="156"/>
      <c r="AS446" s="156"/>
      <c r="AT446" s="156"/>
      <c r="AU446" s="156"/>
      <c r="AV446" s="156"/>
      <c r="AW446" s="156"/>
      <c r="AX446" s="156"/>
      <c r="AY446" s="156"/>
      <c r="AZ446" s="156"/>
      <c r="BA446" s="153"/>
      <c r="BD446" s="153"/>
      <c r="BE446" s="147"/>
      <c r="BI446" s="153"/>
      <c r="BO446" s="153"/>
      <c r="BW446" s="153"/>
      <c r="CD446" s="146"/>
      <c r="CF446" s="147"/>
      <c r="CI446" s="146"/>
      <c r="CJ446" s="153"/>
      <c r="CV446" s="154"/>
      <c r="CX446" s="154"/>
      <c r="CZ446" s="154"/>
      <c r="DB446" s="154"/>
      <c r="DD446" s="154"/>
      <c r="DH446" s="474"/>
      <c r="DI446" s="459"/>
      <c r="DJ446" s="459"/>
      <c r="DK446" s="459"/>
      <c r="DL446" s="459"/>
      <c r="DM446" s="459"/>
      <c r="DN446" s="459"/>
      <c r="DO446" s="459"/>
      <c r="DP446" s="459"/>
      <c r="DQ446" s="459"/>
      <c r="DR446" s="459"/>
      <c r="DS446" s="459"/>
      <c r="DT446" s="459"/>
      <c r="DU446" s="459"/>
      <c r="DV446" s="468"/>
      <c r="DW446" s="468"/>
      <c r="DX446" s="459"/>
      <c r="DY446" s="459"/>
    </row>
    <row r="447" spans="1:129" s="128" customFormat="1" ht="54.95" customHeight="1" x14ac:dyDescent="0.25">
      <c r="A447" s="377"/>
      <c r="B447" s="175"/>
      <c r="C447" s="393"/>
      <c r="D447" s="168"/>
      <c r="E447" s="168"/>
      <c r="F447" s="168"/>
      <c r="G447" s="168"/>
      <c r="H447" s="168"/>
      <c r="I447" s="168"/>
      <c r="J447" s="168"/>
      <c r="K447" s="168"/>
      <c r="L447" s="168"/>
      <c r="M447" s="168"/>
      <c r="N447" s="168"/>
      <c r="O447" s="433"/>
      <c r="P447" s="122"/>
      <c r="Q447" s="156"/>
      <c r="R447" s="156"/>
      <c r="S447" s="156"/>
      <c r="T447" s="156"/>
      <c r="U447" s="156"/>
      <c r="V447" s="156"/>
      <c r="W447" s="156"/>
      <c r="X447" s="156"/>
      <c r="Y447" s="156"/>
      <c r="Z447" s="157"/>
      <c r="AA447" s="157"/>
      <c r="AB447" s="156"/>
      <c r="AC447" s="156"/>
      <c r="AD447" s="156"/>
      <c r="AE447" s="156"/>
      <c r="AF447" s="156"/>
      <c r="AG447" s="156"/>
      <c r="AH447" s="156"/>
      <c r="AI447" s="156"/>
      <c r="AJ447" s="156"/>
      <c r="AK447" s="156"/>
      <c r="AL447" s="156"/>
      <c r="AM447" s="158"/>
      <c r="AN447" s="156"/>
      <c r="AO447" s="156"/>
      <c r="AP447" s="156"/>
      <c r="AQ447" s="156"/>
      <c r="AR447" s="156"/>
      <c r="AS447" s="156"/>
      <c r="AT447" s="156"/>
      <c r="AU447" s="156"/>
      <c r="AV447" s="156"/>
      <c r="AW447" s="156"/>
      <c r="AX447" s="156"/>
      <c r="AY447" s="156"/>
      <c r="AZ447" s="156"/>
      <c r="BA447" s="153"/>
      <c r="BD447" s="153"/>
      <c r="BE447" s="147"/>
      <c r="BI447" s="153"/>
      <c r="BO447" s="153"/>
      <c r="BW447" s="153"/>
      <c r="CD447" s="146"/>
      <c r="CF447" s="147"/>
      <c r="CI447" s="146"/>
      <c r="CJ447" s="153"/>
      <c r="CV447" s="154"/>
      <c r="CX447" s="154"/>
      <c r="CZ447" s="154"/>
      <c r="DB447" s="154"/>
      <c r="DD447" s="154"/>
      <c r="DH447" s="474"/>
      <c r="DI447" s="459"/>
      <c r="DJ447" s="459"/>
      <c r="DK447" s="459"/>
      <c r="DL447" s="459"/>
      <c r="DM447" s="459"/>
      <c r="DN447" s="459"/>
      <c r="DO447" s="459"/>
      <c r="DP447" s="459"/>
      <c r="DQ447" s="459"/>
      <c r="DR447" s="459"/>
      <c r="DS447" s="459"/>
      <c r="DT447" s="459"/>
      <c r="DU447" s="459"/>
      <c r="DV447" s="468"/>
      <c r="DW447" s="468"/>
      <c r="DX447" s="459"/>
      <c r="DY447" s="459"/>
    </row>
    <row r="448" spans="1:129" s="128" customFormat="1" ht="54.95" customHeight="1" x14ac:dyDescent="0.25">
      <c r="A448" s="377"/>
      <c r="B448" s="175"/>
      <c r="C448" s="393"/>
      <c r="D448" s="168"/>
      <c r="E448" s="168"/>
      <c r="F448" s="168"/>
      <c r="G448" s="168"/>
      <c r="H448" s="168"/>
      <c r="I448" s="168"/>
      <c r="J448" s="168"/>
      <c r="K448" s="168"/>
      <c r="L448" s="168"/>
      <c r="M448" s="168"/>
      <c r="N448" s="168"/>
      <c r="O448" s="433"/>
      <c r="P448" s="122"/>
      <c r="Q448" s="156"/>
      <c r="R448" s="156"/>
      <c r="S448" s="156"/>
      <c r="T448" s="156"/>
      <c r="U448" s="156"/>
      <c r="V448" s="156"/>
      <c r="W448" s="156"/>
      <c r="X448" s="156"/>
      <c r="Y448" s="156"/>
      <c r="Z448" s="157"/>
      <c r="AA448" s="157"/>
      <c r="AB448" s="156"/>
      <c r="AC448" s="156"/>
      <c r="AD448" s="156"/>
      <c r="AE448" s="156"/>
      <c r="AF448" s="156"/>
      <c r="AG448" s="156"/>
      <c r="AH448" s="156"/>
      <c r="AI448" s="156"/>
      <c r="AJ448" s="156"/>
      <c r="AK448" s="156"/>
      <c r="AL448" s="156"/>
      <c r="AM448" s="158"/>
      <c r="AN448" s="156"/>
      <c r="AO448" s="156"/>
      <c r="AP448" s="156"/>
      <c r="AQ448" s="156"/>
      <c r="AR448" s="156"/>
      <c r="AS448" s="156"/>
      <c r="AT448" s="156"/>
      <c r="AU448" s="156"/>
      <c r="AV448" s="156"/>
      <c r="AW448" s="156"/>
      <c r="AX448" s="156"/>
      <c r="AY448" s="156"/>
      <c r="AZ448" s="156"/>
      <c r="BA448" s="153"/>
      <c r="BD448" s="153"/>
      <c r="BE448" s="147"/>
      <c r="BI448" s="153"/>
      <c r="BO448" s="153"/>
      <c r="BW448" s="153"/>
      <c r="CD448" s="146"/>
      <c r="CF448" s="147"/>
      <c r="CI448" s="146"/>
      <c r="CJ448" s="153"/>
      <c r="CV448" s="154"/>
      <c r="CX448" s="154"/>
      <c r="CZ448" s="154"/>
      <c r="DB448" s="154"/>
      <c r="DD448" s="154"/>
      <c r="DH448" s="474"/>
      <c r="DI448" s="459"/>
      <c r="DJ448" s="459"/>
      <c r="DK448" s="459"/>
      <c r="DL448" s="459"/>
      <c r="DM448" s="459"/>
      <c r="DN448" s="459"/>
      <c r="DO448" s="459"/>
      <c r="DP448" s="459"/>
      <c r="DQ448" s="459"/>
      <c r="DR448" s="459"/>
      <c r="DS448" s="459"/>
      <c r="DT448" s="459"/>
      <c r="DU448" s="459"/>
      <c r="DV448" s="468"/>
      <c r="DW448" s="468"/>
      <c r="DX448" s="459"/>
      <c r="DY448" s="459"/>
    </row>
    <row r="449" spans="1:129" s="128" customFormat="1" ht="54.95" customHeight="1" x14ac:dyDescent="0.25">
      <c r="A449" s="377"/>
      <c r="B449" s="175"/>
      <c r="C449" s="393"/>
      <c r="D449" s="168"/>
      <c r="E449" s="168"/>
      <c r="F449" s="168"/>
      <c r="G449" s="168"/>
      <c r="H449" s="168"/>
      <c r="I449" s="168"/>
      <c r="J449" s="168"/>
      <c r="K449" s="168"/>
      <c r="L449" s="168"/>
      <c r="M449" s="168"/>
      <c r="N449" s="168"/>
      <c r="O449" s="433"/>
      <c r="P449" s="122"/>
      <c r="Q449" s="156"/>
      <c r="R449" s="156"/>
      <c r="S449" s="156"/>
      <c r="T449" s="156"/>
      <c r="U449" s="156"/>
      <c r="V449" s="156"/>
      <c r="W449" s="156"/>
      <c r="X449" s="156"/>
      <c r="Y449" s="156"/>
      <c r="Z449" s="157"/>
      <c r="AA449" s="157"/>
      <c r="AB449" s="156"/>
      <c r="AC449" s="156"/>
      <c r="AD449" s="156"/>
      <c r="AE449" s="156"/>
      <c r="AF449" s="156"/>
      <c r="AG449" s="156"/>
      <c r="AH449" s="156"/>
      <c r="AI449" s="156"/>
      <c r="AJ449" s="156"/>
      <c r="AK449" s="156"/>
      <c r="AL449" s="156"/>
      <c r="AM449" s="158"/>
      <c r="AN449" s="156"/>
      <c r="AO449" s="156"/>
      <c r="AP449" s="156"/>
      <c r="AQ449" s="156"/>
      <c r="AR449" s="156"/>
      <c r="AS449" s="156"/>
      <c r="AT449" s="156"/>
      <c r="AU449" s="156"/>
      <c r="AV449" s="156"/>
      <c r="AW449" s="156"/>
      <c r="AX449" s="156"/>
      <c r="AY449" s="156"/>
      <c r="AZ449" s="156"/>
      <c r="BA449" s="153"/>
      <c r="BD449" s="153"/>
      <c r="BE449" s="147"/>
      <c r="BI449" s="153"/>
      <c r="BO449" s="153"/>
      <c r="BW449" s="153"/>
      <c r="CD449" s="146"/>
      <c r="CF449" s="147"/>
      <c r="CI449" s="146"/>
      <c r="CJ449" s="153"/>
      <c r="CV449" s="154"/>
      <c r="CX449" s="154"/>
      <c r="CZ449" s="154"/>
      <c r="DB449" s="154"/>
      <c r="DD449" s="154"/>
      <c r="DH449" s="474"/>
      <c r="DI449" s="459"/>
      <c r="DJ449" s="459"/>
      <c r="DK449" s="459"/>
      <c r="DL449" s="459"/>
      <c r="DM449" s="459"/>
      <c r="DN449" s="459"/>
      <c r="DO449" s="459"/>
      <c r="DP449" s="459"/>
      <c r="DQ449" s="459"/>
      <c r="DR449" s="459"/>
      <c r="DS449" s="459"/>
      <c r="DT449" s="459"/>
      <c r="DU449" s="459"/>
      <c r="DV449" s="468"/>
      <c r="DW449" s="468"/>
      <c r="DX449" s="459"/>
      <c r="DY449" s="459"/>
    </row>
    <row r="450" spans="1:129" s="128" customFormat="1" ht="54.95" customHeight="1" x14ac:dyDescent="0.25">
      <c r="A450" s="377"/>
      <c r="B450" s="175"/>
      <c r="C450" s="393"/>
      <c r="D450" s="168"/>
      <c r="E450" s="168"/>
      <c r="F450" s="168"/>
      <c r="G450" s="168"/>
      <c r="H450" s="168"/>
      <c r="I450" s="168"/>
      <c r="J450" s="168"/>
      <c r="K450" s="168"/>
      <c r="L450" s="168"/>
      <c r="M450" s="168"/>
      <c r="N450" s="168"/>
      <c r="O450" s="433"/>
      <c r="P450" s="122"/>
      <c r="Q450" s="156"/>
      <c r="R450" s="156"/>
      <c r="S450" s="156"/>
      <c r="T450" s="156"/>
      <c r="U450" s="156"/>
      <c r="V450" s="156"/>
      <c r="W450" s="156"/>
      <c r="X450" s="156"/>
      <c r="Y450" s="156"/>
      <c r="Z450" s="157"/>
      <c r="AA450" s="157"/>
      <c r="AB450" s="156"/>
      <c r="AC450" s="156"/>
      <c r="AD450" s="156"/>
      <c r="AE450" s="156"/>
      <c r="AF450" s="156"/>
      <c r="AG450" s="156"/>
      <c r="AH450" s="156"/>
      <c r="AI450" s="156"/>
      <c r="AJ450" s="156"/>
      <c r="AK450" s="156"/>
      <c r="AL450" s="156"/>
      <c r="AM450" s="158"/>
      <c r="AN450" s="156"/>
      <c r="AO450" s="156"/>
      <c r="AP450" s="156"/>
      <c r="AQ450" s="156"/>
      <c r="AR450" s="156"/>
      <c r="AS450" s="156"/>
      <c r="AT450" s="156"/>
      <c r="AU450" s="156"/>
      <c r="AV450" s="156"/>
      <c r="AW450" s="156"/>
      <c r="AX450" s="156"/>
      <c r="AY450" s="156"/>
      <c r="AZ450" s="156"/>
      <c r="BA450" s="153"/>
      <c r="BD450" s="153"/>
      <c r="BE450" s="147"/>
      <c r="BI450" s="153"/>
      <c r="BO450" s="153"/>
      <c r="BW450" s="153"/>
      <c r="CD450" s="146"/>
      <c r="CF450" s="147"/>
      <c r="CI450" s="146"/>
      <c r="CJ450" s="153"/>
      <c r="CV450" s="154"/>
      <c r="CX450" s="154"/>
      <c r="CZ450" s="154"/>
      <c r="DB450" s="154"/>
      <c r="DD450" s="154"/>
      <c r="DH450" s="474"/>
      <c r="DI450" s="459"/>
      <c r="DJ450" s="459"/>
      <c r="DK450" s="459"/>
      <c r="DL450" s="459"/>
      <c r="DM450" s="459"/>
      <c r="DN450" s="459"/>
      <c r="DO450" s="459"/>
      <c r="DP450" s="459"/>
      <c r="DQ450" s="459"/>
      <c r="DR450" s="459"/>
      <c r="DS450" s="459"/>
      <c r="DT450" s="459"/>
      <c r="DU450" s="459"/>
      <c r="DV450" s="468"/>
      <c r="DW450" s="468"/>
      <c r="DX450" s="459"/>
      <c r="DY450" s="459"/>
    </row>
    <row r="451" spans="1:129" s="128" customFormat="1" ht="54.95" customHeight="1" x14ac:dyDescent="0.25">
      <c r="A451" s="377"/>
      <c r="B451" s="175"/>
      <c r="C451" s="393"/>
      <c r="D451" s="168"/>
      <c r="E451" s="168"/>
      <c r="F451" s="168"/>
      <c r="G451" s="168"/>
      <c r="H451" s="168"/>
      <c r="I451" s="168"/>
      <c r="J451" s="168"/>
      <c r="K451" s="168"/>
      <c r="L451" s="168"/>
      <c r="M451" s="168"/>
      <c r="N451" s="168"/>
      <c r="O451" s="433"/>
      <c r="P451" s="122"/>
      <c r="Q451" s="156"/>
      <c r="R451" s="156"/>
      <c r="S451" s="156"/>
      <c r="T451" s="156"/>
      <c r="U451" s="156"/>
      <c r="V451" s="156"/>
      <c r="W451" s="156"/>
      <c r="X451" s="156"/>
      <c r="Y451" s="156"/>
      <c r="Z451" s="157"/>
      <c r="AA451" s="157"/>
      <c r="AB451" s="156"/>
      <c r="AC451" s="156"/>
      <c r="AD451" s="156"/>
      <c r="AE451" s="156"/>
      <c r="AF451" s="156"/>
      <c r="AG451" s="156"/>
      <c r="AH451" s="156"/>
      <c r="AI451" s="156"/>
      <c r="AJ451" s="156"/>
      <c r="AK451" s="156"/>
      <c r="AL451" s="156"/>
      <c r="AM451" s="158"/>
      <c r="AN451" s="156"/>
      <c r="AO451" s="156"/>
      <c r="AP451" s="156"/>
      <c r="AQ451" s="156"/>
      <c r="AR451" s="156"/>
      <c r="AS451" s="156"/>
      <c r="AT451" s="156"/>
      <c r="AU451" s="156"/>
      <c r="AV451" s="156"/>
      <c r="AW451" s="156"/>
      <c r="AX451" s="156"/>
      <c r="AY451" s="156"/>
      <c r="AZ451" s="156"/>
      <c r="BA451" s="153"/>
      <c r="BD451" s="153"/>
      <c r="BE451" s="147"/>
      <c r="BI451" s="153"/>
      <c r="BO451" s="153"/>
      <c r="BW451" s="153"/>
      <c r="CD451" s="146"/>
      <c r="CF451" s="147"/>
      <c r="CI451" s="146"/>
      <c r="CJ451" s="153"/>
      <c r="CV451" s="154"/>
      <c r="CX451" s="154"/>
      <c r="CZ451" s="154"/>
      <c r="DB451" s="154"/>
      <c r="DD451" s="154"/>
      <c r="DH451" s="474"/>
      <c r="DI451" s="459"/>
      <c r="DJ451" s="459"/>
      <c r="DK451" s="459"/>
      <c r="DL451" s="459"/>
      <c r="DM451" s="459"/>
      <c r="DN451" s="459"/>
      <c r="DO451" s="459"/>
      <c r="DP451" s="459"/>
      <c r="DQ451" s="459"/>
      <c r="DR451" s="459"/>
      <c r="DS451" s="459"/>
      <c r="DT451" s="459"/>
      <c r="DU451" s="459"/>
      <c r="DV451" s="468"/>
      <c r="DW451" s="468"/>
      <c r="DX451" s="459"/>
      <c r="DY451" s="459"/>
    </row>
    <row r="452" spans="1:129" s="128" customFormat="1" ht="54.95" customHeight="1" x14ac:dyDescent="0.25">
      <c r="A452" s="377"/>
      <c r="B452" s="175"/>
      <c r="C452" s="393"/>
      <c r="D452" s="168"/>
      <c r="E452" s="168"/>
      <c r="F452" s="168"/>
      <c r="G452" s="168"/>
      <c r="H452" s="168"/>
      <c r="I452" s="168"/>
      <c r="J452" s="168"/>
      <c r="K452" s="168"/>
      <c r="L452" s="168"/>
      <c r="M452" s="168"/>
      <c r="N452" s="168"/>
      <c r="O452" s="433"/>
      <c r="P452" s="122"/>
      <c r="Q452" s="156"/>
      <c r="R452" s="156"/>
      <c r="S452" s="156"/>
      <c r="T452" s="156"/>
      <c r="U452" s="156"/>
      <c r="V452" s="156"/>
      <c r="W452" s="156"/>
      <c r="X452" s="156"/>
      <c r="Y452" s="156"/>
      <c r="Z452" s="157"/>
      <c r="AA452" s="157"/>
      <c r="AB452" s="156"/>
      <c r="AC452" s="156"/>
      <c r="AD452" s="156"/>
      <c r="AE452" s="156"/>
      <c r="AF452" s="156"/>
      <c r="AG452" s="156"/>
      <c r="AH452" s="156"/>
      <c r="AI452" s="156"/>
      <c r="AJ452" s="156"/>
      <c r="AK452" s="156"/>
      <c r="AL452" s="156"/>
      <c r="AM452" s="158"/>
      <c r="AN452" s="156"/>
      <c r="AO452" s="156"/>
      <c r="AP452" s="156"/>
      <c r="AQ452" s="156"/>
      <c r="AR452" s="156"/>
      <c r="AS452" s="156"/>
      <c r="AT452" s="156"/>
      <c r="AU452" s="156"/>
      <c r="AV452" s="156"/>
      <c r="AW452" s="156"/>
      <c r="AX452" s="156"/>
      <c r="AY452" s="156"/>
      <c r="AZ452" s="156"/>
      <c r="BA452" s="153"/>
      <c r="BD452" s="153"/>
      <c r="BE452" s="147"/>
      <c r="BI452" s="153"/>
      <c r="BO452" s="153"/>
      <c r="BW452" s="153"/>
      <c r="CD452" s="146"/>
      <c r="CF452" s="147"/>
      <c r="CI452" s="146"/>
      <c r="CJ452" s="153"/>
      <c r="CV452" s="154"/>
      <c r="CX452" s="154"/>
      <c r="CZ452" s="154"/>
      <c r="DB452" s="154"/>
      <c r="DD452" s="154"/>
      <c r="DH452" s="474"/>
      <c r="DI452" s="459"/>
      <c r="DJ452" s="459"/>
      <c r="DK452" s="459"/>
      <c r="DL452" s="459"/>
      <c r="DM452" s="459"/>
      <c r="DN452" s="459"/>
      <c r="DO452" s="459"/>
      <c r="DP452" s="459"/>
      <c r="DQ452" s="459"/>
      <c r="DR452" s="459"/>
      <c r="DS452" s="459"/>
      <c r="DT452" s="459"/>
      <c r="DU452" s="459"/>
      <c r="DV452" s="468"/>
      <c r="DW452" s="468"/>
      <c r="DX452" s="459"/>
      <c r="DY452" s="459"/>
    </row>
    <row r="453" spans="1:129" s="128" customFormat="1" ht="54.95" customHeight="1" x14ac:dyDescent="0.25">
      <c r="A453" s="377"/>
      <c r="B453" s="175"/>
      <c r="C453" s="393"/>
      <c r="D453" s="168"/>
      <c r="E453" s="168"/>
      <c r="F453" s="168"/>
      <c r="G453" s="168"/>
      <c r="H453" s="168"/>
      <c r="I453" s="168"/>
      <c r="J453" s="168"/>
      <c r="K453" s="168"/>
      <c r="L453" s="168"/>
      <c r="M453" s="168"/>
      <c r="N453" s="168"/>
      <c r="O453" s="433"/>
      <c r="P453" s="122"/>
      <c r="Q453" s="156"/>
      <c r="R453" s="156"/>
      <c r="S453" s="156"/>
      <c r="T453" s="156"/>
      <c r="U453" s="156"/>
      <c r="V453" s="156"/>
      <c r="W453" s="156"/>
      <c r="X453" s="156"/>
      <c r="Y453" s="156"/>
      <c r="Z453" s="157"/>
      <c r="AA453" s="157"/>
      <c r="AB453" s="156"/>
      <c r="AC453" s="156"/>
      <c r="AD453" s="156"/>
      <c r="AE453" s="156"/>
      <c r="AF453" s="156"/>
      <c r="AG453" s="156"/>
      <c r="AH453" s="156"/>
      <c r="AI453" s="156"/>
      <c r="AJ453" s="156"/>
      <c r="AK453" s="156"/>
      <c r="AL453" s="156"/>
      <c r="AM453" s="158"/>
      <c r="AN453" s="156"/>
      <c r="AO453" s="156"/>
      <c r="AP453" s="156"/>
      <c r="AQ453" s="156"/>
      <c r="AR453" s="156"/>
      <c r="AS453" s="156"/>
      <c r="AT453" s="156"/>
      <c r="AU453" s="156"/>
      <c r="AV453" s="156"/>
      <c r="AW453" s="156"/>
      <c r="AX453" s="156"/>
      <c r="AY453" s="156"/>
      <c r="AZ453" s="156"/>
      <c r="BA453" s="153"/>
      <c r="BD453" s="153"/>
      <c r="BE453" s="147"/>
      <c r="BI453" s="153"/>
      <c r="BO453" s="153"/>
      <c r="BW453" s="153"/>
      <c r="CD453" s="146"/>
      <c r="CF453" s="147"/>
      <c r="CI453" s="146"/>
      <c r="CJ453" s="153"/>
      <c r="CV453" s="154"/>
      <c r="CX453" s="154"/>
      <c r="CZ453" s="154"/>
      <c r="DB453" s="154"/>
      <c r="DD453" s="154"/>
      <c r="DH453" s="474"/>
      <c r="DI453" s="459"/>
      <c r="DJ453" s="459"/>
      <c r="DK453" s="459"/>
      <c r="DL453" s="459"/>
      <c r="DM453" s="459"/>
      <c r="DN453" s="459"/>
      <c r="DO453" s="459"/>
      <c r="DP453" s="459"/>
      <c r="DQ453" s="459"/>
      <c r="DR453" s="459"/>
      <c r="DS453" s="459"/>
      <c r="DT453" s="459"/>
      <c r="DU453" s="459"/>
      <c r="DV453" s="468"/>
      <c r="DW453" s="468"/>
      <c r="DX453" s="459"/>
      <c r="DY453" s="459"/>
    </row>
    <row r="454" spans="1:129" s="128" customFormat="1" ht="54.95" customHeight="1" x14ac:dyDescent="0.25">
      <c r="A454" s="377"/>
      <c r="B454" s="175"/>
      <c r="C454" s="393"/>
      <c r="D454" s="168"/>
      <c r="E454" s="168"/>
      <c r="F454" s="168"/>
      <c r="G454" s="168"/>
      <c r="H454" s="168"/>
      <c r="I454" s="168"/>
      <c r="J454" s="168"/>
      <c r="K454" s="168"/>
      <c r="L454" s="168"/>
      <c r="M454" s="168"/>
      <c r="N454" s="168"/>
      <c r="O454" s="433"/>
      <c r="P454" s="122"/>
      <c r="Q454" s="156"/>
      <c r="R454" s="156"/>
      <c r="S454" s="156"/>
      <c r="T454" s="156"/>
      <c r="U454" s="156"/>
      <c r="V454" s="156"/>
      <c r="W454" s="156"/>
      <c r="X454" s="156"/>
      <c r="Y454" s="156"/>
      <c r="Z454" s="157"/>
      <c r="AA454" s="157"/>
      <c r="AB454" s="156"/>
      <c r="AC454" s="156"/>
      <c r="AD454" s="156"/>
      <c r="AE454" s="156"/>
      <c r="AF454" s="156"/>
      <c r="AG454" s="156"/>
      <c r="AH454" s="156"/>
      <c r="AI454" s="156"/>
      <c r="AJ454" s="156"/>
      <c r="AK454" s="156"/>
      <c r="AL454" s="156"/>
      <c r="AM454" s="158"/>
      <c r="AN454" s="156"/>
      <c r="AO454" s="156"/>
      <c r="AP454" s="156"/>
      <c r="AQ454" s="156"/>
      <c r="AR454" s="156"/>
      <c r="AS454" s="156"/>
      <c r="AT454" s="156"/>
      <c r="AU454" s="156"/>
      <c r="AV454" s="156"/>
      <c r="AW454" s="156"/>
      <c r="AX454" s="156"/>
      <c r="AY454" s="156"/>
      <c r="AZ454" s="156"/>
      <c r="BA454" s="153"/>
      <c r="BD454" s="153"/>
      <c r="BE454" s="147"/>
      <c r="BI454" s="153"/>
      <c r="BO454" s="153"/>
      <c r="BW454" s="153"/>
      <c r="CD454" s="146"/>
      <c r="CF454" s="147"/>
      <c r="CI454" s="146"/>
      <c r="CJ454" s="153"/>
      <c r="CV454" s="154"/>
      <c r="CX454" s="154"/>
      <c r="CZ454" s="154"/>
      <c r="DB454" s="154"/>
      <c r="DD454" s="154"/>
      <c r="DH454" s="474"/>
      <c r="DI454" s="459"/>
      <c r="DJ454" s="459"/>
      <c r="DK454" s="459"/>
      <c r="DL454" s="459"/>
      <c r="DM454" s="459"/>
      <c r="DN454" s="459"/>
      <c r="DO454" s="459"/>
      <c r="DP454" s="459"/>
      <c r="DQ454" s="459"/>
      <c r="DR454" s="459"/>
      <c r="DS454" s="459"/>
      <c r="DT454" s="459"/>
      <c r="DU454" s="459"/>
      <c r="DV454" s="468"/>
      <c r="DW454" s="468"/>
      <c r="DX454" s="459"/>
      <c r="DY454" s="459"/>
    </row>
    <row r="455" spans="1:129" s="128" customFormat="1" ht="54.95" customHeight="1" x14ac:dyDescent="0.25">
      <c r="A455" s="377"/>
      <c r="B455" s="175"/>
      <c r="C455" s="393"/>
      <c r="D455" s="168"/>
      <c r="E455" s="168"/>
      <c r="F455" s="168"/>
      <c r="G455" s="168"/>
      <c r="H455" s="168"/>
      <c r="I455" s="168"/>
      <c r="J455" s="168"/>
      <c r="K455" s="168"/>
      <c r="L455" s="168"/>
      <c r="M455" s="168"/>
      <c r="N455" s="168"/>
      <c r="O455" s="433"/>
      <c r="P455" s="122"/>
      <c r="Q455" s="156"/>
      <c r="R455" s="156"/>
      <c r="S455" s="156"/>
      <c r="T455" s="156"/>
      <c r="U455" s="156"/>
      <c r="V455" s="156"/>
      <c r="W455" s="156"/>
      <c r="X455" s="156"/>
      <c r="Y455" s="156"/>
      <c r="Z455" s="157"/>
      <c r="AA455" s="157"/>
      <c r="AB455" s="156"/>
      <c r="AC455" s="156"/>
      <c r="AD455" s="156"/>
      <c r="AE455" s="156"/>
      <c r="AF455" s="156"/>
      <c r="AG455" s="156"/>
      <c r="AH455" s="156"/>
      <c r="AI455" s="156"/>
      <c r="AJ455" s="156"/>
      <c r="AK455" s="156"/>
      <c r="AL455" s="156"/>
      <c r="AM455" s="158"/>
      <c r="AN455" s="156"/>
      <c r="AO455" s="156"/>
      <c r="AP455" s="156"/>
      <c r="AQ455" s="156"/>
      <c r="AR455" s="156"/>
      <c r="AS455" s="156"/>
      <c r="AT455" s="156"/>
      <c r="AU455" s="156"/>
      <c r="AV455" s="156"/>
      <c r="AW455" s="156"/>
      <c r="AX455" s="156"/>
      <c r="AY455" s="156"/>
      <c r="AZ455" s="156"/>
      <c r="BA455" s="153"/>
      <c r="BD455" s="153"/>
      <c r="BE455" s="147"/>
      <c r="BI455" s="153"/>
      <c r="BO455" s="153"/>
      <c r="BW455" s="153"/>
      <c r="CD455" s="146"/>
      <c r="CF455" s="147"/>
      <c r="CI455" s="146"/>
      <c r="CJ455" s="153"/>
      <c r="CV455" s="154"/>
      <c r="CX455" s="154"/>
      <c r="CZ455" s="154"/>
      <c r="DB455" s="154"/>
      <c r="DD455" s="154"/>
      <c r="DH455" s="474"/>
      <c r="DI455" s="459"/>
      <c r="DJ455" s="459"/>
      <c r="DK455" s="459"/>
      <c r="DL455" s="459"/>
      <c r="DM455" s="459"/>
      <c r="DN455" s="459"/>
      <c r="DO455" s="459"/>
      <c r="DP455" s="459"/>
      <c r="DQ455" s="459"/>
      <c r="DR455" s="459"/>
      <c r="DS455" s="459"/>
      <c r="DT455" s="459"/>
      <c r="DU455" s="459"/>
      <c r="DV455" s="468"/>
      <c r="DW455" s="468"/>
      <c r="DX455" s="459"/>
      <c r="DY455" s="459"/>
    </row>
    <row r="456" spans="1:129" s="128" customFormat="1" ht="54.95" customHeight="1" x14ac:dyDescent="0.25">
      <c r="A456" s="377"/>
      <c r="B456" s="175"/>
      <c r="C456" s="393"/>
      <c r="D456" s="168"/>
      <c r="E456" s="168"/>
      <c r="F456" s="168"/>
      <c r="G456" s="168"/>
      <c r="H456" s="168"/>
      <c r="I456" s="168"/>
      <c r="J456" s="168"/>
      <c r="K456" s="168"/>
      <c r="L456" s="168"/>
      <c r="M456" s="168"/>
      <c r="N456" s="168"/>
      <c r="O456" s="433"/>
      <c r="P456" s="122"/>
      <c r="Q456" s="156"/>
      <c r="R456" s="156"/>
      <c r="S456" s="156"/>
      <c r="T456" s="156"/>
      <c r="U456" s="156"/>
      <c r="V456" s="156"/>
      <c r="W456" s="156"/>
      <c r="X456" s="156"/>
      <c r="Y456" s="156"/>
      <c r="Z456" s="157"/>
      <c r="AA456" s="157"/>
      <c r="AB456" s="156"/>
      <c r="AC456" s="156"/>
      <c r="AD456" s="156"/>
      <c r="AE456" s="156"/>
      <c r="AF456" s="156"/>
      <c r="AG456" s="156"/>
      <c r="AH456" s="156"/>
      <c r="AI456" s="156"/>
      <c r="AJ456" s="156"/>
      <c r="AK456" s="156"/>
      <c r="AL456" s="156"/>
      <c r="AM456" s="158"/>
      <c r="AN456" s="156"/>
      <c r="AO456" s="156"/>
      <c r="AP456" s="156"/>
      <c r="AQ456" s="156"/>
      <c r="AR456" s="156"/>
      <c r="AS456" s="156"/>
      <c r="AT456" s="156"/>
      <c r="AU456" s="156"/>
      <c r="AV456" s="156"/>
      <c r="AW456" s="156"/>
      <c r="AX456" s="156"/>
      <c r="AY456" s="156"/>
      <c r="AZ456" s="156"/>
      <c r="BA456" s="153"/>
      <c r="BD456" s="153"/>
      <c r="BE456" s="147"/>
      <c r="BI456" s="153"/>
      <c r="BO456" s="153"/>
      <c r="BW456" s="153"/>
      <c r="CD456" s="146"/>
      <c r="CF456" s="147"/>
      <c r="CI456" s="146"/>
      <c r="CJ456" s="153"/>
      <c r="CV456" s="154"/>
      <c r="CX456" s="154"/>
      <c r="CZ456" s="154"/>
      <c r="DB456" s="154"/>
      <c r="DD456" s="154"/>
      <c r="DH456" s="474"/>
      <c r="DI456" s="459"/>
      <c r="DJ456" s="459"/>
      <c r="DK456" s="459"/>
      <c r="DL456" s="459"/>
      <c r="DM456" s="459"/>
      <c r="DN456" s="459"/>
      <c r="DO456" s="459"/>
      <c r="DP456" s="459"/>
      <c r="DQ456" s="459"/>
      <c r="DR456" s="459"/>
      <c r="DS456" s="459"/>
      <c r="DT456" s="459"/>
      <c r="DU456" s="459"/>
      <c r="DV456" s="468"/>
      <c r="DW456" s="468"/>
      <c r="DX456" s="459"/>
      <c r="DY456" s="459"/>
    </row>
    <row r="457" spans="1:129" s="128" customFormat="1" ht="54.95" customHeight="1" x14ac:dyDescent="0.25">
      <c r="A457" s="377"/>
      <c r="B457" s="175"/>
      <c r="C457" s="393"/>
      <c r="D457" s="168"/>
      <c r="E457" s="168"/>
      <c r="F457" s="168"/>
      <c r="G457" s="168"/>
      <c r="H457" s="168"/>
      <c r="I457" s="168"/>
      <c r="J457" s="168"/>
      <c r="K457" s="168"/>
      <c r="L457" s="168"/>
      <c r="M457" s="168"/>
      <c r="N457" s="168"/>
      <c r="O457" s="433"/>
      <c r="P457" s="122"/>
      <c r="Q457" s="156"/>
      <c r="R457" s="156"/>
      <c r="S457" s="156"/>
      <c r="T457" s="156"/>
      <c r="U457" s="156"/>
      <c r="V457" s="156"/>
      <c r="W457" s="156"/>
      <c r="X457" s="156"/>
      <c r="Y457" s="156"/>
      <c r="Z457" s="157"/>
      <c r="AA457" s="157"/>
      <c r="AB457" s="156"/>
      <c r="AC457" s="156"/>
      <c r="AD457" s="156"/>
      <c r="AE457" s="156"/>
      <c r="AF457" s="156"/>
      <c r="AG457" s="156"/>
      <c r="AH457" s="156"/>
      <c r="AI457" s="156"/>
      <c r="AJ457" s="156"/>
      <c r="AK457" s="156"/>
      <c r="AL457" s="156"/>
      <c r="AM457" s="158"/>
      <c r="AN457" s="156"/>
      <c r="AO457" s="156"/>
      <c r="AP457" s="156"/>
      <c r="AQ457" s="156"/>
      <c r="AR457" s="156"/>
      <c r="AS457" s="156"/>
      <c r="AT457" s="156"/>
      <c r="AU457" s="156"/>
      <c r="AV457" s="156"/>
      <c r="AW457" s="156"/>
      <c r="AX457" s="156"/>
      <c r="AY457" s="156"/>
      <c r="AZ457" s="156"/>
      <c r="BA457" s="153"/>
      <c r="BD457" s="153"/>
      <c r="BE457" s="147"/>
      <c r="BI457" s="153"/>
      <c r="BO457" s="153"/>
      <c r="BW457" s="153"/>
      <c r="CD457" s="146"/>
      <c r="CF457" s="147"/>
      <c r="CI457" s="146"/>
      <c r="CJ457" s="153"/>
      <c r="CV457" s="154"/>
      <c r="CX457" s="154"/>
      <c r="CZ457" s="154"/>
      <c r="DB457" s="154"/>
      <c r="DD457" s="154"/>
      <c r="DH457" s="474"/>
      <c r="DI457" s="459"/>
      <c r="DJ457" s="459"/>
      <c r="DK457" s="459"/>
      <c r="DL457" s="459"/>
      <c r="DM457" s="459"/>
      <c r="DN457" s="459"/>
      <c r="DO457" s="459"/>
      <c r="DP457" s="459"/>
      <c r="DQ457" s="459"/>
      <c r="DR457" s="459"/>
      <c r="DS457" s="459"/>
      <c r="DT457" s="459"/>
      <c r="DU457" s="459"/>
      <c r="DV457" s="468"/>
      <c r="DW457" s="468"/>
      <c r="DX457" s="459"/>
      <c r="DY457" s="459"/>
    </row>
    <row r="458" spans="1:129" s="128" customFormat="1" ht="54.95" customHeight="1" x14ac:dyDescent="0.25">
      <c r="A458" s="377"/>
      <c r="B458" s="175"/>
      <c r="C458" s="393"/>
      <c r="D458" s="168"/>
      <c r="E458" s="168"/>
      <c r="F458" s="168"/>
      <c r="G458" s="168"/>
      <c r="H458" s="168"/>
      <c r="I458" s="168"/>
      <c r="J458" s="168"/>
      <c r="K458" s="168"/>
      <c r="L458" s="168"/>
      <c r="M458" s="168"/>
      <c r="N458" s="168"/>
      <c r="O458" s="433"/>
      <c r="P458" s="122"/>
      <c r="Q458" s="156"/>
      <c r="R458" s="156"/>
      <c r="S458" s="156"/>
      <c r="T458" s="156"/>
      <c r="U458" s="156"/>
      <c r="V458" s="156"/>
      <c r="W458" s="156"/>
      <c r="X458" s="156"/>
      <c r="Y458" s="156"/>
      <c r="Z458" s="157"/>
      <c r="AA458" s="157"/>
      <c r="AB458" s="156"/>
      <c r="AC458" s="156"/>
      <c r="AD458" s="156"/>
      <c r="AE458" s="156"/>
      <c r="AF458" s="156"/>
      <c r="AG458" s="156"/>
      <c r="AH458" s="156"/>
      <c r="AI458" s="156"/>
      <c r="AJ458" s="156"/>
      <c r="AK458" s="156"/>
      <c r="AL458" s="156"/>
      <c r="AM458" s="158"/>
      <c r="AN458" s="156"/>
      <c r="AO458" s="156"/>
      <c r="AP458" s="156"/>
      <c r="AQ458" s="156"/>
      <c r="AR458" s="156"/>
      <c r="AS458" s="156"/>
      <c r="AT458" s="156"/>
      <c r="AU458" s="156"/>
      <c r="AV458" s="156"/>
      <c r="AW458" s="156"/>
      <c r="AX458" s="156"/>
      <c r="AY458" s="156"/>
      <c r="AZ458" s="156"/>
      <c r="BA458" s="153"/>
      <c r="BD458" s="153"/>
      <c r="BE458" s="147"/>
      <c r="BI458" s="153"/>
      <c r="BO458" s="153"/>
      <c r="BW458" s="153"/>
      <c r="CD458" s="146"/>
      <c r="CF458" s="147"/>
      <c r="CI458" s="146"/>
      <c r="CJ458" s="153"/>
      <c r="CV458" s="154"/>
      <c r="CX458" s="154"/>
      <c r="CZ458" s="154"/>
      <c r="DB458" s="154"/>
      <c r="DD458" s="154"/>
      <c r="DH458" s="474"/>
      <c r="DI458" s="459"/>
      <c r="DJ458" s="459"/>
      <c r="DK458" s="459"/>
      <c r="DL458" s="459"/>
      <c r="DM458" s="459"/>
      <c r="DN458" s="459"/>
      <c r="DO458" s="459"/>
      <c r="DP458" s="459"/>
      <c r="DQ458" s="459"/>
      <c r="DR458" s="459"/>
      <c r="DS458" s="459"/>
      <c r="DT458" s="459"/>
      <c r="DU458" s="459"/>
      <c r="DV458" s="468"/>
      <c r="DW458" s="468"/>
      <c r="DX458" s="459"/>
      <c r="DY458" s="459"/>
    </row>
    <row r="459" spans="1:129" s="128" customFormat="1" ht="54.95" customHeight="1" x14ac:dyDescent="0.25">
      <c r="A459" s="377"/>
      <c r="B459" s="175"/>
      <c r="C459" s="393"/>
      <c r="D459" s="168"/>
      <c r="E459" s="168"/>
      <c r="F459" s="168"/>
      <c r="G459" s="168"/>
      <c r="H459" s="168"/>
      <c r="I459" s="168"/>
      <c r="J459" s="168"/>
      <c r="K459" s="168"/>
      <c r="L459" s="168"/>
      <c r="M459" s="168"/>
      <c r="N459" s="168"/>
      <c r="O459" s="433"/>
      <c r="P459" s="122"/>
      <c r="Q459" s="156"/>
      <c r="R459" s="156"/>
      <c r="S459" s="156"/>
      <c r="T459" s="156"/>
      <c r="U459" s="156"/>
      <c r="V459" s="156"/>
      <c r="W459" s="156"/>
      <c r="X459" s="156"/>
      <c r="Y459" s="156"/>
      <c r="Z459" s="157"/>
      <c r="AA459" s="157"/>
      <c r="AB459" s="156"/>
      <c r="AC459" s="156"/>
      <c r="AD459" s="156"/>
      <c r="AE459" s="156"/>
      <c r="AF459" s="156"/>
      <c r="AG459" s="156"/>
      <c r="AH459" s="156"/>
      <c r="AI459" s="156"/>
      <c r="AJ459" s="156"/>
      <c r="AK459" s="156"/>
      <c r="AL459" s="156"/>
      <c r="AM459" s="158"/>
      <c r="AN459" s="156"/>
      <c r="AO459" s="156"/>
      <c r="AP459" s="156"/>
      <c r="AQ459" s="156"/>
      <c r="AR459" s="156"/>
      <c r="AS459" s="156"/>
      <c r="AT459" s="156"/>
      <c r="AU459" s="156"/>
      <c r="AV459" s="156"/>
      <c r="AW459" s="156"/>
      <c r="AX459" s="156"/>
      <c r="AY459" s="156"/>
      <c r="AZ459" s="156"/>
      <c r="BA459" s="153"/>
      <c r="BD459" s="153"/>
      <c r="BE459" s="147"/>
      <c r="BI459" s="153"/>
      <c r="BO459" s="153"/>
      <c r="BW459" s="153"/>
      <c r="CD459" s="146"/>
      <c r="CF459" s="147"/>
      <c r="CI459" s="146"/>
      <c r="CJ459" s="153"/>
      <c r="CV459" s="154"/>
      <c r="CX459" s="154"/>
      <c r="CZ459" s="154"/>
      <c r="DB459" s="154"/>
      <c r="DD459" s="154"/>
      <c r="DH459" s="474"/>
      <c r="DI459" s="459"/>
      <c r="DJ459" s="459"/>
      <c r="DK459" s="459"/>
      <c r="DL459" s="459"/>
      <c r="DM459" s="459"/>
      <c r="DN459" s="459"/>
      <c r="DO459" s="459"/>
      <c r="DP459" s="459"/>
      <c r="DQ459" s="459"/>
      <c r="DR459" s="459"/>
      <c r="DS459" s="459"/>
      <c r="DT459" s="459"/>
      <c r="DU459" s="459"/>
      <c r="DV459" s="468"/>
      <c r="DW459" s="468"/>
      <c r="DX459" s="459"/>
      <c r="DY459" s="459"/>
    </row>
    <row r="460" spans="1:129" s="128" customFormat="1" ht="54.95" customHeight="1" x14ac:dyDescent="0.25">
      <c r="A460" s="377"/>
      <c r="B460" s="175"/>
      <c r="C460" s="393"/>
      <c r="D460" s="168"/>
      <c r="E460" s="168"/>
      <c r="F460" s="168"/>
      <c r="G460" s="168"/>
      <c r="H460" s="168"/>
      <c r="I460" s="168"/>
      <c r="J460" s="168"/>
      <c r="K460" s="168"/>
      <c r="L460" s="168"/>
      <c r="M460" s="168"/>
      <c r="N460" s="168"/>
      <c r="O460" s="433"/>
      <c r="P460" s="122"/>
      <c r="Q460" s="156"/>
      <c r="R460" s="156"/>
      <c r="S460" s="156"/>
      <c r="T460" s="156"/>
      <c r="U460" s="156"/>
      <c r="V460" s="156"/>
      <c r="W460" s="156"/>
      <c r="X460" s="156"/>
      <c r="Y460" s="156"/>
      <c r="Z460" s="157"/>
      <c r="AA460" s="157"/>
      <c r="AB460" s="156"/>
      <c r="AC460" s="156"/>
      <c r="AD460" s="156"/>
      <c r="AE460" s="156"/>
      <c r="AF460" s="156"/>
      <c r="AG460" s="156"/>
      <c r="AH460" s="156"/>
      <c r="AI460" s="156"/>
      <c r="AJ460" s="156"/>
      <c r="AK460" s="156"/>
      <c r="AL460" s="156"/>
      <c r="AM460" s="158"/>
      <c r="AN460" s="156"/>
      <c r="AO460" s="156"/>
      <c r="AP460" s="156"/>
      <c r="AQ460" s="156"/>
      <c r="AR460" s="156"/>
      <c r="AS460" s="156"/>
      <c r="AT460" s="156"/>
      <c r="AU460" s="156"/>
      <c r="AV460" s="156"/>
      <c r="AW460" s="156"/>
      <c r="AX460" s="156"/>
      <c r="AY460" s="156"/>
      <c r="AZ460" s="156"/>
      <c r="BA460" s="153"/>
      <c r="BD460" s="153"/>
      <c r="BE460" s="147"/>
      <c r="BI460" s="153"/>
      <c r="BO460" s="153"/>
      <c r="BW460" s="153"/>
      <c r="CD460" s="146"/>
      <c r="CF460" s="147"/>
      <c r="CI460" s="146"/>
      <c r="CJ460" s="153"/>
      <c r="CV460" s="154"/>
      <c r="CX460" s="154"/>
      <c r="CZ460" s="154"/>
      <c r="DB460" s="154"/>
      <c r="DD460" s="154"/>
      <c r="DH460" s="474"/>
      <c r="DI460" s="459"/>
      <c r="DJ460" s="459"/>
      <c r="DK460" s="459"/>
      <c r="DL460" s="459"/>
      <c r="DM460" s="459"/>
      <c r="DN460" s="459"/>
      <c r="DO460" s="459"/>
      <c r="DP460" s="459"/>
      <c r="DQ460" s="459"/>
      <c r="DR460" s="459"/>
      <c r="DS460" s="459"/>
      <c r="DT460" s="459"/>
      <c r="DU460" s="459"/>
      <c r="DV460" s="468"/>
      <c r="DW460" s="468"/>
      <c r="DX460" s="459"/>
      <c r="DY460" s="459"/>
    </row>
    <row r="461" spans="1:129" s="128" customFormat="1" ht="54.95" customHeight="1" x14ac:dyDescent="0.25">
      <c r="A461" s="377"/>
      <c r="B461" s="175"/>
      <c r="C461" s="393"/>
      <c r="D461" s="168"/>
      <c r="E461" s="168"/>
      <c r="F461" s="168"/>
      <c r="G461" s="168"/>
      <c r="H461" s="168"/>
      <c r="I461" s="168"/>
      <c r="J461" s="168"/>
      <c r="K461" s="168"/>
      <c r="L461" s="168"/>
      <c r="M461" s="168"/>
      <c r="N461" s="168"/>
      <c r="O461" s="433"/>
      <c r="P461" s="122"/>
      <c r="Q461" s="156"/>
      <c r="R461" s="156"/>
      <c r="S461" s="156"/>
      <c r="T461" s="156"/>
      <c r="U461" s="156"/>
      <c r="V461" s="156"/>
      <c r="W461" s="156"/>
      <c r="X461" s="156"/>
      <c r="Y461" s="156"/>
      <c r="Z461" s="157"/>
      <c r="AA461" s="157"/>
      <c r="AB461" s="156"/>
      <c r="AC461" s="156"/>
      <c r="AD461" s="156"/>
      <c r="AE461" s="156"/>
      <c r="AF461" s="156"/>
      <c r="AG461" s="156"/>
      <c r="AH461" s="156"/>
      <c r="AI461" s="156"/>
      <c r="AJ461" s="156"/>
      <c r="AK461" s="156"/>
      <c r="AL461" s="156"/>
      <c r="AM461" s="158"/>
      <c r="AN461" s="156"/>
      <c r="AO461" s="156"/>
      <c r="AP461" s="156"/>
      <c r="AQ461" s="156"/>
      <c r="AR461" s="156"/>
      <c r="AS461" s="156"/>
      <c r="AT461" s="156"/>
      <c r="AU461" s="156"/>
      <c r="AV461" s="156"/>
      <c r="AW461" s="156"/>
      <c r="AX461" s="156"/>
      <c r="AY461" s="156"/>
      <c r="AZ461" s="156"/>
      <c r="BA461" s="153"/>
      <c r="BD461" s="153"/>
      <c r="BE461" s="147"/>
      <c r="BI461" s="153"/>
      <c r="BO461" s="153"/>
      <c r="BW461" s="153"/>
      <c r="CD461" s="146"/>
      <c r="CF461" s="147"/>
      <c r="CI461" s="146"/>
      <c r="CJ461" s="153"/>
      <c r="CV461" s="154"/>
      <c r="CX461" s="154"/>
      <c r="CZ461" s="154"/>
      <c r="DB461" s="154"/>
      <c r="DD461" s="154"/>
      <c r="DH461" s="474"/>
      <c r="DI461" s="459"/>
      <c r="DJ461" s="459"/>
      <c r="DK461" s="459"/>
      <c r="DL461" s="459"/>
      <c r="DM461" s="459"/>
      <c r="DN461" s="459"/>
      <c r="DO461" s="459"/>
      <c r="DP461" s="459"/>
      <c r="DQ461" s="459"/>
      <c r="DR461" s="459"/>
      <c r="DS461" s="459"/>
      <c r="DT461" s="459"/>
      <c r="DU461" s="459"/>
      <c r="DV461" s="468"/>
      <c r="DW461" s="468"/>
      <c r="DX461" s="459"/>
      <c r="DY461" s="459"/>
    </row>
    <row r="462" spans="1:129" s="128" customFormat="1" ht="54.95" customHeight="1" x14ac:dyDescent="0.25">
      <c r="A462" s="377"/>
      <c r="B462" s="175"/>
      <c r="C462" s="393"/>
      <c r="D462" s="168"/>
      <c r="E462" s="168"/>
      <c r="F462" s="168"/>
      <c r="G462" s="168"/>
      <c r="H462" s="168"/>
      <c r="I462" s="168"/>
      <c r="J462" s="168"/>
      <c r="K462" s="168"/>
      <c r="L462" s="168"/>
      <c r="M462" s="168"/>
      <c r="N462" s="168"/>
      <c r="O462" s="433"/>
      <c r="P462" s="122"/>
      <c r="Q462" s="156"/>
      <c r="R462" s="156"/>
      <c r="S462" s="156"/>
      <c r="T462" s="156"/>
      <c r="U462" s="156"/>
      <c r="V462" s="156"/>
      <c r="W462" s="156"/>
      <c r="X462" s="156"/>
      <c r="Y462" s="156"/>
      <c r="Z462" s="157"/>
      <c r="AA462" s="157"/>
      <c r="AB462" s="156"/>
      <c r="AC462" s="156"/>
      <c r="AD462" s="156"/>
      <c r="AE462" s="156"/>
      <c r="AF462" s="156"/>
      <c r="AG462" s="156"/>
      <c r="AH462" s="156"/>
      <c r="AI462" s="156"/>
      <c r="AJ462" s="156"/>
      <c r="AK462" s="156"/>
      <c r="AL462" s="156"/>
      <c r="AM462" s="158"/>
      <c r="AN462" s="156"/>
      <c r="AO462" s="156"/>
      <c r="AP462" s="156"/>
      <c r="AQ462" s="156"/>
      <c r="AR462" s="156"/>
      <c r="AS462" s="156"/>
      <c r="AT462" s="156"/>
      <c r="AU462" s="156"/>
      <c r="AV462" s="156"/>
      <c r="AW462" s="156"/>
      <c r="AX462" s="156"/>
      <c r="AY462" s="156"/>
      <c r="AZ462" s="156"/>
      <c r="BA462" s="153"/>
      <c r="BD462" s="153"/>
      <c r="BE462" s="147"/>
      <c r="BI462" s="153"/>
      <c r="BO462" s="153"/>
      <c r="BW462" s="153"/>
      <c r="CD462" s="146"/>
      <c r="CF462" s="147"/>
      <c r="CI462" s="146"/>
      <c r="CJ462" s="153"/>
      <c r="CV462" s="154"/>
      <c r="CX462" s="154"/>
      <c r="CZ462" s="154"/>
      <c r="DB462" s="154"/>
      <c r="DD462" s="154"/>
      <c r="DH462" s="474"/>
      <c r="DI462" s="459"/>
      <c r="DJ462" s="459"/>
      <c r="DK462" s="459"/>
      <c r="DL462" s="459"/>
      <c r="DM462" s="459"/>
      <c r="DN462" s="459"/>
      <c r="DO462" s="459"/>
      <c r="DP462" s="459"/>
      <c r="DQ462" s="459"/>
      <c r="DR462" s="459"/>
      <c r="DS462" s="459"/>
      <c r="DT462" s="459"/>
      <c r="DU462" s="459"/>
      <c r="DV462" s="468"/>
      <c r="DW462" s="468"/>
      <c r="DX462" s="459"/>
      <c r="DY462" s="459"/>
    </row>
    <row r="463" spans="1:129" s="128" customFormat="1" ht="54.95" customHeight="1" x14ac:dyDescent="0.25">
      <c r="A463" s="377"/>
      <c r="B463" s="175"/>
      <c r="C463" s="393"/>
      <c r="D463" s="168"/>
      <c r="E463" s="168"/>
      <c r="F463" s="168"/>
      <c r="G463" s="168"/>
      <c r="H463" s="168"/>
      <c r="I463" s="168"/>
      <c r="J463" s="168"/>
      <c r="K463" s="168"/>
      <c r="L463" s="168"/>
      <c r="M463" s="168"/>
      <c r="N463" s="168"/>
      <c r="O463" s="433"/>
      <c r="P463" s="122"/>
      <c r="Q463" s="156"/>
      <c r="R463" s="156"/>
      <c r="S463" s="156"/>
      <c r="T463" s="156"/>
      <c r="U463" s="156"/>
      <c r="V463" s="156"/>
      <c r="W463" s="156"/>
      <c r="X463" s="156"/>
      <c r="Y463" s="156"/>
      <c r="Z463" s="157"/>
      <c r="AA463" s="157"/>
      <c r="AB463" s="156"/>
      <c r="AC463" s="156"/>
      <c r="AD463" s="156"/>
      <c r="AE463" s="156"/>
      <c r="AF463" s="156"/>
      <c r="AG463" s="156"/>
      <c r="AH463" s="156"/>
      <c r="AI463" s="156"/>
      <c r="AJ463" s="156"/>
      <c r="AK463" s="156"/>
      <c r="AL463" s="156"/>
      <c r="AM463" s="158"/>
      <c r="AN463" s="156"/>
      <c r="AO463" s="156"/>
      <c r="AP463" s="156"/>
      <c r="AQ463" s="156"/>
      <c r="AR463" s="156"/>
      <c r="AS463" s="156"/>
      <c r="AT463" s="156"/>
      <c r="AU463" s="156"/>
      <c r="AV463" s="156"/>
      <c r="AW463" s="156"/>
      <c r="AX463" s="156"/>
      <c r="AY463" s="156"/>
      <c r="AZ463" s="156"/>
      <c r="BA463" s="153"/>
      <c r="BD463" s="153"/>
      <c r="BE463" s="147"/>
      <c r="BI463" s="153"/>
      <c r="BO463" s="153"/>
      <c r="BW463" s="153"/>
      <c r="CD463" s="146"/>
      <c r="CF463" s="147"/>
      <c r="CI463" s="146"/>
      <c r="CJ463" s="153"/>
      <c r="CV463" s="154"/>
      <c r="CX463" s="154"/>
      <c r="CZ463" s="154"/>
      <c r="DB463" s="154"/>
      <c r="DD463" s="154"/>
      <c r="DH463" s="474"/>
      <c r="DI463" s="459"/>
      <c r="DJ463" s="459"/>
      <c r="DK463" s="459"/>
      <c r="DL463" s="459"/>
      <c r="DM463" s="459"/>
      <c r="DN463" s="459"/>
      <c r="DO463" s="459"/>
      <c r="DP463" s="459"/>
      <c r="DQ463" s="459"/>
      <c r="DR463" s="459"/>
      <c r="DS463" s="459"/>
      <c r="DT463" s="459"/>
      <c r="DU463" s="459"/>
      <c r="DV463" s="468"/>
      <c r="DW463" s="468"/>
      <c r="DX463" s="459"/>
      <c r="DY463" s="459"/>
    </row>
    <row r="464" spans="1:129" s="128" customFormat="1" ht="54.95" customHeight="1" x14ac:dyDescent="0.25">
      <c r="A464" s="377"/>
      <c r="B464" s="175"/>
      <c r="C464" s="393"/>
      <c r="D464" s="168"/>
      <c r="E464" s="168"/>
      <c r="F464" s="168"/>
      <c r="G464" s="168"/>
      <c r="H464" s="168"/>
      <c r="I464" s="168"/>
      <c r="J464" s="168"/>
      <c r="K464" s="168"/>
      <c r="L464" s="168"/>
      <c r="M464" s="168"/>
      <c r="N464" s="168"/>
      <c r="O464" s="433"/>
      <c r="P464" s="122"/>
      <c r="Q464" s="156"/>
      <c r="R464" s="156"/>
      <c r="S464" s="156"/>
      <c r="T464" s="156"/>
      <c r="U464" s="156"/>
      <c r="V464" s="156"/>
      <c r="W464" s="156"/>
      <c r="X464" s="156"/>
      <c r="Y464" s="156"/>
      <c r="Z464" s="157"/>
      <c r="AA464" s="157"/>
      <c r="AB464" s="156"/>
      <c r="AC464" s="156"/>
      <c r="AD464" s="156"/>
      <c r="AE464" s="156"/>
      <c r="AF464" s="156"/>
      <c r="AG464" s="156"/>
      <c r="AH464" s="156"/>
      <c r="AI464" s="156"/>
      <c r="AJ464" s="156"/>
      <c r="AK464" s="156"/>
      <c r="AL464" s="156"/>
      <c r="AM464" s="158"/>
      <c r="AN464" s="156"/>
      <c r="AO464" s="156"/>
      <c r="AP464" s="156"/>
      <c r="AQ464" s="156"/>
      <c r="AR464" s="156"/>
      <c r="AS464" s="156"/>
      <c r="AT464" s="156"/>
      <c r="AU464" s="156"/>
      <c r="AV464" s="156"/>
      <c r="AW464" s="156"/>
      <c r="AX464" s="156"/>
      <c r="AY464" s="156"/>
      <c r="AZ464" s="156"/>
      <c r="BA464" s="153"/>
      <c r="BD464" s="153"/>
      <c r="BE464" s="147"/>
      <c r="BI464" s="153"/>
      <c r="BO464" s="153"/>
      <c r="BW464" s="153"/>
      <c r="CD464" s="146"/>
      <c r="CF464" s="147"/>
      <c r="CI464" s="146"/>
      <c r="CJ464" s="153"/>
      <c r="CV464" s="154"/>
      <c r="CX464" s="154"/>
      <c r="CZ464" s="154"/>
      <c r="DB464" s="154"/>
      <c r="DD464" s="154"/>
      <c r="DH464" s="474"/>
      <c r="DI464" s="459"/>
      <c r="DJ464" s="459"/>
      <c r="DK464" s="459"/>
      <c r="DL464" s="459"/>
      <c r="DM464" s="459"/>
      <c r="DN464" s="459"/>
      <c r="DO464" s="459"/>
      <c r="DP464" s="459"/>
      <c r="DQ464" s="459"/>
      <c r="DR464" s="459"/>
      <c r="DS464" s="459"/>
      <c r="DT464" s="459"/>
      <c r="DU464" s="459"/>
      <c r="DV464" s="468"/>
      <c r="DW464" s="468"/>
      <c r="DX464" s="459"/>
      <c r="DY464" s="459"/>
    </row>
    <row r="465" spans="1:129" s="128" customFormat="1" ht="54.95" customHeight="1" x14ac:dyDescent="0.25">
      <c r="A465" s="377"/>
      <c r="B465" s="175"/>
      <c r="C465" s="393"/>
      <c r="D465" s="168"/>
      <c r="E465" s="168"/>
      <c r="F465" s="168"/>
      <c r="G465" s="168"/>
      <c r="H465" s="168"/>
      <c r="I465" s="168"/>
      <c r="J465" s="168"/>
      <c r="K465" s="168"/>
      <c r="L465" s="168"/>
      <c r="M465" s="168"/>
      <c r="N465" s="168"/>
      <c r="O465" s="433"/>
      <c r="P465" s="122"/>
      <c r="Q465" s="156"/>
      <c r="R465" s="156"/>
      <c r="S465" s="156"/>
      <c r="T465" s="156"/>
      <c r="U465" s="156"/>
      <c r="V465" s="156"/>
      <c r="W465" s="156"/>
      <c r="X465" s="156"/>
      <c r="Y465" s="156"/>
      <c r="Z465" s="157"/>
      <c r="AA465" s="157"/>
      <c r="AB465" s="156"/>
      <c r="AC465" s="156"/>
      <c r="AD465" s="156"/>
      <c r="AE465" s="156"/>
      <c r="AF465" s="156"/>
      <c r="AG465" s="156"/>
      <c r="AH465" s="156"/>
      <c r="AI465" s="156"/>
      <c r="AJ465" s="156"/>
      <c r="AK465" s="156"/>
      <c r="AL465" s="156"/>
      <c r="AM465" s="158"/>
      <c r="AN465" s="156"/>
      <c r="AO465" s="156"/>
      <c r="AP465" s="156"/>
      <c r="AQ465" s="156"/>
      <c r="AR465" s="156"/>
      <c r="AS465" s="156"/>
      <c r="AT465" s="156"/>
      <c r="AU465" s="156"/>
      <c r="AV465" s="156"/>
      <c r="AW465" s="156"/>
      <c r="AX465" s="156"/>
      <c r="AY465" s="156"/>
      <c r="AZ465" s="156"/>
      <c r="BA465" s="153"/>
      <c r="BD465" s="153"/>
      <c r="BE465" s="147"/>
      <c r="BI465" s="153"/>
      <c r="BO465" s="153"/>
      <c r="BW465" s="153"/>
      <c r="CD465" s="146"/>
      <c r="CF465" s="147"/>
      <c r="CI465" s="146"/>
      <c r="CJ465" s="153"/>
      <c r="CV465" s="154"/>
      <c r="CX465" s="154"/>
      <c r="CZ465" s="154"/>
      <c r="DB465" s="154"/>
      <c r="DD465" s="154"/>
      <c r="DH465" s="474"/>
      <c r="DI465" s="459"/>
      <c r="DJ465" s="459"/>
      <c r="DK465" s="459"/>
      <c r="DL465" s="459"/>
      <c r="DM465" s="459"/>
      <c r="DN465" s="459"/>
      <c r="DO465" s="459"/>
      <c r="DP465" s="459"/>
      <c r="DQ465" s="459"/>
      <c r="DR465" s="459"/>
      <c r="DS465" s="459"/>
      <c r="DT465" s="459"/>
      <c r="DU465" s="459"/>
      <c r="DV465" s="468"/>
      <c r="DW465" s="468"/>
      <c r="DX465" s="459"/>
      <c r="DY465" s="459"/>
    </row>
    <row r="466" spans="1:129" s="128" customFormat="1" ht="54.95" customHeight="1" x14ac:dyDescent="0.25">
      <c r="A466" s="377"/>
      <c r="B466" s="175"/>
      <c r="C466" s="393"/>
      <c r="D466" s="168"/>
      <c r="E466" s="168"/>
      <c r="F466" s="168"/>
      <c r="G466" s="168"/>
      <c r="H466" s="168"/>
      <c r="I466" s="168"/>
      <c r="J466" s="168"/>
      <c r="K466" s="168"/>
      <c r="L466" s="168"/>
      <c r="M466" s="168"/>
      <c r="N466" s="168"/>
      <c r="O466" s="433"/>
      <c r="P466" s="122"/>
      <c r="Q466" s="156"/>
      <c r="R466" s="156"/>
      <c r="S466" s="156"/>
      <c r="T466" s="156"/>
      <c r="U466" s="156"/>
      <c r="V466" s="156"/>
      <c r="W466" s="156"/>
      <c r="X466" s="156"/>
      <c r="Y466" s="156"/>
      <c r="Z466" s="157"/>
      <c r="AA466" s="157"/>
      <c r="AB466" s="156"/>
      <c r="AC466" s="156"/>
      <c r="AD466" s="156"/>
      <c r="AE466" s="156"/>
      <c r="AF466" s="156"/>
      <c r="AG466" s="156"/>
      <c r="AH466" s="156"/>
      <c r="AI466" s="156"/>
      <c r="AJ466" s="156"/>
      <c r="AK466" s="156"/>
      <c r="AL466" s="156"/>
      <c r="AM466" s="158"/>
      <c r="AN466" s="156"/>
      <c r="AO466" s="156"/>
      <c r="AP466" s="156"/>
      <c r="AQ466" s="156"/>
      <c r="AR466" s="156"/>
      <c r="AS466" s="156"/>
      <c r="AT466" s="156"/>
      <c r="AU466" s="156"/>
      <c r="AV466" s="156"/>
      <c r="AW466" s="156"/>
      <c r="AX466" s="156"/>
      <c r="AY466" s="156"/>
      <c r="AZ466" s="156"/>
      <c r="BA466" s="153"/>
      <c r="BD466" s="153"/>
      <c r="BE466" s="147"/>
      <c r="BI466" s="153"/>
      <c r="BO466" s="153"/>
      <c r="BW466" s="153"/>
      <c r="CD466" s="146"/>
      <c r="CF466" s="147"/>
      <c r="CI466" s="146"/>
      <c r="CJ466" s="153"/>
      <c r="CV466" s="154"/>
      <c r="CX466" s="154"/>
      <c r="CZ466" s="154"/>
      <c r="DB466" s="154"/>
      <c r="DD466" s="154"/>
      <c r="DH466" s="474"/>
      <c r="DI466" s="459"/>
      <c r="DJ466" s="459"/>
      <c r="DK466" s="459"/>
      <c r="DL466" s="459"/>
      <c r="DM466" s="459"/>
      <c r="DN466" s="459"/>
      <c r="DO466" s="459"/>
      <c r="DP466" s="459"/>
      <c r="DQ466" s="459"/>
      <c r="DR466" s="459"/>
      <c r="DS466" s="459"/>
      <c r="DT466" s="459"/>
      <c r="DU466" s="459"/>
      <c r="DV466" s="468"/>
      <c r="DW466" s="468"/>
      <c r="DX466" s="459"/>
      <c r="DY466" s="459"/>
    </row>
    <row r="467" spans="1:129" s="128" customFormat="1" ht="54.95" customHeight="1" x14ac:dyDescent="0.25">
      <c r="A467" s="377"/>
      <c r="B467" s="175"/>
      <c r="C467" s="393"/>
      <c r="D467" s="168"/>
      <c r="E467" s="168"/>
      <c r="F467" s="168"/>
      <c r="G467" s="168"/>
      <c r="H467" s="168"/>
      <c r="I467" s="168"/>
      <c r="J467" s="168"/>
      <c r="K467" s="168"/>
      <c r="L467" s="168"/>
      <c r="M467" s="168"/>
      <c r="N467" s="168"/>
      <c r="O467" s="433"/>
      <c r="P467" s="122"/>
      <c r="Q467" s="156"/>
      <c r="R467" s="156"/>
      <c r="S467" s="156"/>
      <c r="T467" s="156"/>
      <c r="U467" s="156"/>
      <c r="V467" s="156"/>
      <c r="W467" s="156"/>
      <c r="X467" s="156"/>
      <c r="Y467" s="156"/>
      <c r="Z467" s="157"/>
      <c r="AA467" s="157"/>
      <c r="AB467" s="156"/>
      <c r="AC467" s="156"/>
      <c r="AD467" s="156"/>
      <c r="AE467" s="156"/>
      <c r="AF467" s="156"/>
      <c r="AG467" s="156"/>
      <c r="AH467" s="156"/>
      <c r="AI467" s="156"/>
      <c r="AJ467" s="156"/>
      <c r="AK467" s="156"/>
      <c r="AL467" s="156"/>
      <c r="AM467" s="158"/>
      <c r="AN467" s="156"/>
      <c r="AO467" s="156"/>
      <c r="AP467" s="156"/>
      <c r="AQ467" s="156"/>
      <c r="AR467" s="156"/>
      <c r="AS467" s="156"/>
      <c r="AT467" s="156"/>
      <c r="AU467" s="156"/>
      <c r="AV467" s="156"/>
      <c r="AW467" s="156"/>
      <c r="AX467" s="156"/>
      <c r="AY467" s="156"/>
      <c r="AZ467" s="156"/>
      <c r="BA467" s="153"/>
      <c r="BD467" s="153"/>
      <c r="BE467" s="147"/>
      <c r="BI467" s="153"/>
      <c r="BO467" s="153"/>
      <c r="BW467" s="153"/>
      <c r="CD467" s="146"/>
      <c r="CF467" s="147"/>
      <c r="CI467" s="146"/>
      <c r="CJ467" s="153"/>
      <c r="CV467" s="154"/>
      <c r="CX467" s="154"/>
      <c r="CZ467" s="154"/>
      <c r="DB467" s="154"/>
      <c r="DD467" s="154"/>
      <c r="DH467" s="474"/>
      <c r="DI467" s="459"/>
      <c r="DJ467" s="459"/>
      <c r="DK467" s="459"/>
      <c r="DL467" s="459"/>
      <c r="DM467" s="459"/>
      <c r="DN467" s="459"/>
      <c r="DO467" s="459"/>
      <c r="DP467" s="459"/>
      <c r="DQ467" s="459"/>
      <c r="DR467" s="459"/>
      <c r="DS467" s="459"/>
      <c r="DT467" s="459"/>
      <c r="DU467" s="459"/>
      <c r="DV467" s="468"/>
      <c r="DW467" s="468"/>
      <c r="DX467" s="459"/>
      <c r="DY467" s="459"/>
    </row>
    <row r="468" spans="1:129" s="128" customFormat="1" ht="54.95" customHeight="1" x14ac:dyDescent="0.25">
      <c r="A468" s="377"/>
      <c r="B468" s="175"/>
      <c r="C468" s="393"/>
      <c r="D468" s="168"/>
      <c r="E468" s="168"/>
      <c r="F468" s="168"/>
      <c r="G468" s="168"/>
      <c r="H468" s="168"/>
      <c r="I468" s="168"/>
      <c r="J468" s="168"/>
      <c r="K468" s="168"/>
      <c r="L468" s="168"/>
      <c r="M468" s="168"/>
      <c r="N468" s="168"/>
      <c r="O468" s="433"/>
      <c r="P468" s="122"/>
      <c r="Q468" s="156"/>
      <c r="R468" s="156"/>
      <c r="S468" s="156"/>
      <c r="T468" s="156"/>
      <c r="U468" s="156"/>
      <c r="V468" s="156"/>
      <c r="W468" s="156"/>
      <c r="X468" s="156"/>
      <c r="Y468" s="156"/>
      <c r="Z468" s="157"/>
      <c r="AA468" s="157"/>
      <c r="AB468" s="156"/>
      <c r="AC468" s="156"/>
      <c r="AD468" s="156"/>
      <c r="AE468" s="156"/>
      <c r="AF468" s="156"/>
      <c r="AG468" s="156"/>
      <c r="AH468" s="156"/>
      <c r="AI468" s="156"/>
      <c r="AJ468" s="156"/>
      <c r="AK468" s="156"/>
      <c r="AL468" s="156"/>
      <c r="AM468" s="158"/>
      <c r="AN468" s="156"/>
      <c r="AO468" s="156"/>
      <c r="AP468" s="156"/>
      <c r="AQ468" s="156"/>
      <c r="AR468" s="156"/>
      <c r="AS468" s="156"/>
      <c r="AT468" s="156"/>
      <c r="AU468" s="156"/>
      <c r="AV468" s="156"/>
      <c r="AW468" s="156"/>
      <c r="AX468" s="156"/>
      <c r="AY468" s="156"/>
      <c r="AZ468" s="156"/>
      <c r="BA468" s="153"/>
      <c r="BD468" s="153"/>
      <c r="BE468" s="147"/>
      <c r="BI468" s="153"/>
      <c r="BO468" s="153"/>
      <c r="BW468" s="153"/>
      <c r="CD468" s="146"/>
      <c r="CF468" s="147"/>
      <c r="CI468" s="146"/>
      <c r="CJ468" s="153"/>
      <c r="CV468" s="154"/>
      <c r="CX468" s="154"/>
      <c r="CZ468" s="154"/>
      <c r="DB468" s="154"/>
      <c r="DD468" s="154"/>
      <c r="DH468" s="474"/>
      <c r="DI468" s="459"/>
      <c r="DJ468" s="459"/>
      <c r="DK468" s="459"/>
      <c r="DL468" s="459"/>
      <c r="DM468" s="459"/>
      <c r="DN468" s="459"/>
      <c r="DO468" s="459"/>
      <c r="DP468" s="459"/>
      <c r="DQ468" s="459"/>
      <c r="DR468" s="459"/>
      <c r="DS468" s="459"/>
      <c r="DT468" s="459"/>
      <c r="DU468" s="459"/>
      <c r="DV468" s="468"/>
      <c r="DW468" s="468"/>
      <c r="DX468" s="459"/>
      <c r="DY468" s="459"/>
    </row>
    <row r="469" spans="1:129" s="128" customFormat="1" ht="54.95" customHeight="1" x14ac:dyDescent="0.25">
      <c r="A469" s="377"/>
      <c r="B469" s="175"/>
      <c r="C469" s="393"/>
      <c r="D469" s="168"/>
      <c r="E469" s="168"/>
      <c r="F469" s="168"/>
      <c r="G469" s="168"/>
      <c r="H469" s="168"/>
      <c r="I469" s="168"/>
      <c r="J469" s="168"/>
      <c r="K469" s="168"/>
      <c r="L469" s="168"/>
      <c r="M469" s="168"/>
      <c r="N469" s="168"/>
      <c r="O469" s="433"/>
      <c r="P469" s="122"/>
      <c r="Q469" s="156"/>
      <c r="R469" s="156"/>
      <c r="S469" s="156"/>
      <c r="T469" s="156"/>
      <c r="U469" s="156"/>
      <c r="V469" s="156"/>
      <c r="W469" s="156"/>
      <c r="X469" s="156"/>
      <c r="Y469" s="156"/>
      <c r="Z469" s="157"/>
      <c r="AA469" s="157"/>
      <c r="AB469" s="156"/>
      <c r="AC469" s="156"/>
      <c r="AD469" s="156"/>
      <c r="AE469" s="156"/>
      <c r="AF469" s="156"/>
      <c r="AG469" s="156"/>
      <c r="AH469" s="156"/>
      <c r="AI469" s="156"/>
      <c r="AJ469" s="156"/>
      <c r="AK469" s="156"/>
      <c r="AL469" s="156"/>
      <c r="AM469" s="158"/>
      <c r="AN469" s="156"/>
      <c r="AO469" s="156"/>
      <c r="AP469" s="156"/>
      <c r="AQ469" s="156"/>
      <c r="AR469" s="156"/>
      <c r="AS469" s="156"/>
      <c r="AT469" s="156"/>
      <c r="AU469" s="156"/>
      <c r="AV469" s="156"/>
      <c r="AW469" s="156"/>
      <c r="AX469" s="156"/>
      <c r="AY469" s="156"/>
      <c r="AZ469" s="156"/>
      <c r="BA469" s="153"/>
      <c r="BD469" s="153"/>
      <c r="BE469" s="147"/>
      <c r="BI469" s="153"/>
      <c r="BO469" s="153"/>
      <c r="BW469" s="153"/>
      <c r="CD469" s="146"/>
      <c r="CF469" s="147"/>
      <c r="CI469" s="146"/>
      <c r="CJ469" s="153"/>
      <c r="CV469" s="154"/>
      <c r="CX469" s="154"/>
      <c r="CZ469" s="154"/>
      <c r="DB469" s="154"/>
      <c r="DD469" s="154"/>
      <c r="DH469" s="474"/>
      <c r="DI469" s="459"/>
      <c r="DJ469" s="459"/>
      <c r="DK469" s="459"/>
      <c r="DL469" s="459"/>
      <c r="DM469" s="459"/>
      <c r="DN469" s="459"/>
      <c r="DO469" s="459"/>
      <c r="DP469" s="459"/>
      <c r="DQ469" s="459"/>
      <c r="DR469" s="459"/>
      <c r="DS469" s="459"/>
      <c r="DT469" s="459"/>
      <c r="DU469" s="459"/>
      <c r="DV469" s="468"/>
      <c r="DW469" s="468"/>
      <c r="DX469" s="459"/>
      <c r="DY469" s="459"/>
    </row>
    <row r="470" spans="1:129" s="128" customFormat="1" ht="54.95" customHeight="1" x14ac:dyDescent="0.25">
      <c r="A470" s="377"/>
      <c r="B470" s="175"/>
      <c r="C470" s="393"/>
      <c r="D470" s="168"/>
      <c r="E470" s="168"/>
      <c r="F470" s="168"/>
      <c r="G470" s="168"/>
      <c r="H470" s="168"/>
      <c r="I470" s="168"/>
      <c r="J470" s="168"/>
      <c r="K470" s="168"/>
      <c r="L470" s="168"/>
      <c r="M470" s="168"/>
      <c r="N470" s="168"/>
      <c r="O470" s="433"/>
      <c r="P470" s="122"/>
      <c r="Q470" s="156"/>
      <c r="R470" s="156"/>
      <c r="S470" s="156"/>
      <c r="T470" s="156"/>
      <c r="U470" s="156"/>
      <c r="V470" s="156"/>
      <c r="W470" s="156"/>
      <c r="X470" s="156"/>
      <c r="Y470" s="156"/>
      <c r="Z470" s="157"/>
      <c r="AA470" s="157"/>
      <c r="AB470" s="156"/>
      <c r="AC470" s="156"/>
      <c r="AD470" s="156"/>
      <c r="AE470" s="156"/>
      <c r="AF470" s="156"/>
      <c r="AG470" s="156"/>
      <c r="AH470" s="156"/>
      <c r="AI470" s="156"/>
      <c r="AJ470" s="156"/>
      <c r="AK470" s="156"/>
      <c r="AL470" s="156"/>
      <c r="AM470" s="158"/>
      <c r="AN470" s="156"/>
      <c r="AO470" s="156"/>
      <c r="AP470" s="156"/>
      <c r="AQ470" s="156"/>
      <c r="AR470" s="156"/>
      <c r="AS470" s="156"/>
      <c r="AT470" s="156"/>
      <c r="AU470" s="156"/>
      <c r="AV470" s="156"/>
      <c r="AW470" s="156"/>
      <c r="AX470" s="156"/>
      <c r="AY470" s="156"/>
      <c r="AZ470" s="156"/>
      <c r="BA470" s="153"/>
      <c r="BD470" s="153"/>
      <c r="BE470" s="147"/>
      <c r="BI470" s="153"/>
      <c r="BO470" s="153"/>
      <c r="BW470" s="153"/>
      <c r="CD470" s="146"/>
      <c r="CF470" s="147"/>
      <c r="CI470" s="146"/>
      <c r="CJ470" s="153"/>
      <c r="CV470" s="154"/>
      <c r="CX470" s="154"/>
      <c r="CZ470" s="154"/>
      <c r="DB470" s="154"/>
      <c r="DD470" s="154"/>
      <c r="DH470" s="474"/>
      <c r="DI470" s="459"/>
      <c r="DJ470" s="459"/>
      <c r="DK470" s="459"/>
      <c r="DL470" s="459"/>
      <c r="DM470" s="459"/>
      <c r="DN470" s="459"/>
      <c r="DO470" s="459"/>
      <c r="DP470" s="459"/>
      <c r="DQ470" s="459"/>
      <c r="DR470" s="459"/>
      <c r="DS470" s="459"/>
      <c r="DT470" s="459"/>
      <c r="DU470" s="459"/>
      <c r="DV470" s="468"/>
      <c r="DW470" s="468"/>
      <c r="DX470" s="459"/>
      <c r="DY470" s="459"/>
    </row>
    <row r="471" spans="1:129" s="128" customFormat="1" ht="54.95" customHeight="1" x14ac:dyDescent="0.25">
      <c r="A471" s="377"/>
      <c r="B471" s="175"/>
      <c r="C471" s="393"/>
      <c r="D471" s="168"/>
      <c r="E471" s="168"/>
      <c r="F471" s="168"/>
      <c r="G471" s="168"/>
      <c r="H471" s="168"/>
      <c r="I471" s="168"/>
      <c r="J471" s="168"/>
      <c r="K471" s="168"/>
      <c r="L471" s="168"/>
      <c r="M471" s="168"/>
      <c r="N471" s="168"/>
      <c r="O471" s="433"/>
      <c r="P471" s="122"/>
      <c r="Q471" s="156"/>
      <c r="R471" s="156"/>
      <c r="S471" s="156"/>
      <c r="T471" s="156"/>
      <c r="U471" s="156"/>
      <c r="V471" s="156"/>
      <c r="W471" s="156"/>
      <c r="X471" s="156"/>
      <c r="Y471" s="156"/>
      <c r="Z471" s="157"/>
      <c r="AA471" s="157"/>
      <c r="AB471" s="156"/>
      <c r="AC471" s="156"/>
      <c r="AD471" s="156"/>
      <c r="AE471" s="156"/>
      <c r="AF471" s="156"/>
      <c r="AG471" s="156"/>
      <c r="AH471" s="156"/>
      <c r="AI471" s="156"/>
      <c r="AJ471" s="156"/>
      <c r="AK471" s="156"/>
      <c r="AL471" s="156"/>
      <c r="AM471" s="158"/>
      <c r="AN471" s="156"/>
      <c r="AO471" s="156"/>
      <c r="AP471" s="156"/>
      <c r="AQ471" s="156"/>
      <c r="AR471" s="156"/>
      <c r="AS471" s="156"/>
      <c r="AT471" s="156"/>
      <c r="AU471" s="156"/>
      <c r="AV471" s="156"/>
      <c r="AW471" s="156"/>
      <c r="AX471" s="156"/>
      <c r="AY471" s="156"/>
      <c r="AZ471" s="156"/>
      <c r="BA471" s="153"/>
      <c r="BD471" s="153"/>
      <c r="BE471" s="147"/>
      <c r="BI471" s="153"/>
      <c r="BO471" s="153"/>
      <c r="BW471" s="153"/>
      <c r="CD471" s="146"/>
      <c r="CF471" s="147"/>
      <c r="CI471" s="146"/>
      <c r="CJ471" s="153"/>
      <c r="CV471" s="154"/>
      <c r="CX471" s="154"/>
      <c r="CZ471" s="154"/>
      <c r="DB471" s="154"/>
      <c r="DD471" s="154"/>
      <c r="DH471" s="474"/>
      <c r="DI471" s="459"/>
      <c r="DJ471" s="459"/>
      <c r="DK471" s="459"/>
      <c r="DL471" s="459"/>
      <c r="DM471" s="459"/>
      <c r="DN471" s="459"/>
      <c r="DO471" s="459"/>
      <c r="DP471" s="459"/>
      <c r="DQ471" s="459"/>
      <c r="DR471" s="459"/>
      <c r="DS471" s="459"/>
      <c r="DT471" s="459"/>
      <c r="DU471" s="459"/>
      <c r="DV471" s="468"/>
      <c r="DW471" s="468"/>
      <c r="DX471" s="459"/>
      <c r="DY471" s="459"/>
    </row>
    <row r="472" spans="1:129" s="128" customFormat="1" ht="54.95" customHeight="1" x14ac:dyDescent="0.25">
      <c r="A472" s="377"/>
      <c r="B472" s="175"/>
      <c r="C472" s="393"/>
      <c r="D472" s="168"/>
      <c r="E472" s="168"/>
      <c r="F472" s="168"/>
      <c r="G472" s="168"/>
      <c r="H472" s="168"/>
      <c r="I472" s="168"/>
      <c r="J472" s="168"/>
      <c r="K472" s="168"/>
      <c r="L472" s="168"/>
      <c r="M472" s="168"/>
      <c r="N472" s="168"/>
      <c r="O472" s="433"/>
      <c r="P472" s="122"/>
      <c r="Q472" s="156"/>
      <c r="R472" s="156"/>
      <c r="S472" s="156"/>
      <c r="T472" s="156"/>
      <c r="U472" s="156"/>
      <c r="V472" s="156"/>
      <c r="W472" s="156"/>
      <c r="X472" s="156"/>
      <c r="Y472" s="156"/>
      <c r="Z472" s="157"/>
      <c r="AA472" s="157"/>
      <c r="AB472" s="156"/>
      <c r="AC472" s="156"/>
      <c r="AD472" s="156"/>
      <c r="AE472" s="156"/>
      <c r="AF472" s="156"/>
      <c r="AG472" s="156"/>
      <c r="AH472" s="156"/>
      <c r="AI472" s="156"/>
      <c r="AJ472" s="156"/>
      <c r="AK472" s="156"/>
      <c r="AL472" s="156"/>
      <c r="AM472" s="158"/>
      <c r="AN472" s="156"/>
      <c r="AO472" s="156"/>
      <c r="AP472" s="156"/>
      <c r="AQ472" s="156"/>
      <c r="AR472" s="156"/>
      <c r="AS472" s="156"/>
      <c r="AT472" s="156"/>
      <c r="AU472" s="156"/>
      <c r="AV472" s="156"/>
      <c r="AW472" s="156"/>
      <c r="AX472" s="156"/>
      <c r="AY472" s="156"/>
      <c r="AZ472" s="156"/>
      <c r="BA472" s="153"/>
      <c r="BD472" s="153"/>
      <c r="BE472" s="147"/>
      <c r="BI472" s="153"/>
      <c r="BO472" s="153"/>
      <c r="BW472" s="153"/>
      <c r="CD472" s="146"/>
      <c r="CF472" s="147"/>
      <c r="CI472" s="146"/>
      <c r="CJ472" s="153"/>
      <c r="CV472" s="154"/>
      <c r="CX472" s="154"/>
      <c r="CZ472" s="154"/>
      <c r="DB472" s="154"/>
      <c r="DD472" s="154"/>
      <c r="DH472" s="474"/>
      <c r="DI472" s="459"/>
      <c r="DJ472" s="459"/>
      <c r="DK472" s="459"/>
      <c r="DL472" s="459"/>
      <c r="DM472" s="459"/>
      <c r="DN472" s="459"/>
      <c r="DO472" s="459"/>
      <c r="DP472" s="459"/>
      <c r="DQ472" s="459"/>
      <c r="DR472" s="459"/>
      <c r="DS472" s="459"/>
      <c r="DT472" s="459"/>
      <c r="DU472" s="459"/>
      <c r="DV472" s="468"/>
      <c r="DW472" s="468"/>
      <c r="DX472" s="459"/>
      <c r="DY472" s="459"/>
    </row>
    <row r="473" spans="1:129" s="128" customFormat="1" ht="54.95" customHeight="1" x14ac:dyDescent="0.25">
      <c r="A473" s="377"/>
      <c r="B473" s="175"/>
      <c r="C473" s="393"/>
      <c r="D473" s="168"/>
      <c r="E473" s="168"/>
      <c r="F473" s="168"/>
      <c r="G473" s="168"/>
      <c r="H473" s="168"/>
      <c r="I473" s="168"/>
      <c r="J473" s="168"/>
      <c r="K473" s="168"/>
      <c r="L473" s="168"/>
      <c r="M473" s="168"/>
      <c r="N473" s="168"/>
      <c r="O473" s="433"/>
      <c r="P473" s="122"/>
      <c r="Q473" s="156"/>
      <c r="R473" s="156"/>
      <c r="S473" s="156"/>
      <c r="T473" s="156"/>
      <c r="U473" s="156"/>
      <c r="V473" s="156"/>
      <c r="W473" s="156"/>
      <c r="X473" s="156"/>
      <c r="Y473" s="156"/>
      <c r="Z473" s="157"/>
      <c r="AA473" s="157"/>
      <c r="AB473" s="156"/>
      <c r="AC473" s="156"/>
      <c r="AD473" s="156"/>
      <c r="AE473" s="156"/>
      <c r="AF473" s="156"/>
      <c r="AG473" s="156"/>
      <c r="AH473" s="156"/>
      <c r="AI473" s="156"/>
      <c r="AJ473" s="156"/>
      <c r="AK473" s="156"/>
      <c r="AL473" s="156"/>
      <c r="AM473" s="158"/>
      <c r="AN473" s="156"/>
      <c r="AO473" s="156"/>
      <c r="AP473" s="156"/>
      <c r="AQ473" s="156"/>
      <c r="AR473" s="156"/>
      <c r="AS473" s="156"/>
      <c r="AT473" s="156"/>
      <c r="AU473" s="156"/>
      <c r="AV473" s="156"/>
      <c r="AW473" s="156"/>
      <c r="AX473" s="156"/>
      <c r="AY473" s="156"/>
      <c r="AZ473" s="156"/>
      <c r="BA473" s="153"/>
      <c r="BD473" s="153"/>
      <c r="BE473" s="147"/>
      <c r="BI473" s="153"/>
      <c r="BO473" s="153"/>
      <c r="BW473" s="153"/>
      <c r="CD473" s="146"/>
      <c r="CF473" s="147"/>
      <c r="CI473" s="146"/>
      <c r="CJ473" s="153"/>
      <c r="CV473" s="154"/>
      <c r="CX473" s="154"/>
      <c r="CZ473" s="154"/>
      <c r="DB473" s="154"/>
      <c r="DD473" s="154"/>
      <c r="DH473" s="474"/>
      <c r="DI473" s="459"/>
      <c r="DJ473" s="459"/>
      <c r="DK473" s="459"/>
      <c r="DL473" s="459"/>
      <c r="DM473" s="459"/>
      <c r="DN473" s="459"/>
      <c r="DO473" s="459"/>
      <c r="DP473" s="459"/>
      <c r="DQ473" s="459"/>
      <c r="DR473" s="459"/>
      <c r="DS473" s="459"/>
      <c r="DT473" s="459"/>
      <c r="DU473" s="459"/>
      <c r="DV473" s="468"/>
      <c r="DW473" s="468"/>
      <c r="DX473" s="459"/>
      <c r="DY473" s="459"/>
    </row>
    <row r="474" spans="1:129" s="128" customFormat="1" ht="54.95" customHeight="1" x14ac:dyDescent="0.25">
      <c r="A474" s="377"/>
      <c r="B474" s="175"/>
      <c r="C474" s="393"/>
      <c r="D474" s="168"/>
      <c r="E474" s="168"/>
      <c r="F474" s="168"/>
      <c r="G474" s="168"/>
      <c r="H474" s="168"/>
      <c r="I474" s="168"/>
      <c r="J474" s="168"/>
      <c r="K474" s="168"/>
      <c r="L474" s="168"/>
      <c r="M474" s="168"/>
      <c r="N474" s="168"/>
      <c r="O474" s="433"/>
      <c r="P474" s="122"/>
      <c r="Q474" s="156"/>
      <c r="R474" s="156"/>
      <c r="S474" s="156"/>
      <c r="T474" s="156"/>
      <c r="U474" s="156"/>
      <c r="V474" s="156"/>
      <c r="W474" s="156"/>
      <c r="X474" s="156"/>
      <c r="Y474" s="156"/>
      <c r="Z474" s="157"/>
      <c r="AA474" s="157"/>
      <c r="AB474" s="156"/>
      <c r="AC474" s="156"/>
      <c r="AD474" s="156"/>
      <c r="AE474" s="156"/>
      <c r="AF474" s="156"/>
      <c r="AG474" s="156"/>
      <c r="AH474" s="156"/>
      <c r="AI474" s="156"/>
      <c r="AJ474" s="156"/>
      <c r="AK474" s="156"/>
      <c r="AL474" s="156"/>
      <c r="AM474" s="158"/>
      <c r="AN474" s="156"/>
      <c r="AO474" s="156"/>
      <c r="AP474" s="156"/>
      <c r="AQ474" s="156"/>
      <c r="AR474" s="156"/>
      <c r="AS474" s="156"/>
      <c r="AT474" s="156"/>
      <c r="AU474" s="156"/>
      <c r="AV474" s="156"/>
      <c r="AW474" s="156"/>
      <c r="AX474" s="156"/>
      <c r="AY474" s="156"/>
      <c r="AZ474" s="156"/>
      <c r="BA474" s="153"/>
      <c r="BD474" s="153"/>
      <c r="BE474" s="147"/>
      <c r="BI474" s="153"/>
      <c r="BO474" s="153"/>
      <c r="BW474" s="153"/>
      <c r="CD474" s="146"/>
      <c r="CF474" s="147"/>
      <c r="CI474" s="146"/>
      <c r="CJ474" s="153"/>
      <c r="CV474" s="154"/>
      <c r="CX474" s="154"/>
      <c r="CZ474" s="154"/>
      <c r="DB474" s="154"/>
      <c r="DD474" s="154"/>
      <c r="DH474" s="474"/>
      <c r="DI474" s="459"/>
      <c r="DJ474" s="459"/>
      <c r="DK474" s="459"/>
      <c r="DL474" s="459"/>
      <c r="DM474" s="459"/>
      <c r="DN474" s="459"/>
      <c r="DO474" s="459"/>
      <c r="DP474" s="459"/>
      <c r="DQ474" s="459"/>
      <c r="DR474" s="459"/>
      <c r="DS474" s="459"/>
      <c r="DT474" s="459"/>
      <c r="DU474" s="459"/>
      <c r="DV474" s="468"/>
      <c r="DW474" s="468"/>
      <c r="DX474" s="459"/>
      <c r="DY474" s="459"/>
    </row>
    <row r="475" spans="1:129" s="128" customFormat="1" ht="54.95" customHeight="1" x14ac:dyDescent="0.25">
      <c r="A475" s="377"/>
      <c r="B475" s="175"/>
      <c r="C475" s="393"/>
      <c r="D475" s="168"/>
      <c r="E475" s="168"/>
      <c r="F475" s="168"/>
      <c r="G475" s="168"/>
      <c r="H475" s="168"/>
      <c r="I475" s="168"/>
      <c r="J475" s="168"/>
      <c r="K475" s="168"/>
      <c r="L475" s="168"/>
      <c r="M475" s="168"/>
      <c r="N475" s="168"/>
      <c r="O475" s="433"/>
      <c r="P475" s="122"/>
      <c r="Q475" s="156"/>
      <c r="R475" s="156"/>
      <c r="S475" s="156"/>
      <c r="T475" s="156"/>
      <c r="U475" s="156"/>
      <c r="V475" s="156"/>
      <c r="W475" s="156"/>
      <c r="X475" s="156"/>
      <c r="Y475" s="156"/>
      <c r="Z475" s="157"/>
      <c r="AA475" s="157"/>
      <c r="AB475" s="156"/>
      <c r="AC475" s="156"/>
      <c r="AD475" s="156"/>
      <c r="AE475" s="156"/>
      <c r="AF475" s="156"/>
      <c r="AG475" s="156"/>
      <c r="AH475" s="156"/>
      <c r="AI475" s="156"/>
      <c r="AJ475" s="156"/>
      <c r="AK475" s="156"/>
      <c r="AL475" s="156"/>
      <c r="AM475" s="158"/>
      <c r="AN475" s="156"/>
      <c r="AO475" s="156"/>
      <c r="AP475" s="156"/>
      <c r="AQ475" s="156"/>
      <c r="AR475" s="156"/>
      <c r="AS475" s="156"/>
      <c r="AT475" s="156"/>
      <c r="AU475" s="156"/>
      <c r="AV475" s="156"/>
      <c r="AW475" s="156"/>
      <c r="AX475" s="156"/>
      <c r="AY475" s="156"/>
      <c r="AZ475" s="156"/>
      <c r="BA475" s="153"/>
      <c r="BD475" s="153"/>
      <c r="BE475" s="147"/>
      <c r="BI475" s="153"/>
      <c r="BO475" s="153"/>
      <c r="BW475" s="153"/>
      <c r="CD475" s="146"/>
      <c r="CF475" s="147"/>
      <c r="CI475" s="146"/>
      <c r="CJ475" s="153"/>
      <c r="CV475" s="154"/>
      <c r="CX475" s="154"/>
      <c r="CZ475" s="154"/>
      <c r="DB475" s="154"/>
      <c r="DD475" s="154"/>
      <c r="DH475" s="474"/>
      <c r="DI475" s="459"/>
      <c r="DJ475" s="459"/>
      <c r="DK475" s="459"/>
      <c r="DL475" s="459"/>
      <c r="DM475" s="459"/>
      <c r="DN475" s="459"/>
      <c r="DO475" s="459"/>
      <c r="DP475" s="459"/>
      <c r="DQ475" s="459"/>
      <c r="DR475" s="459"/>
      <c r="DS475" s="459"/>
      <c r="DT475" s="459"/>
      <c r="DU475" s="459"/>
      <c r="DV475" s="468"/>
      <c r="DW475" s="468"/>
      <c r="DX475" s="459"/>
      <c r="DY475" s="459"/>
    </row>
    <row r="476" spans="1:129" s="128" customFormat="1" ht="54.95" customHeight="1" x14ac:dyDescent="0.25">
      <c r="A476" s="377"/>
      <c r="B476" s="175"/>
      <c r="C476" s="393"/>
      <c r="D476" s="168"/>
      <c r="E476" s="168"/>
      <c r="F476" s="168"/>
      <c r="G476" s="168"/>
      <c r="H476" s="168"/>
      <c r="I476" s="168"/>
      <c r="J476" s="168"/>
      <c r="K476" s="168"/>
      <c r="L476" s="168"/>
      <c r="M476" s="168"/>
      <c r="N476" s="168"/>
      <c r="O476" s="433"/>
      <c r="P476" s="122"/>
      <c r="Q476" s="156"/>
      <c r="R476" s="156"/>
      <c r="S476" s="156"/>
      <c r="T476" s="156"/>
      <c r="U476" s="156"/>
      <c r="V476" s="156"/>
      <c r="W476" s="156"/>
      <c r="X476" s="156"/>
      <c r="Y476" s="156"/>
      <c r="Z476" s="157"/>
      <c r="AA476" s="157"/>
      <c r="AB476" s="156"/>
      <c r="AC476" s="156"/>
      <c r="AD476" s="156"/>
      <c r="AE476" s="156"/>
      <c r="AF476" s="156"/>
      <c r="AG476" s="156"/>
      <c r="AH476" s="156"/>
      <c r="AI476" s="156"/>
      <c r="AJ476" s="156"/>
      <c r="AK476" s="156"/>
      <c r="AL476" s="156"/>
      <c r="AM476" s="158"/>
      <c r="AN476" s="156"/>
      <c r="AO476" s="156"/>
      <c r="AP476" s="156"/>
      <c r="AQ476" s="156"/>
      <c r="AR476" s="156"/>
      <c r="AS476" s="156"/>
      <c r="AT476" s="156"/>
      <c r="AU476" s="156"/>
      <c r="AV476" s="156"/>
      <c r="AW476" s="156"/>
      <c r="AX476" s="156"/>
      <c r="AY476" s="156"/>
      <c r="AZ476" s="156"/>
      <c r="BA476" s="153"/>
      <c r="BD476" s="153"/>
      <c r="BE476" s="147"/>
      <c r="BI476" s="153"/>
      <c r="BO476" s="153"/>
      <c r="BW476" s="153"/>
      <c r="CD476" s="146"/>
      <c r="CF476" s="147"/>
      <c r="CI476" s="146"/>
      <c r="CJ476" s="153"/>
      <c r="CV476" s="154"/>
      <c r="CX476" s="154"/>
      <c r="CZ476" s="154"/>
      <c r="DB476" s="154"/>
      <c r="DD476" s="154"/>
      <c r="DH476" s="474"/>
      <c r="DI476" s="459"/>
      <c r="DJ476" s="459"/>
      <c r="DK476" s="459"/>
      <c r="DL476" s="459"/>
      <c r="DM476" s="459"/>
      <c r="DN476" s="459"/>
      <c r="DO476" s="459"/>
      <c r="DP476" s="459"/>
      <c r="DQ476" s="459"/>
      <c r="DR476" s="459"/>
      <c r="DS476" s="459"/>
      <c r="DT476" s="459"/>
      <c r="DU476" s="459"/>
      <c r="DV476" s="468"/>
      <c r="DW476" s="468"/>
      <c r="DX476" s="459"/>
      <c r="DY476" s="459"/>
    </row>
    <row r="477" spans="1:129" s="128" customFormat="1" ht="54.95" customHeight="1" x14ac:dyDescent="0.25">
      <c r="A477" s="377"/>
      <c r="B477" s="175"/>
      <c r="C477" s="393"/>
      <c r="D477" s="168"/>
      <c r="E477" s="168"/>
      <c r="F477" s="168"/>
      <c r="G477" s="168"/>
      <c r="H477" s="168"/>
      <c r="I477" s="168"/>
      <c r="J477" s="168"/>
      <c r="K477" s="168"/>
      <c r="L477" s="168"/>
      <c r="M477" s="168"/>
      <c r="N477" s="168"/>
      <c r="O477" s="433"/>
      <c r="P477" s="122"/>
      <c r="Q477" s="156"/>
      <c r="R477" s="156"/>
      <c r="S477" s="156"/>
      <c r="T477" s="156"/>
      <c r="U477" s="156"/>
      <c r="V477" s="156"/>
      <c r="W477" s="156"/>
      <c r="X477" s="156"/>
      <c r="Y477" s="156"/>
      <c r="Z477" s="157"/>
      <c r="AA477" s="157"/>
      <c r="AB477" s="156"/>
      <c r="AC477" s="156"/>
      <c r="AD477" s="156"/>
      <c r="AE477" s="156"/>
      <c r="AF477" s="156"/>
      <c r="AG477" s="156"/>
      <c r="AH477" s="156"/>
      <c r="AI477" s="156"/>
      <c r="AJ477" s="156"/>
      <c r="AK477" s="156"/>
      <c r="AL477" s="156"/>
      <c r="AM477" s="158"/>
      <c r="AN477" s="156"/>
      <c r="AO477" s="156"/>
      <c r="AP477" s="156"/>
      <c r="AQ477" s="156"/>
      <c r="AR477" s="156"/>
      <c r="AS477" s="156"/>
      <c r="AT477" s="156"/>
      <c r="AU477" s="156"/>
      <c r="AV477" s="156"/>
      <c r="AW477" s="156"/>
      <c r="AX477" s="156"/>
      <c r="AY477" s="156"/>
      <c r="AZ477" s="156"/>
      <c r="BA477" s="153"/>
      <c r="BD477" s="153"/>
      <c r="BE477" s="147"/>
      <c r="BI477" s="153"/>
      <c r="BO477" s="153"/>
      <c r="BW477" s="153"/>
      <c r="CD477" s="146"/>
      <c r="CF477" s="147"/>
      <c r="CI477" s="146"/>
      <c r="CJ477" s="153"/>
      <c r="CV477" s="154"/>
      <c r="CX477" s="154"/>
      <c r="CZ477" s="154"/>
      <c r="DB477" s="154"/>
      <c r="DD477" s="154"/>
      <c r="DH477" s="474"/>
      <c r="DI477" s="459"/>
      <c r="DJ477" s="459"/>
      <c r="DK477" s="459"/>
      <c r="DL477" s="459"/>
      <c r="DM477" s="459"/>
      <c r="DN477" s="459"/>
      <c r="DO477" s="459"/>
      <c r="DP477" s="459"/>
      <c r="DQ477" s="459"/>
      <c r="DR477" s="459"/>
      <c r="DS477" s="459"/>
      <c r="DT477" s="459"/>
      <c r="DU477" s="459"/>
      <c r="DV477" s="468"/>
      <c r="DW477" s="468"/>
      <c r="DX477" s="459"/>
      <c r="DY477" s="459"/>
    </row>
    <row r="478" spans="1:129" s="128" customFormat="1" ht="54.95" customHeight="1" x14ac:dyDescent="0.25">
      <c r="A478" s="377"/>
      <c r="B478" s="175"/>
      <c r="C478" s="393"/>
      <c r="D478" s="168"/>
      <c r="E478" s="168"/>
      <c r="F478" s="168"/>
      <c r="G478" s="168"/>
      <c r="H478" s="168"/>
      <c r="I478" s="168"/>
      <c r="J478" s="168"/>
      <c r="K478" s="168"/>
      <c r="L478" s="168"/>
      <c r="M478" s="168"/>
      <c r="N478" s="168"/>
      <c r="O478" s="433"/>
      <c r="P478" s="122"/>
      <c r="Q478" s="156"/>
      <c r="R478" s="156"/>
      <c r="S478" s="156"/>
      <c r="T478" s="156"/>
      <c r="U478" s="156"/>
      <c r="V478" s="156"/>
      <c r="W478" s="156"/>
      <c r="X478" s="156"/>
      <c r="Y478" s="156"/>
      <c r="Z478" s="157"/>
      <c r="AA478" s="157"/>
      <c r="AB478" s="156"/>
      <c r="AC478" s="156"/>
      <c r="AD478" s="156"/>
      <c r="AE478" s="156"/>
      <c r="AF478" s="156"/>
      <c r="AG478" s="156"/>
      <c r="AH478" s="156"/>
      <c r="AI478" s="156"/>
      <c r="AJ478" s="156"/>
      <c r="AK478" s="156"/>
      <c r="AL478" s="156"/>
      <c r="AM478" s="158"/>
      <c r="AN478" s="156"/>
      <c r="AO478" s="156"/>
      <c r="AP478" s="156"/>
      <c r="AQ478" s="156"/>
      <c r="AR478" s="156"/>
      <c r="AS478" s="156"/>
      <c r="AT478" s="156"/>
      <c r="AU478" s="156"/>
      <c r="AV478" s="156"/>
      <c r="AW478" s="156"/>
      <c r="AX478" s="156"/>
      <c r="AY478" s="156"/>
      <c r="AZ478" s="156"/>
      <c r="BA478" s="153"/>
      <c r="BD478" s="153"/>
      <c r="BE478" s="147"/>
      <c r="BI478" s="153"/>
      <c r="BO478" s="153"/>
      <c r="BW478" s="153"/>
      <c r="CD478" s="146"/>
      <c r="CF478" s="147"/>
      <c r="CI478" s="146"/>
      <c r="CJ478" s="153"/>
      <c r="CV478" s="154"/>
      <c r="CX478" s="154"/>
      <c r="CZ478" s="154"/>
      <c r="DB478" s="154"/>
      <c r="DD478" s="154"/>
      <c r="DH478" s="474"/>
      <c r="DI478" s="459"/>
      <c r="DJ478" s="459"/>
      <c r="DK478" s="459"/>
      <c r="DL478" s="459"/>
      <c r="DM478" s="459"/>
      <c r="DN478" s="459"/>
      <c r="DO478" s="459"/>
      <c r="DP478" s="459"/>
      <c r="DQ478" s="459"/>
      <c r="DR478" s="459"/>
      <c r="DS478" s="459"/>
      <c r="DT478" s="459"/>
      <c r="DU478" s="459"/>
      <c r="DV478" s="468"/>
      <c r="DW478" s="468"/>
      <c r="DX478" s="459"/>
      <c r="DY478" s="459"/>
    </row>
    <row r="479" spans="1:129" s="128" customFormat="1" ht="54.95" customHeight="1" x14ac:dyDescent="0.25">
      <c r="A479" s="377"/>
      <c r="B479" s="175"/>
      <c r="C479" s="393"/>
      <c r="D479" s="168"/>
      <c r="E479" s="168"/>
      <c r="F479" s="168"/>
      <c r="G479" s="168"/>
      <c r="H479" s="168"/>
      <c r="I479" s="168"/>
      <c r="J479" s="168"/>
      <c r="K479" s="168"/>
      <c r="L479" s="168"/>
      <c r="M479" s="168"/>
      <c r="N479" s="168"/>
      <c r="O479" s="433"/>
      <c r="P479" s="122"/>
      <c r="Q479" s="156"/>
      <c r="R479" s="156"/>
      <c r="S479" s="156"/>
      <c r="T479" s="156"/>
      <c r="U479" s="156"/>
      <c r="V479" s="156"/>
      <c r="W479" s="156"/>
      <c r="X479" s="156"/>
      <c r="Y479" s="156"/>
      <c r="Z479" s="157"/>
      <c r="AA479" s="157"/>
      <c r="AB479" s="156"/>
      <c r="AC479" s="156"/>
      <c r="AD479" s="156"/>
      <c r="AE479" s="156"/>
      <c r="AF479" s="156"/>
      <c r="AG479" s="156"/>
      <c r="AH479" s="156"/>
      <c r="AI479" s="156"/>
      <c r="AJ479" s="156"/>
      <c r="AK479" s="156"/>
      <c r="AL479" s="156"/>
      <c r="AM479" s="158"/>
      <c r="AN479" s="156"/>
      <c r="AO479" s="156"/>
      <c r="AP479" s="156"/>
      <c r="AQ479" s="156"/>
      <c r="AR479" s="156"/>
      <c r="AS479" s="156"/>
      <c r="AT479" s="156"/>
      <c r="AU479" s="156"/>
      <c r="AV479" s="156"/>
      <c r="AW479" s="156"/>
      <c r="AX479" s="156"/>
      <c r="AY479" s="156"/>
      <c r="AZ479" s="156"/>
      <c r="BA479" s="153"/>
      <c r="BD479" s="153"/>
      <c r="BE479" s="147"/>
      <c r="BI479" s="153"/>
      <c r="BO479" s="153"/>
      <c r="BW479" s="153"/>
      <c r="CD479" s="146"/>
      <c r="CF479" s="147"/>
      <c r="CI479" s="146"/>
      <c r="CJ479" s="153"/>
      <c r="CV479" s="154"/>
      <c r="CX479" s="154"/>
      <c r="CZ479" s="154"/>
      <c r="DB479" s="154"/>
      <c r="DD479" s="154"/>
      <c r="DH479" s="474"/>
      <c r="DI479" s="459"/>
      <c r="DJ479" s="459"/>
      <c r="DK479" s="459"/>
      <c r="DL479" s="459"/>
      <c r="DM479" s="459"/>
      <c r="DN479" s="459"/>
      <c r="DO479" s="459"/>
      <c r="DP479" s="459"/>
      <c r="DQ479" s="459"/>
      <c r="DR479" s="459"/>
      <c r="DS479" s="459"/>
      <c r="DT479" s="459"/>
      <c r="DU479" s="459"/>
      <c r="DV479" s="468"/>
      <c r="DW479" s="468"/>
      <c r="DX479" s="459"/>
      <c r="DY479" s="459"/>
    </row>
    <row r="480" spans="1:129" s="128" customFormat="1" ht="54.95" customHeight="1" x14ac:dyDescent="0.25">
      <c r="A480" s="377"/>
      <c r="B480" s="175"/>
      <c r="C480" s="393"/>
      <c r="D480" s="168"/>
      <c r="E480" s="168"/>
      <c r="F480" s="168"/>
      <c r="G480" s="168"/>
      <c r="H480" s="168"/>
      <c r="I480" s="168"/>
      <c r="J480" s="168"/>
      <c r="K480" s="168"/>
      <c r="L480" s="168"/>
      <c r="M480" s="168"/>
      <c r="N480" s="168"/>
      <c r="O480" s="433"/>
      <c r="P480" s="122"/>
      <c r="Q480" s="156"/>
      <c r="R480" s="156"/>
      <c r="S480" s="156"/>
      <c r="T480" s="156"/>
      <c r="U480" s="156"/>
      <c r="V480" s="156"/>
      <c r="W480" s="156"/>
      <c r="X480" s="156"/>
      <c r="Y480" s="156"/>
      <c r="Z480" s="157"/>
      <c r="AA480" s="157"/>
      <c r="AB480" s="156"/>
      <c r="AC480" s="156"/>
      <c r="AD480" s="156"/>
      <c r="AE480" s="156"/>
      <c r="AF480" s="156"/>
      <c r="AG480" s="156"/>
      <c r="AH480" s="156"/>
      <c r="AI480" s="156"/>
      <c r="AJ480" s="156"/>
      <c r="AK480" s="156"/>
      <c r="AL480" s="156"/>
      <c r="AM480" s="158"/>
      <c r="AN480" s="156"/>
      <c r="AO480" s="156"/>
      <c r="AP480" s="156"/>
      <c r="AQ480" s="156"/>
      <c r="AR480" s="156"/>
      <c r="AS480" s="156"/>
      <c r="AT480" s="156"/>
      <c r="AU480" s="156"/>
      <c r="AV480" s="156"/>
      <c r="AW480" s="156"/>
      <c r="AX480" s="156"/>
      <c r="AY480" s="156"/>
      <c r="AZ480" s="156"/>
      <c r="BA480" s="153"/>
      <c r="BD480" s="153"/>
      <c r="BE480" s="147"/>
      <c r="BI480" s="153"/>
      <c r="BO480" s="153"/>
      <c r="BW480" s="153"/>
      <c r="CD480" s="146"/>
      <c r="CF480" s="147"/>
      <c r="CI480" s="146"/>
      <c r="CJ480" s="153"/>
      <c r="CV480" s="154"/>
      <c r="CX480" s="154"/>
      <c r="CZ480" s="154"/>
      <c r="DB480" s="154"/>
      <c r="DD480" s="154"/>
      <c r="DH480" s="474"/>
      <c r="DI480" s="459"/>
      <c r="DJ480" s="459"/>
      <c r="DK480" s="459"/>
      <c r="DL480" s="459"/>
      <c r="DM480" s="459"/>
      <c r="DN480" s="459"/>
      <c r="DO480" s="459"/>
      <c r="DP480" s="459"/>
      <c r="DQ480" s="459"/>
      <c r="DR480" s="459"/>
      <c r="DS480" s="459"/>
      <c r="DT480" s="459"/>
      <c r="DU480" s="459"/>
      <c r="DV480" s="468"/>
      <c r="DW480" s="468"/>
      <c r="DX480" s="459"/>
      <c r="DY480" s="459"/>
    </row>
    <row r="481" spans="1:129" s="128" customFormat="1" ht="54.95" customHeight="1" x14ac:dyDescent="0.25">
      <c r="A481" s="377"/>
      <c r="B481" s="175"/>
      <c r="C481" s="393"/>
      <c r="D481" s="168"/>
      <c r="E481" s="168"/>
      <c r="F481" s="168"/>
      <c r="G481" s="168"/>
      <c r="H481" s="168"/>
      <c r="I481" s="168"/>
      <c r="J481" s="168"/>
      <c r="K481" s="168"/>
      <c r="L481" s="168"/>
      <c r="M481" s="168"/>
      <c r="N481" s="168"/>
      <c r="O481" s="433"/>
      <c r="P481" s="122"/>
      <c r="Q481" s="156"/>
      <c r="R481" s="156"/>
      <c r="S481" s="156"/>
      <c r="T481" s="156"/>
      <c r="U481" s="156"/>
      <c r="V481" s="156"/>
      <c r="W481" s="156"/>
      <c r="X481" s="156"/>
      <c r="Y481" s="156"/>
      <c r="Z481" s="157"/>
      <c r="AA481" s="157"/>
      <c r="AB481" s="156"/>
      <c r="AC481" s="156"/>
      <c r="AD481" s="156"/>
      <c r="AE481" s="156"/>
      <c r="AF481" s="156"/>
      <c r="AG481" s="156"/>
      <c r="AH481" s="156"/>
      <c r="AI481" s="156"/>
      <c r="AJ481" s="156"/>
      <c r="AK481" s="156"/>
      <c r="AL481" s="156"/>
      <c r="AM481" s="158"/>
      <c r="AN481" s="156"/>
      <c r="AO481" s="156"/>
      <c r="AP481" s="156"/>
      <c r="AQ481" s="156"/>
      <c r="AR481" s="156"/>
      <c r="AS481" s="156"/>
      <c r="AT481" s="156"/>
      <c r="AU481" s="156"/>
      <c r="AV481" s="156"/>
      <c r="AW481" s="156"/>
      <c r="AX481" s="156"/>
      <c r="AY481" s="156"/>
      <c r="AZ481" s="156"/>
      <c r="BA481" s="153"/>
      <c r="BD481" s="153"/>
      <c r="BE481" s="147"/>
      <c r="BI481" s="153"/>
      <c r="BO481" s="153"/>
      <c r="BW481" s="153"/>
      <c r="CD481" s="146"/>
      <c r="CF481" s="147"/>
      <c r="CI481" s="146"/>
      <c r="CJ481" s="153"/>
      <c r="CV481" s="154"/>
      <c r="CX481" s="154"/>
      <c r="CZ481" s="154"/>
      <c r="DB481" s="154"/>
      <c r="DD481" s="154"/>
      <c r="DH481" s="474"/>
      <c r="DI481" s="459"/>
      <c r="DJ481" s="459"/>
      <c r="DK481" s="459"/>
      <c r="DL481" s="459"/>
      <c r="DM481" s="459"/>
      <c r="DN481" s="459"/>
      <c r="DO481" s="459"/>
      <c r="DP481" s="459"/>
      <c r="DQ481" s="459"/>
      <c r="DR481" s="459"/>
      <c r="DS481" s="459"/>
      <c r="DT481" s="459"/>
      <c r="DU481" s="459"/>
      <c r="DV481" s="468"/>
      <c r="DW481" s="468"/>
      <c r="DX481" s="459"/>
      <c r="DY481" s="459"/>
    </row>
    <row r="482" spans="1:129" s="128" customFormat="1" ht="54.95" customHeight="1" x14ac:dyDescent="0.25">
      <c r="A482" s="377"/>
      <c r="B482" s="175"/>
      <c r="C482" s="393"/>
      <c r="D482" s="168"/>
      <c r="E482" s="168"/>
      <c r="F482" s="168"/>
      <c r="G482" s="168"/>
      <c r="H482" s="168"/>
      <c r="I482" s="168"/>
      <c r="J482" s="168"/>
      <c r="K482" s="168"/>
      <c r="L482" s="168"/>
      <c r="M482" s="168"/>
      <c r="N482" s="168"/>
      <c r="O482" s="433"/>
      <c r="P482" s="122"/>
      <c r="Q482" s="156"/>
      <c r="R482" s="156"/>
      <c r="S482" s="156"/>
      <c r="T482" s="156"/>
      <c r="U482" s="156"/>
      <c r="V482" s="156"/>
      <c r="W482" s="156"/>
      <c r="X482" s="156"/>
      <c r="Y482" s="156"/>
      <c r="Z482" s="157"/>
      <c r="AA482" s="157"/>
      <c r="AB482" s="156"/>
      <c r="AC482" s="156"/>
      <c r="AD482" s="156"/>
      <c r="AE482" s="156"/>
      <c r="AF482" s="156"/>
      <c r="AG482" s="156"/>
      <c r="AH482" s="156"/>
      <c r="AI482" s="156"/>
      <c r="AJ482" s="156"/>
      <c r="AK482" s="156"/>
      <c r="AL482" s="156"/>
      <c r="AM482" s="158"/>
      <c r="AN482" s="156"/>
      <c r="AO482" s="156"/>
      <c r="AP482" s="156"/>
      <c r="AQ482" s="156"/>
      <c r="AR482" s="156"/>
      <c r="AS482" s="156"/>
      <c r="AT482" s="156"/>
      <c r="AU482" s="156"/>
      <c r="AV482" s="156"/>
      <c r="AW482" s="156"/>
      <c r="AX482" s="156"/>
      <c r="AY482" s="156"/>
      <c r="AZ482" s="156"/>
      <c r="BA482" s="153"/>
      <c r="BD482" s="153"/>
      <c r="BE482" s="147"/>
      <c r="BI482" s="153"/>
      <c r="BO482" s="153"/>
      <c r="BW482" s="153"/>
      <c r="CD482" s="146"/>
      <c r="CF482" s="147"/>
      <c r="CI482" s="146"/>
      <c r="CJ482" s="153"/>
      <c r="CV482" s="154"/>
      <c r="CX482" s="154"/>
      <c r="CZ482" s="154"/>
      <c r="DB482" s="154"/>
      <c r="DD482" s="154"/>
      <c r="DH482" s="474"/>
      <c r="DI482" s="459"/>
      <c r="DJ482" s="459"/>
      <c r="DK482" s="459"/>
      <c r="DL482" s="459"/>
      <c r="DM482" s="459"/>
      <c r="DN482" s="459"/>
      <c r="DO482" s="459"/>
      <c r="DP482" s="459"/>
      <c r="DQ482" s="459"/>
      <c r="DR482" s="459"/>
      <c r="DS482" s="459"/>
      <c r="DT482" s="459"/>
      <c r="DU482" s="459"/>
      <c r="DV482" s="468"/>
      <c r="DW482" s="468"/>
      <c r="DX482" s="459"/>
      <c r="DY482" s="459"/>
    </row>
    <row r="483" spans="1:129" s="128" customFormat="1" ht="54.95" customHeight="1" x14ac:dyDescent="0.25">
      <c r="A483" s="377"/>
      <c r="B483" s="175"/>
      <c r="C483" s="393"/>
      <c r="D483" s="168"/>
      <c r="E483" s="168"/>
      <c r="F483" s="168"/>
      <c r="G483" s="168"/>
      <c r="H483" s="168"/>
      <c r="I483" s="168"/>
      <c r="J483" s="168"/>
      <c r="K483" s="168"/>
      <c r="L483" s="168"/>
      <c r="M483" s="168"/>
      <c r="N483" s="168"/>
      <c r="O483" s="433"/>
      <c r="P483" s="122"/>
      <c r="Q483" s="156"/>
      <c r="R483" s="156"/>
      <c r="S483" s="156"/>
      <c r="T483" s="156"/>
      <c r="U483" s="156"/>
      <c r="V483" s="156"/>
      <c r="W483" s="156"/>
      <c r="X483" s="156"/>
      <c r="Y483" s="156"/>
      <c r="Z483" s="157"/>
      <c r="AA483" s="157"/>
      <c r="AB483" s="156"/>
      <c r="AC483" s="156"/>
      <c r="AD483" s="156"/>
      <c r="AE483" s="156"/>
      <c r="AF483" s="156"/>
      <c r="AG483" s="156"/>
      <c r="AH483" s="156"/>
      <c r="AI483" s="156"/>
      <c r="AJ483" s="156"/>
      <c r="AK483" s="156"/>
      <c r="AL483" s="156"/>
      <c r="AM483" s="158"/>
      <c r="AN483" s="156"/>
      <c r="AO483" s="156"/>
      <c r="AP483" s="156"/>
      <c r="AQ483" s="156"/>
      <c r="AR483" s="156"/>
      <c r="AS483" s="156"/>
      <c r="AT483" s="156"/>
      <c r="AU483" s="156"/>
      <c r="AV483" s="156"/>
      <c r="AW483" s="156"/>
      <c r="AX483" s="156"/>
      <c r="AY483" s="156"/>
      <c r="AZ483" s="156"/>
      <c r="BA483" s="153"/>
      <c r="BD483" s="153"/>
      <c r="BE483" s="147"/>
      <c r="BI483" s="153"/>
      <c r="BO483" s="153"/>
      <c r="BW483" s="153"/>
      <c r="CD483" s="146"/>
      <c r="CF483" s="147"/>
      <c r="CI483" s="146"/>
      <c r="CJ483" s="153"/>
      <c r="CV483" s="154"/>
      <c r="CX483" s="154"/>
      <c r="CZ483" s="154"/>
      <c r="DB483" s="154"/>
      <c r="DD483" s="154"/>
      <c r="DH483" s="474"/>
      <c r="DI483" s="459"/>
      <c r="DJ483" s="459"/>
      <c r="DK483" s="459"/>
      <c r="DL483" s="459"/>
      <c r="DM483" s="459"/>
      <c r="DN483" s="459"/>
      <c r="DO483" s="459"/>
      <c r="DP483" s="459"/>
      <c r="DQ483" s="459"/>
      <c r="DR483" s="459"/>
      <c r="DS483" s="459"/>
      <c r="DT483" s="459"/>
      <c r="DU483" s="459"/>
      <c r="DV483" s="468"/>
      <c r="DW483" s="468"/>
      <c r="DX483" s="459"/>
      <c r="DY483" s="459"/>
    </row>
    <row r="484" spans="1:129" s="128" customFormat="1" ht="54.95" customHeight="1" x14ac:dyDescent="0.25">
      <c r="A484" s="377"/>
      <c r="B484" s="175"/>
      <c r="C484" s="393"/>
      <c r="D484" s="168"/>
      <c r="E484" s="168"/>
      <c r="F484" s="168"/>
      <c r="G484" s="168"/>
      <c r="H484" s="168"/>
      <c r="I484" s="168"/>
      <c r="J484" s="168"/>
      <c r="K484" s="168"/>
      <c r="L484" s="168"/>
      <c r="M484" s="168"/>
      <c r="N484" s="168"/>
      <c r="O484" s="433"/>
      <c r="P484" s="122"/>
      <c r="Q484" s="156"/>
      <c r="R484" s="156"/>
      <c r="S484" s="156"/>
      <c r="T484" s="156"/>
      <c r="U484" s="156"/>
      <c r="V484" s="156"/>
      <c r="W484" s="156"/>
      <c r="X484" s="156"/>
      <c r="Y484" s="156"/>
      <c r="Z484" s="157"/>
      <c r="AA484" s="157"/>
      <c r="AB484" s="156"/>
      <c r="AC484" s="156"/>
      <c r="AD484" s="156"/>
      <c r="AE484" s="156"/>
      <c r="AF484" s="156"/>
      <c r="AG484" s="156"/>
      <c r="AH484" s="156"/>
      <c r="AI484" s="156"/>
      <c r="AJ484" s="156"/>
      <c r="AK484" s="156"/>
      <c r="AL484" s="156"/>
      <c r="AM484" s="158"/>
      <c r="AN484" s="156"/>
      <c r="AO484" s="156"/>
      <c r="AP484" s="156"/>
      <c r="AQ484" s="156"/>
      <c r="AR484" s="156"/>
      <c r="AS484" s="156"/>
      <c r="AT484" s="156"/>
      <c r="AU484" s="156"/>
      <c r="AV484" s="156"/>
      <c r="AW484" s="156"/>
      <c r="AX484" s="156"/>
      <c r="AY484" s="156"/>
      <c r="AZ484" s="156"/>
      <c r="BA484" s="153"/>
      <c r="BD484" s="153"/>
      <c r="BE484" s="147"/>
      <c r="BI484" s="153"/>
      <c r="BO484" s="153"/>
      <c r="BW484" s="153"/>
      <c r="CD484" s="146"/>
      <c r="CF484" s="147"/>
      <c r="CI484" s="146"/>
      <c r="CJ484" s="153"/>
      <c r="CV484" s="154"/>
      <c r="CX484" s="154"/>
      <c r="CZ484" s="154"/>
      <c r="DB484" s="154"/>
      <c r="DD484" s="154"/>
      <c r="DH484" s="474"/>
      <c r="DI484" s="459"/>
      <c r="DJ484" s="459"/>
      <c r="DK484" s="459"/>
      <c r="DL484" s="459"/>
      <c r="DM484" s="459"/>
      <c r="DN484" s="459"/>
      <c r="DO484" s="459"/>
      <c r="DP484" s="459"/>
      <c r="DQ484" s="459"/>
      <c r="DR484" s="459"/>
      <c r="DS484" s="459"/>
      <c r="DT484" s="459"/>
      <c r="DU484" s="459"/>
      <c r="DV484" s="468"/>
      <c r="DW484" s="468"/>
      <c r="DX484" s="459"/>
      <c r="DY484" s="459"/>
    </row>
    <row r="485" spans="1:129" s="128" customFormat="1" ht="54.95" customHeight="1" x14ac:dyDescent="0.25">
      <c r="A485" s="377"/>
      <c r="B485" s="175"/>
      <c r="C485" s="393"/>
      <c r="D485" s="168"/>
      <c r="E485" s="168"/>
      <c r="F485" s="168"/>
      <c r="G485" s="168"/>
      <c r="H485" s="168"/>
      <c r="I485" s="168"/>
      <c r="J485" s="168"/>
      <c r="K485" s="168"/>
      <c r="L485" s="168"/>
      <c r="M485" s="168"/>
      <c r="N485" s="168"/>
      <c r="O485" s="433"/>
      <c r="P485" s="122"/>
      <c r="Q485" s="156"/>
      <c r="R485" s="156"/>
      <c r="S485" s="156"/>
      <c r="T485" s="156"/>
      <c r="U485" s="156"/>
      <c r="V485" s="156"/>
      <c r="W485" s="156"/>
      <c r="X485" s="156"/>
      <c r="Y485" s="156"/>
      <c r="Z485" s="157"/>
      <c r="AA485" s="157"/>
      <c r="AB485" s="156"/>
      <c r="AC485" s="156"/>
      <c r="AD485" s="156"/>
      <c r="AE485" s="156"/>
      <c r="AF485" s="156"/>
      <c r="AG485" s="156"/>
      <c r="AH485" s="156"/>
      <c r="AI485" s="156"/>
      <c r="AJ485" s="156"/>
      <c r="AK485" s="156"/>
      <c r="AL485" s="156"/>
      <c r="AM485" s="158"/>
      <c r="AN485" s="156"/>
      <c r="AO485" s="156"/>
      <c r="AP485" s="156"/>
      <c r="AQ485" s="156"/>
      <c r="AR485" s="156"/>
      <c r="AS485" s="156"/>
      <c r="AT485" s="156"/>
      <c r="AU485" s="156"/>
      <c r="AV485" s="156"/>
      <c r="AW485" s="156"/>
      <c r="AX485" s="156"/>
      <c r="AY485" s="156"/>
      <c r="AZ485" s="156"/>
      <c r="BA485" s="153"/>
      <c r="BD485" s="153"/>
      <c r="BE485" s="147"/>
      <c r="BI485" s="153"/>
      <c r="BO485" s="153"/>
      <c r="BW485" s="153"/>
      <c r="CD485" s="146"/>
      <c r="CF485" s="147"/>
      <c r="CI485" s="146"/>
      <c r="CJ485" s="153"/>
      <c r="CV485" s="154"/>
      <c r="CX485" s="154"/>
      <c r="CZ485" s="154"/>
      <c r="DB485" s="154"/>
      <c r="DD485" s="154"/>
      <c r="DH485" s="474"/>
      <c r="DI485" s="459"/>
      <c r="DJ485" s="459"/>
      <c r="DK485" s="459"/>
      <c r="DL485" s="459"/>
      <c r="DM485" s="459"/>
      <c r="DN485" s="459"/>
      <c r="DO485" s="459"/>
      <c r="DP485" s="459"/>
      <c r="DQ485" s="459"/>
      <c r="DR485" s="459"/>
      <c r="DS485" s="459"/>
      <c r="DT485" s="459"/>
      <c r="DU485" s="459"/>
      <c r="DV485" s="468"/>
      <c r="DW485" s="468"/>
      <c r="DX485" s="459"/>
      <c r="DY485" s="459"/>
    </row>
    <row r="486" spans="1:129" s="128" customFormat="1" ht="54.95" customHeight="1" x14ac:dyDescent="0.25">
      <c r="A486" s="377"/>
      <c r="B486" s="175"/>
      <c r="C486" s="393"/>
      <c r="D486" s="168"/>
      <c r="E486" s="168"/>
      <c r="F486" s="168"/>
      <c r="G486" s="168"/>
      <c r="H486" s="168"/>
      <c r="I486" s="168"/>
      <c r="J486" s="168"/>
      <c r="K486" s="168"/>
      <c r="L486" s="168"/>
      <c r="M486" s="168"/>
      <c r="N486" s="168"/>
      <c r="O486" s="433"/>
      <c r="P486" s="122"/>
      <c r="Q486" s="156"/>
      <c r="R486" s="156"/>
      <c r="S486" s="156"/>
      <c r="T486" s="156"/>
      <c r="U486" s="156"/>
      <c r="V486" s="156"/>
      <c r="W486" s="156"/>
      <c r="X486" s="156"/>
      <c r="Y486" s="156"/>
      <c r="Z486" s="157"/>
      <c r="AA486" s="157"/>
      <c r="AB486" s="156"/>
      <c r="AC486" s="156"/>
      <c r="AD486" s="156"/>
      <c r="AE486" s="156"/>
      <c r="AF486" s="156"/>
      <c r="AG486" s="156"/>
      <c r="AH486" s="156"/>
      <c r="AI486" s="156"/>
      <c r="AJ486" s="156"/>
      <c r="AK486" s="156"/>
      <c r="AL486" s="156"/>
      <c r="AM486" s="158"/>
      <c r="AN486" s="156"/>
      <c r="AO486" s="156"/>
      <c r="AP486" s="156"/>
      <c r="AQ486" s="156"/>
      <c r="AR486" s="156"/>
      <c r="AS486" s="156"/>
      <c r="AT486" s="156"/>
      <c r="AU486" s="156"/>
      <c r="AV486" s="156"/>
      <c r="AW486" s="156"/>
      <c r="AX486" s="156"/>
      <c r="AY486" s="156"/>
      <c r="AZ486" s="156"/>
      <c r="BA486" s="153"/>
      <c r="BD486" s="153"/>
      <c r="BE486" s="147"/>
      <c r="BI486" s="153"/>
      <c r="BO486" s="153"/>
      <c r="BW486" s="153"/>
      <c r="CD486" s="146"/>
      <c r="CF486" s="147"/>
      <c r="CI486" s="146"/>
      <c r="CJ486" s="153"/>
      <c r="CV486" s="154"/>
      <c r="CX486" s="154"/>
      <c r="CZ486" s="154"/>
      <c r="DB486" s="154"/>
      <c r="DD486" s="154"/>
      <c r="DH486" s="474"/>
      <c r="DI486" s="459"/>
      <c r="DJ486" s="459"/>
      <c r="DK486" s="459"/>
      <c r="DL486" s="459"/>
      <c r="DM486" s="459"/>
      <c r="DN486" s="459"/>
      <c r="DO486" s="459"/>
      <c r="DP486" s="459"/>
      <c r="DQ486" s="459"/>
      <c r="DR486" s="459"/>
      <c r="DS486" s="459"/>
      <c r="DT486" s="459"/>
      <c r="DU486" s="459"/>
      <c r="DV486" s="468"/>
      <c r="DW486" s="468"/>
      <c r="DX486" s="459"/>
      <c r="DY486" s="459"/>
    </row>
    <row r="487" spans="1:129" s="128" customFormat="1" ht="54.95" customHeight="1" x14ac:dyDescent="0.25">
      <c r="A487" s="377"/>
      <c r="B487" s="175"/>
      <c r="C487" s="393"/>
      <c r="D487" s="168"/>
      <c r="E487" s="168"/>
      <c r="F487" s="168"/>
      <c r="G487" s="168"/>
      <c r="H487" s="168"/>
      <c r="I487" s="168"/>
      <c r="J487" s="168"/>
      <c r="K487" s="168"/>
      <c r="L487" s="168"/>
      <c r="M487" s="168"/>
      <c r="N487" s="168"/>
      <c r="O487" s="433"/>
      <c r="P487" s="122"/>
      <c r="Q487" s="156"/>
      <c r="R487" s="156"/>
      <c r="S487" s="156"/>
      <c r="T487" s="156"/>
      <c r="U487" s="156"/>
      <c r="V487" s="156"/>
      <c r="W487" s="156"/>
      <c r="X487" s="156"/>
      <c r="Y487" s="156"/>
      <c r="Z487" s="157"/>
      <c r="AA487" s="157"/>
      <c r="AB487" s="156"/>
      <c r="AC487" s="156"/>
      <c r="AD487" s="156"/>
      <c r="AE487" s="156"/>
      <c r="AF487" s="156"/>
      <c r="AG487" s="156"/>
      <c r="AH487" s="156"/>
      <c r="AI487" s="156"/>
      <c r="AJ487" s="156"/>
      <c r="AK487" s="156"/>
      <c r="AL487" s="156"/>
      <c r="AM487" s="158"/>
      <c r="AN487" s="156"/>
      <c r="AO487" s="156"/>
      <c r="AP487" s="156"/>
      <c r="AQ487" s="156"/>
      <c r="AR487" s="156"/>
      <c r="AS487" s="156"/>
      <c r="AT487" s="156"/>
      <c r="AU487" s="156"/>
      <c r="AV487" s="156"/>
      <c r="AW487" s="156"/>
      <c r="AX487" s="156"/>
      <c r="AY487" s="156"/>
      <c r="AZ487" s="156"/>
      <c r="BA487" s="153"/>
      <c r="BD487" s="153"/>
      <c r="BE487" s="147"/>
      <c r="BI487" s="153"/>
      <c r="BO487" s="153"/>
      <c r="BW487" s="153"/>
      <c r="CD487" s="146"/>
      <c r="CF487" s="147"/>
      <c r="CI487" s="146"/>
      <c r="CJ487" s="153"/>
      <c r="CV487" s="154"/>
      <c r="CX487" s="154"/>
      <c r="CZ487" s="154"/>
      <c r="DB487" s="154"/>
      <c r="DD487" s="154"/>
      <c r="DH487" s="474"/>
      <c r="DI487" s="459"/>
      <c r="DJ487" s="459"/>
      <c r="DK487" s="459"/>
      <c r="DL487" s="459"/>
      <c r="DM487" s="459"/>
      <c r="DN487" s="459"/>
      <c r="DO487" s="459"/>
      <c r="DP487" s="459"/>
      <c r="DQ487" s="459"/>
      <c r="DR487" s="459"/>
      <c r="DS487" s="459"/>
      <c r="DT487" s="459"/>
      <c r="DU487" s="459"/>
      <c r="DV487" s="468"/>
      <c r="DW487" s="468"/>
      <c r="DX487" s="459"/>
      <c r="DY487" s="459"/>
    </row>
    <row r="488" spans="1:129" s="128" customFormat="1" ht="54.95" customHeight="1" x14ac:dyDescent="0.25">
      <c r="A488" s="377"/>
      <c r="B488" s="175"/>
      <c r="C488" s="393"/>
      <c r="D488" s="168"/>
      <c r="E488" s="168"/>
      <c r="F488" s="168"/>
      <c r="G488" s="168"/>
      <c r="H488" s="168"/>
      <c r="I488" s="168"/>
      <c r="J488" s="168"/>
      <c r="K488" s="168"/>
      <c r="L488" s="168"/>
      <c r="M488" s="168"/>
      <c r="N488" s="168"/>
      <c r="O488" s="433"/>
      <c r="P488" s="122"/>
      <c r="Q488" s="156"/>
      <c r="R488" s="156"/>
      <c r="S488" s="156"/>
      <c r="T488" s="156"/>
      <c r="U488" s="156"/>
      <c r="V488" s="156"/>
      <c r="W488" s="156"/>
      <c r="X488" s="156"/>
      <c r="Y488" s="156"/>
      <c r="Z488" s="157"/>
      <c r="AA488" s="157"/>
      <c r="AB488" s="156"/>
      <c r="AC488" s="156"/>
      <c r="AD488" s="156"/>
      <c r="AE488" s="156"/>
      <c r="AF488" s="156"/>
      <c r="AG488" s="156"/>
      <c r="AH488" s="156"/>
      <c r="AI488" s="156"/>
      <c r="AJ488" s="156"/>
      <c r="AK488" s="156"/>
      <c r="AL488" s="156"/>
      <c r="AM488" s="158"/>
      <c r="AN488" s="156"/>
      <c r="AO488" s="156"/>
      <c r="AP488" s="156"/>
      <c r="AQ488" s="156"/>
      <c r="AR488" s="156"/>
      <c r="AS488" s="156"/>
      <c r="AT488" s="156"/>
      <c r="AU488" s="156"/>
      <c r="AV488" s="156"/>
      <c r="AW488" s="156"/>
      <c r="AX488" s="156"/>
      <c r="AY488" s="156"/>
      <c r="AZ488" s="156"/>
      <c r="BA488" s="153"/>
      <c r="BD488" s="153"/>
      <c r="BE488" s="147"/>
      <c r="BI488" s="153"/>
      <c r="BO488" s="153"/>
      <c r="BW488" s="153"/>
      <c r="CD488" s="146"/>
      <c r="CF488" s="147"/>
      <c r="CI488" s="146"/>
      <c r="CJ488" s="153"/>
      <c r="CV488" s="154"/>
      <c r="CX488" s="154"/>
      <c r="CZ488" s="154"/>
      <c r="DB488" s="154"/>
      <c r="DD488" s="154"/>
      <c r="DH488" s="474"/>
      <c r="DI488" s="459"/>
      <c r="DJ488" s="459"/>
      <c r="DK488" s="459"/>
      <c r="DL488" s="459"/>
      <c r="DM488" s="459"/>
      <c r="DN488" s="459"/>
      <c r="DO488" s="459"/>
      <c r="DP488" s="459"/>
      <c r="DQ488" s="459"/>
      <c r="DR488" s="459"/>
      <c r="DS488" s="459"/>
      <c r="DT488" s="459"/>
      <c r="DU488" s="459"/>
      <c r="DV488" s="468"/>
      <c r="DW488" s="468"/>
      <c r="DX488" s="459"/>
      <c r="DY488" s="459"/>
    </row>
    <row r="489" spans="1:129" s="128" customFormat="1" ht="54.95" customHeight="1" x14ac:dyDescent="0.25">
      <c r="A489" s="377"/>
      <c r="B489" s="175"/>
      <c r="C489" s="393"/>
      <c r="D489" s="168"/>
      <c r="E489" s="168"/>
      <c r="F489" s="168"/>
      <c r="G489" s="168"/>
      <c r="H489" s="168"/>
      <c r="I489" s="168"/>
      <c r="J489" s="168"/>
      <c r="K489" s="168"/>
      <c r="L489" s="168"/>
      <c r="M489" s="168"/>
      <c r="N489" s="168"/>
      <c r="O489" s="433"/>
      <c r="P489" s="122"/>
      <c r="Q489" s="156"/>
      <c r="R489" s="156"/>
      <c r="S489" s="156"/>
      <c r="T489" s="156"/>
      <c r="U489" s="156"/>
      <c r="V489" s="156"/>
      <c r="W489" s="156"/>
      <c r="X489" s="156"/>
      <c r="Y489" s="156"/>
      <c r="Z489" s="157"/>
      <c r="AA489" s="157"/>
      <c r="AB489" s="156"/>
      <c r="AC489" s="156"/>
      <c r="AD489" s="156"/>
      <c r="AE489" s="156"/>
      <c r="AF489" s="156"/>
      <c r="AG489" s="156"/>
      <c r="AH489" s="156"/>
      <c r="AI489" s="156"/>
      <c r="AJ489" s="156"/>
      <c r="AK489" s="156"/>
      <c r="AL489" s="156"/>
      <c r="AM489" s="158"/>
      <c r="AN489" s="156"/>
      <c r="AO489" s="156"/>
      <c r="AP489" s="156"/>
      <c r="AQ489" s="156"/>
      <c r="AR489" s="156"/>
      <c r="AS489" s="156"/>
      <c r="AT489" s="156"/>
      <c r="AU489" s="156"/>
      <c r="AV489" s="156"/>
      <c r="AW489" s="156"/>
      <c r="AX489" s="156"/>
      <c r="AY489" s="156"/>
      <c r="AZ489" s="156"/>
      <c r="BA489" s="153"/>
      <c r="BD489" s="153"/>
      <c r="BE489" s="147"/>
      <c r="BI489" s="153"/>
      <c r="BO489" s="153"/>
      <c r="BW489" s="153"/>
      <c r="CD489" s="146"/>
      <c r="CF489" s="147"/>
      <c r="CI489" s="146"/>
      <c r="CJ489" s="153"/>
      <c r="CV489" s="154"/>
      <c r="CX489" s="154"/>
      <c r="CZ489" s="154"/>
      <c r="DB489" s="154"/>
      <c r="DD489" s="154"/>
      <c r="DH489" s="474"/>
      <c r="DI489" s="459"/>
      <c r="DJ489" s="459"/>
      <c r="DK489" s="459"/>
      <c r="DL489" s="459"/>
      <c r="DM489" s="459"/>
      <c r="DN489" s="459"/>
      <c r="DO489" s="459"/>
      <c r="DP489" s="459"/>
      <c r="DQ489" s="459"/>
      <c r="DR489" s="459"/>
      <c r="DS489" s="459"/>
      <c r="DT489" s="459"/>
      <c r="DU489" s="459"/>
      <c r="DV489" s="468"/>
      <c r="DW489" s="468"/>
      <c r="DX489" s="459"/>
      <c r="DY489" s="459"/>
    </row>
    <row r="490" spans="1:129" s="128" customFormat="1" ht="54.95" customHeight="1" x14ac:dyDescent="0.25">
      <c r="A490" s="377"/>
      <c r="B490" s="175"/>
      <c r="C490" s="393"/>
      <c r="D490" s="168"/>
      <c r="E490" s="168"/>
      <c r="F490" s="168"/>
      <c r="G490" s="168"/>
      <c r="H490" s="168"/>
      <c r="I490" s="168"/>
      <c r="J490" s="168"/>
      <c r="K490" s="168"/>
      <c r="L490" s="168"/>
      <c r="M490" s="168"/>
      <c r="N490" s="168"/>
      <c r="O490" s="433"/>
      <c r="P490" s="122"/>
      <c r="Q490" s="156"/>
      <c r="R490" s="156"/>
      <c r="S490" s="156"/>
      <c r="T490" s="156"/>
      <c r="U490" s="156"/>
      <c r="V490" s="156"/>
      <c r="W490" s="156"/>
      <c r="X490" s="156"/>
      <c r="Y490" s="156"/>
      <c r="Z490" s="157"/>
      <c r="AA490" s="157"/>
      <c r="AB490" s="156"/>
      <c r="AC490" s="156"/>
      <c r="AD490" s="156"/>
      <c r="AE490" s="156"/>
      <c r="AF490" s="156"/>
      <c r="AG490" s="156"/>
      <c r="AH490" s="156"/>
      <c r="AI490" s="156"/>
      <c r="AJ490" s="156"/>
      <c r="AK490" s="156"/>
      <c r="AL490" s="156"/>
      <c r="AM490" s="158"/>
      <c r="AN490" s="156"/>
      <c r="AO490" s="156"/>
      <c r="AP490" s="156"/>
      <c r="AQ490" s="156"/>
      <c r="AR490" s="156"/>
      <c r="AS490" s="156"/>
      <c r="AT490" s="156"/>
      <c r="AU490" s="156"/>
      <c r="AV490" s="156"/>
      <c r="AW490" s="156"/>
      <c r="AX490" s="156"/>
      <c r="AY490" s="156"/>
      <c r="AZ490" s="156"/>
      <c r="BA490" s="153"/>
      <c r="BD490" s="153"/>
      <c r="BE490" s="147"/>
      <c r="BI490" s="153"/>
      <c r="BO490" s="153"/>
      <c r="BW490" s="153"/>
      <c r="CD490" s="146"/>
      <c r="CF490" s="147"/>
      <c r="CI490" s="146"/>
      <c r="CJ490" s="153"/>
      <c r="CV490" s="154"/>
      <c r="CX490" s="154"/>
      <c r="CZ490" s="154"/>
      <c r="DB490" s="154"/>
      <c r="DD490" s="154"/>
      <c r="DH490" s="474"/>
      <c r="DI490" s="459"/>
      <c r="DJ490" s="459"/>
      <c r="DK490" s="459"/>
      <c r="DL490" s="459"/>
      <c r="DM490" s="459"/>
      <c r="DN490" s="459"/>
      <c r="DO490" s="459"/>
      <c r="DP490" s="459"/>
      <c r="DQ490" s="459"/>
      <c r="DR490" s="459"/>
      <c r="DS490" s="459"/>
      <c r="DT490" s="459"/>
      <c r="DU490" s="459"/>
      <c r="DV490" s="468"/>
      <c r="DW490" s="468"/>
      <c r="DX490" s="459"/>
      <c r="DY490" s="459"/>
    </row>
    <row r="491" spans="1:129" s="128" customFormat="1" ht="54.95" customHeight="1" x14ac:dyDescent="0.25">
      <c r="A491" s="377"/>
      <c r="B491" s="175"/>
      <c r="C491" s="393"/>
      <c r="D491" s="168"/>
      <c r="E491" s="168"/>
      <c r="F491" s="168"/>
      <c r="G491" s="168"/>
      <c r="H491" s="168"/>
      <c r="I491" s="168"/>
      <c r="J491" s="168"/>
      <c r="K491" s="168"/>
      <c r="L491" s="168"/>
      <c r="M491" s="168"/>
      <c r="N491" s="168"/>
      <c r="O491" s="433"/>
      <c r="P491" s="122"/>
      <c r="Q491" s="156"/>
      <c r="R491" s="156"/>
      <c r="S491" s="156"/>
      <c r="T491" s="156"/>
      <c r="U491" s="156"/>
      <c r="V491" s="156"/>
      <c r="W491" s="156"/>
      <c r="X491" s="156"/>
      <c r="Y491" s="156"/>
      <c r="Z491" s="157"/>
      <c r="AA491" s="157"/>
      <c r="AB491" s="156"/>
      <c r="AC491" s="156"/>
      <c r="AD491" s="156"/>
      <c r="AE491" s="156"/>
      <c r="AF491" s="156"/>
      <c r="AG491" s="156"/>
      <c r="AH491" s="156"/>
      <c r="AI491" s="156"/>
      <c r="AJ491" s="156"/>
      <c r="AK491" s="156"/>
      <c r="AL491" s="156"/>
      <c r="AM491" s="158"/>
      <c r="AN491" s="156"/>
      <c r="AO491" s="156"/>
      <c r="AP491" s="156"/>
      <c r="AQ491" s="156"/>
      <c r="AR491" s="156"/>
      <c r="AS491" s="156"/>
      <c r="AT491" s="156"/>
      <c r="AU491" s="156"/>
      <c r="AV491" s="156"/>
      <c r="AW491" s="156"/>
      <c r="AX491" s="156"/>
      <c r="AY491" s="156"/>
      <c r="AZ491" s="156"/>
      <c r="BA491" s="153"/>
      <c r="BD491" s="153"/>
      <c r="BE491" s="147"/>
      <c r="BI491" s="153"/>
      <c r="BO491" s="153"/>
      <c r="BW491" s="153"/>
      <c r="CD491" s="146"/>
      <c r="CF491" s="147"/>
      <c r="CI491" s="146"/>
      <c r="CJ491" s="153"/>
      <c r="CV491" s="154"/>
      <c r="CX491" s="154"/>
      <c r="CZ491" s="154"/>
      <c r="DB491" s="154"/>
      <c r="DD491" s="154"/>
      <c r="DH491" s="474"/>
      <c r="DI491" s="459"/>
      <c r="DJ491" s="459"/>
      <c r="DK491" s="459"/>
      <c r="DL491" s="459"/>
      <c r="DM491" s="459"/>
      <c r="DN491" s="459"/>
      <c r="DO491" s="459"/>
      <c r="DP491" s="459"/>
      <c r="DQ491" s="459"/>
      <c r="DR491" s="459"/>
      <c r="DS491" s="459"/>
      <c r="DT491" s="459"/>
      <c r="DU491" s="459"/>
      <c r="DV491" s="468"/>
      <c r="DW491" s="468"/>
      <c r="DX491" s="459"/>
      <c r="DY491" s="459"/>
    </row>
    <row r="492" spans="1:129" s="128" customFormat="1" ht="54.95" customHeight="1" x14ac:dyDescent="0.25">
      <c r="A492" s="377"/>
      <c r="B492" s="175"/>
      <c r="C492" s="393"/>
      <c r="D492" s="168"/>
      <c r="E492" s="168"/>
      <c r="F492" s="168"/>
      <c r="G492" s="168"/>
      <c r="H492" s="168"/>
      <c r="I492" s="168"/>
      <c r="J492" s="168"/>
      <c r="K492" s="168"/>
      <c r="L492" s="168"/>
      <c r="M492" s="168"/>
      <c r="N492" s="168"/>
      <c r="O492" s="433"/>
      <c r="P492" s="122"/>
      <c r="Q492" s="156"/>
      <c r="R492" s="156"/>
      <c r="S492" s="156"/>
      <c r="T492" s="156"/>
      <c r="U492" s="156"/>
      <c r="V492" s="156"/>
      <c r="W492" s="156"/>
      <c r="X492" s="156"/>
      <c r="Y492" s="156"/>
      <c r="Z492" s="157"/>
      <c r="AA492" s="157"/>
      <c r="AB492" s="156"/>
      <c r="AC492" s="156"/>
      <c r="AD492" s="156"/>
      <c r="AE492" s="156"/>
      <c r="AF492" s="156"/>
      <c r="AG492" s="156"/>
      <c r="AH492" s="156"/>
      <c r="AI492" s="156"/>
      <c r="AJ492" s="156"/>
      <c r="AK492" s="156"/>
      <c r="AL492" s="156"/>
      <c r="AM492" s="158"/>
      <c r="AN492" s="156"/>
      <c r="AO492" s="156"/>
      <c r="AP492" s="156"/>
      <c r="AQ492" s="156"/>
      <c r="AR492" s="156"/>
      <c r="AS492" s="156"/>
      <c r="AT492" s="156"/>
      <c r="AU492" s="156"/>
      <c r="AV492" s="156"/>
      <c r="AW492" s="156"/>
      <c r="AX492" s="156"/>
      <c r="AY492" s="156"/>
      <c r="AZ492" s="156"/>
      <c r="BA492" s="153"/>
      <c r="BD492" s="153"/>
      <c r="BE492" s="147"/>
      <c r="BI492" s="153"/>
      <c r="BO492" s="153"/>
      <c r="BW492" s="153"/>
      <c r="CD492" s="146"/>
      <c r="CF492" s="147"/>
      <c r="CI492" s="146"/>
      <c r="CJ492" s="153"/>
      <c r="CV492" s="154"/>
      <c r="CX492" s="154"/>
      <c r="CZ492" s="154"/>
      <c r="DB492" s="154"/>
      <c r="DD492" s="154"/>
      <c r="DH492" s="474"/>
      <c r="DI492" s="459"/>
      <c r="DJ492" s="459"/>
      <c r="DK492" s="459"/>
      <c r="DL492" s="459"/>
      <c r="DM492" s="459"/>
      <c r="DN492" s="459"/>
      <c r="DO492" s="459"/>
      <c r="DP492" s="459"/>
      <c r="DQ492" s="459"/>
      <c r="DR492" s="459"/>
      <c r="DS492" s="459"/>
      <c r="DT492" s="459"/>
      <c r="DU492" s="459"/>
      <c r="DV492" s="468"/>
      <c r="DW492" s="468"/>
      <c r="DX492" s="459"/>
      <c r="DY492" s="459"/>
    </row>
    <row r="493" spans="1:129" s="128" customFormat="1" ht="54.95" customHeight="1" x14ac:dyDescent="0.25">
      <c r="A493" s="377"/>
      <c r="B493" s="175"/>
      <c r="C493" s="393"/>
      <c r="D493" s="168"/>
      <c r="E493" s="168"/>
      <c r="F493" s="168"/>
      <c r="G493" s="168"/>
      <c r="H493" s="168"/>
      <c r="I493" s="168"/>
      <c r="J493" s="168"/>
      <c r="K493" s="168"/>
      <c r="L493" s="168"/>
      <c r="M493" s="168"/>
      <c r="N493" s="168"/>
      <c r="O493" s="433"/>
      <c r="P493" s="122"/>
      <c r="Q493" s="156"/>
      <c r="R493" s="156"/>
      <c r="S493" s="156"/>
      <c r="T493" s="156"/>
      <c r="U493" s="156"/>
      <c r="V493" s="156"/>
      <c r="W493" s="156"/>
      <c r="X493" s="156"/>
      <c r="Y493" s="156"/>
      <c r="Z493" s="157"/>
      <c r="AA493" s="157"/>
      <c r="AB493" s="156"/>
      <c r="AC493" s="156"/>
      <c r="AD493" s="156"/>
      <c r="AE493" s="156"/>
      <c r="AF493" s="156"/>
      <c r="AG493" s="156"/>
      <c r="AH493" s="156"/>
      <c r="AI493" s="156"/>
      <c r="AJ493" s="156"/>
      <c r="AK493" s="156"/>
      <c r="AL493" s="156"/>
      <c r="AM493" s="158"/>
      <c r="AN493" s="156"/>
      <c r="AO493" s="156"/>
      <c r="AP493" s="156"/>
      <c r="AQ493" s="156"/>
      <c r="AR493" s="156"/>
      <c r="AS493" s="156"/>
      <c r="AT493" s="156"/>
      <c r="AU493" s="156"/>
      <c r="AV493" s="156"/>
      <c r="AW493" s="156"/>
      <c r="AX493" s="156"/>
      <c r="AY493" s="156"/>
      <c r="AZ493" s="156"/>
      <c r="BA493" s="153"/>
      <c r="BD493" s="153"/>
      <c r="BE493" s="147"/>
      <c r="BI493" s="153"/>
      <c r="BO493" s="153"/>
      <c r="BW493" s="153"/>
      <c r="CD493" s="146"/>
      <c r="CF493" s="147"/>
      <c r="CI493" s="146"/>
      <c r="CJ493" s="153"/>
      <c r="CV493" s="154"/>
      <c r="CX493" s="154"/>
      <c r="CZ493" s="154"/>
      <c r="DB493" s="154"/>
      <c r="DD493" s="154"/>
      <c r="DH493" s="474"/>
      <c r="DI493" s="459"/>
      <c r="DJ493" s="459"/>
      <c r="DK493" s="459"/>
      <c r="DL493" s="459"/>
      <c r="DM493" s="459"/>
      <c r="DN493" s="459"/>
      <c r="DO493" s="459"/>
      <c r="DP493" s="459"/>
      <c r="DQ493" s="459"/>
      <c r="DR493" s="459"/>
      <c r="DS493" s="459"/>
      <c r="DT493" s="459"/>
      <c r="DU493" s="459"/>
      <c r="DV493" s="468"/>
      <c r="DW493" s="468"/>
      <c r="DX493" s="459"/>
      <c r="DY493" s="459"/>
    </row>
    <row r="494" spans="1:129" s="128" customFormat="1" ht="54.95" customHeight="1" x14ac:dyDescent="0.25">
      <c r="A494" s="377"/>
      <c r="B494" s="175"/>
      <c r="C494" s="393"/>
      <c r="D494" s="168"/>
      <c r="E494" s="168"/>
      <c r="F494" s="168"/>
      <c r="G494" s="168"/>
      <c r="H494" s="168"/>
      <c r="I494" s="168"/>
      <c r="J494" s="168"/>
      <c r="K494" s="168"/>
      <c r="L494" s="168"/>
      <c r="M494" s="168"/>
      <c r="N494" s="168"/>
      <c r="O494" s="433"/>
      <c r="P494" s="122"/>
      <c r="Q494" s="156"/>
      <c r="R494" s="156"/>
      <c r="S494" s="156"/>
      <c r="T494" s="156"/>
      <c r="U494" s="156"/>
      <c r="V494" s="156"/>
      <c r="W494" s="156"/>
      <c r="X494" s="156"/>
      <c r="Y494" s="156"/>
      <c r="Z494" s="157"/>
      <c r="AA494" s="157"/>
      <c r="AB494" s="156"/>
      <c r="AC494" s="156"/>
      <c r="AD494" s="156"/>
      <c r="AE494" s="156"/>
      <c r="AF494" s="156"/>
      <c r="AG494" s="156"/>
      <c r="AH494" s="156"/>
      <c r="AI494" s="156"/>
      <c r="AJ494" s="156"/>
      <c r="AK494" s="156"/>
      <c r="AL494" s="156"/>
      <c r="AM494" s="158"/>
      <c r="AN494" s="156"/>
      <c r="AO494" s="156"/>
      <c r="AP494" s="156"/>
      <c r="AQ494" s="156"/>
      <c r="AR494" s="156"/>
      <c r="AS494" s="156"/>
      <c r="AT494" s="156"/>
      <c r="AU494" s="156"/>
      <c r="AV494" s="156"/>
      <c r="AW494" s="156"/>
      <c r="AX494" s="156"/>
      <c r="AY494" s="156"/>
      <c r="AZ494" s="156"/>
      <c r="BA494" s="153"/>
      <c r="BD494" s="153"/>
      <c r="BE494" s="147"/>
      <c r="BI494" s="153"/>
      <c r="BO494" s="153"/>
      <c r="BW494" s="153"/>
      <c r="CD494" s="146"/>
      <c r="CF494" s="147"/>
      <c r="CI494" s="146"/>
      <c r="CJ494" s="153"/>
      <c r="CV494" s="154"/>
      <c r="CX494" s="154"/>
      <c r="CZ494" s="154"/>
      <c r="DB494" s="154"/>
      <c r="DD494" s="154"/>
      <c r="DH494" s="474"/>
      <c r="DI494" s="459"/>
      <c r="DJ494" s="459"/>
      <c r="DK494" s="459"/>
      <c r="DL494" s="459"/>
      <c r="DM494" s="459"/>
      <c r="DN494" s="459"/>
      <c r="DO494" s="459"/>
      <c r="DP494" s="459"/>
      <c r="DQ494" s="459"/>
      <c r="DR494" s="459"/>
      <c r="DS494" s="459"/>
      <c r="DT494" s="459"/>
      <c r="DU494" s="459"/>
      <c r="DV494" s="468"/>
      <c r="DW494" s="468"/>
      <c r="DX494" s="459"/>
      <c r="DY494" s="459"/>
    </row>
    <row r="495" spans="1:129" s="128" customFormat="1" ht="54.95" customHeight="1" x14ac:dyDescent="0.25">
      <c r="A495" s="377"/>
      <c r="B495" s="175"/>
      <c r="C495" s="393"/>
      <c r="D495" s="168"/>
      <c r="E495" s="168"/>
      <c r="F495" s="168"/>
      <c r="G495" s="168"/>
      <c r="H495" s="168"/>
      <c r="I495" s="168"/>
      <c r="J495" s="168"/>
      <c r="K495" s="168"/>
      <c r="L495" s="168"/>
      <c r="M495" s="168"/>
      <c r="N495" s="168"/>
      <c r="O495" s="433"/>
      <c r="P495" s="122"/>
      <c r="Q495" s="156"/>
      <c r="R495" s="156"/>
      <c r="S495" s="156"/>
      <c r="T495" s="156"/>
      <c r="U495" s="156"/>
      <c r="V495" s="156"/>
      <c r="W495" s="156"/>
      <c r="X495" s="156"/>
      <c r="Y495" s="156"/>
      <c r="Z495" s="157"/>
      <c r="AA495" s="157"/>
      <c r="AB495" s="156"/>
      <c r="AC495" s="156"/>
      <c r="AD495" s="156"/>
      <c r="AE495" s="156"/>
      <c r="AF495" s="156"/>
      <c r="AG495" s="156"/>
      <c r="AH495" s="156"/>
      <c r="AI495" s="156"/>
      <c r="AJ495" s="156"/>
      <c r="AK495" s="156"/>
      <c r="AL495" s="156"/>
      <c r="AM495" s="158"/>
      <c r="AN495" s="156"/>
      <c r="AO495" s="156"/>
      <c r="AP495" s="156"/>
      <c r="AQ495" s="156"/>
      <c r="AR495" s="156"/>
      <c r="AS495" s="156"/>
      <c r="AT495" s="156"/>
      <c r="AU495" s="156"/>
      <c r="AV495" s="156"/>
      <c r="AW495" s="156"/>
      <c r="AX495" s="156"/>
      <c r="AY495" s="156"/>
      <c r="AZ495" s="156"/>
      <c r="BA495" s="153"/>
      <c r="BD495" s="153"/>
      <c r="BE495" s="147"/>
      <c r="BI495" s="153"/>
      <c r="BO495" s="153"/>
      <c r="BW495" s="153"/>
      <c r="CD495" s="146"/>
      <c r="CF495" s="147"/>
      <c r="CI495" s="146"/>
      <c r="CJ495" s="153"/>
      <c r="CV495" s="154"/>
      <c r="CX495" s="154"/>
      <c r="CZ495" s="154"/>
      <c r="DB495" s="154"/>
      <c r="DD495" s="154"/>
      <c r="DH495" s="474"/>
      <c r="DI495" s="459"/>
      <c r="DJ495" s="459"/>
      <c r="DK495" s="459"/>
      <c r="DL495" s="459"/>
      <c r="DM495" s="459"/>
      <c r="DN495" s="459"/>
      <c r="DO495" s="459"/>
      <c r="DP495" s="459"/>
      <c r="DQ495" s="459"/>
      <c r="DR495" s="459"/>
      <c r="DS495" s="459"/>
      <c r="DT495" s="459"/>
      <c r="DU495" s="459"/>
      <c r="DV495" s="468"/>
      <c r="DW495" s="468"/>
      <c r="DX495" s="459"/>
      <c r="DY495" s="459"/>
    </row>
    <row r="496" spans="1:129" s="128" customFormat="1" ht="54.95" customHeight="1" x14ac:dyDescent="0.25">
      <c r="A496" s="377"/>
      <c r="B496" s="175"/>
      <c r="C496" s="393"/>
      <c r="D496" s="168"/>
      <c r="E496" s="168"/>
      <c r="F496" s="168"/>
      <c r="G496" s="168"/>
      <c r="H496" s="168"/>
      <c r="I496" s="168"/>
      <c r="J496" s="168"/>
      <c r="K496" s="168"/>
      <c r="L496" s="168"/>
      <c r="M496" s="168"/>
      <c r="N496" s="168"/>
      <c r="O496" s="433"/>
      <c r="P496" s="122"/>
      <c r="Q496" s="156"/>
      <c r="R496" s="156"/>
      <c r="S496" s="156"/>
      <c r="T496" s="156"/>
      <c r="U496" s="156"/>
      <c r="V496" s="156"/>
      <c r="W496" s="156"/>
      <c r="X496" s="156"/>
      <c r="Y496" s="156"/>
      <c r="Z496" s="157"/>
      <c r="AA496" s="157"/>
      <c r="AB496" s="156"/>
      <c r="AC496" s="156"/>
      <c r="AD496" s="156"/>
      <c r="AE496" s="156"/>
      <c r="AF496" s="156"/>
      <c r="AG496" s="156"/>
      <c r="AH496" s="156"/>
      <c r="AI496" s="156"/>
      <c r="AJ496" s="156"/>
      <c r="AK496" s="156"/>
      <c r="AL496" s="156"/>
      <c r="AM496" s="158"/>
      <c r="AN496" s="156"/>
      <c r="AO496" s="156"/>
      <c r="AP496" s="156"/>
      <c r="AQ496" s="156"/>
      <c r="AR496" s="156"/>
      <c r="AS496" s="156"/>
      <c r="AT496" s="156"/>
      <c r="AU496" s="156"/>
      <c r="AV496" s="156"/>
      <c r="AW496" s="156"/>
      <c r="AX496" s="156"/>
      <c r="AY496" s="156"/>
      <c r="AZ496" s="156"/>
      <c r="BA496" s="153"/>
      <c r="BD496" s="153"/>
      <c r="BE496" s="147"/>
      <c r="BI496" s="153"/>
      <c r="BO496" s="153"/>
      <c r="BW496" s="153"/>
      <c r="CD496" s="146"/>
      <c r="CF496" s="147"/>
      <c r="CI496" s="146"/>
      <c r="CJ496" s="153"/>
      <c r="CV496" s="154"/>
      <c r="CX496" s="154"/>
      <c r="CZ496" s="154"/>
      <c r="DB496" s="154"/>
      <c r="DD496" s="154"/>
      <c r="DH496" s="474"/>
      <c r="DI496" s="459"/>
      <c r="DJ496" s="459"/>
      <c r="DK496" s="459"/>
      <c r="DL496" s="459"/>
      <c r="DM496" s="459"/>
      <c r="DN496" s="459"/>
      <c r="DO496" s="459"/>
      <c r="DP496" s="459"/>
      <c r="DQ496" s="459"/>
      <c r="DR496" s="459"/>
      <c r="DS496" s="459"/>
      <c r="DT496" s="459"/>
      <c r="DU496" s="459"/>
      <c r="DV496" s="468"/>
      <c r="DW496" s="468"/>
      <c r="DX496" s="459"/>
      <c r="DY496" s="459"/>
    </row>
    <row r="497" spans="1:129" s="128" customFormat="1" ht="54.95" customHeight="1" x14ac:dyDescent="0.25">
      <c r="A497" s="377"/>
      <c r="B497" s="175"/>
      <c r="C497" s="393"/>
      <c r="D497" s="168"/>
      <c r="E497" s="168"/>
      <c r="F497" s="168"/>
      <c r="G497" s="168"/>
      <c r="H497" s="168"/>
      <c r="I497" s="168"/>
      <c r="J497" s="168"/>
      <c r="K497" s="168"/>
      <c r="L497" s="168"/>
      <c r="M497" s="168"/>
      <c r="N497" s="168"/>
      <c r="O497" s="433"/>
      <c r="P497" s="122"/>
      <c r="Q497" s="156"/>
      <c r="R497" s="156"/>
      <c r="S497" s="156"/>
      <c r="T497" s="156"/>
      <c r="U497" s="156"/>
      <c r="V497" s="156"/>
      <c r="W497" s="156"/>
      <c r="X497" s="156"/>
      <c r="Y497" s="156"/>
      <c r="Z497" s="157"/>
      <c r="AA497" s="157"/>
      <c r="AB497" s="156"/>
      <c r="AC497" s="156"/>
      <c r="AD497" s="156"/>
      <c r="AE497" s="156"/>
      <c r="AF497" s="156"/>
      <c r="AG497" s="156"/>
      <c r="AH497" s="156"/>
      <c r="AI497" s="156"/>
      <c r="AJ497" s="156"/>
      <c r="AK497" s="156"/>
      <c r="AL497" s="156"/>
      <c r="AM497" s="158"/>
      <c r="AN497" s="156"/>
      <c r="AO497" s="156"/>
      <c r="AP497" s="156"/>
      <c r="AQ497" s="156"/>
      <c r="AR497" s="156"/>
      <c r="AS497" s="156"/>
      <c r="AT497" s="156"/>
      <c r="AU497" s="156"/>
      <c r="AV497" s="156"/>
      <c r="AW497" s="156"/>
      <c r="AX497" s="156"/>
      <c r="AY497" s="156"/>
      <c r="AZ497" s="156"/>
      <c r="BA497" s="153"/>
      <c r="BD497" s="153"/>
      <c r="BE497" s="147"/>
      <c r="BI497" s="153"/>
      <c r="BO497" s="153"/>
      <c r="BW497" s="153"/>
      <c r="CD497" s="146"/>
      <c r="CF497" s="147"/>
      <c r="CI497" s="146"/>
      <c r="CJ497" s="153"/>
      <c r="CV497" s="154"/>
      <c r="CX497" s="154"/>
      <c r="CZ497" s="154"/>
      <c r="DB497" s="154"/>
      <c r="DD497" s="154"/>
      <c r="DH497" s="474"/>
      <c r="DI497" s="459"/>
      <c r="DJ497" s="459"/>
      <c r="DK497" s="459"/>
      <c r="DL497" s="459"/>
      <c r="DM497" s="459"/>
      <c r="DN497" s="459"/>
      <c r="DO497" s="459"/>
      <c r="DP497" s="459"/>
      <c r="DQ497" s="459"/>
      <c r="DR497" s="459"/>
      <c r="DS497" s="459"/>
      <c r="DT497" s="459"/>
      <c r="DU497" s="459"/>
      <c r="DV497" s="468"/>
      <c r="DW497" s="468"/>
      <c r="DX497" s="459"/>
      <c r="DY497" s="459"/>
    </row>
    <row r="498" spans="1:129" s="128" customFormat="1" ht="54.95" customHeight="1" x14ac:dyDescent="0.25">
      <c r="A498" s="377"/>
      <c r="B498" s="175"/>
      <c r="C498" s="393"/>
      <c r="D498" s="168"/>
      <c r="E498" s="168"/>
      <c r="F498" s="168"/>
      <c r="G498" s="168"/>
      <c r="H498" s="168"/>
      <c r="I498" s="168"/>
      <c r="J498" s="168"/>
      <c r="K498" s="168"/>
      <c r="L498" s="168"/>
      <c r="M498" s="168"/>
      <c r="N498" s="168"/>
      <c r="O498" s="433"/>
      <c r="P498" s="122"/>
      <c r="Q498" s="156"/>
      <c r="R498" s="156"/>
      <c r="S498" s="156"/>
      <c r="T498" s="156"/>
      <c r="U498" s="156"/>
      <c r="V498" s="156"/>
      <c r="W498" s="156"/>
      <c r="X498" s="156"/>
      <c r="Y498" s="156"/>
      <c r="Z498" s="157"/>
      <c r="AA498" s="157"/>
      <c r="AB498" s="156"/>
      <c r="AC498" s="156"/>
      <c r="AD498" s="156"/>
      <c r="AE498" s="156"/>
      <c r="AF498" s="156"/>
      <c r="AG498" s="156"/>
      <c r="AH498" s="156"/>
      <c r="AI498" s="156"/>
      <c r="AJ498" s="156"/>
      <c r="AK498" s="156"/>
      <c r="AL498" s="156"/>
      <c r="AM498" s="158"/>
      <c r="AN498" s="156"/>
      <c r="AO498" s="156"/>
      <c r="AP498" s="156"/>
      <c r="AQ498" s="156"/>
      <c r="AR498" s="156"/>
      <c r="AS498" s="156"/>
      <c r="AT498" s="156"/>
      <c r="AU498" s="156"/>
      <c r="AV498" s="156"/>
      <c r="AW498" s="156"/>
      <c r="AX498" s="156"/>
      <c r="AY498" s="156"/>
      <c r="AZ498" s="156"/>
      <c r="BA498" s="153"/>
      <c r="BD498" s="153"/>
      <c r="BE498" s="147"/>
      <c r="BI498" s="153"/>
      <c r="BO498" s="153"/>
      <c r="BW498" s="153"/>
      <c r="CD498" s="146"/>
      <c r="CF498" s="147"/>
      <c r="CI498" s="146"/>
      <c r="CJ498" s="153"/>
      <c r="CV498" s="154"/>
      <c r="CX498" s="154"/>
      <c r="CZ498" s="154"/>
      <c r="DB498" s="154"/>
      <c r="DD498" s="154"/>
      <c r="DH498" s="474"/>
      <c r="DI498" s="459"/>
      <c r="DJ498" s="459"/>
      <c r="DK498" s="459"/>
      <c r="DL498" s="459"/>
      <c r="DM498" s="459"/>
      <c r="DN498" s="459"/>
      <c r="DO498" s="459"/>
      <c r="DP498" s="459"/>
      <c r="DQ498" s="459"/>
      <c r="DR498" s="459"/>
      <c r="DS498" s="459"/>
      <c r="DT498" s="459"/>
      <c r="DU498" s="459"/>
      <c r="DV498" s="468"/>
      <c r="DW498" s="468"/>
      <c r="DX498" s="459"/>
      <c r="DY498" s="459"/>
    </row>
    <row r="499" spans="1:129" s="128" customFormat="1" ht="54.95" customHeight="1" x14ac:dyDescent="0.25">
      <c r="A499" s="377"/>
      <c r="B499" s="175"/>
      <c r="C499" s="393"/>
      <c r="D499" s="168"/>
      <c r="E499" s="168"/>
      <c r="F499" s="168"/>
      <c r="G499" s="168"/>
      <c r="H499" s="168"/>
      <c r="I499" s="168"/>
      <c r="J499" s="168"/>
      <c r="K499" s="168"/>
      <c r="L499" s="168"/>
      <c r="M499" s="168"/>
      <c r="N499" s="168"/>
      <c r="O499" s="433"/>
      <c r="P499" s="122"/>
      <c r="Q499" s="156"/>
      <c r="R499" s="156"/>
      <c r="S499" s="156"/>
      <c r="T499" s="156"/>
      <c r="U499" s="156"/>
      <c r="V499" s="156"/>
      <c r="W499" s="156"/>
      <c r="X499" s="156"/>
      <c r="Y499" s="156"/>
      <c r="Z499" s="157"/>
      <c r="AA499" s="157"/>
      <c r="AB499" s="156"/>
      <c r="AC499" s="156"/>
      <c r="AD499" s="156"/>
      <c r="AE499" s="156"/>
      <c r="AF499" s="156"/>
      <c r="AG499" s="156"/>
      <c r="AH499" s="156"/>
      <c r="AI499" s="156"/>
      <c r="AJ499" s="156"/>
      <c r="AK499" s="156"/>
      <c r="AL499" s="156"/>
      <c r="AM499" s="158"/>
      <c r="AN499" s="156"/>
      <c r="AO499" s="156"/>
      <c r="AP499" s="156"/>
      <c r="AQ499" s="156"/>
      <c r="AR499" s="156"/>
      <c r="AS499" s="156"/>
      <c r="AT499" s="156"/>
      <c r="AU499" s="156"/>
      <c r="AV499" s="156"/>
      <c r="AW499" s="156"/>
      <c r="AX499" s="156"/>
      <c r="AY499" s="156"/>
      <c r="AZ499" s="156"/>
      <c r="BA499" s="153"/>
      <c r="BD499" s="153"/>
      <c r="BE499" s="147"/>
      <c r="BI499" s="153"/>
      <c r="BO499" s="153"/>
      <c r="BW499" s="153"/>
      <c r="CD499" s="146"/>
      <c r="CF499" s="147"/>
      <c r="CI499" s="146"/>
      <c r="CJ499" s="153"/>
      <c r="CV499" s="154"/>
      <c r="CX499" s="154"/>
      <c r="CZ499" s="154"/>
      <c r="DB499" s="154"/>
      <c r="DD499" s="154"/>
      <c r="DH499" s="474"/>
      <c r="DI499" s="459"/>
      <c r="DJ499" s="459"/>
      <c r="DK499" s="459"/>
      <c r="DL499" s="459"/>
      <c r="DM499" s="459"/>
      <c r="DN499" s="459"/>
      <c r="DO499" s="459"/>
      <c r="DP499" s="459"/>
      <c r="DQ499" s="459"/>
      <c r="DR499" s="459"/>
      <c r="DS499" s="459"/>
      <c r="DT499" s="459"/>
      <c r="DU499" s="459"/>
      <c r="DV499" s="468"/>
      <c r="DW499" s="468"/>
      <c r="DX499" s="459"/>
      <c r="DY499" s="459"/>
    </row>
    <row r="500" spans="1:129" s="128" customFormat="1" ht="54.95" customHeight="1" x14ac:dyDescent="0.25">
      <c r="A500" s="377"/>
      <c r="B500" s="175"/>
      <c r="C500" s="393"/>
      <c r="D500" s="168"/>
      <c r="E500" s="168"/>
      <c r="F500" s="168"/>
      <c r="G500" s="168"/>
      <c r="H500" s="168"/>
      <c r="I500" s="168"/>
      <c r="J500" s="168"/>
      <c r="K500" s="168"/>
      <c r="L500" s="168"/>
      <c r="M500" s="168"/>
      <c r="N500" s="168"/>
      <c r="O500" s="433"/>
      <c r="P500" s="122"/>
      <c r="Q500" s="156"/>
      <c r="R500" s="156"/>
      <c r="S500" s="156"/>
      <c r="T500" s="156"/>
      <c r="U500" s="156"/>
      <c r="V500" s="156"/>
      <c r="W500" s="156"/>
      <c r="X500" s="156"/>
      <c r="Y500" s="156"/>
      <c r="Z500" s="157"/>
      <c r="AA500" s="157"/>
      <c r="AB500" s="156"/>
      <c r="AC500" s="156"/>
      <c r="AD500" s="156"/>
      <c r="AE500" s="156"/>
      <c r="AF500" s="156"/>
      <c r="AG500" s="156"/>
      <c r="AH500" s="156"/>
      <c r="AI500" s="156"/>
      <c r="AJ500" s="156"/>
      <c r="AK500" s="156"/>
      <c r="AL500" s="156"/>
      <c r="AM500" s="158"/>
      <c r="AN500" s="156"/>
      <c r="AO500" s="156"/>
      <c r="AP500" s="156"/>
      <c r="AQ500" s="156"/>
      <c r="AR500" s="156"/>
      <c r="AS500" s="156"/>
      <c r="AT500" s="156"/>
      <c r="AU500" s="156"/>
      <c r="AV500" s="156"/>
      <c r="AW500" s="156"/>
      <c r="AX500" s="156"/>
      <c r="AY500" s="156"/>
      <c r="AZ500" s="156"/>
      <c r="BA500" s="153"/>
      <c r="BD500" s="153"/>
      <c r="BE500" s="147"/>
      <c r="BI500" s="153"/>
      <c r="BO500" s="153"/>
      <c r="BW500" s="153"/>
      <c r="CD500" s="146"/>
      <c r="CF500" s="147"/>
      <c r="CI500" s="146"/>
      <c r="CJ500" s="153"/>
      <c r="CV500" s="154"/>
      <c r="CX500" s="154"/>
      <c r="CZ500" s="154"/>
      <c r="DB500" s="154"/>
      <c r="DD500" s="154"/>
      <c r="DH500" s="474"/>
      <c r="DI500" s="459"/>
      <c r="DJ500" s="459"/>
      <c r="DK500" s="459"/>
      <c r="DL500" s="459"/>
      <c r="DM500" s="459"/>
      <c r="DN500" s="459"/>
      <c r="DO500" s="459"/>
      <c r="DP500" s="459"/>
      <c r="DQ500" s="459"/>
      <c r="DR500" s="459"/>
      <c r="DS500" s="459"/>
      <c r="DT500" s="459"/>
      <c r="DU500" s="459"/>
      <c r="DV500" s="468"/>
      <c r="DW500" s="468"/>
      <c r="DX500" s="459"/>
      <c r="DY500" s="459"/>
    </row>
    <row r="501" spans="1:129" s="128" customFormat="1" ht="54.95" customHeight="1" x14ac:dyDescent="0.25">
      <c r="A501" s="377"/>
      <c r="B501" s="175"/>
      <c r="C501" s="393"/>
      <c r="D501" s="168"/>
      <c r="E501" s="168"/>
      <c r="F501" s="168"/>
      <c r="G501" s="168"/>
      <c r="H501" s="168"/>
      <c r="I501" s="168"/>
      <c r="J501" s="168"/>
      <c r="K501" s="168"/>
      <c r="L501" s="168"/>
      <c r="M501" s="168"/>
      <c r="N501" s="168"/>
      <c r="O501" s="433"/>
      <c r="P501" s="122"/>
      <c r="Q501" s="156"/>
      <c r="R501" s="156"/>
      <c r="S501" s="156"/>
      <c r="T501" s="156"/>
      <c r="U501" s="156"/>
      <c r="V501" s="156"/>
      <c r="W501" s="156"/>
      <c r="X501" s="156"/>
      <c r="Y501" s="156"/>
      <c r="Z501" s="157"/>
      <c r="AA501" s="157"/>
      <c r="AB501" s="156"/>
      <c r="AC501" s="156"/>
      <c r="AD501" s="156"/>
      <c r="AE501" s="156"/>
      <c r="AF501" s="156"/>
      <c r="AG501" s="156"/>
      <c r="AH501" s="156"/>
      <c r="AI501" s="156"/>
      <c r="AJ501" s="156"/>
      <c r="AK501" s="156"/>
      <c r="AL501" s="156"/>
      <c r="AM501" s="158"/>
      <c r="AN501" s="156"/>
      <c r="AO501" s="156"/>
      <c r="AP501" s="156"/>
      <c r="AQ501" s="156"/>
      <c r="AR501" s="156"/>
      <c r="AS501" s="156"/>
      <c r="AT501" s="156"/>
      <c r="AU501" s="156"/>
      <c r="AV501" s="156"/>
      <c r="AW501" s="156"/>
      <c r="AX501" s="156"/>
      <c r="AY501" s="156"/>
      <c r="AZ501" s="156"/>
      <c r="BA501" s="153"/>
      <c r="BD501" s="153"/>
      <c r="BE501" s="147"/>
      <c r="BI501" s="153"/>
      <c r="BO501" s="153"/>
      <c r="BW501" s="153"/>
      <c r="CD501" s="146"/>
      <c r="CF501" s="147"/>
      <c r="CI501" s="146"/>
      <c r="CJ501" s="153"/>
      <c r="CV501" s="154"/>
      <c r="CX501" s="154"/>
      <c r="CZ501" s="154"/>
      <c r="DB501" s="154"/>
      <c r="DD501" s="154"/>
      <c r="DH501" s="474"/>
      <c r="DI501" s="459"/>
      <c r="DJ501" s="459"/>
      <c r="DK501" s="459"/>
      <c r="DL501" s="459"/>
      <c r="DM501" s="459"/>
      <c r="DN501" s="459"/>
      <c r="DO501" s="459"/>
      <c r="DP501" s="459"/>
      <c r="DQ501" s="459"/>
      <c r="DR501" s="459"/>
      <c r="DS501" s="459"/>
      <c r="DT501" s="459"/>
      <c r="DU501" s="459"/>
      <c r="DV501" s="468"/>
      <c r="DW501" s="468"/>
      <c r="DX501" s="459"/>
      <c r="DY501" s="459"/>
    </row>
    <row r="502" spans="1:129" s="128" customFormat="1" ht="54.95" customHeight="1" x14ac:dyDescent="0.25">
      <c r="A502" s="377"/>
      <c r="B502" s="175"/>
      <c r="C502" s="393"/>
      <c r="D502" s="168"/>
      <c r="E502" s="168"/>
      <c r="F502" s="168"/>
      <c r="G502" s="168"/>
      <c r="H502" s="168"/>
      <c r="I502" s="168"/>
      <c r="J502" s="168"/>
      <c r="K502" s="168"/>
      <c r="L502" s="168"/>
      <c r="M502" s="168"/>
      <c r="N502" s="168"/>
      <c r="O502" s="433"/>
      <c r="P502" s="122"/>
      <c r="Q502" s="156"/>
      <c r="R502" s="156"/>
      <c r="S502" s="156"/>
      <c r="T502" s="156"/>
      <c r="U502" s="156"/>
      <c r="V502" s="156"/>
      <c r="W502" s="156"/>
      <c r="X502" s="156"/>
      <c r="Y502" s="156"/>
      <c r="Z502" s="157"/>
      <c r="AA502" s="157"/>
      <c r="AB502" s="156"/>
      <c r="AC502" s="156"/>
      <c r="AD502" s="156"/>
      <c r="AE502" s="156"/>
      <c r="AF502" s="156"/>
      <c r="AG502" s="156"/>
      <c r="AH502" s="156"/>
      <c r="AI502" s="156"/>
      <c r="AJ502" s="156"/>
      <c r="AK502" s="156"/>
      <c r="AL502" s="156"/>
      <c r="AM502" s="158"/>
      <c r="AN502" s="156"/>
      <c r="AO502" s="156"/>
      <c r="AP502" s="156"/>
      <c r="AQ502" s="156"/>
      <c r="AR502" s="156"/>
      <c r="AS502" s="156"/>
      <c r="AT502" s="156"/>
      <c r="AU502" s="156"/>
      <c r="AV502" s="156"/>
      <c r="AW502" s="156"/>
      <c r="AX502" s="156"/>
      <c r="AY502" s="156"/>
      <c r="AZ502" s="156"/>
      <c r="BA502" s="153"/>
      <c r="BD502" s="153"/>
      <c r="BE502" s="147"/>
      <c r="BI502" s="153"/>
      <c r="BO502" s="153"/>
      <c r="BW502" s="153"/>
      <c r="CD502" s="146"/>
      <c r="CF502" s="147"/>
      <c r="CI502" s="146"/>
      <c r="CJ502" s="153"/>
      <c r="CV502" s="154"/>
      <c r="CX502" s="154"/>
      <c r="CZ502" s="154"/>
      <c r="DB502" s="154"/>
      <c r="DD502" s="154"/>
      <c r="DH502" s="474"/>
      <c r="DI502" s="459"/>
      <c r="DJ502" s="459"/>
      <c r="DK502" s="459"/>
      <c r="DL502" s="459"/>
      <c r="DM502" s="459"/>
      <c r="DN502" s="459"/>
      <c r="DO502" s="459"/>
      <c r="DP502" s="459"/>
      <c r="DQ502" s="459"/>
      <c r="DR502" s="459"/>
      <c r="DS502" s="459"/>
      <c r="DT502" s="459"/>
      <c r="DU502" s="459"/>
      <c r="DV502" s="468"/>
      <c r="DW502" s="468"/>
      <c r="DX502" s="459"/>
      <c r="DY502" s="459"/>
    </row>
    <row r="503" spans="1:129" s="128" customFormat="1" ht="54.95" customHeight="1" x14ac:dyDescent="0.25">
      <c r="A503" s="377"/>
      <c r="B503" s="175"/>
      <c r="C503" s="393"/>
      <c r="D503" s="168"/>
      <c r="E503" s="168"/>
      <c r="F503" s="168"/>
      <c r="G503" s="168"/>
      <c r="H503" s="168"/>
      <c r="I503" s="168"/>
      <c r="J503" s="168"/>
      <c r="K503" s="168"/>
      <c r="L503" s="168"/>
      <c r="M503" s="168"/>
      <c r="N503" s="168"/>
      <c r="O503" s="433"/>
      <c r="P503" s="122"/>
      <c r="Q503" s="156"/>
      <c r="R503" s="156"/>
      <c r="S503" s="156"/>
      <c r="T503" s="156"/>
      <c r="U503" s="156"/>
      <c r="V503" s="156"/>
      <c r="W503" s="156"/>
      <c r="X503" s="156"/>
      <c r="Y503" s="156"/>
      <c r="Z503" s="157"/>
      <c r="AA503" s="157"/>
      <c r="AB503" s="156"/>
      <c r="AC503" s="156"/>
      <c r="AD503" s="156"/>
      <c r="AE503" s="156"/>
      <c r="AF503" s="156"/>
      <c r="AG503" s="156"/>
      <c r="AH503" s="156"/>
      <c r="AI503" s="156"/>
      <c r="AJ503" s="156"/>
      <c r="AK503" s="156"/>
      <c r="AL503" s="156"/>
      <c r="AM503" s="158"/>
      <c r="AN503" s="156"/>
      <c r="AO503" s="156"/>
      <c r="AP503" s="156"/>
      <c r="AQ503" s="156"/>
      <c r="AR503" s="156"/>
      <c r="AS503" s="156"/>
      <c r="AT503" s="156"/>
      <c r="AU503" s="156"/>
      <c r="AV503" s="156"/>
      <c r="AW503" s="156"/>
      <c r="AX503" s="156"/>
      <c r="AY503" s="156"/>
      <c r="AZ503" s="156"/>
      <c r="BA503" s="153"/>
      <c r="BD503" s="153"/>
      <c r="BE503" s="147"/>
      <c r="BI503" s="153"/>
      <c r="BO503" s="153"/>
      <c r="BW503" s="153"/>
      <c r="CD503" s="146"/>
      <c r="CF503" s="147"/>
      <c r="CI503" s="146"/>
      <c r="CJ503" s="153"/>
      <c r="CV503" s="154"/>
      <c r="CX503" s="154"/>
      <c r="CZ503" s="154"/>
      <c r="DB503" s="154"/>
      <c r="DD503" s="154"/>
      <c r="DH503" s="474"/>
      <c r="DI503" s="459"/>
      <c r="DJ503" s="459"/>
      <c r="DK503" s="459"/>
      <c r="DL503" s="459"/>
      <c r="DM503" s="459"/>
      <c r="DN503" s="459"/>
      <c r="DO503" s="459"/>
      <c r="DP503" s="459"/>
      <c r="DQ503" s="459"/>
      <c r="DR503" s="459"/>
      <c r="DS503" s="459"/>
      <c r="DT503" s="459"/>
      <c r="DU503" s="459"/>
      <c r="DV503" s="468"/>
      <c r="DW503" s="468"/>
      <c r="DX503" s="459"/>
      <c r="DY503" s="459"/>
    </row>
    <row r="504" spans="1:129" s="128" customFormat="1" ht="54.95" customHeight="1" x14ac:dyDescent="0.25">
      <c r="A504" s="377"/>
      <c r="B504" s="175"/>
      <c r="C504" s="393"/>
      <c r="D504" s="168"/>
      <c r="E504" s="168"/>
      <c r="F504" s="168"/>
      <c r="G504" s="168"/>
      <c r="H504" s="168"/>
      <c r="I504" s="168"/>
      <c r="J504" s="168"/>
      <c r="K504" s="168"/>
      <c r="L504" s="168"/>
      <c r="M504" s="168"/>
      <c r="N504" s="168"/>
      <c r="O504" s="433"/>
      <c r="P504" s="122"/>
      <c r="Q504" s="156"/>
      <c r="R504" s="156"/>
      <c r="S504" s="156"/>
      <c r="T504" s="156"/>
      <c r="U504" s="156"/>
      <c r="V504" s="156"/>
      <c r="W504" s="156"/>
      <c r="X504" s="156"/>
      <c r="Y504" s="156"/>
      <c r="Z504" s="157"/>
      <c r="AA504" s="157"/>
      <c r="AB504" s="156"/>
      <c r="AC504" s="156"/>
      <c r="AD504" s="156"/>
      <c r="AE504" s="156"/>
      <c r="AF504" s="156"/>
      <c r="AG504" s="156"/>
      <c r="AH504" s="156"/>
      <c r="AI504" s="156"/>
      <c r="AJ504" s="156"/>
      <c r="AK504" s="156"/>
      <c r="AL504" s="156"/>
      <c r="AM504" s="158"/>
      <c r="AN504" s="156"/>
      <c r="AO504" s="156"/>
      <c r="AP504" s="156"/>
      <c r="AQ504" s="156"/>
      <c r="AR504" s="156"/>
      <c r="AS504" s="156"/>
      <c r="AT504" s="156"/>
      <c r="AU504" s="156"/>
      <c r="AV504" s="156"/>
      <c r="AW504" s="156"/>
      <c r="AX504" s="156"/>
      <c r="AY504" s="156"/>
      <c r="AZ504" s="156"/>
      <c r="BA504" s="153"/>
      <c r="BD504" s="153"/>
      <c r="BE504" s="147"/>
      <c r="BI504" s="153"/>
      <c r="BO504" s="153"/>
      <c r="BW504" s="153"/>
      <c r="CD504" s="146"/>
      <c r="CF504" s="147"/>
      <c r="CI504" s="146"/>
      <c r="CJ504" s="153"/>
      <c r="CV504" s="154"/>
      <c r="CX504" s="154"/>
      <c r="CZ504" s="154"/>
      <c r="DB504" s="154"/>
      <c r="DD504" s="154"/>
      <c r="DH504" s="474"/>
      <c r="DI504" s="459"/>
      <c r="DJ504" s="459"/>
      <c r="DK504" s="459"/>
      <c r="DL504" s="459"/>
      <c r="DM504" s="459"/>
      <c r="DN504" s="459"/>
      <c r="DO504" s="459"/>
      <c r="DP504" s="459"/>
      <c r="DQ504" s="459"/>
      <c r="DR504" s="459"/>
      <c r="DS504" s="459"/>
      <c r="DT504" s="459"/>
      <c r="DU504" s="459"/>
      <c r="DV504" s="468"/>
      <c r="DW504" s="468"/>
      <c r="DX504" s="459"/>
      <c r="DY504" s="459"/>
    </row>
    <row r="505" spans="1:129" s="128" customFormat="1" ht="54.95" customHeight="1" x14ac:dyDescent="0.25">
      <c r="A505" s="377"/>
      <c r="B505" s="175"/>
      <c r="C505" s="393"/>
      <c r="D505" s="168"/>
      <c r="E505" s="168"/>
      <c r="F505" s="168"/>
      <c r="G505" s="168"/>
      <c r="H505" s="168"/>
      <c r="I505" s="168"/>
      <c r="J505" s="168"/>
      <c r="K505" s="168"/>
      <c r="L505" s="168"/>
      <c r="M505" s="168"/>
      <c r="N505" s="168"/>
      <c r="O505" s="433"/>
      <c r="P505" s="122"/>
      <c r="Q505" s="156"/>
      <c r="R505" s="156"/>
      <c r="S505" s="156"/>
      <c r="T505" s="156"/>
      <c r="U505" s="156"/>
      <c r="V505" s="156"/>
      <c r="W505" s="156"/>
      <c r="X505" s="156"/>
      <c r="Y505" s="156"/>
      <c r="Z505" s="157"/>
      <c r="AA505" s="157"/>
      <c r="AB505" s="156"/>
      <c r="AC505" s="156"/>
      <c r="AD505" s="156"/>
      <c r="AE505" s="156"/>
      <c r="AF505" s="156"/>
      <c r="AG505" s="156"/>
      <c r="AH505" s="156"/>
      <c r="AI505" s="156"/>
      <c r="AJ505" s="156"/>
      <c r="AK505" s="156"/>
      <c r="AL505" s="156"/>
      <c r="AM505" s="158"/>
      <c r="AN505" s="156"/>
      <c r="AO505" s="156"/>
      <c r="AP505" s="156"/>
      <c r="AQ505" s="156"/>
      <c r="AR505" s="156"/>
      <c r="AS505" s="156"/>
      <c r="AT505" s="156"/>
      <c r="AU505" s="156"/>
      <c r="AV505" s="156"/>
      <c r="AW505" s="156"/>
      <c r="AX505" s="156"/>
      <c r="AY505" s="156"/>
      <c r="AZ505" s="156"/>
      <c r="BA505" s="153"/>
      <c r="BD505" s="153"/>
      <c r="BE505" s="147"/>
      <c r="BI505" s="153"/>
      <c r="BO505" s="153"/>
      <c r="BW505" s="153"/>
      <c r="CD505" s="146"/>
      <c r="CF505" s="147"/>
      <c r="CI505" s="146"/>
      <c r="CJ505" s="153"/>
      <c r="CV505" s="154"/>
      <c r="CX505" s="154"/>
      <c r="CZ505" s="154"/>
      <c r="DB505" s="154"/>
      <c r="DD505" s="154"/>
      <c r="DH505" s="474"/>
      <c r="DI505" s="459"/>
      <c r="DJ505" s="459"/>
      <c r="DK505" s="459"/>
      <c r="DL505" s="459"/>
      <c r="DM505" s="459"/>
      <c r="DN505" s="459"/>
      <c r="DO505" s="459"/>
      <c r="DP505" s="459"/>
      <c r="DQ505" s="459"/>
      <c r="DR505" s="459"/>
      <c r="DS505" s="459"/>
      <c r="DT505" s="459"/>
      <c r="DU505" s="459"/>
      <c r="DV505" s="468"/>
      <c r="DW505" s="468"/>
      <c r="DX505" s="459"/>
      <c r="DY505" s="459"/>
    </row>
    <row r="506" spans="1:129" s="128" customFormat="1" ht="54.95" customHeight="1" x14ac:dyDescent="0.25">
      <c r="A506" s="377"/>
      <c r="B506" s="175"/>
      <c r="C506" s="393"/>
      <c r="D506" s="168"/>
      <c r="E506" s="168"/>
      <c r="F506" s="168"/>
      <c r="G506" s="168"/>
      <c r="H506" s="168"/>
      <c r="I506" s="168"/>
      <c r="J506" s="168"/>
      <c r="K506" s="168"/>
      <c r="L506" s="168"/>
      <c r="M506" s="168"/>
      <c r="N506" s="168"/>
      <c r="O506" s="433"/>
      <c r="P506" s="122"/>
      <c r="Q506" s="156"/>
      <c r="R506" s="156"/>
      <c r="S506" s="156"/>
      <c r="T506" s="156"/>
      <c r="U506" s="156"/>
      <c r="V506" s="156"/>
      <c r="W506" s="156"/>
      <c r="X506" s="156"/>
      <c r="Y506" s="156"/>
      <c r="Z506" s="157"/>
      <c r="AA506" s="157"/>
      <c r="AB506" s="156"/>
      <c r="AC506" s="156"/>
      <c r="AD506" s="156"/>
      <c r="AE506" s="156"/>
      <c r="AF506" s="156"/>
      <c r="AG506" s="156"/>
      <c r="AH506" s="156"/>
      <c r="AI506" s="156"/>
      <c r="AJ506" s="156"/>
      <c r="AK506" s="156"/>
      <c r="AL506" s="156"/>
      <c r="AM506" s="158"/>
      <c r="AN506" s="156"/>
      <c r="AO506" s="156"/>
      <c r="AP506" s="156"/>
      <c r="AQ506" s="156"/>
      <c r="AR506" s="156"/>
      <c r="AS506" s="156"/>
      <c r="AT506" s="156"/>
      <c r="AU506" s="156"/>
      <c r="AV506" s="156"/>
      <c r="AW506" s="156"/>
      <c r="AX506" s="156"/>
      <c r="AY506" s="156"/>
      <c r="AZ506" s="156"/>
      <c r="BA506" s="153"/>
      <c r="BD506" s="153"/>
      <c r="BE506" s="147"/>
      <c r="BI506" s="153"/>
      <c r="BO506" s="153"/>
      <c r="BW506" s="153"/>
      <c r="CD506" s="146"/>
      <c r="CF506" s="147"/>
      <c r="CI506" s="146"/>
      <c r="CJ506" s="153"/>
      <c r="CV506" s="154"/>
      <c r="CX506" s="154"/>
      <c r="CZ506" s="154"/>
      <c r="DB506" s="154"/>
      <c r="DD506" s="154"/>
      <c r="DH506" s="474"/>
      <c r="DI506" s="459"/>
      <c r="DJ506" s="459"/>
      <c r="DK506" s="459"/>
      <c r="DL506" s="459"/>
      <c r="DM506" s="459"/>
      <c r="DN506" s="459"/>
      <c r="DO506" s="459"/>
      <c r="DP506" s="459"/>
      <c r="DQ506" s="459"/>
      <c r="DR506" s="459"/>
      <c r="DS506" s="459"/>
      <c r="DT506" s="459"/>
      <c r="DU506" s="459"/>
      <c r="DV506" s="468"/>
      <c r="DW506" s="468"/>
      <c r="DX506" s="459"/>
      <c r="DY506" s="459"/>
    </row>
    <row r="507" spans="1:129" s="128" customFormat="1" ht="54.95" customHeight="1" x14ac:dyDescent="0.25">
      <c r="A507" s="377"/>
      <c r="B507" s="175"/>
      <c r="C507" s="393"/>
      <c r="D507" s="168"/>
      <c r="E507" s="168"/>
      <c r="F507" s="168"/>
      <c r="G507" s="168"/>
      <c r="H507" s="168"/>
      <c r="I507" s="168"/>
      <c r="J507" s="168"/>
      <c r="K507" s="168"/>
      <c r="L507" s="168"/>
      <c r="M507" s="168"/>
      <c r="N507" s="168"/>
      <c r="O507" s="433"/>
      <c r="P507" s="122"/>
      <c r="Q507" s="156"/>
      <c r="R507" s="156"/>
      <c r="S507" s="156"/>
      <c r="T507" s="156"/>
      <c r="U507" s="156"/>
      <c r="V507" s="156"/>
      <c r="W507" s="156"/>
      <c r="X507" s="156"/>
      <c r="Y507" s="156"/>
      <c r="Z507" s="157"/>
      <c r="AA507" s="157"/>
      <c r="AB507" s="156"/>
      <c r="AC507" s="156"/>
      <c r="AD507" s="156"/>
      <c r="AE507" s="156"/>
      <c r="AF507" s="156"/>
      <c r="AG507" s="156"/>
      <c r="AH507" s="156"/>
      <c r="AI507" s="156"/>
      <c r="AJ507" s="156"/>
      <c r="AK507" s="156"/>
      <c r="AL507" s="156"/>
      <c r="AM507" s="158"/>
      <c r="AN507" s="156"/>
      <c r="AO507" s="156"/>
      <c r="AP507" s="156"/>
      <c r="AQ507" s="156"/>
      <c r="AR507" s="156"/>
      <c r="AS507" s="156"/>
      <c r="AT507" s="156"/>
      <c r="AU507" s="156"/>
      <c r="AV507" s="156"/>
      <c r="AW507" s="156"/>
      <c r="AX507" s="156"/>
      <c r="AY507" s="156"/>
      <c r="AZ507" s="156"/>
      <c r="BA507" s="153"/>
      <c r="BD507" s="153"/>
      <c r="BE507" s="147"/>
      <c r="BI507" s="153"/>
      <c r="BO507" s="153"/>
      <c r="BW507" s="153"/>
      <c r="CD507" s="146"/>
      <c r="CF507" s="147"/>
      <c r="CI507" s="146"/>
      <c r="CJ507" s="153"/>
      <c r="CV507" s="154"/>
      <c r="CX507" s="154"/>
      <c r="CZ507" s="154"/>
      <c r="DB507" s="154"/>
      <c r="DD507" s="154"/>
      <c r="DH507" s="474"/>
      <c r="DI507" s="459"/>
      <c r="DJ507" s="459"/>
      <c r="DK507" s="459"/>
      <c r="DL507" s="459"/>
      <c r="DM507" s="459"/>
      <c r="DN507" s="459"/>
      <c r="DO507" s="459"/>
      <c r="DP507" s="459"/>
      <c r="DQ507" s="459"/>
      <c r="DR507" s="459"/>
      <c r="DS507" s="459"/>
      <c r="DT507" s="459"/>
      <c r="DU507" s="459"/>
      <c r="DV507" s="468"/>
      <c r="DW507" s="468"/>
      <c r="DX507" s="459"/>
      <c r="DY507" s="459"/>
    </row>
    <row r="508" spans="1:129" s="128" customFormat="1" ht="54.95" customHeight="1" x14ac:dyDescent="0.25">
      <c r="A508" s="377"/>
      <c r="B508" s="175"/>
      <c r="C508" s="393"/>
      <c r="D508" s="168"/>
      <c r="E508" s="168"/>
      <c r="F508" s="168"/>
      <c r="G508" s="168"/>
      <c r="H508" s="168"/>
      <c r="I508" s="168"/>
      <c r="J508" s="168"/>
      <c r="K508" s="168"/>
      <c r="L508" s="168"/>
      <c r="M508" s="168"/>
      <c r="N508" s="168"/>
      <c r="O508" s="433"/>
      <c r="P508" s="122"/>
      <c r="Q508" s="156"/>
      <c r="R508" s="156"/>
      <c r="S508" s="156"/>
      <c r="T508" s="156"/>
      <c r="U508" s="156"/>
      <c r="V508" s="156"/>
      <c r="W508" s="156"/>
      <c r="X508" s="156"/>
      <c r="Y508" s="156"/>
      <c r="Z508" s="157"/>
      <c r="AA508" s="157"/>
      <c r="AB508" s="156"/>
      <c r="AC508" s="156"/>
      <c r="AD508" s="156"/>
      <c r="AE508" s="156"/>
      <c r="AF508" s="156"/>
      <c r="AG508" s="156"/>
      <c r="AH508" s="156"/>
      <c r="AI508" s="156"/>
      <c r="AJ508" s="156"/>
      <c r="AK508" s="156"/>
      <c r="AL508" s="156"/>
      <c r="AM508" s="158"/>
      <c r="AN508" s="156"/>
      <c r="AO508" s="156"/>
      <c r="AP508" s="156"/>
      <c r="AQ508" s="156"/>
      <c r="AR508" s="156"/>
      <c r="AS508" s="156"/>
      <c r="AT508" s="156"/>
      <c r="AU508" s="156"/>
      <c r="AV508" s="156"/>
      <c r="AW508" s="156"/>
      <c r="AX508" s="156"/>
      <c r="AY508" s="156"/>
      <c r="AZ508" s="156"/>
      <c r="BA508" s="153"/>
      <c r="BD508" s="153"/>
      <c r="BE508" s="147"/>
      <c r="BI508" s="153"/>
      <c r="BO508" s="153"/>
      <c r="BW508" s="153"/>
      <c r="CD508" s="146"/>
      <c r="CF508" s="147"/>
      <c r="CI508" s="146"/>
      <c r="CJ508" s="153"/>
      <c r="CV508" s="154"/>
      <c r="CX508" s="154"/>
      <c r="CZ508" s="154"/>
      <c r="DB508" s="154"/>
      <c r="DD508" s="154"/>
      <c r="DH508" s="474"/>
      <c r="DI508" s="459"/>
      <c r="DJ508" s="459"/>
      <c r="DK508" s="459"/>
      <c r="DL508" s="459"/>
      <c r="DM508" s="459"/>
      <c r="DN508" s="459"/>
      <c r="DO508" s="459"/>
      <c r="DP508" s="459"/>
      <c r="DQ508" s="459"/>
      <c r="DR508" s="459"/>
      <c r="DS508" s="459"/>
      <c r="DT508" s="459"/>
      <c r="DU508" s="459"/>
      <c r="DV508" s="468"/>
      <c r="DW508" s="468"/>
      <c r="DX508" s="459"/>
      <c r="DY508" s="459"/>
    </row>
    <row r="509" spans="1:129" s="128" customFormat="1" ht="54.95" customHeight="1" x14ac:dyDescent="0.25">
      <c r="A509" s="377"/>
      <c r="B509" s="175"/>
      <c r="C509" s="393"/>
      <c r="D509" s="168"/>
      <c r="E509" s="168"/>
      <c r="F509" s="168"/>
      <c r="G509" s="168"/>
      <c r="H509" s="168"/>
      <c r="I509" s="168"/>
      <c r="J509" s="168"/>
      <c r="K509" s="168"/>
      <c r="L509" s="168"/>
      <c r="M509" s="168"/>
      <c r="N509" s="168"/>
      <c r="O509" s="433"/>
      <c r="P509" s="122"/>
      <c r="Q509" s="156"/>
      <c r="R509" s="156"/>
      <c r="S509" s="156"/>
      <c r="T509" s="156"/>
      <c r="U509" s="156"/>
      <c r="V509" s="156"/>
      <c r="W509" s="156"/>
      <c r="X509" s="156"/>
      <c r="Y509" s="156"/>
      <c r="Z509" s="157"/>
      <c r="AA509" s="157"/>
      <c r="AB509" s="156"/>
      <c r="AC509" s="156"/>
      <c r="AD509" s="156"/>
      <c r="AE509" s="156"/>
      <c r="AF509" s="156"/>
      <c r="AG509" s="156"/>
      <c r="AH509" s="156"/>
      <c r="AI509" s="156"/>
      <c r="AJ509" s="156"/>
      <c r="AK509" s="156"/>
      <c r="AL509" s="156"/>
      <c r="AM509" s="158"/>
      <c r="AN509" s="156"/>
      <c r="AO509" s="156"/>
      <c r="AP509" s="156"/>
      <c r="AQ509" s="156"/>
      <c r="AR509" s="156"/>
      <c r="AS509" s="156"/>
      <c r="AT509" s="156"/>
      <c r="AU509" s="156"/>
      <c r="AV509" s="156"/>
      <c r="AW509" s="156"/>
      <c r="AX509" s="156"/>
      <c r="AY509" s="156"/>
      <c r="AZ509" s="156"/>
      <c r="BA509" s="153"/>
      <c r="BD509" s="153"/>
      <c r="BE509" s="147"/>
      <c r="BI509" s="153"/>
      <c r="BO509" s="153"/>
      <c r="BW509" s="153"/>
      <c r="CD509" s="146"/>
      <c r="CF509" s="147"/>
      <c r="CI509" s="146"/>
      <c r="CJ509" s="153"/>
      <c r="CV509" s="154"/>
      <c r="CX509" s="154"/>
      <c r="CZ509" s="154"/>
      <c r="DB509" s="154"/>
      <c r="DD509" s="154"/>
      <c r="DH509" s="474"/>
      <c r="DI509" s="459"/>
      <c r="DJ509" s="459"/>
      <c r="DK509" s="459"/>
      <c r="DL509" s="459"/>
      <c r="DM509" s="459"/>
      <c r="DN509" s="459"/>
      <c r="DO509" s="459"/>
      <c r="DP509" s="459"/>
      <c r="DQ509" s="459"/>
      <c r="DR509" s="459"/>
      <c r="DS509" s="459"/>
      <c r="DT509" s="459"/>
      <c r="DU509" s="459"/>
      <c r="DV509" s="468"/>
      <c r="DW509" s="468"/>
      <c r="DX509" s="459"/>
      <c r="DY509" s="459"/>
    </row>
    <row r="510" spans="1:129" s="128" customFormat="1" ht="54.95" customHeight="1" x14ac:dyDescent="0.25">
      <c r="A510" s="377"/>
      <c r="B510" s="175"/>
      <c r="C510" s="393"/>
      <c r="D510" s="168"/>
      <c r="E510" s="168"/>
      <c r="F510" s="168"/>
      <c r="G510" s="168"/>
      <c r="H510" s="168"/>
      <c r="I510" s="168"/>
      <c r="J510" s="168"/>
      <c r="K510" s="168"/>
      <c r="L510" s="168"/>
      <c r="M510" s="168"/>
      <c r="N510" s="168"/>
      <c r="O510" s="433"/>
      <c r="P510" s="122"/>
      <c r="Q510" s="156"/>
      <c r="R510" s="156"/>
      <c r="S510" s="156"/>
      <c r="T510" s="156"/>
      <c r="U510" s="156"/>
      <c r="V510" s="156"/>
      <c r="W510" s="156"/>
      <c r="X510" s="156"/>
      <c r="Y510" s="156"/>
      <c r="Z510" s="157"/>
      <c r="AA510" s="157"/>
      <c r="AB510" s="156"/>
      <c r="AC510" s="156"/>
      <c r="AD510" s="156"/>
      <c r="AE510" s="156"/>
      <c r="AF510" s="156"/>
      <c r="AG510" s="156"/>
      <c r="AH510" s="156"/>
      <c r="AI510" s="156"/>
      <c r="AJ510" s="156"/>
      <c r="AK510" s="156"/>
      <c r="AL510" s="156"/>
      <c r="AM510" s="158"/>
      <c r="AN510" s="156"/>
      <c r="AO510" s="156"/>
      <c r="AP510" s="156"/>
      <c r="AQ510" s="156"/>
      <c r="AR510" s="156"/>
      <c r="AS510" s="156"/>
      <c r="AT510" s="156"/>
      <c r="AU510" s="156"/>
      <c r="AV510" s="156"/>
      <c r="AW510" s="156"/>
      <c r="AX510" s="156"/>
      <c r="AY510" s="156"/>
      <c r="AZ510" s="156"/>
      <c r="BA510" s="153"/>
      <c r="BD510" s="153"/>
      <c r="BE510" s="147"/>
      <c r="BI510" s="153"/>
      <c r="BO510" s="153"/>
      <c r="BW510" s="153"/>
      <c r="CD510" s="146"/>
      <c r="CF510" s="147"/>
      <c r="CI510" s="146"/>
      <c r="CJ510" s="153"/>
      <c r="CV510" s="154"/>
      <c r="CX510" s="154"/>
      <c r="CZ510" s="154"/>
      <c r="DB510" s="154"/>
      <c r="DD510" s="154"/>
      <c r="DH510" s="474"/>
      <c r="DI510" s="459"/>
      <c r="DJ510" s="459"/>
      <c r="DK510" s="459"/>
      <c r="DL510" s="459"/>
      <c r="DM510" s="459"/>
      <c r="DN510" s="459"/>
      <c r="DO510" s="459"/>
      <c r="DP510" s="459"/>
      <c r="DQ510" s="459"/>
      <c r="DR510" s="459"/>
      <c r="DS510" s="459"/>
      <c r="DT510" s="459"/>
      <c r="DU510" s="459"/>
      <c r="DV510" s="468"/>
      <c r="DW510" s="468"/>
      <c r="DX510" s="459"/>
      <c r="DY510" s="459"/>
    </row>
    <row r="511" spans="1:129" s="128" customFormat="1" ht="54.95" customHeight="1" x14ac:dyDescent="0.25">
      <c r="A511" s="377"/>
      <c r="B511" s="175"/>
      <c r="C511" s="393"/>
      <c r="D511" s="168"/>
      <c r="E511" s="168"/>
      <c r="F511" s="168"/>
      <c r="G511" s="168"/>
      <c r="H511" s="168"/>
      <c r="I511" s="168"/>
      <c r="J511" s="168"/>
      <c r="K511" s="168"/>
      <c r="L511" s="168"/>
      <c r="M511" s="168"/>
      <c r="N511" s="168"/>
      <c r="O511" s="433"/>
      <c r="P511" s="122"/>
      <c r="Q511" s="156"/>
      <c r="R511" s="156"/>
      <c r="S511" s="156"/>
      <c r="T511" s="156"/>
      <c r="U511" s="156"/>
      <c r="V511" s="156"/>
      <c r="W511" s="156"/>
      <c r="X511" s="156"/>
      <c r="Y511" s="156"/>
      <c r="Z511" s="157"/>
      <c r="AA511" s="157"/>
      <c r="AB511" s="156"/>
      <c r="AC511" s="156"/>
      <c r="AD511" s="156"/>
      <c r="AE511" s="156"/>
      <c r="AF511" s="156"/>
      <c r="AG511" s="156"/>
      <c r="AH511" s="156"/>
      <c r="AI511" s="156"/>
      <c r="AJ511" s="156"/>
      <c r="AK511" s="156"/>
      <c r="AL511" s="156"/>
      <c r="AM511" s="158"/>
      <c r="AN511" s="156"/>
      <c r="AO511" s="156"/>
      <c r="AP511" s="156"/>
      <c r="AQ511" s="156"/>
      <c r="AR511" s="156"/>
      <c r="AS511" s="156"/>
      <c r="AT511" s="156"/>
      <c r="AU511" s="156"/>
      <c r="AV511" s="156"/>
      <c r="AW511" s="156"/>
      <c r="AX511" s="156"/>
      <c r="AY511" s="156"/>
      <c r="AZ511" s="156"/>
      <c r="BA511" s="153"/>
      <c r="BD511" s="153"/>
      <c r="BE511" s="147"/>
      <c r="BI511" s="153"/>
      <c r="BO511" s="153"/>
      <c r="BW511" s="153"/>
      <c r="CD511" s="146"/>
      <c r="CF511" s="147"/>
      <c r="CI511" s="146"/>
      <c r="CJ511" s="153"/>
      <c r="CV511" s="154"/>
      <c r="CX511" s="154"/>
      <c r="CZ511" s="154"/>
      <c r="DB511" s="154"/>
      <c r="DD511" s="154"/>
      <c r="DH511" s="474"/>
      <c r="DI511" s="459"/>
      <c r="DJ511" s="459"/>
      <c r="DK511" s="459"/>
      <c r="DL511" s="459"/>
      <c r="DM511" s="459"/>
      <c r="DN511" s="459"/>
      <c r="DO511" s="459"/>
      <c r="DP511" s="459"/>
      <c r="DQ511" s="459"/>
      <c r="DR511" s="459"/>
      <c r="DS511" s="459"/>
      <c r="DT511" s="459"/>
      <c r="DU511" s="459"/>
      <c r="DV511" s="468"/>
      <c r="DW511" s="468"/>
      <c r="DX511" s="459"/>
      <c r="DY511" s="459"/>
    </row>
    <row r="512" spans="1:129" s="128" customFormat="1" ht="54.95" customHeight="1" x14ac:dyDescent="0.25">
      <c r="A512" s="377"/>
      <c r="B512" s="175"/>
      <c r="C512" s="393"/>
      <c r="D512" s="168"/>
      <c r="E512" s="168"/>
      <c r="F512" s="168"/>
      <c r="G512" s="168"/>
      <c r="H512" s="168"/>
      <c r="I512" s="168"/>
      <c r="J512" s="168"/>
      <c r="K512" s="168"/>
      <c r="L512" s="168"/>
      <c r="M512" s="168"/>
      <c r="N512" s="168"/>
      <c r="O512" s="433"/>
      <c r="P512" s="122"/>
      <c r="Q512" s="156"/>
      <c r="R512" s="156"/>
      <c r="S512" s="156"/>
      <c r="T512" s="156"/>
      <c r="U512" s="156"/>
      <c r="V512" s="156"/>
      <c r="W512" s="156"/>
      <c r="X512" s="156"/>
      <c r="Y512" s="156"/>
      <c r="Z512" s="157"/>
      <c r="AA512" s="157"/>
      <c r="AB512" s="156"/>
      <c r="AC512" s="156"/>
      <c r="AD512" s="156"/>
      <c r="AE512" s="156"/>
      <c r="AF512" s="156"/>
      <c r="AG512" s="156"/>
      <c r="AH512" s="156"/>
      <c r="AI512" s="156"/>
      <c r="AJ512" s="156"/>
      <c r="AK512" s="156"/>
      <c r="AL512" s="156"/>
      <c r="AM512" s="158"/>
      <c r="AN512" s="156"/>
      <c r="AO512" s="156"/>
      <c r="AP512" s="156"/>
      <c r="AQ512" s="156"/>
      <c r="AR512" s="156"/>
      <c r="AS512" s="156"/>
      <c r="AT512" s="156"/>
      <c r="AU512" s="156"/>
      <c r="AV512" s="156"/>
      <c r="AW512" s="156"/>
      <c r="AX512" s="156"/>
      <c r="AY512" s="156"/>
      <c r="AZ512" s="156"/>
      <c r="BA512" s="153"/>
      <c r="BD512" s="153"/>
      <c r="BE512" s="147"/>
      <c r="BI512" s="153"/>
      <c r="BO512" s="153"/>
      <c r="BW512" s="153"/>
      <c r="CD512" s="146"/>
      <c r="CF512" s="147"/>
      <c r="CI512" s="146"/>
      <c r="CJ512" s="153"/>
      <c r="CV512" s="154"/>
      <c r="CX512" s="154"/>
      <c r="CZ512" s="154"/>
      <c r="DB512" s="154"/>
      <c r="DD512" s="154"/>
      <c r="DH512" s="474"/>
      <c r="DI512" s="459"/>
      <c r="DJ512" s="459"/>
      <c r="DK512" s="459"/>
      <c r="DL512" s="459"/>
      <c r="DM512" s="459"/>
      <c r="DN512" s="459"/>
      <c r="DO512" s="459"/>
      <c r="DP512" s="459"/>
      <c r="DQ512" s="459"/>
      <c r="DR512" s="459"/>
      <c r="DS512" s="459"/>
      <c r="DT512" s="459"/>
      <c r="DU512" s="459"/>
      <c r="DV512" s="468"/>
      <c r="DW512" s="468"/>
      <c r="DX512" s="459"/>
      <c r="DY512" s="459"/>
    </row>
    <row r="513" spans="1:129" s="128" customFormat="1" ht="54.95" customHeight="1" x14ac:dyDescent="0.25">
      <c r="A513" s="377"/>
      <c r="B513" s="175"/>
      <c r="C513" s="393"/>
      <c r="D513" s="168"/>
      <c r="E513" s="168"/>
      <c r="F513" s="168"/>
      <c r="G513" s="168"/>
      <c r="H513" s="168"/>
      <c r="I513" s="168"/>
      <c r="J513" s="168"/>
      <c r="K513" s="168"/>
      <c r="L513" s="168"/>
      <c r="M513" s="168"/>
      <c r="N513" s="168"/>
      <c r="O513" s="433"/>
      <c r="P513" s="122"/>
      <c r="Q513" s="156"/>
      <c r="R513" s="156"/>
      <c r="S513" s="156"/>
      <c r="T513" s="156"/>
      <c r="U513" s="156"/>
      <c r="V513" s="156"/>
      <c r="W513" s="156"/>
      <c r="X513" s="156"/>
      <c r="Y513" s="156"/>
      <c r="Z513" s="157"/>
      <c r="AA513" s="157"/>
      <c r="AB513" s="156"/>
      <c r="AC513" s="156"/>
      <c r="AD513" s="156"/>
      <c r="AE513" s="156"/>
      <c r="AF513" s="156"/>
      <c r="AG513" s="156"/>
      <c r="AH513" s="156"/>
      <c r="AI513" s="156"/>
      <c r="AJ513" s="156"/>
      <c r="AK513" s="156"/>
      <c r="AL513" s="156"/>
      <c r="AM513" s="158"/>
      <c r="AN513" s="156"/>
      <c r="AO513" s="156"/>
      <c r="AP513" s="156"/>
      <c r="AQ513" s="156"/>
      <c r="AR513" s="156"/>
      <c r="AS513" s="156"/>
      <c r="AT513" s="156"/>
      <c r="AU513" s="156"/>
      <c r="AV513" s="156"/>
      <c r="AW513" s="156"/>
      <c r="AX513" s="156"/>
      <c r="AY513" s="156"/>
      <c r="AZ513" s="156"/>
      <c r="BA513" s="153"/>
      <c r="BD513" s="153"/>
      <c r="BE513" s="147"/>
      <c r="BI513" s="153"/>
      <c r="BO513" s="153"/>
      <c r="BW513" s="153"/>
      <c r="CD513" s="146"/>
      <c r="CF513" s="147"/>
      <c r="CI513" s="146"/>
      <c r="CJ513" s="153"/>
      <c r="CV513" s="154"/>
      <c r="CX513" s="154"/>
      <c r="CZ513" s="154"/>
      <c r="DB513" s="154"/>
      <c r="DD513" s="154"/>
      <c r="DH513" s="474"/>
      <c r="DI513" s="459"/>
      <c r="DJ513" s="459"/>
      <c r="DK513" s="459"/>
      <c r="DL513" s="459"/>
      <c r="DM513" s="459"/>
      <c r="DN513" s="459"/>
      <c r="DO513" s="459"/>
      <c r="DP513" s="459"/>
      <c r="DQ513" s="459"/>
      <c r="DR513" s="459"/>
      <c r="DS513" s="459"/>
      <c r="DT513" s="459"/>
      <c r="DU513" s="459"/>
      <c r="DV513" s="468"/>
      <c r="DW513" s="468"/>
      <c r="DX513" s="459"/>
      <c r="DY513" s="459"/>
    </row>
    <row r="514" spans="1:129" s="128" customFormat="1" ht="54.95" customHeight="1" x14ac:dyDescent="0.25">
      <c r="A514" s="377"/>
      <c r="B514" s="175"/>
      <c r="C514" s="393"/>
      <c r="D514" s="168"/>
      <c r="E514" s="168"/>
      <c r="F514" s="168"/>
      <c r="G514" s="168"/>
      <c r="H514" s="168"/>
      <c r="I514" s="168"/>
      <c r="J514" s="168"/>
      <c r="K514" s="168"/>
      <c r="L514" s="168"/>
      <c r="M514" s="168"/>
      <c r="N514" s="168"/>
      <c r="O514" s="433"/>
      <c r="P514" s="122"/>
      <c r="Q514" s="156"/>
      <c r="R514" s="156"/>
      <c r="S514" s="156"/>
      <c r="T514" s="156"/>
      <c r="U514" s="156"/>
      <c r="V514" s="156"/>
      <c r="W514" s="156"/>
      <c r="X514" s="156"/>
      <c r="Y514" s="156"/>
      <c r="Z514" s="157"/>
      <c r="AA514" s="157"/>
      <c r="AB514" s="156"/>
      <c r="AC514" s="156"/>
      <c r="AD514" s="156"/>
      <c r="AE514" s="156"/>
      <c r="AF514" s="156"/>
      <c r="AG514" s="156"/>
      <c r="AH514" s="156"/>
      <c r="AI514" s="156"/>
      <c r="AJ514" s="156"/>
      <c r="AK514" s="156"/>
      <c r="AL514" s="156"/>
      <c r="AM514" s="158"/>
      <c r="AN514" s="156"/>
      <c r="AO514" s="156"/>
      <c r="AP514" s="156"/>
      <c r="AQ514" s="156"/>
      <c r="AR514" s="156"/>
      <c r="AS514" s="156"/>
      <c r="AT514" s="156"/>
      <c r="AU514" s="156"/>
      <c r="AV514" s="156"/>
      <c r="AW514" s="156"/>
      <c r="AX514" s="156"/>
      <c r="AY514" s="156"/>
      <c r="AZ514" s="156"/>
      <c r="BA514" s="153"/>
      <c r="BD514" s="153"/>
      <c r="BE514" s="147"/>
      <c r="BI514" s="153"/>
      <c r="BO514" s="153"/>
      <c r="BW514" s="153"/>
      <c r="CD514" s="146"/>
      <c r="CF514" s="147"/>
      <c r="CI514" s="146"/>
      <c r="CJ514" s="153"/>
      <c r="CV514" s="154"/>
      <c r="CX514" s="154"/>
      <c r="CZ514" s="154"/>
      <c r="DB514" s="154"/>
      <c r="DD514" s="154"/>
      <c r="DH514" s="474"/>
      <c r="DI514" s="459"/>
      <c r="DJ514" s="459"/>
      <c r="DK514" s="459"/>
      <c r="DL514" s="459"/>
      <c r="DM514" s="459"/>
      <c r="DN514" s="459"/>
      <c r="DO514" s="459"/>
      <c r="DP514" s="459"/>
      <c r="DQ514" s="459"/>
      <c r="DR514" s="459"/>
      <c r="DS514" s="459"/>
      <c r="DT514" s="459"/>
      <c r="DU514" s="459"/>
      <c r="DV514" s="468"/>
      <c r="DW514" s="468"/>
      <c r="DX514" s="459"/>
      <c r="DY514" s="459"/>
    </row>
    <row r="515" spans="1:129" s="128" customFormat="1" ht="54.95" customHeight="1" x14ac:dyDescent="0.25">
      <c r="A515" s="377"/>
      <c r="B515" s="175"/>
      <c r="C515" s="393"/>
      <c r="D515" s="168"/>
      <c r="E515" s="168"/>
      <c r="F515" s="168"/>
      <c r="G515" s="168"/>
      <c r="H515" s="168"/>
      <c r="I515" s="168"/>
      <c r="J515" s="168"/>
      <c r="K515" s="168"/>
      <c r="L515" s="168"/>
      <c r="M515" s="168"/>
      <c r="N515" s="168"/>
      <c r="O515" s="433"/>
      <c r="P515" s="122"/>
      <c r="Q515" s="156"/>
      <c r="R515" s="156"/>
      <c r="S515" s="156"/>
      <c r="T515" s="156"/>
      <c r="U515" s="156"/>
      <c r="V515" s="156"/>
      <c r="W515" s="156"/>
      <c r="X515" s="156"/>
      <c r="Y515" s="156"/>
      <c r="Z515" s="157"/>
      <c r="AA515" s="157"/>
      <c r="AB515" s="156"/>
      <c r="AC515" s="156"/>
      <c r="AD515" s="156"/>
      <c r="AE515" s="156"/>
      <c r="AF515" s="156"/>
      <c r="AG515" s="156"/>
      <c r="AH515" s="156"/>
      <c r="AI515" s="156"/>
      <c r="AJ515" s="156"/>
      <c r="AK515" s="156"/>
      <c r="AL515" s="156"/>
      <c r="AM515" s="158"/>
      <c r="AN515" s="156"/>
      <c r="AO515" s="156"/>
      <c r="AP515" s="156"/>
      <c r="AQ515" s="156"/>
      <c r="AR515" s="156"/>
      <c r="AS515" s="156"/>
      <c r="AT515" s="156"/>
      <c r="AU515" s="156"/>
      <c r="AV515" s="156"/>
      <c r="AW515" s="156"/>
      <c r="AX515" s="156"/>
      <c r="AY515" s="156"/>
      <c r="AZ515" s="156"/>
      <c r="BA515" s="153"/>
      <c r="BD515" s="153"/>
      <c r="BE515" s="147"/>
      <c r="BI515" s="153"/>
      <c r="BO515" s="153"/>
      <c r="BW515" s="153"/>
      <c r="CD515" s="146"/>
      <c r="CF515" s="147"/>
      <c r="CI515" s="146"/>
      <c r="CJ515" s="153"/>
      <c r="CV515" s="154"/>
      <c r="CX515" s="154"/>
      <c r="CZ515" s="154"/>
      <c r="DB515" s="154"/>
      <c r="DD515" s="154"/>
      <c r="DH515" s="474"/>
      <c r="DI515" s="459"/>
      <c r="DJ515" s="459"/>
      <c r="DK515" s="459"/>
      <c r="DL515" s="459"/>
      <c r="DM515" s="459"/>
      <c r="DN515" s="459"/>
      <c r="DO515" s="459"/>
      <c r="DP515" s="459"/>
      <c r="DQ515" s="459"/>
      <c r="DR515" s="459"/>
      <c r="DS515" s="459"/>
      <c r="DT515" s="459"/>
      <c r="DU515" s="459"/>
      <c r="DV515" s="468"/>
      <c r="DW515" s="468"/>
      <c r="DX515" s="459"/>
      <c r="DY515" s="459"/>
    </row>
    <row r="516" spans="1:129" s="128" customFormat="1" ht="54.95" customHeight="1" x14ac:dyDescent="0.25">
      <c r="A516" s="377"/>
      <c r="B516" s="175"/>
      <c r="C516" s="393"/>
      <c r="D516" s="168"/>
      <c r="E516" s="168"/>
      <c r="F516" s="168"/>
      <c r="G516" s="168"/>
      <c r="H516" s="168"/>
      <c r="I516" s="168"/>
      <c r="J516" s="168"/>
      <c r="K516" s="168"/>
      <c r="L516" s="168"/>
      <c r="M516" s="168"/>
      <c r="N516" s="168"/>
      <c r="O516" s="433"/>
      <c r="P516" s="122"/>
      <c r="Q516" s="156"/>
      <c r="R516" s="156"/>
      <c r="S516" s="156"/>
      <c r="T516" s="156"/>
      <c r="U516" s="156"/>
      <c r="V516" s="156"/>
      <c r="W516" s="156"/>
      <c r="X516" s="156"/>
      <c r="Y516" s="156"/>
      <c r="Z516" s="157"/>
      <c r="AA516" s="157"/>
      <c r="AB516" s="156"/>
      <c r="AC516" s="156"/>
      <c r="AD516" s="156"/>
      <c r="AE516" s="156"/>
      <c r="AF516" s="156"/>
      <c r="AG516" s="156"/>
      <c r="AH516" s="156"/>
      <c r="AI516" s="156"/>
      <c r="AJ516" s="156"/>
      <c r="AK516" s="156"/>
      <c r="AL516" s="156"/>
      <c r="AM516" s="158"/>
      <c r="AN516" s="156"/>
      <c r="AO516" s="156"/>
      <c r="AP516" s="156"/>
      <c r="AQ516" s="156"/>
      <c r="AR516" s="156"/>
      <c r="AS516" s="156"/>
      <c r="AT516" s="156"/>
      <c r="AU516" s="156"/>
      <c r="AV516" s="156"/>
      <c r="AW516" s="156"/>
      <c r="AX516" s="156"/>
      <c r="AY516" s="156"/>
      <c r="AZ516" s="156"/>
      <c r="BA516" s="153"/>
      <c r="BD516" s="153"/>
      <c r="BE516" s="147"/>
      <c r="BI516" s="153"/>
      <c r="BO516" s="153"/>
      <c r="BW516" s="153"/>
      <c r="CD516" s="146"/>
      <c r="CF516" s="147"/>
      <c r="CI516" s="146"/>
      <c r="CJ516" s="153"/>
      <c r="CV516" s="154"/>
      <c r="CX516" s="154"/>
      <c r="CZ516" s="154"/>
      <c r="DB516" s="154"/>
      <c r="DD516" s="154"/>
      <c r="DH516" s="474"/>
      <c r="DI516" s="459"/>
      <c r="DJ516" s="459"/>
      <c r="DK516" s="459"/>
      <c r="DL516" s="459"/>
      <c r="DM516" s="459"/>
      <c r="DN516" s="459"/>
      <c r="DO516" s="459"/>
      <c r="DP516" s="459"/>
      <c r="DQ516" s="459"/>
      <c r="DR516" s="459"/>
      <c r="DS516" s="459"/>
      <c r="DT516" s="459"/>
      <c r="DU516" s="459"/>
      <c r="DV516" s="468"/>
      <c r="DW516" s="468"/>
      <c r="DX516" s="459"/>
      <c r="DY516" s="459"/>
    </row>
    <row r="517" spans="1:129" s="128" customFormat="1" ht="54.95" customHeight="1" x14ac:dyDescent="0.25">
      <c r="A517" s="377"/>
      <c r="B517" s="175"/>
      <c r="C517" s="393"/>
      <c r="D517" s="168"/>
      <c r="E517" s="168"/>
      <c r="F517" s="168"/>
      <c r="G517" s="168"/>
      <c r="H517" s="168"/>
      <c r="I517" s="168"/>
      <c r="J517" s="168"/>
      <c r="K517" s="168"/>
      <c r="L517" s="168"/>
      <c r="M517" s="168"/>
      <c r="N517" s="168"/>
      <c r="O517" s="433"/>
      <c r="P517" s="122"/>
      <c r="Q517" s="156"/>
      <c r="R517" s="156"/>
      <c r="S517" s="156"/>
      <c r="T517" s="156"/>
      <c r="U517" s="156"/>
      <c r="V517" s="156"/>
      <c r="W517" s="156"/>
      <c r="X517" s="156"/>
      <c r="Y517" s="156"/>
      <c r="Z517" s="157"/>
      <c r="AA517" s="157"/>
      <c r="AB517" s="156"/>
      <c r="AC517" s="156"/>
      <c r="AD517" s="156"/>
      <c r="AE517" s="156"/>
      <c r="AF517" s="156"/>
      <c r="AG517" s="156"/>
      <c r="AH517" s="156"/>
      <c r="AI517" s="156"/>
      <c r="AJ517" s="156"/>
      <c r="AK517" s="156"/>
      <c r="AL517" s="156"/>
      <c r="AM517" s="158"/>
      <c r="AN517" s="156"/>
      <c r="AO517" s="156"/>
      <c r="AP517" s="156"/>
      <c r="AQ517" s="156"/>
      <c r="AR517" s="156"/>
      <c r="AS517" s="156"/>
      <c r="AT517" s="156"/>
      <c r="AU517" s="156"/>
      <c r="AV517" s="156"/>
      <c r="AW517" s="156"/>
      <c r="AX517" s="156"/>
      <c r="AY517" s="156"/>
      <c r="AZ517" s="156"/>
      <c r="BA517" s="153"/>
      <c r="BD517" s="153"/>
      <c r="BE517" s="147"/>
      <c r="BI517" s="153"/>
      <c r="BO517" s="153"/>
      <c r="BW517" s="153"/>
      <c r="CD517" s="146"/>
      <c r="CF517" s="147"/>
      <c r="CI517" s="146"/>
      <c r="CJ517" s="153"/>
      <c r="CV517" s="154"/>
      <c r="CX517" s="154"/>
      <c r="CZ517" s="154"/>
      <c r="DB517" s="154"/>
      <c r="DD517" s="154"/>
      <c r="DH517" s="474"/>
      <c r="DI517" s="459"/>
      <c r="DJ517" s="459"/>
      <c r="DK517" s="459"/>
      <c r="DL517" s="459"/>
      <c r="DM517" s="459"/>
      <c r="DN517" s="459"/>
      <c r="DO517" s="459"/>
      <c r="DP517" s="459"/>
      <c r="DQ517" s="459"/>
      <c r="DR517" s="459"/>
      <c r="DS517" s="459"/>
      <c r="DT517" s="459"/>
      <c r="DU517" s="459"/>
      <c r="DV517" s="468"/>
      <c r="DW517" s="468"/>
      <c r="DX517" s="459"/>
      <c r="DY517" s="459"/>
    </row>
    <row r="518" spans="1:129" s="128" customFormat="1" ht="54.95" customHeight="1" x14ac:dyDescent="0.25">
      <c r="A518" s="377"/>
      <c r="B518" s="175"/>
      <c r="C518" s="393"/>
      <c r="D518" s="168"/>
      <c r="E518" s="168"/>
      <c r="F518" s="168"/>
      <c r="G518" s="168"/>
      <c r="H518" s="168"/>
      <c r="I518" s="168"/>
      <c r="J518" s="168"/>
      <c r="K518" s="168"/>
      <c r="L518" s="168"/>
      <c r="M518" s="168"/>
      <c r="N518" s="168"/>
      <c r="O518" s="433"/>
      <c r="P518" s="122"/>
      <c r="Q518" s="156"/>
      <c r="R518" s="156"/>
      <c r="S518" s="156"/>
      <c r="T518" s="156"/>
      <c r="U518" s="156"/>
      <c r="V518" s="156"/>
      <c r="W518" s="156"/>
      <c r="X518" s="156"/>
      <c r="Y518" s="156"/>
      <c r="Z518" s="157"/>
      <c r="AA518" s="157"/>
      <c r="AB518" s="156"/>
      <c r="AC518" s="156"/>
      <c r="AD518" s="156"/>
      <c r="AE518" s="156"/>
      <c r="AF518" s="156"/>
      <c r="AG518" s="156"/>
      <c r="AH518" s="156"/>
      <c r="AI518" s="156"/>
      <c r="AJ518" s="156"/>
      <c r="AK518" s="156"/>
      <c r="AL518" s="156"/>
      <c r="AM518" s="158"/>
      <c r="AN518" s="156"/>
      <c r="AO518" s="156"/>
      <c r="AP518" s="156"/>
      <c r="AQ518" s="156"/>
      <c r="AR518" s="156"/>
      <c r="AS518" s="156"/>
      <c r="AT518" s="156"/>
      <c r="AU518" s="156"/>
      <c r="AV518" s="156"/>
      <c r="AW518" s="156"/>
      <c r="AX518" s="156"/>
      <c r="AY518" s="156"/>
      <c r="AZ518" s="156"/>
      <c r="BA518" s="153"/>
      <c r="BD518" s="153"/>
      <c r="BE518" s="147"/>
      <c r="BI518" s="153"/>
      <c r="BO518" s="153"/>
      <c r="BW518" s="153"/>
      <c r="CD518" s="146"/>
      <c r="CF518" s="147"/>
      <c r="CI518" s="146"/>
      <c r="CJ518" s="153"/>
      <c r="CV518" s="154"/>
      <c r="CX518" s="154"/>
      <c r="CZ518" s="154"/>
      <c r="DB518" s="154"/>
      <c r="DD518" s="154"/>
      <c r="DH518" s="474"/>
      <c r="DI518" s="459"/>
      <c r="DJ518" s="459"/>
      <c r="DK518" s="459"/>
      <c r="DL518" s="459"/>
      <c r="DM518" s="459"/>
      <c r="DN518" s="459"/>
      <c r="DO518" s="459"/>
      <c r="DP518" s="459"/>
      <c r="DQ518" s="459"/>
      <c r="DR518" s="459"/>
      <c r="DS518" s="459"/>
      <c r="DT518" s="459"/>
      <c r="DU518" s="459"/>
      <c r="DV518" s="468"/>
      <c r="DW518" s="468"/>
      <c r="DX518" s="459"/>
      <c r="DY518" s="459"/>
    </row>
    <row r="519" spans="1:129" s="128" customFormat="1" ht="54.95" customHeight="1" x14ac:dyDescent="0.25">
      <c r="A519" s="377"/>
      <c r="B519" s="175"/>
      <c r="C519" s="393"/>
      <c r="D519" s="168"/>
      <c r="E519" s="168"/>
      <c r="F519" s="168"/>
      <c r="G519" s="168"/>
      <c r="H519" s="168"/>
      <c r="I519" s="168"/>
      <c r="J519" s="168"/>
      <c r="K519" s="168"/>
      <c r="L519" s="168"/>
      <c r="M519" s="168"/>
      <c r="N519" s="168"/>
      <c r="O519" s="433"/>
      <c r="P519" s="122"/>
      <c r="Q519" s="156"/>
      <c r="R519" s="156"/>
      <c r="S519" s="156"/>
      <c r="T519" s="156"/>
      <c r="U519" s="156"/>
      <c r="V519" s="156"/>
      <c r="W519" s="156"/>
      <c r="X519" s="156"/>
      <c r="Y519" s="156"/>
      <c r="Z519" s="157"/>
      <c r="AA519" s="157"/>
      <c r="AB519" s="156"/>
      <c r="AC519" s="156"/>
      <c r="AD519" s="156"/>
      <c r="AE519" s="156"/>
      <c r="AF519" s="156"/>
      <c r="AG519" s="156"/>
      <c r="AH519" s="156"/>
      <c r="AI519" s="156"/>
      <c r="AJ519" s="156"/>
      <c r="AK519" s="156"/>
      <c r="AL519" s="156"/>
      <c r="AM519" s="158"/>
      <c r="AN519" s="156"/>
      <c r="AO519" s="156"/>
      <c r="AP519" s="156"/>
      <c r="AQ519" s="156"/>
      <c r="AR519" s="156"/>
      <c r="AS519" s="156"/>
      <c r="AT519" s="156"/>
      <c r="AU519" s="156"/>
      <c r="AV519" s="156"/>
      <c r="AW519" s="156"/>
      <c r="AX519" s="156"/>
      <c r="AY519" s="156"/>
      <c r="AZ519" s="156"/>
      <c r="BA519" s="153"/>
      <c r="BD519" s="153"/>
      <c r="BE519" s="147"/>
      <c r="BI519" s="153"/>
      <c r="BO519" s="153"/>
      <c r="BW519" s="153"/>
      <c r="CD519" s="146"/>
      <c r="CF519" s="147"/>
      <c r="CI519" s="146"/>
      <c r="CJ519" s="153"/>
      <c r="CV519" s="154"/>
      <c r="CX519" s="154"/>
      <c r="CZ519" s="154"/>
      <c r="DB519" s="154"/>
      <c r="DD519" s="154"/>
      <c r="DH519" s="474"/>
      <c r="DI519" s="459"/>
      <c r="DJ519" s="459"/>
      <c r="DK519" s="459"/>
      <c r="DL519" s="459"/>
      <c r="DM519" s="459"/>
      <c r="DN519" s="459"/>
      <c r="DO519" s="459"/>
      <c r="DP519" s="459"/>
      <c r="DQ519" s="459"/>
      <c r="DR519" s="459"/>
      <c r="DS519" s="459"/>
      <c r="DT519" s="459"/>
      <c r="DU519" s="459"/>
      <c r="DV519" s="468"/>
      <c r="DW519" s="468"/>
      <c r="DX519" s="459"/>
      <c r="DY519" s="459"/>
    </row>
    <row r="520" spans="1:129" s="128" customFormat="1" ht="54.95" customHeight="1" x14ac:dyDescent="0.25">
      <c r="A520" s="377"/>
      <c r="B520" s="175"/>
      <c r="C520" s="393"/>
      <c r="D520" s="168"/>
      <c r="E520" s="168"/>
      <c r="F520" s="168"/>
      <c r="G520" s="168"/>
      <c r="H520" s="168"/>
      <c r="I520" s="168"/>
      <c r="J520" s="168"/>
      <c r="K520" s="168"/>
      <c r="L520" s="168"/>
      <c r="M520" s="168"/>
      <c r="N520" s="168"/>
      <c r="O520" s="433"/>
      <c r="P520" s="122"/>
      <c r="Q520" s="156"/>
      <c r="R520" s="156"/>
      <c r="S520" s="156"/>
      <c r="T520" s="156"/>
      <c r="U520" s="156"/>
      <c r="V520" s="156"/>
      <c r="W520" s="156"/>
      <c r="X520" s="156"/>
      <c r="Y520" s="156"/>
      <c r="Z520" s="157"/>
      <c r="AA520" s="157"/>
      <c r="AB520" s="156"/>
      <c r="AC520" s="156"/>
      <c r="AD520" s="156"/>
      <c r="AE520" s="156"/>
      <c r="AF520" s="156"/>
      <c r="AG520" s="156"/>
      <c r="AH520" s="156"/>
      <c r="AI520" s="156"/>
      <c r="AJ520" s="156"/>
      <c r="AK520" s="156"/>
      <c r="AL520" s="156"/>
      <c r="AM520" s="158"/>
      <c r="AN520" s="156"/>
      <c r="AO520" s="156"/>
      <c r="AP520" s="156"/>
      <c r="AQ520" s="156"/>
      <c r="AR520" s="156"/>
      <c r="AS520" s="156"/>
      <c r="AT520" s="156"/>
      <c r="AU520" s="156"/>
      <c r="AV520" s="156"/>
      <c r="AW520" s="156"/>
      <c r="AX520" s="156"/>
      <c r="AY520" s="156"/>
      <c r="AZ520" s="156"/>
      <c r="BA520" s="153"/>
      <c r="BD520" s="153"/>
      <c r="BE520" s="147"/>
      <c r="BI520" s="153"/>
      <c r="BO520" s="153"/>
      <c r="BW520" s="153"/>
      <c r="CD520" s="146"/>
      <c r="CF520" s="147"/>
      <c r="CI520" s="146"/>
      <c r="CJ520" s="153"/>
      <c r="CV520" s="154"/>
      <c r="CX520" s="154"/>
      <c r="CZ520" s="154"/>
      <c r="DB520" s="154"/>
      <c r="DD520" s="154"/>
      <c r="DH520" s="474"/>
      <c r="DI520" s="459"/>
      <c r="DJ520" s="459"/>
      <c r="DK520" s="459"/>
      <c r="DL520" s="459"/>
      <c r="DM520" s="459"/>
      <c r="DN520" s="459"/>
      <c r="DO520" s="459"/>
      <c r="DP520" s="459"/>
      <c r="DQ520" s="459"/>
      <c r="DR520" s="459"/>
      <c r="DS520" s="459"/>
      <c r="DT520" s="459"/>
      <c r="DU520" s="459"/>
      <c r="DV520" s="468"/>
      <c r="DW520" s="468"/>
      <c r="DX520" s="459"/>
      <c r="DY520" s="459"/>
    </row>
    <row r="521" spans="1:129" s="128" customFormat="1" ht="54.95" customHeight="1" x14ac:dyDescent="0.25">
      <c r="A521" s="377"/>
      <c r="B521" s="175"/>
      <c r="C521" s="393"/>
      <c r="D521" s="168"/>
      <c r="E521" s="168"/>
      <c r="F521" s="168"/>
      <c r="G521" s="168"/>
      <c r="H521" s="168"/>
      <c r="I521" s="168"/>
      <c r="J521" s="168"/>
      <c r="K521" s="168"/>
      <c r="L521" s="168"/>
      <c r="M521" s="168"/>
      <c r="N521" s="168"/>
      <c r="O521" s="433"/>
      <c r="P521" s="122"/>
      <c r="Q521" s="156"/>
      <c r="R521" s="156"/>
      <c r="S521" s="156"/>
      <c r="T521" s="156"/>
      <c r="U521" s="156"/>
      <c r="V521" s="156"/>
      <c r="W521" s="156"/>
      <c r="X521" s="156"/>
      <c r="Y521" s="156"/>
      <c r="Z521" s="157"/>
      <c r="AA521" s="157"/>
      <c r="AB521" s="156"/>
      <c r="AC521" s="156"/>
      <c r="AD521" s="156"/>
      <c r="AE521" s="156"/>
      <c r="AF521" s="156"/>
      <c r="AG521" s="156"/>
      <c r="AH521" s="156"/>
      <c r="AI521" s="156"/>
      <c r="AJ521" s="156"/>
      <c r="AK521" s="156"/>
      <c r="AL521" s="156"/>
      <c r="AM521" s="158"/>
      <c r="AN521" s="156"/>
      <c r="AO521" s="156"/>
      <c r="AP521" s="156"/>
      <c r="AQ521" s="156"/>
      <c r="AR521" s="156"/>
      <c r="AS521" s="156"/>
      <c r="AT521" s="156"/>
      <c r="AU521" s="156"/>
      <c r="AV521" s="156"/>
      <c r="AW521" s="156"/>
      <c r="AX521" s="156"/>
      <c r="AY521" s="156"/>
      <c r="AZ521" s="156"/>
      <c r="BA521" s="153"/>
      <c r="BD521" s="153"/>
      <c r="BE521" s="147"/>
      <c r="BI521" s="153"/>
      <c r="BO521" s="153"/>
      <c r="BW521" s="153"/>
      <c r="CD521" s="146"/>
      <c r="CF521" s="147"/>
      <c r="CI521" s="146"/>
      <c r="CJ521" s="153"/>
      <c r="CV521" s="154"/>
      <c r="CX521" s="154"/>
      <c r="CZ521" s="154"/>
      <c r="DB521" s="154"/>
      <c r="DD521" s="154"/>
      <c r="DH521" s="474"/>
      <c r="DI521" s="459"/>
      <c r="DJ521" s="459"/>
      <c r="DK521" s="459"/>
      <c r="DL521" s="459"/>
      <c r="DM521" s="459"/>
      <c r="DN521" s="459"/>
      <c r="DO521" s="459"/>
      <c r="DP521" s="459"/>
      <c r="DQ521" s="459"/>
      <c r="DR521" s="459"/>
      <c r="DS521" s="459"/>
      <c r="DT521" s="459"/>
      <c r="DU521" s="459"/>
      <c r="DV521" s="468"/>
      <c r="DW521" s="468"/>
      <c r="DX521" s="459"/>
      <c r="DY521" s="459"/>
    </row>
    <row r="522" spans="1:129" s="128" customFormat="1" ht="54.95" customHeight="1" x14ac:dyDescent="0.25">
      <c r="A522" s="377"/>
      <c r="B522" s="175"/>
      <c r="C522" s="393"/>
      <c r="D522" s="168"/>
      <c r="E522" s="168"/>
      <c r="F522" s="168"/>
      <c r="G522" s="168"/>
      <c r="H522" s="168"/>
      <c r="I522" s="168"/>
      <c r="J522" s="168"/>
      <c r="K522" s="168"/>
      <c r="L522" s="168"/>
      <c r="M522" s="168"/>
      <c r="N522" s="168"/>
      <c r="O522" s="433"/>
      <c r="P522" s="122"/>
      <c r="Q522" s="156"/>
      <c r="R522" s="156"/>
      <c r="S522" s="156"/>
      <c r="T522" s="156"/>
      <c r="U522" s="156"/>
      <c r="V522" s="156"/>
      <c r="W522" s="156"/>
      <c r="X522" s="156"/>
      <c r="Y522" s="156"/>
      <c r="Z522" s="157"/>
      <c r="AA522" s="157"/>
      <c r="AB522" s="156"/>
      <c r="AC522" s="156"/>
      <c r="AD522" s="156"/>
      <c r="AE522" s="156"/>
      <c r="AF522" s="156"/>
      <c r="AG522" s="156"/>
      <c r="AH522" s="156"/>
      <c r="AI522" s="156"/>
      <c r="AJ522" s="156"/>
      <c r="AK522" s="156"/>
      <c r="AL522" s="156"/>
      <c r="AM522" s="158"/>
      <c r="AN522" s="156"/>
      <c r="AO522" s="156"/>
      <c r="AP522" s="156"/>
      <c r="AQ522" s="156"/>
      <c r="AR522" s="156"/>
      <c r="AS522" s="156"/>
      <c r="AT522" s="156"/>
      <c r="AU522" s="156"/>
      <c r="AV522" s="156"/>
      <c r="AW522" s="156"/>
      <c r="AX522" s="156"/>
      <c r="AY522" s="156"/>
      <c r="AZ522" s="156"/>
      <c r="BA522" s="153"/>
      <c r="BD522" s="153"/>
      <c r="BE522" s="147"/>
      <c r="BI522" s="153"/>
      <c r="BO522" s="153"/>
      <c r="BW522" s="153"/>
      <c r="CD522" s="146"/>
      <c r="CF522" s="147"/>
      <c r="CI522" s="146"/>
      <c r="CJ522" s="153"/>
      <c r="CV522" s="154"/>
      <c r="CX522" s="154"/>
      <c r="CZ522" s="154"/>
      <c r="DB522" s="154"/>
      <c r="DD522" s="154"/>
      <c r="DH522" s="474"/>
      <c r="DI522" s="459"/>
      <c r="DJ522" s="459"/>
      <c r="DK522" s="459"/>
      <c r="DL522" s="459"/>
      <c r="DM522" s="459"/>
      <c r="DN522" s="459"/>
      <c r="DO522" s="459"/>
      <c r="DP522" s="459"/>
      <c r="DQ522" s="459"/>
      <c r="DR522" s="459"/>
      <c r="DS522" s="459"/>
      <c r="DT522" s="459"/>
      <c r="DU522" s="459"/>
      <c r="DV522" s="468"/>
      <c r="DW522" s="468"/>
      <c r="DX522" s="459"/>
      <c r="DY522" s="459"/>
    </row>
    <row r="523" spans="1:129" s="128" customFormat="1" ht="54.95" customHeight="1" x14ac:dyDescent="0.25">
      <c r="A523" s="377"/>
      <c r="B523" s="175"/>
      <c r="C523" s="393"/>
      <c r="D523" s="168"/>
      <c r="E523" s="168"/>
      <c r="F523" s="168"/>
      <c r="G523" s="168"/>
      <c r="H523" s="168"/>
      <c r="I523" s="168"/>
      <c r="J523" s="168"/>
      <c r="K523" s="168"/>
      <c r="L523" s="168"/>
      <c r="M523" s="168"/>
      <c r="N523" s="168"/>
      <c r="O523" s="433"/>
      <c r="P523" s="122"/>
      <c r="Q523" s="156"/>
      <c r="R523" s="156"/>
      <c r="S523" s="156"/>
      <c r="T523" s="156"/>
      <c r="U523" s="156"/>
      <c r="V523" s="156"/>
      <c r="W523" s="156"/>
      <c r="X523" s="156"/>
      <c r="Y523" s="156"/>
      <c r="Z523" s="157"/>
      <c r="AA523" s="157"/>
      <c r="AB523" s="156"/>
      <c r="AC523" s="156"/>
      <c r="AD523" s="156"/>
      <c r="AE523" s="156"/>
      <c r="AF523" s="156"/>
      <c r="AG523" s="156"/>
      <c r="AH523" s="156"/>
      <c r="AI523" s="156"/>
      <c r="AJ523" s="156"/>
      <c r="AK523" s="156"/>
      <c r="AL523" s="156"/>
      <c r="AM523" s="158"/>
      <c r="AN523" s="156"/>
      <c r="AO523" s="156"/>
      <c r="AP523" s="156"/>
      <c r="AQ523" s="156"/>
      <c r="AR523" s="156"/>
      <c r="AS523" s="156"/>
      <c r="AT523" s="156"/>
      <c r="AU523" s="156"/>
      <c r="AV523" s="156"/>
      <c r="AW523" s="156"/>
      <c r="AX523" s="156"/>
      <c r="AY523" s="156"/>
      <c r="AZ523" s="156"/>
      <c r="BA523" s="153"/>
      <c r="BD523" s="153"/>
      <c r="BE523" s="147"/>
      <c r="BI523" s="153"/>
      <c r="BO523" s="153"/>
      <c r="BW523" s="153"/>
      <c r="CD523" s="146"/>
      <c r="CF523" s="147"/>
      <c r="CI523" s="146"/>
      <c r="CJ523" s="153"/>
      <c r="CV523" s="154"/>
      <c r="CX523" s="154"/>
      <c r="CZ523" s="154"/>
      <c r="DB523" s="154"/>
      <c r="DD523" s="154"/>
      <c r="DH523" s="474"/>
      <c r="DI523" s="459"/>
      <c r="DJ523" s="459"/>
      <c r="DK523" s="459"/>
      <c r="DL523" s="459"/>
      <c r="DM523" s="459"/>
      <c r="DN523" s="459"/>
      <c r="DO523" s="459"/>
      <c r="DP523" s="459"/>
      <c r="DQ523" s="459"/>
      <c r="DR523" s="459"/>
      <c r="DS523" s="459"/>
      <c r="DT523" s="459"/>
      <c r="DU523" s="459"/>
      <c r="DV523" s="468"/>
      <c r="DW523" s="468"/>
      <c r="DX523" s="459"/>
      <c r="DY523" s="459"/>
    </row>
    <row r="524" spans="1:129" s="128" customFormat="1" ht="54.95" customHeight="1" x14ac:dyDescent="0.25">
      <c r="A524" s="377"/>
      <c r="B524" s="175"/>
      <c r="C524" s="393"/>
      <c r="D524" s="168"/>
      <c r="E524" s="168"/>
      <c r="F524" s="168"/>
      <c r="G524" s="168"/>
      <c r="H524" s="168"/>
      <c r="I524" s="168"/>
      <c r="J524" s="168"/>
      <c r="K524" s="168"/>
      <c r="L524" s="168"/>
      <c r="M524" s="168"/>
      <c r="N524" s="168"/>
      <c r="O524" s="433"/>
      <c r="P524" s="122"/>
      <c r="Q524" s="156"/>
      <c r="R524" s="156"/>
      <c r="S524" s="156"/>
      <c r="T524" s="156"/>
      <c r="U524" s="156"/>
      <c r="V524" s="156"/>
      <c r="W524" s="156"/>
      <c r="X524" s="156"/>
      <c r="Y524" s="156"/>
      <c r="Z524" s="157"/>
      <c r="AA524" s="157"/>
      <c r="AB524" s="156"/>
      <c r="AC524" s="156"/>
      <c r="AD524" s="156"/>
      <c r="AE524" s="156"/>
      <c r="AF524" s="156"/>
      <c r="AG524" s="156"/>
      <c r="AH524" s="156"/>
      <c r="AI524" s="156"/>
      <c r="AJ524" s="156"/>
      <c r="AK524" s="156"/>
      <c r="AL524" s="156"/>
      <c r="AM524" s="158"/>
      <c r="AN524" s="156"/>
      <c r="AO524" s="156"/>
      <c r="AP524" s="156"/>
      <c r="AQ524" s="156"/>
      <c r="AR524" s="156"/>
      <c r="AS524" s="156"/>
      <c r="AT524" s="156"/>
      <c r="AU524" s="156"/>
      <c r="AV524" s="156"/>
      <c r="AW524" s="156"/>
      <c r="AX524" s="156"/>
      <c r="AY524" s="156"/>
      <c r="AZ524" s="156"/>
      <c r="BA524" s="153"/>
      <c r="BD524" s="153"/>
      <c r="BE524" s="147"/>
      <c r="BI524" s="153"/>
      <c r="BO524" s="153"/>
      <c r="BW524" s="153"/>
      <c r="CD524" s="146"/>
      <c r="CF524" s="147"/>
      <c r="CI524" s="146"/>
      <c r="CJ524" s="153"/>
      <c r="CV524" s="154"/>
      <c r="CX524" s="154"/>
      <c r="CZ524" s="154"/>
      <c r="DB524" s="154"/>
      <c r="DD524" s="154"/>
      <c r="DH524" s="474"/>
      <c r="DI524" s="459"/>
      <c r="DJ524" s="459"/>
      <c r="DK524" s="459"/>
      <c r="DL524" s="459"/>
      <c r="DM524" s="459"/>
      <c r="DN524" s="459"/>
      <c r="DO524" s="459"/>
      <c r="DP524" s="459"/>
      <c r="DQ524" s="459"/>
      <c r="DR524" s="459"/>
      <c r="DS524" s="459"/>
      <c r="DT524" s="459"/>
      <c r="DU524" s="459"/>
      <c r="DV524" s="468"/>
      <c r="DW524" s="468"/>
      <c r="DX524" s="459"/>
      <c r="DY524" s="459"/>
    </row>
    <row r="525" spans="1:129" s="128" customFormat="1" ht="54.95" customHeight="1" x14ac:dyDescent="0.25">
      <c r="A525" s="377"/>
      <c r="B525" s="175"/>
      <c r="C525" s="393"/>
      <c r="D525" s="168"/>
      <c r="E525" s="168"/>
      <c r="F525" s="168"/>
      <c r="G525" s="168"/>
      <c r="H525" s="168"/>
      <c r="I525" s="168"/>
      <c r="J525" s="168"/>
      <c r="K525" s="168"/>
      <c r="L525" s="168"/>
      <c r="M525" s="168"/>
      <c r="N525" s="168"/>
      <c r="O525" s="433"/>
      <c r="P525" s="122"/>
      <c r="Q525" s="156"/>
      <c r="R525" s="156"/>
      <c r="S525" s="156"/>
      <c r="T525" s="156"/>
      <c r="U525" s="156"/>
      <c r="V525" s="156"/>
      <c r="W525" s="156"/>
      <c r="X525" s="156"/>
      <c r="Y525" s="156"/>
      <c r="Z525" s="157"/>
      <c r="AA525" s="157"/>
      <c r="AB525" s="156"/>
      <c r="AC525" s="156"/>
      <c r="AD525" s="156"/>
      <c r="AE525" s="156"/>
      <c r="AF525" s="156"/>
      <c r="AG525" s="156"/>
      <c r="AH525" s="156"/>
      <c r="AI525" s="156"/>
      <c r="AJ525" s="156"/>
      <c r="AK525" s="156"/>
      <c r="AL525" s="156"/>
      <c r="AM525" s="158"/>
      <c r="AN525" s="156"/>
      <c r="AO525" s="156"/>
      <c r="AP525" s="156"/>
      <c r="AQ525" s="156"/>
      <c r="AR525" s="156"/>
      <c r="AS525" s="156"/>
      <c r="AT525" s="156"/>
      <c r="AU525" s="156"/>
      <c r="AV525" s="156"/>
      <c r="AW525" s="156"/>
      <c r="AX525" s="156"/>
      <c r="AY525" s="156"/>
      <c r="AZ525" s="156"/>
      <c r="BA525" s="153"/>
      <c r="BD525" s="153"/>
      <c r="BE525" s="147"/>
      <c r="BI525" s="153"/>
      <c r="BO525" s="153"/>
      <c r="BW525" s="153"/>
      <c r="CD525" s="146"/>
      <c r="CF525" s="147"/>
      <c r="CI525" s="146"/>
      <c r="CJ525" s="153"/>
      <c r="CV525" s="154"/>
      <c r="CX525" s="154"/>
      <c r="CZ525" s="154"/>
      <c r="DB525" s="154"/>
      <c r="DD525" s="154"/>
      <c r="DH525" s="474"/>
      <c r="DI525" s="459"/>
      <c r="DJ525" s="459"/>
      <c r="DK525" s="459"/>
      <c r="DL525" s="459"/>
      <c r="DM525" s="459"/>
      <c r="DN525" s="459"/>
      <c r="DO525" s="459"/>
      <c r="DP525" s="459"/>
      <c r="DQ525" s="459"/>
      <c r="DR525" s="459"/>
      <c r="DS525" s="459"/>
      <c r="DT525" s="459"/>
      <c r="DU525" s="459"/>
      <c r="DV525" s="468"/>
      <c r="DW525" s="468"/>
      <c r="DX525" s="459"/>
      <c r="DY525" s="459"/>
    </row>
    <row r="526" spans="1:129" s="128" customFormat="1" ht="54.95" customHeight="1" x14ac:dyDescent="0.25">
      <c r="A526" s="377"/>
      <c r="B526" s="175"/>
      <c r="C526" s="393"/>
      <c r="D526" s="168"/>
      <c r="E526" s="168"/>
      <c r="F526" s="168"/>
      <c r="G526" s="168"/>
      <c r="H526" s="168"/>
      <c r="I526" s="168"/>
      <c r="J526" s="168"/>
      <c r="K526" s="168"/>
      <c r="L526" s="168"/>
      <c r="M526" s="168"/>
      <c r="N526" s="168"/>
      <c r="O526" s="433"/>
      <c r="P526" s="122"/>
      <c r="Q526" s="156"/>
      <c r="R526" s="156"/>
      <c r="S526" s="156"/>
      <c r="T526" s="156"/>
      <c r="U526" s="156"/>
      <c r="V526" s="156"/>
      <c r="W526" s="156"/>
      <c r="X526" s="156"/>
      <c r="Y526" s="156"/>
      <c r="Z526" s="157"/>
      <c r="AA526" s="157"/>
      <c r="AB526" s="156"/>
      <c r="AC526" s="156"/>
      <c r="AD526" s="156"/>
      <c r="AE526" s="156"/>
      <c r="AF526" s="156"/>
      <c r="AG526" s="156"/>
      <c r="AH526" s="156"/>
      <c r="AI526" s="156"/>
      <c r="AJ526" s="156"/>
      <c r="AK526" s="156"/>
      <c r="AL526" s="156"/>
      <c r="AM526" s="158"/>
      <c r="AN526" s="156"/>
      <c r="AO526" s="156"/>
      <c r="AP526" s="156"/>
      <c r="AQ526" s="156"/>
      <c r="AR526" s="156"/>
      <c r="AS526" s="156"/>
      <c r="AT526" s="156"/>
      <c r="AU526" s="156"/>
      <c r="AV526" s="156"/>
      <c r="AW526" s="156"/>
      <c r="AX526" s="156"/>
      <c r="AY526" s="156"/>
      <c r="AZ526" s="156"/>
      <c r="BA526" s="153"/>
      <c r="BD526" s="153"/>
      <c r="BE526" s="147"/>
      <c r="BI526" s="153"/>
      <c r="BO526" s="153"/>
      <c r="BW526" s="153"/>
      <c r="CD526" s="146"/>
      <c r="CF526" s="147"/>
      <c r="CI526" s="146"/>
      <c r="CJ526" s="153"/>
      <c r="CV526" s="154"/>
      <c r="CX526" s="154"/>
      <c r="CZ526" s="154"/>
      <c r="DB526" s="154"/>
      <c r="DD526" s="154"/>
      <c r="DH526" s="474"/>
      <c r="DI526" s="459"/>
      <c r="DJ526" s="459"/>
      <c r="DK526" s="459"/>
      <c r="DL526" s="459"/>
      <c r="DM526" s="459"/>
      <c r="DN526" s="459"/>
      <c r="DO526" s="459"/>
      <c r="DP526" s="459"/>
      <c r="DQ526" s="459"/>
      <c r="DR526" s="459"/>
      <c r="DS526" s="459"/>
      <c r="DT526" s="459"/>
      <c r="DU526" s="459"/>
      <c r="DV526" s="468"/>
      <c r="DW526" s="468"/>
      <c r="DX526" s="459"/>
      <c r="DY526" s="459"/>
    </row>
    <row r="527" spans="1:129" s="128" customFormat="1" ht="54.95" customHeight="1" x14ac:dyDescent="0.25">
      <c r="A527" s="377"/>
      <c r="B527" s="175"/>
      <c r="C527" s="393"/>
      <c r="D527" s="168"/>
      <c r="E527" s="168"/>
      <c r="F527" s="168"/>
      <c r="G527" s="168"/>
      <c r="H527" s="168"/>
      <c r="I527" s="168"/>
      <c r="J527" s="168"/>
      <c r="K527" s="168"/>
      <c r="L527" s="168"/>
      <c r="M527" s="168"/>
      <c r="N527" s="168"/>
      <c r="O527" s="433"/>
      <c r="P527" s="122"/>
      <c r="Q527" s="156"/>
      <c r="R527" s="156"/>
      <c r="S527" s="156"/>
      <c r="T527" s="156"/>
      <c r="U527" s="156"/>
      <c r="V527" s="156"/>
      <c r="W527" s="156"/>
      <c r="X527" s="156"/>
      <c r="Y527" s="156"/>
      <c r="Z527" s="157"/>
      <c r="AA527" s="157"/>
      <c r="AB527" s="156"/>
      <c r="AC527" s="156"/>
      <c r="AD527" s="156"/>
      <c r="AE527" s="156"/>
      <c r="AF527" s="156"/>
      <c r="AG527" s="156"/>
      <c r="AH527" s="156"/>
      <c r="AI527" s="156"/>
      <c r="AJ527" s="156"/>
      <c r="AK527" s="156"/>
      <c r="AL527" s="156"/>
      <c r="AM527" s="158"/>
      <c r="AN527" s="156"/>
      <c r="AO527" s="156"/>
      <c r="AP527" s="156"/>
      <c r="AQ527" s="156"/>
      <c r="AR527" s="156"/>
      <c r="AS527" s="156"/>
      <c r="AT527" s="156"/>
      <c r="AU527" s="156"/>
      <c r="AV527" s="156"/>
      <c r="AW527" s="156"/>
      <c r="AX527" s="156"/>
      <c r="AY527" s="156"/>
      <c r="AZ527" s="156"/>
      <c r="BA527" s="153"/>
      <c r="BD527" s="153"/>
      <c r="BE527" s="147"/>
      <c r="BI527" s="153"/>
      <c r="BO527" s="153"/>
      <c r="BW527" s="153"/>
      <c r="CD527" s="146"/>
      <c r="CF527" s="147"/>
      <c r="CI527" s="146"/>
      <c r="CJ527" s="153"/>
      <c r="CV527" s="154"/>
      <c r="CX527" s="154"/>
      <c r="CZ527" s="154"/>
      <c r="DB527" s="154"/>
      <c r="DD527" s="154"/>
      <c r="DH527" s="474"/>
      <c r="DI527" s="459"/>
      <c r="DJ527" s="459"/>
      <c r="DK527" s="459"/>
      <c r="DL527" s="459"/>
      <c r="DM527" s="459"/>
      <c r="DN527" s="459"/>
      <c r="DO527" s="459"/>
      <c r="DP527" s="459"/>
      <c r="DQ527" s="459"/>
      <c r="DR527" s="459"/>
      <c r="DS527" s="459"/>
      <c r="DT527" s="459"/>
      <c r="DU527" s="459"/>
      <c r="DV527" s="468"/>
      <c r="DW527" s="468"/>
      <c r="DX527" s="459"/>
      <c r="DY527" s="459"/>
    </row>
    <row r="528" spans="1:129" s="128" customFormat="1" ht="54.95" customHeight="1" x14ac:dyDescent="0.25">
      <c r="A528" s="377"/>
      <c r="B528" s="175"/>
      <c r="C528" s="393"/>
      <c r="D528" s="168"/>
      <c r="E528" s="168"/>
      <c r="F528" s="168"/>
      <c r="G528" s="168"/>
      <c r="H528" s="168"/>
      <c r="I528" s="168"/>
      <c r="J528" s="168"/>
      <c r="K528" s="168"/>
      <c r="L528" s="168"/>
      <c r="M528" s="168"/>
      <c r="N528" s="168"/>
      <c r="O528" s="433"/>
      <c r="P528" s="122"/>
      <c r="Q528" s="156"/>
      <c r="R528" s="156"/>
      <c r="S528" s="156"/>
      <c r="T528" s="156"/>
      <c r="U528" s="156"/>
      <c r="V528" s="156"/>
      <c r="W528" s="156"/>
      <c r="X528" s="156"/>
      <c r="Y528" s="156"/>
      <c r="Z528" s="157"/>
      <c r="AA528" s="157"/>
      <c r="AB528" s="156"/>
      <c r="AC528" s="156"/>
      <c r="AD528" s="156"/>
      <c r="AE528" s="156"/>
      <c r="AF528" s="156"/>
      <c r="AG528" s="156"/>
      <c r="AH528" s="156"/>
      <c r="AI528" s="156"/>
      <c r="AJ528" s="156"/>
      <c r="AK528" s="156"/>
      <c r="AL528" s="156"/>
      <c r="AM528" s="158"/>
      <c r="AN528" s="156"/>
      <c r="AO528" s="156"/>
      <c r="AP528" s="156"/>
      <c r="AQ528" s="156"/>
      <c r="AR528" s="156"/>
      <c r="AS528" s="156"/>
      <c r="AT528" s="156"/>
      <c r="AU528" s="156"/>
      <c r="AV528" s="156"/>
      <c r="AW528" s="156"/>
      <c r="AX528" s="156"/>
      <c r="AY528" s="156"/>
      <c r="AZ528" s="156"/>
      <c r="BA528" s="153"/>
      <c r="BD528" s="153"/>
      <c r="BE528" s="147"/>
      <c r="BI528" s="153"/>
      <c r="BO528" s="153"/>
      <c r="BW528" s="153"/>
      <c r="CD528" s="146"/>
      <c r="CF528" s="147"/>
      <c r="CI528" s="146"/>
      <c r="CJ528" s="153"/>
      <c r="CV528" s="154"/>
      <c r="CX528" s="154"/>
      <c r="CZ528" s="154"/>
      <c r="DB528" s="154"/>
      <c r="DD528" s="154"/>
      <c r="DH528" s="474"/>
      <c r="DI528" s="459"/>
      <c r="DJ528" s="459"/>
      <c r="DK528" s="459"/>
      <c r="DL528" s="459"/>
      <c r="DM528" s="459"/>
      <c r="DN528" s="459"/>
      <c r="DO528" s="459"/>
      <c r="DP528" s="459"/>
      <c r="DQ528" s="459"/>
      <c r="DR528" s="459"/>
      <c r="DS528" s="459"/>
      <c r="DT528" s="459"/>
      <c r="DU528" s="459"/>
      <c r="DV528" s="468"/>
      <c r="DW528" s="468"/>
      <c r="DX528" s="459"/>
      <c r="DY528" s="459"/>
    </row>
    <row r="529" spans="1:129" s="128" customFormat="1" ht="54.95" customHeight="1" x14ac:dyDescent="0.25">
      <c r="A529" s="377"/>
      <c r="B529" s="175"/>
      <c r="C529" s="393"/>
      <c r="D529" s="168"/>
      <c r="E529" s="168"/>
      <c r="F529" s="168"/>
      <c r="G529" s="168"/>
      <c r="H529" s="168"/>
      <c r="I529" s="168"/>
      <c r="J529" s="168"/>
      <c r="K529" s="168"/>
      <c r="L529" s="168"/>
      <c r="M529" s="168"/>
      <c r="N529" s="168"/>
      <c r="O529" s="433"/>
      <c r="P529" s="122"/>
      <c r="Q529" s="156"/>
      <c r="R529" s="156"/>
      <c r="S529" s="156"/>
      <c r="T529" s="156"/>
      <c r="U529" s="156"/>
      <c r="V529" s="156"/>
      <c r="W529" s="156"/>
      <c r="X529" s="156"/>
      <c r="Y529" s="156"/>
      <c r="Z529" s="157"/>
      <c r="AA529" s="157"/>
      <c r="AB529" s="156"/>
      <c r="AC529" s="156"/>
      <c r="AD529" s="156"/>
      <c r="AE529" s="156"/>
      <c r="AF529" s="156"/>
      <c r="AG529" s="156"/>
      <c r="AH529" s="156"/>
      <c r="AI529" s="156"/>
      <c r="AJ529" s="156"/>
      <c r="AK529" s="156"/>
      <c r="AL529" s="156"/>
      <c r="AM529" s="158"/>
      <c r="AN529" s="156"/>
      <c r="AO529" s="156"/>
      <c r="AP529" s="156"/>
      <c r="AQ529" s="156"/>
      <c r="AR529" s="156"/>
      <c r="AS529" s="156"/>
      <c r="AT529" s="156"/>
      <c r="AU529" s="156"/>
      <c r="AV529" s="156"/>
      <c r="AW529" s="156"/>
      <c r="AX529" s="156"/>
      <c r="AY529" s="156"/>
      <c r="AZ529" s="156"/>
      <c r="BA529" s="153"/>
      <c r="BD529" s="153"/>
      <c r="BE529" s="147"/>
      <c r="BI529" s="153"/>
      <c r="BO529" s="153"/>
      <c r="BW529" s="153"/>
      <c r="CD529" s="146"/>
      <c r="CF529" s="147"/>
      <c r="CI529" s="146"/>
      <c r="CJ529" s="153"/>
      <c r="CV529" s="154"/>
      <c r="CX529" s="154"/>
      <c r="CZ529" s="154"/>
      <c r="DB529" s="154"/>
      <c r="DD529" s="154"/>
      <c r="DH529" s="474"/>
      <c r="DI529" s="459"/>
      <c r="DJ529" s="459"/>
      <c r="DK529" s="459"/>
      <c r="DL529" s="459"/>
      <c r="DM529" s="459"/>
      <c r="DN529" s="459"/>
      <c r="DO529" s="459"/>
      <c r="DP529" s="459"/>
      <c r="DQ529" s="459"/>
      <c r="DR529" s="459"/>
      <c r="DS529" s="459"/>
      <c r="DT529" s="459"/>
      <c r="DU529" s="459"/>
      <c r="DV529" s="468"/>
      <c r="DW529" s="468"/>
      <c r="DX529" s="459"/>
      <c r="DY529" s="459"/>
    </row>
    <row r="530" spans="1:129" s="128" customFormat="1" ht="54.95" customHeight="1" x14ac:dyDescent="0.25">
      <c r="A530" s="377"/>
      <c r="B530" s="175"/>
      <c r="C530" s="393"/>
      <c r="D530" s="168"/>
      <c r="E530" s="168"/>
      <c r="F530" s="168"/>
      <c r="G530" s="168"/>
      <c r="H530" s="168"/>
      <c r="I530" s="168"/>
      <c r="J530" s="168"/>
      <c r="K530" s="168"/>
      <c r="L530" s="168"/>
      <c r="M530" s="168"/>
      <c r="N530" s="168"/>
      <c r="O530" s="433"/>
      <c r="P530" s="122"/>
      <c r="Q530" s="156"/>
      <c r="R530" s="156"/>
      <c r="S530" s="156"/>
      <c r="T530" s="156"/>
      <c r="U530" s="156"/>
      <c r="V530" s="156"/>
      <c r="W530" s="156"/>
      <c r="X530" s="156"/>
      <c r="Y530" s="156"/>
      <c r="Z530" s="157"/>
      <c r="AA530" s="157"/>
      <c r="AB530" s="156"/>
      <c r="AC530" s="156"/>
      <c r="AD530" s="156"/>
      <c r="AE530" s="156"/>
      <c r="AF530" s="156"/>
      <c r="AG530" s="156"/>
      <c r="AH530" s="156"/>
      <c r="AI530" s="156"/>
      <c r="AJ530" s="156"/>
      <c r="AK530" s="156"/>
      <c r="AL530" s="156"/>
      <c r="AM530" s="158"/>
      <c r="AN530" s="156"/>
      <c r="AO530" s="156"/>
      <c r="AP530" s="156"/>
      <c r="AQ530" s="156"/>
      <c r="AR530" s="156"/>
      <c r="AS530" s="156"/>
      <c r="AT530" s="156"/>
      <c r="AU530" s="156"/>
      <c r="AV530" s="156"/>
      <c r="AW530" s="156"/>
      <c r="AX530" s="156"/>
      <c r="AY530" s="156"/>
      <c r="AZ530" s="156"/>
      <c r="BA530" s="153"/>
      <c r="BD530" s="153"/>
      <c r="BE530" s="147"/>
      <c r="BI530" s="153"/>
      <c r="BO530" s="153"/>
      <c r="BW530" s="153"/>
      <c r="CD530" s="146"/>
      <c r="CF530" s="147"/>
      <c r="CI530" s="146"/>
      <c r="CJ530" s="153"/>
      <c r="CV530" s="154"/>
      <c r="CX530" s="154"/>
      <c r="CZ530" s="154"/>
      <c r="DB530" s="154"/>
      <c r="DD530" s="154"/>
      <c r="DH530" s="474"/>
      <c r="DI530" s="459"/>
      <c r="DJ530" s="459"/>
      <c r="DK530" s="459"/>
      <c r="DL530" s="459"/>
      <c r="DM530" s="459"/>
      <c r="DN530" s="459"/>
      <c r="DO530" s="459"/>
      <c r="DP530" s="459"/>
      <c r="DQ530" s="459"/>
      <c r="DR530" s="459"/>
      <c r="DS530" s="459"/>
      <c r="DT530" s="459"/>
      <c r="DU530" s="459"/>
      <c r="DV530" s="468"/>
      <c r="DW530" s="468"/>
      <c r="DX530" s="459"/>
      <c r="DY530" s="459"/>
    </row>
    <row r="531" spans="1:129" s="128" customFormat="1" ht="54.95" customHeight="1" x14ac:dyDescent="0.25">
      <c r="A531" s="377"/>
      <c r="B531" s="175"/>
      <c r="C531" s="393"/>
      <c r="D531" s="168"/>
      <c r="E531" s="168"/>
      <c r="F531" s="168"/>
      <c r="G531" s="168"/>
      <c r="H531" s="168"/>
      <c r="I531" s="168"/>
      <c r="J531" s="168"/>
      <c r="K531" s="168"/>
      <c r="L531" s="168"/>
      <c r="M531" s="168"/>
      <c r="N531" s="168"/>
      <c r="O531" s="433"/>
      <c r="P531" s="122"/>
      <c r="Q531" s="156"/>
      <c r="R531" s="156"/>
      <c r="S531" s="156"/>
      <c r="T531" s="156"/>
      <c r="U531" s="156"/>
      <c r="V531" s="156"/>
      <c r="W531" s="156"/>
      <c r="X531" s="156"/>
      <c r="Y531" s="156"/>
      <c r="Z531" s="157"/>
      <c r="AA531" s="157"/>
      <c r="AB531" s="156"/>
      <c r="AC531" s="156"/>
      <c r="AD531" s="156"/>
      <c r="AE531" s="156"/>
      <c r="AF531" s="156"/>
      <c r="AG531" s="156"/>
      <c r="AH531" s="156"/>
      <c r="AI531" s="156"/>
      <c r="AJ531" s="156"/>
      <c r="AK531" s="156"/>
      <c r="AL531" s="156"/>
      <c r="AM531" s="158"/>
      <c r="AN531" s="156"/>
      <c r="AO531" s="156"/>
      <c r="AP531" s="156"/>
      <c r="AQ531" s="156"/>
      <c r="AR531" s="156"/>
      <c r="AS531" s="156"/>
      <c r="AT531" s="156"/>
      <c r="AU531" s="156"/>
      <c r="AV531" s="156"/>
      <c r="AW531" s="156"/>
      <c r="AX531" s="156"/>
      <c r="AY531" s="156"/>
      <c r="AZ531" s="156"/>
      <c r="BA531" s="153"/>
      <c r="BD531" s="153"/>
      <c r="BE531" s="147"/>
      <c r="BI531" s="153"/>
      <c r="BO531" s="153"/>
      <c r="BW531" s="153"/>
      <c r="CD531" s="146"/>
      <c r="CF531" s="147"/>
      <c r="CI531" s="146"/>
      <c r="CJ531" s="153"/>
      <c r="CV531" s="154"/>
      <c r="CX531" s="154"/>
      <c r="CZ531" s="154"/>
      <c r="DB531" s="154"/>
      <c r="DD531" s="154"/>
      <c r="DH531" s="474"/>
      <c r="DI531" s="459"/>
      <c r="DJ531" s="459"/>
      <c r="DK531" s="459"/>
      <c r="DL531" s="459"/>
      <c r="DM531" s="459"/>
      <c r="DN531" s="459"/>
      <c r="DO531" s="459"/>
      <c r="DP531" s="459"/>
      <c r="DQ531" s="459"/>
      <c r="DR531" s="459"/>
      <c r="DS531" s="459"/>
      <c r="DT531" s="459"/>
      <c r="DU531" s="459"/>
      <c r="DV531" s="468"/>
      <c r="DW531" s="468"/>
      <c r="DX531" s="459"/>
      <c r="DY531" s="459"/>
    </row>
    <row r="532" spans="1:129" s="128" customFormat="1" ht="54.95" customHeight="1" x14ac:dyDescent="0.25">
      <c r="A532" s="377"/>
      <c r="B532" s="175"/>
      <c r="C532" s="393"/>
      <c r="D532" s="168"/>
      <c r="E532" s="168"/>
      <c r="F532" s="168"/>
      <c r="G532" s="168"/>
      <c r="H532" s="168"/>
      <c r="I532" s="168"/>
      <c r="J532" s="168"/>
      <c r="K532" s="168"/>
      <c r="L532" s="168"/>
      <c r="M532" s="168"/>
      <c r="N532" s="168"/>
      <c r="O532" s="433"/>
      <c r="P532" s="122"/>
      <c r="Q532" s="156"/>
      <c r="R532" s="156"/>
      <c r="S532" s="156"/>
      <c r="T532" s="156"/>
      <c r="U532" s="156"/>
      <c r="V532" s="156"/>
      <c r="W532" s="156"/>
      <c r="X532" s="156"/>
      <c r="Y532" s="156"/>
      <c r="Z532" s="157"/>
      <c r="AA532" s="157"/>
      <c r="AB532" s="156"/>
      <c r="AC532" s="156"/>
      <c r="AD532" s="156"/>
      <c r="AE532" s="156"/>
      <c r="AF532" s="156"/>
      <c r="AG532" s="156"/>
      <c r="AH532" s="156"/>
      <c r="AI532" s="156"/>
      <c r="AJ532" s="156"/>
      <c r="AK532" s="156"/>
      <c r="AL532" s="156"/>
      <c r="AM532" s="158"/>
      <c r="AN532" s="156"/>
      <c r="AO532" s="156"/>
      <c r="AP532" s="156"/>
      <c r="AQ532" s="156"/>
      <c r="AR532" s="156"/>
      <c r="AS532" s="156"/>
      <c r="AT532" s="156"/>
      <c r="AU532" s="156"/>
      <c r="AV532" s="156"/>
      <c r="AW532" s="156"/>
      <c r="AX532" s="156"/>
      <c r="AY532" s="156"/>
      <c r="AZ532" s="156"/>
      <c r="BA532" s="153"/>
      <c r="BD532" s="153"/>
      <c r="BE532" s="147"/>
      <c r="BI532" s="153"/>
      <c r="BO532" s="153"/>
      <c r="BW532" s="153"/>
      <c r="CD532" s="146"/>
      <c r="CF532" s="147"/>
      <c r="CI532" s="146"/>
      <c r="CJ532" s="153"/>
      <c r="CV532" s="154"/>
      <c r="CX532" s="154"/>
      <c r="CZ532" s="154"/>
      <c r="DB532" s="154"/>
      <c r="DD532" s="154"/>
      <c r="DH532" s="474"/>
      <c r="DI532" s="459"/>
      <c r="DJ532" s="459"/>
      <c r="DK532" s="459"/>
      <c r="DL532" s="459"/>
      <c r="DM532" s="459"/>
      <c r="DN532" s="459"/>
      <c r="DO532" s="459"/>
      <c r="DP532" s="459"/>
      <c r="DQ532" s="459"/>
      <c r="DR532" s="459"/>
      <c r="DS532" s="459"/>
      <c r="DT532" s="459"/>
      <c r="DU532" s="459"/>
      <c r="DV532" s="468"/>
      <c r="DW532" s="468"/>
      <c r="DX532" s="459"/>
      <c r="DY532" s="459"/>
    </row>
    <row r="533" spans="1:129" s="128" customFormat="1" ht="54.95" customHeight="1" x14ac:dyDescent="0.25">
      <c r="A533" s="377"/>
      <c r="B533" s="175"/>
      <c r="C533" s="393"/>
      <c r="D533" s="168"/>
      <c r="E533" s="168"/>
      <c r="F533" s="168"/>
      <c r="G533" s="168"/>
      <c r="H533" s="168"/>
      <c r="I533" s="168"/>
      <c r="J533" s="168"/>
      <c r="K533" s="168"/>
      <c r="L533" s="168"/>
      <c r="M533" s="168"/>
      <c r="N533" s="168"/>
      <c r="O533" s="433"/>
      <c r="P533" s="122"/>
      <c r="Q533" s="156"/>
      <c r="R533" s="156"/>
      <c r="S533" s="156"/>
      <c r="T533" s="156"/>
      <c r="U533" s="156"/>
      <c r="V533" s="156"/>
      <c r="W533" s="156"/>
      <c r="X533" s="156"/>
      <c r="Y533" s="156"/>
      <c r="Z533" s="157"/>
      <c r="AA533" s="157"/>
      <c r="AB533" s="156"/>
      <c r="AC533" s="156"/>
      <c r="AD533" s="156"/>
      <c r="AE533" s="156"/>
      <c r="AF533" s="156"/>
      <c r="AG533" s="156"/>
      <c r="AH533" s="156"/>
      <c r="AI533" s="156"/>
      <c r="AJ533" s="156"/>
      <c r="AK533" s="156"/>
      <c r="AL533" s="156"/>
      <c r="AM533" s="158"/>
      <c r="AN533" s="156"/>
      <c r="AO533" s="156"/>
      <c r="AP533" s="156"/>
      <c r="AQ533" s="156"/>
      <c r="AR533" s="156"/>
      <c r="AS533" s="156"/>
      <c r="AT533" s="156"/>
      <c r="AU533" s="156"/>
      <c r="AV533" s="156"/>
      <c r="AW533" s="156"/>
      <c r="AX533" s="156"/>
      <c r="AY533" s="156"/>
      <c r="AZ533" s="156"/>
      <c r="BA533" s="153"/>
      <c r="BD533" s="153"/>
      <c r="BE533" s="147"/>
      <c r="BI533" s="153"/>
      <c r="BO533" s="153"/>
      <c r="BW533" s="153"/>
      <c r="CD533" s="146"/>
      <c r="CF533" s="147"/>
      <c r="CI533" s="146"/>
      <c r="CJ533" s="153"/>
      <c r="CV533" s="154"/>
      <c r="CX533" s="154"/>
      <c r="CZ533" s="154"/>
      <c r="DB533" s="154"/>
      <c r="DD533" s="154"/>
      <c r="DH533" s="474"/>
      <c r="DI533" s="459"/>
      <c r="DJ533" s="459"/>
      <c r="DK533" s="459"/>
      <c r="DL533" s="459"/>
      <c r="DM533" s="459"/>
      <c r="DN533" s="459"/>
      <c r="DO533" s="459"/>
      <c r="DP533" s="459"/>
      <c r="DQ533" s="459"/>
      <c r="DR533" s="459"/>
      <c r="DS533" s="459"/>
      <c r="DT533" s="459"/>
      <c r="DU533" s="459"/>
      <c r="DV533" s="468"/>
      <c r="DW533" s="468"/>
      <c r="DX533" s="459"/>
      <c r="DY533" s="459"/>
    </row>
    <row r="534" spans="1:129" s="128" customFormat="1" ht="54.95" customHeight="1" x14ac:dyDescent="0.25">
      <c r="A534" s="377"/>
      <c r="B534" s="175"/>
      <c r="C534" s="393"/>
      <c r="D534" s="168"/>
      <c r="E534" s="168"/>
      <c r="F534" s="168"/>
      <c r="G534" s="168"/>
      <c r="H534" s="168"/>
      <c r="I534" s="168"/>
      <c r="J534" s="168"/>
      <c r="K534" s="168"/>
      <c r="L534" s="168"/>
      <c r="M534" s="168"/>
      <c r="N534" s="168"/>
      <c r="O534" s="433"/>
      <c r="P534" s="122"/>
      <c r="Q534" s="156"/>
      <c r="R534" s="156"/>
      <c r="S534" s="156"/>
      <c r="T534" s="156"/>
      <c r="U534" s="156"/>
      <c r="V534" s="156"/>
      <c r="W534" s="156"/>
      <c r="X534" s="156"/>
      <c r="Y534" s="156"/>
      <c r="Z534" s="157"/>
      <c r="AA534" s="157"/>
      <c r="AB534" s="156"/>
      <c r="AC534" s="156"/>
      <c r="AD534" s="156"/>
      <c r="AE534" s="156"/>
      <c r="AF534" s="156"/>
      <c r="AG534" s="156"/>
      <c r="AH534" s="156"/>
      <c r="AI534" s="156"/>
      <c r="AJ534" s="156"/>
      <c r="AK534" s="156"/>
      <c r="AL534" s="156"/>
      <c r="AM534" s="158"/>
      <c r="AN534" s="156"/>
      <c r="AO534" s="156"/>
      <c r="AP534" s="156"/>
      <c r="AQ534" s="156"/>
      <c r="AR534" s="156"/>
      <c r="AS534" s="156"/>
      <c r="AT534" s="156"/>
      <c r="AU534" s="156"/>
      <c r="AV534" s="156"/>
      <c r="AW534" s="156"/>
      <c r="AX534" s="156"/>
      <c r="AY534" s="156"/>
      <c r="AZ534" s="156"/>
      <c r="BA534" s="153"/>
      <c r="BD534" s="153"/>
      <c r="BE534" s="147"/>
      <c r="BI534" s="153"/>
      <c r="BO534" s="153"/>
      <c r="BW534" s="153"/>
      <c r="CD534" s="146"/>
      <c r="CF534" s="147"/>
      <c r="CI534" s="146"/>
      <c r="CJ534" s="153"/>
      <c r="CV534" s="154"/>
      <c r="CX534" s="154"/>
      <c r="CZ534" s="154"/>
      <c r="DB534" s="154"/>
      <c r="DD534" s="154"/>
      <c r="DH534" s="474"/>
      <c r="DI534" s="459"/>
      <c r="DJ534" s="459"/>
      <c r="DK534" s="459"/>
      <c r="DL534" s="459"/>
      <c r="DM534" s="459"/>
      <c r="DN534" s="459"/>
      <c r="DO534" s="459"/>
      <c r="DP534" s="459"/>
      <c r="DQ534" s="459"/>
      <c r="DR534" s="459"/>
      <c r="DS534" s="459"/>
      <c r="DT534" s="459"/>
      <c r="DU534" s="459"/>
      <c r="DV534" s="468"/>
      <c r="DW534" s="468"/>
      <c r="DX534" s="459"/>
      <c r="DY534" s="459"/>
    </row>
    <row r="535" spans="1:129" s="128" customFormat="1" ht="54.95" customHeight="1" x14ac:dyDescent="0.25">
      <c r="A535" s="377"/>
      <c r="B535" s="175"/>
      <c r="C535" s="393"/>
      <c r="D535" s="168"/>
      <c r="E535" s="168"/>
      <c r="F535" s="168"/>
      <c r="G535" s="168"/>
      <c r="H535" s="168"/>
      <c r="I535" s="168"/>
      <c r="J535" s="168"/>
      <c r="K535" s="168"/>
      <c r="L535" s="168"/>
      <c r="M535" s="168"/>
      <c r="N535" s="168"/>
      <c r="O535" s="433"/>
      <c r="P535" s="122"/>
      <c r="Q535" s="156"/>
      <c r="R535" s="156"/>
      <c r="S535" s="156"/>
      <c r="T535" s="156"/>
      <c r="U535" s="156"/>
      <c r="V535" s="156"/>
      <c r="W535" s="156"/>
      <c r="X535" s="156"/>
      <c r="Y535" s="156"/>
      <c r="Z535" s="157"/>
      <c r="AA535" s="157"/>
      <c r="AB535" s="156"/>
      <c r="AC535" s="156"/>
      <c r="AD535" s="156"/>
      <c r="AE535" s="156"/>
      <c r="AF535" s="156"/>
      <c r="AG535" s="156"/>
      <c r="AH535" s="156"/>
      <c r="AI535" s="156"/>
      <c r="AJ535" s="156"/>
      <c r="AK535" s="156"/>
      <c r="AL535" s="156"/>
      <c r="AM535" s="158"/>
      <c r="AN535" s="156"/>
      <c r="AO535" s="156"/>
      <c r="AP535" s="156"/>
      <c r="AQ535" s="156"/>
      <c r="AR535" s="156"/>
      <c r="AS535" s="156"/>
      <c r="AT535" s="156"/>
      <c r="AU535" s="156"/>
      <c r="AV535" s="156"/>
      <c r="AW535" s="156"/>
      <c r="AX535" s="156"/>
      <c r="AY535" s="156"/>
      <c r="AZ535" s="156"/>
      <c r="BA535" s="153"/>
      <c r="BD535" s="153"/>
      <c r="BE535" s="147"/>
      <c r="BI535" s="153"/>
      <c r="BO535" s="153"/>
      <c r="BW535" s="153"/>
      <c r="CD535" s="146"/>
      <c r="CF535" s="147"/>
      <c r="CI535" s="146"/>
      <c r="CJ535" s="153"/>
      <c r="CV535" s="154"/>
      <c r="CX535" s="154"/>
      <c r="CZ535" s="154"/>
      <c r="DB535" s="154"/>
      <c r="DD535" s="154"/>
      <c r="DH535" s="474"/>
      <c r="DI535" s="459"/>
      <c r="DJ535" s="459"/>
      <c r="DK535" s="459"/>
      <c r="DL535" s="459"/>
      <c r="DM535" s="459"/>
      <c r="DN535" s="459"/>
      <c r="DO535" s="459"/>
      <c r="DP535" s="459"/>
      <c r="DQ535" s="459"/>
      <c r="DR535" s="459"/>
      <c r="DS535" s="459"/>
      <c r="DT535" s="459"/>
      <c r="DU535" s="459"/>
      <c r="DV535" s="468"/>
      <c r="DW535" s="468"/>
      <c r="DX535" s="459"/>
      <c r="DY535" s="459"/>
    </row>
    <row r="536" spans="1:129" s="128" customFormat="1" ht="54.95" customHeight="1" x14ac:dyDescent="0.25">
      <c r="A536" s="377"/>
      <c r="B536" s="175"/>
      <c r="C536" s="393"/>
      <c r="D536" s="168"/>
      <c r="E536" s="168"/>
      <c r="F536" s="168"/>
      <c r="G536" s="168"/>
      <c r="H536" s="168"/>
      <c r="I536" s="168"/>
      <c r="J536" s="168"/>
      <c r="K536" s="168"/>
      <c r="L536" s="168"/>
      <c r="M536" s="168"/>
      <c r="N536" s="168"/>
      <c r="O536" s="433"/>
      <c r="P536" s="122"/>
      <c r="Q536" s="156"/>
      <c r="R536" s="156"/>
      <c r="S536" s="156"/>
      <c r="T536" s="156"/>
      <c r="U536" s="156"/>
      <c r="V536" s="156"/>
      <c r="W536" s="156"/>
      <c r="X536" s="156"/>
      <c r="Y536" s="156"/>
      <c r="Z536" s="157"/>
      <c r="AA536" s="157"/>
      <c r="AB536" s="156"/>
      <c r="AC536" s="156"/>
      <c r="AD536" s="156"/>
      <c r="AE536" s="156"/>
      <c r="AF536" s="156"/>
      <c r="AG536" s="156"/>
      <c r="AH536" s="156"/>
      <c r="AI536" s="156"/>
      <c r="AJ536" s="156"/>
      <c r="AK536" s="156"/>
      <c r="AL536" s="156"/>
      <c r="AM536" s="158"/>
      <c r="AN536" s="156"/>
      <c r="AO536" s="156"/>
      <c r="AP536" s="156"/>
      <c r="AQ536" s="156"/>
      <c r="AR536" s="156"/>
      <c r="AS536" s="156"/>
      <c r="AT536" s="156"/>
      <c r="AU536" s="156"/>
      <c r="AV536" s="156"/>
      <c r="AW536" s="156"/>
      <c r="AX536" s="156"/>
      <c r="AY536" s="156"/>
      <c r="AZ536" s="156"/>
      <c r="BA536" s="153"/>
      <c r="BD536" s="153"/>
      <c r="BE536" s="147"/>
      <c r="BI536" s="153"/>
      <c r="BO536" s="153"/>
      <c r="BW536" s="153"/>
      <c r="CD536" s="146"/>
      <c r="CF536" s="147"/>
      <c r="CI536" s="146"/>
      <c r="CJ536" s="153"/>
      <c r="CV536" s="154"/>
      <c r="CX536" s="154"/>
      <c r="CZ536" s="154"/>
      <c r="DB536" s="154"/>
      <c r="DD536" s="154"/>
      <c r="DH536" s="474"/>
      <c r="DI536" s="459"/>
      <c r="DJ536" s="459"/>
      <c r="DK536" s="459"/>
      <c r="DL536" s="459"/>
      <c r="DM536" s="459"/>
      <c r="DN536" s="459"/>
      <c r="DO536" s="459"/>
      <c r="DP536" s="459"/>
      <c r="DQ536" s="459"/>
      <c r="DR536" s="459"/>
      <c r="DS536" s="459"/>
      <c r="DT536" s="459"/>
      <c r="DU536" s="459"/>
      <c r="DV536" s="468"/>
      <c r="DW536" s="468"/>
      <c r="DX536" s="459"/>
      <c r="DY536" s="459"/>
    </row>
    <row r="537" spans="1:129" s="128" customFormat="1" ht="54.95" customHeight="1" x14ac:dyDescent="0.25">
      <c r="A537" s="377"/>
      <c r="B537" s="175"/>
      <c r="C537" s="393"/>
      <c r="D537" s="168"/>
      <c r="E537" s="168"/>
      <c r="F537" s="168"/>
      <c r="G537" s="168"/>
      <c r="H537" s="168"/>
      <c r="I537" s="168"/>
      <c r="J537" s="168"/>
      <c r="K537" s="168"/>
      <c r="L537" s="168"/>
      <c r="M537" s="168"/>
      <c r="N537" s="168"/>
      <c r="O537" s="433"/>
      <c r="P537" s="122"/>
      <c r="Q537" s="156"/>
      <c r="R537" s="156"/>
      <c r="S537" s="156"/>
      <c r="T537" s="156"/>
      <c r="U537" s="156"/>
      <c r="V537" s="156"/>
      <c r="W537" s="156"/>
      <c r="X537" s="156"/>
      <c r="Y537" s="156"/>
      <c r="Z537" s="157"/>
      <c r="AA537" s="157"/>
      <c r="AB537" s="156"/>
      <c r="AC537" s="156"/>
      <c r="AD537" s="156"/>
      <c r="AE537" s="156"/>
      <c r="AF537" s="156"/>
      <c r="AG537" s="156"/>
      <c r="AH537" s="156"/>
      <c r="AI537" s="156"/>
      <c r="AJ537" s="156"/>
      <c r="AK537" s="156"/>
      <c r="AL537" s="156"/>
      <c r="AM537" s="158"/>
      <c r="AN537" s="156"/>
      <c r="AO537" s="156"/>
      <c r="AP537" s="156"/>
      <c r="AQ537" s="156"/>
      <c r="AR537" s="156"/>
      <c r="AS537" s="156"/>
      <c r="AT537" s="156"/>
      <c r="AU537" s="156"/>
      <c r="AV537" s="156"/>
      <c r="AW537" s="156"/>
      <c r="AX537" s="156"/>
      <c r="AY537" s="156"/>
      <c r="AZ537" s="156"/>
      <c r="BA537" s="153"/>
      <c r="BD537" s="153"/>
      <c r="BE537" s="147"/>
      <c r="BI537" s="153"/>
      <c r="BO537" s="153"/>
      <c r="BW537" s="153"/>
      <c r="CD537" s="146"/>
      <c r="CF537" s="147"/>
      <c r="CI537" s="146"/>
      <c r="CJ537" s="153"/>
      <c r="CV537" s="154"/>
      <c r="CX537" s="154"/>
      <c r="CZ537" s="154"/>
      <c r="DB537" s="154"/>
      <c r="DD537" s="154"/>
      <c r="DH537" s="474"/>
      <c r="DI537" s="459"/>
      <c r="DJ537" s="459"/>
      <c r="DK537" s="459"/>
      <c r="DL537" s="459"/>
      <c r="DM537" s="459"/>
      <c r="DN537" s="459"/>
      <c r="DO537" s="459"/>
      <c r="DP537" s="459"/>
      <c r="DQ537" s="459"/>
      <c r="DR537" s="459"/>
      <c r="DS537" s="459"/>
      <c r="DT537" s="459"/>
      <c r="DU537" s="459"/>
      <c r="DV537" s="468"/>
      <c r="DW537" s="468"/>
      <c r="DX537" s="459"/>
      <c r="DY537" s="459"/>
    </row>
    <row r="538" spans="1:129" s="128" customFormat="1" ht="54.95" customHeight="1" x14ac:dyDescent="0.25">
      <c r="A538" s="377"/>
      <c r="B538" s="175"/>
      <c r="C538" s="393"/>
      <c r="D538" s="168"/>
      <c r="E538" s="168"/>
      <c r="F538" s="168"/>
      <c r="G538" s="168"/>
      <c r="H538" s="168"/>
      <c r="I538" s="168"/>
      <c r="J538" s="168"/>
      <c r="K538" s="168"/>
      <c r="L538" s="168"/>
      <c r="M538" s="168"/>
      <c r="N538" s="168"/>
      <c r="O538" s="433"/>
      <c r="P538" s="122"/>
      <c r="Q538" s="156"/>
      <c r="R538" s="156"/>
      <c r="S538" s="156"/>
      <c r="T538" s="156"/>
      <c r="U538" s="156"/>
      <c r="V538" s="156"/>
      <c r="W538" s="156"/>
      <c r="X538" s="156"/>
      <c r="Y538" s="156"/>
      <c r="Z538" s="157"/>
      <c r="AA538" s="157"/>
      <c r="AB538" s="156"/>
      <c r="AC538" s="156"/>
      <c r="AD538" s="156"/>
      <c r="AE538" s="156"/>
      <c r="AF538" s="156"/>
      <c r="AG538" s="156"/>
      <c r="AH538" s="156"/>
      <c r="AI538" s="156"/>
      <c r="AJ538" s="156"/>
      <c r="AK538" s="156"/>
      <c r="AL538" s="156"/>
      <c r="AM538" s="158"/>
      <c r="AN538" s="156"/>
      <c r="AO538" s="156"/>
      <c r="AP538" s="156"/>
      <c r="AQ538" s="156"/>
      <c r="AR538" s="156"/>
      <c r="AS538" s="156"/>
      <c r="AT538" s="156"/>
      <c r="AU538" s="156"/>
      <c r="AV538" s="156"/>
      <c r="AW538" s="156"/>
      <c r="AX538" s="156"/>
      <c r="AY538" s="156"/>
      <c r="AZ538" s="156"/>
      <c r="BA538" s="153"/>
      <c r="BD538" s="153"/>
      <c r="BE538" s="147"/>
      <c r="BI538" s="153"/>
      <c r="BO538" s="153"/>
      <c r="BW538" s="153"/>
      <c r="CD538" s="146"/>
      <c r="CF538" s="147"/>
      <c r="CI538" s="146"/>
      <c r="CJ538" s="153"/>
      <c r="CV538" s="154"/>
      <c r="CX538" s="154"/>
      <c r="CZ538" s="154"/>
      <c r="DB538" s="154"/>
      <c r="DD538" s="154"/>
      <c r="DH538" s="474"/>
      <c r="DI538" s="459"/>
      <c r="DJ538" s="459"/>
      <c r="DK538" s="459"/>
      <c r="DL538" s="459"/>
      <c r="DM538" s="459"/>
      <c r="DN538" s="459"/>
      <c r="DO538" s="459"/>
      <c r="DP538" s="459"/>
      <c r="DQ538" s="459"/>
      <c r="DR538" s="459"/>
      <c r="DS538" s="459"/>
      <c r="DT538" s="459"/>
      <c r="DU538" s="459"/>
      <c r="DV538" s="468"/>
      <c r="DW538" s="468"/>
      <c r="DX538" s="459"/>
      <c r="DY538" s="459"/>
    </row>
    <row r="539" spans="1:129" s="128" customFormat="1" ht="54.95" customHeight="1" x14ac:dyDescent="0.25">
      <c r="A539" s="377"/>
      <c r="B539" s="175"/>
      <c r="C539" s="393"/>
      <c r="D539" s="168"/>
      <c r="E539" s="168"/>
      <c r="F539" s="168"/>
      <c r="G539" s="168"/>
      <c r="H539" s="168"/>
      <c r="I539" s="168"/>
      <c r="J539" s="168"/>
      <c r="K539" s="168"/>
      <c r="L539" s="168"/>
      <c r="M539" s="168"/>
      <c r="N539" s="168"/>
      <c r="O539" s="433"/>
      <c r="P539" s="122"/>
      <c r="Q539" s="156"/>
      <c r="R539" s="156"/>
      <c r="S539" s="156"/>
      <c r="T539" s="156"/>
      <c r="U539" s="156"/>
      <c r="V539" s="156"/>
      <c r="W539" s="156"/>
      <c r="X539" s="156"/>
      <c r="Y539" s="156"/>
      <c r="Z539" s="157"/>
      <c r="AA539" s="157"/>
      <c r="AB539" s="156"/>
      <c r="AC539" s="156"/>
      <c r="AD539" s="156"/>
      <c r="AE539" s="156"/>
      <c r="AF539" s="156"/>
      <c r="AG539" s="156"/>
      <c r="AH539" s="156"/>
      <c r="AI539" s="156"/>
      <c r="AJ539" s="156"/>
      <c r="AK539" s="156"/>
      <c r="AL539" s="156"/>
      <c r="AM539" s="158"/>
      <c r="AN539" s="156"/>
      <c r="AO539" s="156"/>
      <c r="AP539" s="156"/>
      <c r="AQ539" s="156"/>
      <c r="AR539" s="156"/>
      <c r="AS539" s="156"/>
      <c r="AT539" s="156"/>
      <c r="AU539" s="156"/>
      <c r="AV539" s="156"/>
      <c r="AW539" s="156"/>
      <c r="AX539" s="156"/>
      <c r="AY539" s="156"/>
      <c r="AZ539" s="156"/>
      <c r="BA539" s="153"/>
      <c r="BD539" s="153"/>
      <c r="BE539" s="147"/>
      <c r="BI539" s="153"/>
      <c r="BO539" s="153"/>
      <c r="BW539" s="153"/>
      <c r="CD539" s="146"/>
      <c r="CF539" s="147"/>
      <c r="CI539" s="146"/>
      <c r="CJ539" s="153"/>
      <c r="CV539" s="154"/>
      <c r="CX539" s="154"/>
      <c r="CZ539" s="154"/>
      <c r="DB539" s="154"/>
      <c r="DD539" s="154"/>
      <c r="DH539" s="474"/>
      <c r="DI539" s="459"/>
      <c r="DJ539" s="459"/>
      <c r="DK539" s="459"/>
      <c r="DL539" s="459"/>
      <c r="DM539" s="459"/>
      <c r="DN539" s="459"/>
      <c r="DO539" s="459"/>
      <c r="DP539" s="459"/>
      <c r="DQ539" s="459"/>
      <c r="DR539" s="459"/>
      <c r="DS539" s="459"/>
      <c r="DT539" s="459"/>
      <c r="DU539" s="459"/>
      <c r="DV539" s="468"/>
      <c r="DW539" s="468"/>
      <c r="DX539" s="459"/>
      <c r="DY539" s="459"/>
    </row>
    <row r="540" spans="1:129" s="128" customFormat="1" ht="54.95" customHeight="1" x14ac:dyDescent="0.25">
      <c r="A540" s="377"/>
      <c r="B540" s="175"/>
      <c r="C540" s="393"/>
      <c r="D540" s="168"/>
      <c r="E540" s="168"/>
      <c r="F540" s="168"/>
      <c r="G540" s="168"/>
      <c r="H540" s="168"/>
      <c r="I540" s="168"/>
      <c r="J540" s="168"/>
      <c r="K540" s="168"/>
      <c r="L540" s="168"/>
      <c r="M540" s="168"/>
      <c r="N540" s="168"/>
      <c r="O540" s="433"/>
      <c r="P540" s="122"/>
      <c r="Q540" s="156"/>
      <c r="R540" s="156"/>
      <c r="S540" s="156"/>
      <c r="T540" s="156"/>
      <c r="U540" s="156"/>
      <c r="V540" s="156"/>
      <c r="W540" s="156"/>
      <c r="X540" s="156"/>
      <c r="Y540" s="156"/>
      <c r="Z540" s="157"/>
      <c r="AA540" s="157"/>
      <c r="AB540" s="156"/>
      <c r="AC540" s="156"/>
      <c r="AD540" s="156"/>
      <c r="AE540" s="156"/>
      <c r="AF540" s="156"/>
      <c r="AG540" s="156"/>
      <c r="AH540" s="156"/>
      <c r="AI540" s="156"/>
      <c r="AJ540" s="156"/>
      <c r="AK540" s="156"/>
      <c r="AL540" s="156"/>
      <c r="AM540" s="158"/>
      <c r="AN540" s="156"/>
      <c r="AO540" s="156"/>
      <c r="AP540" s="156"/>
      <c r="AQ540" s="156"/>
      <c r="AR540" s="156"/>
      <c r="AS540" s="156"/>
      <c r="AT540" s="156"/>
      <c r="AU540" s="156"/>
      <c r="AV540" s="156"/>
      <c r="AW540" s="156"/>
      <c r="AX540" s="156"/>
      <c r="AY540" s="156"/>
      <c r="AZ540" s="156"/>
      <c r="BA540" s="153"/>
      <c r="BD540" s="153"/>
      <c r="BE540" s="147"/>
      <c r="BI540" s="153"/>
      <c r="BO540" s="153"/>
      <c r="BW540" s="153"/>
      <c r="CD540" s="146"/>
      <c r="CF540" s="147"/>
      <c r="CI540" s="146"/>
      <c r="CJ540" s="153"/>
      <c r="CV540" s="154"/>
      <c r="CX540" s="154"/>
      <c r="CZ540" s="154"/>
      <c r="DB540" s="154"/>
      <c r="DD540" s="154"/>
      <c r="DH540" s="474"/>
      <c r="DI540" s="459"/>
      <c r="DJ540" s="459"/>
      <c r="DK540" s="459"/>
      <c r="DL540" s="459"/>
      <c r="DM540" s="459"/>
      <c r="DN540" s="459"/>
      <c r="DO540" s="459"/>
      <c r="DP540" s="459"/>
      <c r="DQ540" s="459"/>
      <c r="DR540" s="459"/>
      <c r="DS540" s="459"/>
      <c r="DT540" s="459"/>
      <c r="DU540" s="459"/>
      <c r="DV540" s="468"/>
      <c r="DW540" s="468"/>
      <c r="DX540" s="459"/>
      <c r="DY540" s="459"/>
    </row>
    <row r="541" spans="1:129" s="128" customFormat="1" ht="54.95" customHeight="1" x14ac:dyDescent="0.25">
      <c r="A541" s="377"/>
      <c r="B541" s="175"/>
      <c r="C541" s="393"/>
      <c r="D541" s="168"/>
      <c r="E541" s="168"/>
      <c r="F541" s="168"/>
      <c r="G541" s="168"/>
      <c r="H541" s="168"/>
      <c r="I541" s="168"/>
      <c r="J541" s="168"/>
      <c r="K541" s="168"/>
      <c r="L541" s="168"/>
      <c r="M541" s="168"/>
      <c r="N541" s="168"/>
      <c r="O541" s="433"/>
      <c r="P541" s="122"/>
      <c r="Q541" s="156"/>
      <c r="R541" s="156"/>
      <c r="S541" s="156"/>
      <c r="T541" s="156"/>
      <c r="U541" s="156"/>
      <c r="V541" s="156"/>
      <c r="W541" s="156"/>
      <c r="X541" s="156"/>
      <c r="Y541" s="156"/>
      <c r="Z541" s="157"/>
      <c r="AA541" s="157"/>
      <c r="AB541" s="156"/>
      <c r="AC541" s="156"/>
      <c r="AD541" s="156"/>
      <c r="AE541" s="156"/>
      <c r="AF541" s="156"/>
      <c r="AG541" s="156"/>
      <c r="AH541" s="156"/>
      <c r="AI541" s="156"/>
      <c r="AJ541" s="156"/>
      <c r="AK541" s="156"/>
      <c r="AL541" s="156"/>
      <c r="AM541" s="158"/>
      <c r="AN541" s="156"/>
      <c r="AO541" s="156"/>
      <c r="AP541" s="156"/>
      <c r="AQ541" s="156"/>
      <c r="AR541" s="156"/>
      <c r="AS541" s="156"/>
      <c r="AT541" s="156"/>
      <c r="AU541" s="156"/>
      <c r="AV541" s="156"/>
      <c r="AW541" s="156"/>
      <c r="AX541" s="156"/>
      <c r="AY541" s="156"/>
      <c r="AZ541" s="156"/>
      <c r="BA541" s="153"/>
      <c r="BD541" s="153"/>
      <c r="BE541" s="147"/>
      <c r="BI541" s="153"/>
      <c r="BO541" s="153"/>
      <c r="BW541" s="153"/>
      <c r="CD541" s="146"/>
      <c r="CF541" s="147"/>
      <c r="CI541" s="146"/>
      <c r="CJ541" s="153"/>
      <c r="CV541" s="154"/>
      <c r="CX541" s="154"/>
      <c r="CZ541" s="154"/>
      <c r="DB541" s="154"/>
      <c r="DD541" s="154"/>
      <c r="DH541" s="474"/>
      <c r="DI541" s="459"/>
      <c r="DJ541" s="459"/>
      <c r="DK541" s="459"/>
      <c r="DL541" s="459"/>
      <c r="DM541" s="459"/>
      <c r="DN541" s="459"/>
      <c r="DO541" s="459"/>
      <c r="DP541" s="459"/>
      <c r="DQ541" s="459"/>
      <c r="DR541" s="459"/>
      <c r="DS541" s="459"/>
      <c r="DT541" s="459"/>
      <c r="DU541" s="459"/>
      <c r="DV541" s="468"/>
      <c r="DW541" s="468"/>
      <c r="DX541" s="459"/>
      <c r="DY541" s="459"/>
    </row>
    <row r="542" spans="1:129" s="128" customFormat="1" ht="54.95" customHeight="1" x14ac:dyDescent="0.25">
      <c r="A542" s="377"/>
      <c r="B542" s="175"/>
      <c r="C542" s="393"/>
      <c r="D542" s="168"/>
      <c r="E542" s="168"/>
      <c r="F542" s="168"/>
      <c r="G542" s="168"/>
      <c r="H542" s="168"/>
      <c r="I542" s="168"/>
      <c r="J542" s="168"/>
      <c r="K542" s="168"/>
      <c r="L542" s="168"/>
      <c r="M542" s="168"/>
      <c r="N542" s="168"/>
      <c r="O542" s="433"/>
      <c r="P542" s="122"/>
      <c r="Q542" s="156"/>
      <c r="R542" s="156"/>
      <c r="S542" s="156"/>
      <c r="T542" s="156"/>
      <c r="U542" s="156"/>
      <c r="V542" s="156"/>
      <c r="W542" s="156"/>
      <c r="X542" s="156"/>
      <c r="Y542" s="156"/>
      <c r="Z542" s="157"/>
      <c r="AA542" s="157"/>
      <c r="AB542" s="156"/>
      <c r="AC542" s="156"/>
      <c r="AD542" s="156"/>
      <c r="AE542" s="156"/>
      <c r="AF542" s="156"/>
      <c r="AG542" s="156"/>
      <c r="AH542" s="156"/>
      <c r="AI542" s="156"/>
      <c r="AJ542" s="156"/>
      <c r="AK542" s="156"/>
      <c r="AL542" s="156"/>
      <c r="AM542" s="158"/>
      <c r="AN542" s="156"/>
      <c r="AO542" s="156"/>
      <c r="AP542" s="156"/>
      <c r="AQ542" s="156"/>
      <c r="AR542" s="156"/>
      <c r="AS542" s="156"/>
      <c r="AT542" s="156"/>
      <c r="AU542" s="156"/>
      <c r="AV542" s="156"/>
      <c r="AW542" s="156"/>
      <c r="AX542" s="156"/>
      <c r="AY542" s="156"/>
      <c r="AZ542" s="156"/>
      <c r="BA542" s="153"/>
      <c r="BD542" s="153"/>
      <c r="BE542" s="147"/>
      <c r="BI542" s="153"/>
      <c r="BO542" s="153"/>
      <c r="BW542" s="153"/>
      <c r="CD542" s="146"/>
      <c r="CF542" s="147"/>
      <c r="CI542" s="146"/>
      <c r="CJ542" s="153"/>
      <c r="CV542" s="154"/>
      <c r="CX542" s="154"/>
      <c r="CZ542" s="154"/>
      <c r="DB542" s="154"/>
      <c r="DD542" s="154"/>
      <c r="DH542" s="474"/>
      <c r="DI542" s="459"/>
      <c r="DJ542" s="459"/>
      <c r="DK542" s="459"/>
      <c r="DL542" s="459"/>
      <c r="DM542" s="459"/>
      <c r="DN542" s="459"/>
      <c r="DO542" s="459"/>
      <c r="DP542" s="459"/>
      <c r="DQ542" s="459"/>
      <c r="DR542" s="459"/>
      <c r="DS542" s="459"/>
      <c r="DT542" s="459"/>
      <c r="DU542" s="459"/>
      <c r="DV542" s="468"/>
      <c r="DW542" s="468"/>
      <c r="DX542" s="459"/>
      <c r="DY542" s="459"/>
    </row>
    <row r="543" spans="1:129" s="128" customFormat="1" ht="54.95" customHeight="1" x14ac:dyDescent="0.25">
      <c r="A543" s="377"/>
      <c r="B543" s="175"/>
      <c r="C543" s="393"/>
      <c r="D543" s="168"/>
      <c r="E543" s="168"/>
      <c r="F543" s="168"/>
      <c r="G543" s="168"/>
      <c r="H543" s="168"/>
      <c r="I543" s="168"/>
      <c r="J543" s="168"/>
      <c r="K543" s="168"/>
      <c r="L543" s="168"/>
      <c r="M543" s="168"/>
      <c r="N543" s="168"/>
      <c r="O543" s="433"/>
      <c r="P543" s="122"/>
      <c r="Q543" s="156"/>
      <c r="R543" s="156"/>
      <c r="S543" s="156"/>
      <c r="T543" s="156"/>
      <c r="U543" s="156"/>
      <c r="V543" s="156"/>
      <c r="W543" s="156"/>
      <c r="X543" s="156"/>
      <c r="Y543" s="156"/>
      <c r="Z543" s="157"/>
      <c r="AA543" s="157"/>
      <c r="AB543" s="156"/>
      <c r="AC543" s="156"/>
      <c r="AD543" s="156"/>
      <c r="AE543" s="156"/>
      <c r="AF543" s="156"/>
      <c r="AG543" s="156"/>
      <c r="AH543" s="156"/>
      <c r="AI543" s="156"/>
      <c r="AJ543" s="156"/>
      <c r="AK543" s="156"/>
      <c r="AL543" s="156"/>
      <c r="AM543" s="158"/>
      <c r="AN543" s="156"/>
      <c r="AO543" s="156"/>
      <c r="AP543" s="156"/>
      <c r="AQ543" s="156"/>
      <c r="AR543" s="156"/>
      <c r="AS543" s="156"/>
      <c r="AT543" s="156"/>
      <c r="AU543" s="156"/>
      <c r="AV543" s="156"/>
      <c r="AW543" s="156"/>
      <c r="AX543" s="156"/>
      <c r="AY543" s="156"/>
      <c r="AZ543" s="156"/>
      <c r="BA543" s="153"/>
      <c r="BD543" s="153"/>
      <c r="BE543" s="147"/>
      <c r="BI543" s="153"/>
      <c r="BO543" s="153"/>
      <c r="BW543" s="153"/>
      <c r="CD543" s="146"/>
      <c r="CF543" s="147"/>
      <c r="CI543" s="146"/>
      <c r="CJ543" s="153"/>
      <c r="CV543" s="154"/>
      <c r="CX543" s="154"/>
      <c r="CZ543" s="154"/>
      <c r="DB543" s="154"/>
      <c r="DD543" s="154"/>
      <c r="DH543" s="474"/>
      <c r="DI543" s="459"/>
      <c r="DJ543" s="459"/>
      <c r="DK543" s="459"/>
      <c r="DL543" s="459"/>
      <c r="DM543" s="459"/>
      <c r="DN543" s="459"/>
      <c r="DO543" s="459"/>
      <c r="DP543" s="459"/>
      <c r="DQ543" s="459"/>
      <c r="DR543" s="459"/>
      <c r="DS543" s="459"/>
      <c r="DT543" s="459"/>
      <c r="DU543" s="459"/>
      <c r="DV543" s="468"/>
      <c r="DW543" s="468"/>
      <c r="DX543" s="459"/>
      <c r="DY543" s="459"/>
    </row>
    <row r="544" spans="1:129" s="128" customFormat="1" ht="54.95" customHeight="1" x14ac:dyDescent="0.25">
      <c r="A544" s="377"/>
      <c r="B544" s="175"/>
      <c r="C544" s="393"/>
      <c r="D544" s="168"/>
      <c r="E544" s="168"/>
      <c r="F544" s="168"/>
      <c r="G544" s="168"/>
      <c r="H544" s="168"/>
      <c r="I544" s="168"/>
      <c r="J544" s="168"/>
      <c r="K544" s="168"/>
      <c r="L544" s="168"/>
      <c r="M544" s="168"/>
      <c r="N544" s="168"/>
      <c r="O544" s="433"/>
      <c r="P544" s="122"/>
      <c r="Q544" s="156"/>
      <c r="R544" s="156"/>
      <c r="S544" s="156"/>
      <c r="T544" s="156"/>
      <c r="U544" s="156"/>
      <c r="V544" s="156"/>
      <c r="W544" s="156"/>
      <c r="X544" s="156"/>
      <c r="Y544" s="156"/>
      <c r="Z544" s="157"/>
      <c r="AA544" s="157"/>
      <c r="AB544" s="156"/>
      <c r="AC544" s="156"/>
      <c r="AD544" s="156"/>
      <c r="AE544" s="156"/>
      <c r="AF544" s="156"/>
      <c r="AG544" s="156"/>
      <c r="AH544" s="156"/>
      <c r="AI544" s="156"/>
      <c r="AJ544" s="156"/>
      <c r="AK544" s="156"/>
      <c r="AL544" s="156"/>
      <c r="AM544" s="158"/>
      <c r="AN544" s="156"/>
      <c r="AO544" s="156"/>
      <c r="AP544" s="156"/>
      <c r="AQ544" s="156"/>
      <c r="AR544" s="156"/>
      <c r="AS544" s="156"/>
      <c r="AT544" s="156"/>
      <c r="AU544" s="156"/>
      <c r="AV544" s="156"/>
      <c r="AW544" s="156"/>
      <c r="AX544" s="156"/>
      <c r="AY544" s="156"/>
      <c r="AZ544" s="156"/>
      <c r="BA544" s="153"/>
      <c r="BD544" s="153"/>
      <c r="BE544" s="147"/>
      <c r="BI544" s="153"/>
      <c r="BO544" s="153"/>
      <c r="BW544" s="153"/>
      <c r="CD544" s="146"/>
      <c r="CF544" s="147"/>
      <c r="CI544" s="146"/>
      <c r="CJ544" s="153"/>
      <c r="CV544" s="154"/>
      <c r="CX544" s="154"/>
      <c r="CZ544" s="154"/>
      <c r="DB544" s="154"/>
      <c r="DD544" s="154"/>
      <c r="DH544" s="474"/>
      <c r="DI544" s="459"/>
      <c r="DJ544" s="459"/>
      <c r="DK544" s="459"/>
      <c r="DL544" s="459"/>
      <c r="DM544" s="459"/>
      <c r="DN544" s="459"/>
      <c r="DO544" s="459"/>
      <c r="DP544" s="459"/>
      <c r="DQ544" s="459"/>
      <c r="DR544" s="459"/>
      <c r="DS544" s="459"/>
      <c r="DT544" s="459"/>
      <c r="DU544" s="459"/>
      <c r="DV544" s="468"/>
      <c r="DW544" s="468"/>
      <c r="DX544" s="459"/>
      <c r="DY544" s="459"/>
    </row>
    <row r="545" spans="1:129" s="128" customFormat="1" ht="54.95" customHeight="1" x14ac:dyDescent="0.25">
      <c r="A545" s="377"/>
      <c r="B545" s="175"/>
      <c r="C545" s="393"/>
      <c r="D545" s="168"/>
      <c r="E545" s="168"/>
      <c r="F545" s="168"/>
      <c r="G545" s="168"/>
      <c r="H545" s="168"/>
      <c r="I545" s="168"/>
      <c r="J545" s="168"/>
      <c r="K545" s="168"/>
      <c r="L545" s="168"/>
      <c r="M545" s="168"/>
      <c r="N545" s="168"/>
      <c r="O545" s="433"/>
      <c r="P545" s="122"/>
      <c r="Q545" s="156"/>
      <c r="R545" s="156"/>
      <c r="S545" s="156"/>
      <c r="T545" s="156"/>
      <c r="U545" s="156"/>
      <c r="V545" s="156"/>
      <c r="W545" s="156"/>
      <c r="X545" s="156"/>
      <c r="Y545" s="156"/>
      <c r="Z545" s="157"/>
      <c r="AA545" s="157"/>
      <c r="AB545" s="156"/>
      <c r="AC545" s="156"/>
      <c r="AD545" s="156"/>
      <c r="AE545" s="156"/>
      <c r="AF545" s="156"/>
      <c r="AG545" s="156"/>
      <c r="AH545" s="156"/>
      <c r="AI545" s="156"/>
      <c r="AJ545" s="156"/>
      <c r="AK545" s="156"/>
      <c r="AL545" s="156"/>
      <c r="AM545" s="158"/>
      <c r="AN545" s="156"/>
      <c r="AO545" s="156"/>
      <c r="AP545" s="156"/>
      <c r="AQ545" s="156"/>
      <c r="AR545" s="156"/>
      <c r="AS545" s="156"/>
      <c r="AT545" s="156"/>
      <c r="AU545" s="156"/>
      <c r="AV545" s="156"/>
      <c r="AW545" s="156"/>
      <c r="AX545" s="156"/>
      <c r="AY545" s="156"/>
      <c r="AZ545" s="156"/>
      <c r="BA545" s="153"/>
      <c r="BD545" s="153"/>
      <c r="BE545" s="147"/>
      <c r="BI545" s="153"/>
      <c r="BO545" s="153"/>
      <c r="BW545" s="153"/>
      <c r="CD545" s="146"/>
      <c r="CF545" s="147"/>
      <c r="CI545" s="146"/>
      <c r="CJ545" s="153"/>
      <c r="CV545" s="154"/>
      <c r="CX545" s="154"/>
      <c r="CZ545" s="154"/>
      <c r="DB545" s="154"/>
      <c r="DD545" s="154"/>
      <c r="DH545" s="474"/>
      <c r="DI545" s="459"/>
      <c r="DJ545" s="459"/>
      <c r="DK545" s="459"/>
      <c r="DL545" s="459"/>
      <c r="DM545" s="459"/>
      <c r="DN545" s="459"/>
      <c r="DO545" s="459"/>
      <c r="DP545" s="459"/>
      <c r="DQ545" s="459"/>
      <c r="DR545" s="459"/>
      <c r="DS545" s="459"/>
      <c r="DT545" s="459"/>
      <c r="DU545" s="459"/>
      <c r="DV545" s="468"/>
      <c r="DW545" s="468"/>
      <c r="DX545" s="459"/>
      <c r="DY545" s="459"/>
    </row>
    <row r="546" spans="1:129" s="128" customFormat="1" ht="54.95" customHeight="1" x14ac:dyDescent="0.25">
      <c r="A546" s="377"/>
      <c r="B546" s="175"/>
      <c r="C546" s="393"/>
      <c r="D546" s="168"/>
      <c r="E546" s="168"/>
      <c r="F546" s="168"/>
      <c r="G546" s="168"/>
      <c r="H546" s="168"/>
      <c r="I546" s="168"/>
      <c r="J546" s="168"/>
      <c r="K546" s="168"/>
      <c r="L546" s="168"/>
      <c r="M546" s="168"/>
      <c r="N546" s="168"/>
      <c r="O546" s="433"/>
      <c r="P546" s="122"/>
      <c r="Q546" s="156"/>
      <c r="R546" s="156"/>
      <c r="S546" s="156"/>
      <c r="T546" s="156"/>
      <c r="U546" s="156"/>
      <c r="V546" s="156"/>
      <c r="W546" s="156"/>
      <c r="X546" s="156"/>
      <c r="Y546" s="156"/>
      <c r="Z546" s="157"/>
      <c r="AA546" s="157"/>
      <c r="AB546" s="156"/>
      <c r="AC546" s="156"/>
      <c r="AD546" s="156"/>
      <c r="AE546" s="156"/>
      <c r="AF546" s="156"/>
      <c r="AG546" s="156"/>
      <c r="AH546" s="156"/>
      <c r="AI546" s="156"/>
      <c r="AJ546" s="156"/>
      <c r="AK546" s="156"/>
      <c r="AL546" s="156"/>
      <c r="AM546" s="158"/>
      <c r="AN546" s="156"/>
      <c r="AO546" s="156"/>
      <c r="AP546" s="156"/>
      <c r="AQ546" s="156"/>
      <c r="AR546" s="156"/>
      <c r="AS546" s="156"/>
      <c r="AT546" s="156"/>
      <c r="AU546" s="156"/>
      <c r="AV546" s="156"/>
      <c r="AW546" s="156"/>
      <c r="AX546" s="156"/>
      <c r="AY546" s="156"/>
      <c r="AZ546" s="156"/>
      <c r="BA546" s="153"/>
      <c r="BD546" s="153"/>
      <c r="BE546" s="147"/>
      <c r="BI546" s="153"/>
      <c r="BO546" s="153"/>
      <c r="BW546" s="153"/>
      <c r="CD546" s="146"/>
      <c r="CF546" s="147"/>
      <c r="CI546" s="146"/>
      <c r="CJ546" s="153"/>
      <c r="CV546" s="154"/>
      <c r="CX546" s="154"/>
      <c r="CZ546" s="154"/>
      <c r="DB546" s="154"/>
      <c r="DD546" s="154"/>
      <c r="DH546" s="474"/>
      <c r="DI546" s="459"/>
      <c r="DJ546" s="459"/>
      <c r="DK546" s="459"/>
      <c r="DL546" s="459"/>
      <c r="DM546" s="459"/>
      <c r="DN546" s="459"/>
      <c r="DO546" s="459"/>
      <c r="DP546" s="459"/>
      <c r="DQ546" s="459"/>
      <c r="DR546" s="459"/>
      <c r="DS546" s="459"/>
      <c r="DT546" s="459"/>
      <c r="DU546" s="459"/>
      <c r="DV546" s="468"/>
      <c r="DW546" s="468"/>
      <c r="DX546" s="459"/>
      <c r="DY546" s="459"/>
    </row>
    <row r="547" spans="1:129" s="128" customFormat="1" ht="54.95" customHeight="1" x14ac:dyDescent="0.25">
      <c r="A547" s="377"/>
      <c r="B547" s="175"/>
      <c r="C547" s="393"/>
      <c r="D547" s="168"/>
      <c r="E547" s="168"/>
      <c r="F547" s="168"/>
      <c r="G547" s="168"/>
      <c r="H547" s="168"/>
      <c r="I547" s="168"/>
      <c r="J547" s="168"/>
      <c r="K547" s="168"/>
      <c r="L547" s="168"/>
      <c r="M547" s="168"/>
      <c r="N547" s="168"/>
      <c r="O547" s="433"/>
      <c r="P547" s="122"/>
      <c r="Q547" s="156"/>
      <c r="R547" s="156"/>
      <c r="S547" s="156"/>
      <c r="T547" s="156"/>
      <c r="U547" s="156"/>
      <c r="V547" s="156"/>
      <c r="W547" s="156"/>
      <c r="X547" s="156"/>
      <c r="Y547" s="156"/>
      <c r="Z547" s="157"/>
      <c r="AA547" s="157"/>
      <c r="AB547" s="156"/>
      <c r="AC547" s="156"/>
      <c r="AD547" s="156"/>
      <c r="AE547" s="156"/>
      <c r="AF547" s="156"/>
      <c r="AG547" s="156"/>
      <c r="AH547" s="156"/>
      <c r="AI547" s="156"/>
      <c r="AJ547" s="156"/>
      <c r="AK547" s="156"/>
      <c r="AL547" s="156"/>
      <c r="AM547" s="158"/>
      <c r="AN547" s="156"/>
      <c r="AO547" s="156"/>
      <c r="AP547" s="156"/>
      <c r="AQ547" s="156"/>
      <c r="AR547" s="156"/>
      <c r="AS547" s="156"/>
      <c r="AT547" s="156"/>
      <c r="AU547" s="156"/>
      <c r="AV547" s="156"/>
      <c r="AW547" s="156"/>
      <c r="AX547" s="156"/>
      <c r="AY547" s="156"/>
      <c r="AZ547" s="156"/>
      <c r="BA547" s="153"/>
      <c r="BD547" s="153"/>
      <c r="BE547" s="147"/>
      <c r="BI547" s="153"/>
      <c r="BO547" s="153"/>
      <c r="BW547" s="153"/>
      <c r="CD547" s="146"/>
      <c r="CF547" s="147"/>
      <c r="CI547" s="146"/>
      <c r="CJ547" s="153"/>
      <c r="CV547" s="154"/>
      <c r="CX547" s="154"/>
      <c r="CZ547" s="154"/>
      <c r="DB547" s="154"/>
      <c r="DD547" s="154"/>
      <c r="DH547" s="474"/>
      <c r="DI547" s="459"/>
      <c r="DJ547" s="459"/>
      <c r="DK547" s="459"/>
      <c r="DL547" s="459"/>
      <c r="DM547" s="459"/>
      <c r="DN547" s="459"/>
      <c r="DO547" s="459"/>
      <c r="DP547" s="459"/>
      <c r="DQ547" s="459"/>
      <c r="DR547" s="459"/>
      <c r="DS547" s="459"/>
      <c r="DT547" s="459"/>
      <c r="DU547" s="459"/>
      <c r="DV547" s="468"/>
      <c r="DW547" s="468"/>
      <c r="DX547" s="459"/>
      <c r="DY547" s="459"/>
    </row>
    <row r="548" spans="1:129" s="128" customFormat="1" ht="54.95" customHeight="1" x14ac:dyDescent="0.25">
      <c r="A548" s="377"/>
      <c r="B548" s="175"/>
      <c r="C548" s="393"/>
      <c r="D548" s="168"/>
      <c r="E548" s="168"/>
      <c r="F548" s="168"/>
      <c r="G548" s="168"/>
      <c r="H548" s="168"/>
      <c r="I548" s="168"/>
      <c r="J548" s="168"/>
      <c r="K548" s="168"/>
      <c r="L548" s="168"/>
      <c r="M548" s="168"/>
      <c r="N548" s="168"/>
      <c r="O548" s="433"/>
      <c r="P548" s="122"/>
      <c r="Q548" s="156"/>
      <c r="R548" s="156"/>
      <c r="S548" s="156"/>
      <c r="T548" s="156"/>
      <c r="U548" s="156"/>
      <c r="V548" s="156"/>
      <c r="W548" s="156"/>
      <c r="X548" s="156"/>
      <c r="Y548" s="156"/>
      <c r="Z548" s="157"/>
      <c r="AA548" s="157"/>
      <c r="AB548" s="156"/>
      <c r="AC548" s="156"/>
      <c r="AD548" s="156"/>
      <c r="AE548" s="156"/>
      <c r="AF548" s="156"/>
      <c r="AG548" s="156"/>
      <c r="AH548" s="156"/>
      <c r="AI548" s="156"/>
      <c r="AJ548" s="156"/>
      <c r="AK548" s="156"/>
      <c r="AL548" s="156"/>
      <c r="AM548" s="158"/>
      <c r="AN548" s="156"/>
      <c r="AO548" s="156"/>
      <c r="AP548" s="156"/>
      <c r="AQ548" s="156"/>
      <c r="AR548" s="156"/>
      <c r="AS548" s="156"/>
      <c r="AT548" s="156"/>
      <c r="AU548" s="156"/>
      <c r="AV548" s="156"/>
      <c r="AW548" s="156"/>
      <c r="AX548" s="156"/>
      <c r="AY548" s="156"/>
      <c r="AZ548" s="156"/>
      <c r="BA548" s="153"/>
      <c r="BD548" s="153"/>
      <c r="BE548" s="147"/>
      <c r="BI548" s="153"/>
      <c r="BO548" s="153"/>
      <c r="BW548" s="153"/>
      <c r="CD548" s="146"/>
      <c r="CF548" s="147"/>
      <c r="CI548" s="146"/>
      <c r="CJ548" s="153"/>
      <c r="CV548" s="154"/>
      <c r="CX548" s="154"/>
      <c r="CZ548" s="154"/>
      <c r="DB548" s="154"/>
      <c r="DD548" s="154"/>
      <c r="DH548" s="474"/>
      <c r="DI548" s="459"/>
      <c r="DJ548" s="459"/>
      <c r="DK548" s="459"/>
      <c r="DL548" s="459"/>
      <c r="DM548" s="459"/>
      <c r="DN548" s="459"/>
      <c r="DO548" s="459"/>
      <c r="DP548" s="459"/>
      <c r="DQ548" s="459"/>
      <c r="DR548" s="459"/>
      <c r="DS548" s="459"/>
      <c r="DT548" s="459"/>
      <c r="DU548" s="459"/>
      <c r="DV548" s="468"/>
      <c r="DW548" s="468"/>
      <c r="DX548" s="459"/>
      <c r="DY548" s="459"/>
    </row>
    <row r="549" spans="1:129" s="128" customFormat="1" ht="54.95" customHeight="1" x14ac:dyDescent="0.25">
      <c r="A549" s="377"/>
      <c r="B549" s="175"/>
      <c r="C549" s="393"/>
      <c r="D549" s="168"/>
      <c r="E549" s="168"/>
      <c r="F549" s="168"/>
      <c r="G549" s="168"/>
      <c r="H549" s="168"/>
      <c r="I549" s="168"/>
      <c r="J549" s="168"/>
      <c r="K549" s="168"/>
      <c r="L549" s="168"/>
      <c r="M549" s="168"/>
      <c r="N549" s="168"/>
      <c r="O549" s="433"/>
      <c r="P549" s="122"/>
      <c r="Q549" s="156"/>
      <c r="R549" s="156"/>
      <c r="S549" s="156"/>
      <c r="T549" s="156"/>
      <c r="U549" s="156"/>
      <c r="V549" s="156"/>
      <c r="W549" s="156"/>
      <c r="X549" s="156"/>
      <c r="Y549" s="156"/>
      <c r="Z549" s="157"/>
      <c r="AA549" s="157"/>
      <c r="AB549" s="156"/>
      <c r="AC549" s="156"/>
      <c r="AD549" s="156"/>
      <c r="AE549" s="156"/>
      <c r="AF549" s="156"/>
      <c r="AG549" s="156"/>
      <c r="AH549" s="156"/>
      <c r="AI549" s="156"/>
      <c r="AJ549" s="156"/>
      <c r="AK549" s="156"/>
      <c r="AL549" s="156"/>
      <c r="AM549" s="158"/>
      <c r="AN549" s="156"/>
      <c r="AO549" s="156"/>
      <c r="AP549" s="156"/>
      <c r="AQ549" s="156"/>
      <c r="AR549" s="156"/>
      <c r="AS549" s="156"/>
      <c r="AT549" s="156"/>
      <c r="AU549" s="156"/>
      <c r="AV549" s="156"/>
      <c r="AW549" s="156"/>
      <c r="AX549" s="156"/>
      <c r="AY549" s="156"/>
      <c r="AZ549" s="156"/>
      <c r="BA549" s="153"/>
      <c r="BD549" s="153"/>
      <c r="BE549" s="147"/>
      <c r="BI549" s="153"/>
      <c r="BO549" s="153"/>
      <c r="BW549" s="153"/>
      <c r="CD549" s="146"/>
      <c r="CF549" s="147"/>
      <c r="CI549" s="146"/>
      <c r="CJ549" s="153"/>
      <c r="CV549" s="154"/>
      <c r="CX549" s="154"/>
      <c r="CZ549" s="154"/>
      <c r="DB549" s="154"/>
      <c r="DD549" s="154"/>
      <c r="DH549" s="474"/>
      <c r="DI549" s="459"/>
      <c r="DJ549" s="459"/>
      <c r="DK549" s="459"/>
      <c r="DL549" s="459"/>
      <c r="DM549" s="459"/>
      <c r="DN549" s="459"/>
      <c r="DO549" s="459"/>
      <c r="DP549" s="459"/>
      <c r="DQ549" s="459"/>
      <c r="DR549" s="459"/>
      <c r="DS549" s="459"/>
      <c r="DT549" s="459"/>
      <c r="DU549" s="459"/>
      <c r="DV549" s="468"/>
      <c r="DW549" s="468"/>
      <c r="DX549" s="459"/>
      <c r="DY549" s="459"/>
    </row>
    <row r="550" spans="1:129" s="128" customFormat="1" ht="54.95" customHeight="1" x14ac:dyDescent="0.25">
      <c r="A550" s="377"/>
      <c r="B550" s="175"/>
      <c r="C550" s="393"/>
      <c r="D550" s="168"/>
      <c r="E550" s="168"/>
      <c r="F550" s="168"/>
      <c r="G550" s="168"/>
      <c r="H550" s="168"/>
      <c r="I550" s="168"/>
      <c r="J550" s="168"/>
      <c r="K550" s="168"/>
      <c r="L550" s="168"/>
      <c r="M550" s="168"/>
      <c r="N550" s="168"/>
      <c r="O550" s="433"/>
      <c r="P550" s="122"/>
      <c r="Q550" s="156"/>
      <c r="R550" s="156"/>
      <c r="S550" s="156"/>
      <c r="T550" s="156"/>
      <c r="U550" s="156"/>
      <c r="V550" s="156"/>
      <c r="W550" s="156"/>
      <c r="X550" s="156"/>
      <c r="Y550" s="156"/>
      <c r="Z550" s="157"/>
      <c r="AA550" s="157"/>
      <c r="AB550" s="156"/>
      <c r="AC550" s="156"/>
      <c r="AD550" s="156"/>
      <c r="AE550" s="156"/>
      <c r="AF550" s="156"/>
      <c r="AG550" s="156"/>
      <c r="AH550" s="156"/>
      <c r="AI550" s="156"/>
      <c r="AJ550" s="156"/>
      <c r="AK550" s="156"/>
      <c r="AL550" s="156"/>
      <c r="AM550" s="158"/>
      <c r="AN550" s="156"/>
      <c r="AO550" s="156"/>
      <c r="AP550" s="156"/>
      <c r="AQ550" s="156"/>
      <c r="AR550" s="156"/>
      <c r="AS550" s="156"/>
      <c r="AT550" s="156"/>
      <c r="AU550" s="156"/>
      <c r="AV550" s="156"/>
      <c r="AW550" s="156"/>
      <c r="AX550" s="156"/>
      <c r="AY550" s="156"/>
      <c r="AZ550" s="156"/>
      <c r="BA550" s="153"/>
      <c r="BD550" s="153"/>
      <c r="BE550" s="147"/>
      <c r="BI550" s="153"/>
      <c r="BO550" s="153"/>
      <c r="BW550" s="153"/>
      <c r="CD550" s="146"/>
      <c r="CF550" s="147"/>
      <c r="CI550" s="146"/>
      <c r="CJ550" s="153"/>
      <c r="CV550" s="154"/>
      <c r="CX550" s="154"/>
      <c r="CZ550" s="154"/>
      <c r="DB550" s="154"/>
      <c r="DD550" s="154"/>
      <c r="DH550" s="474"/>
      <c r="DI550" s="459"/>
      <c r="DJ550" s="459"/>
      <c r="DK550" s="459"/>
      <c r="DL550" s="459"/>
      <c r="DM550" s="459"/>
      <c r="DN550" s="459"/>
      <c r="DO550" s="459"/>
      <c r="DP550" s="459"/>
      <c r="DQ550" s="459"/>
      <c r="DR550" s="459"/>
      <c r="DS550" s="459"/>
      <c r="DT550" s="459"/>
      <c r="DU550" s="459"/>
      <c r="DV550" s="468"/>
      <c r="DW550" s="468"/>
      <c r="DX550" s="459"/>
      <c r="DY550" s="459"/>
    </row>
    <row r="551" spans="1:129" s="128" customFormat="1" ht="54.95" customHeight="1" x14ac:dyDescent="0.25">
      <c r="A551" s="377"/>
      <c r="B551" s="175"/>
      <c r="C551" s="393"/>
      <c r="D551" s="168"/>
      <c r="E551" s="168"/>
      <c r="F551" s="168"/>
      <c r="G551" s="168"/>
      <c r="H551" s="168"/>
      <c r="I551" s="168"/>
      <c r="J551" s="168"/>
      <c r="K551" s="168"/>
      <c r="L551" s="168"/>
      <c r="M551" s="168"/>
      <c r="N551" s="168"/>
      <c r="O551" s="433"/>
      <c r="P551" s="122"/>
      <c r="Q551" s="156"/>
      <c r="R551" s="156"/>
      <c r="S551" s="156"/>
      <c r="T551" s="156"/>
      <c r="U551" s="156"/>
      <c r="V551" s="156"/>
      <c r="W551" s="156"/>
      <c r="X551" s="156"/>
      <c r="Y551" s="156"/>
      <c r="Z551" s="157"/>
      <c r="AA551" s="157"/>
      <c r="AB551" s="156"/>
      <c r="AC551" s="156"/>
      <c r="AD551" s="156"/>
      <c r="AE551" s="156"/>
      <c r="AF551" s="156"/>
      <c r="AG551" s="156"/>
      <c r="AH551" s="156"/>
      <c r="AI551" s="156"/>
      <c r="AJ551" s="156"/>
      <c r="AK551" s="156"/>
      <c r="AL551" s="156"/>
      <c r="AM551" s="158"/>
      <c r="AN551" s="156"/>
      <c r="AO551" s="156"/>
      <c r="AP551" s="156"/>
      <c r="AQ551" s="156"/>
      <c r="AR551" s="156"/>
      <c r="AS551" s="156"/>
      <c r="AT551" s="156"/>
      <c r="AU551" s="156"/>
      <c r="AV551" s="156"/>
      <c r="AW551" s="156"/>
      <c r="AX551" s="156"/>
      <c r="AY551" s="156"/>
      <c r="AZ551" s="156"/>
      <c r="BA551" s="153"/>
      <c r="BD551" s="153"/>
      <c r="BE551" s="147"/>
      <c r="BI551" s="153"/>
      <c r="BO551" s="153"/>
      <c r="BW551" s="153"/>
      <c r="CD551" s="146"/>
      <c r="CF551" s="147"/>
      <c r="CI551" s="146"/>
      <c r="CJ551" s="153"/>
      <c r="CV551" s="154"/>
      <c r="CX551" s="154"/>
      <c r="CZ551" s="154"/>
      <c r="DB551" s="154"/>
      <c r="DD551" s="154"/>
      <c r="DH551" s="474"/>
      <c r="DI551" s="459"/>
      <c r="DJ551" s="459"/>
      <c r="DK551" s="459"/>
      <c r="DL551" s="459"/>
      <c r="DM551" s="459"/>
      <c r="DN551" s="459"/>
      <c r="DO551" s="459"/>
      <c r="DP551" s="459"/>
      <c r="DQ551" s="459"/>
      <c r="DR551" s="459"/>
      <c r="DS551" s="459"/>
      <c r="DT551" s="459"/>
      <c r="DU551" s="459"/>
      <c r="DV551" s="468"/>
      <c r="DW551" s="468"/>
      <c r="DX551" s="459"/>
      <c r="DY551" s="459"/>
    </row>
    <row r="552" spans="1:129" s="128" customFormat="1" ht="54.95" customHeight="1" x14ac:dyDescent="0.25">
      <c r="A552" s="377"/>
      <c r="B552" s="175"/>
      <c r="C552" s="393"/>
      <c r="D552" s="168"/>
      <c r="E552" s="168"/>
      <c r="F552" s="168"/>
      <c r="G552" s="168"/>
      <c r="H552" s="168"/>
      <c r="I552" s="168"/>
      <c r="J552" s="168"/>
      <c r="K552" s="168"/>
      <c r="L552" s="168"/>
      <c r="M552" s="168"/>
      <c r="N552" s="168"/>
      <c r="O552" s="433"/>
      <c r="P552" s="122"/>
      <c r="Q552" s="156"/>
      <c r="R552" s="156"/>
      <c r="S552" s="156"/>
      <c r="T552" s="156"/>
      <c r="U552" s="156"/>
      <c r="V552" s="156"/>
      <c r="W552" s="156"/>
      <c r="X552" s="156"/>
      <c r="Y552" s="156"/>
      <c r="Z552" s="157"/>
      <c r="AA552" s="157"/>
      <c r="AB552" s="156"/>
      <c r="AC552" s="156"/>
      <c r="AD552" s="156"/>
      <c r="AE552" s="156"/>
      <c r="AF552" s="156"/>
      <c r="AG552" s="156"/>
      <c r="AH552" s="156"/>
      <c r="AI552" s="156"/>
      <c r="AJ552" s="156"/>
      <c r="AK552" s="156"/>
      <c r="AL552" s="156"/>
      <c r="AM552" s="158"/>
      <c r="AN552" s="156"/>
      <c r="AO552" s="156"/>
      <c r="AP552" s="156"/>
      <c r="AQ552" s="156"/>
      <c r="AR552" s="156"/>
      <c r="AS552" s="156"/>
      <c r="AT552" s="156"/>
      <c r="AU552" s="156"/>
      <c r="AV552" s="156"/>
      <c r="AW552" s="156"/>
      <c r="AX552" s="156"/>
      <c r="AY552" s="156"/>
      <c r="AZ552" s="156"/>
      <c r="BA552" s="153"/>
      <c r="BD552" s="153"/>
      <c r="BE552" s="147"/>
      <c r="BI552" s="153"/>
      <c r="BO552" s="153"/>
      <c r="BW552" s="153"/>
      <c r="CD552" s="146"/>
      <c r="CF552" s="147"/>
      <c r="CI552" s="146"/>
      <c r="CJ552" s="153"/>
      <c r="CV552" s="154"/>
      <c r="CX552" s="154"/>
      <c r="CZ552" s="154"/>
      <c r="DB552" s="154"/>
      <c r="DD552" s="154"/>
      <c r="DH552" s="474"/>
      <c r="DI552" s="459"/>
      <c r="DJ552" s="459"/>
      <c r="DK552" s="459"/>
      <c r="DL552" s="459"/>
      <c r="DM552" s="459"/>
      <c r="DN552" s="459"/>
      <c r="DO552" s="459"/>
      <c r="DP552" s="459"/>
      <c r="DQ552" s="459"/>
      <c r="DR552" s="459"/>
      <c r="DS552" s="459"/>
      <c r="DT552" s="459"/>
      <c r="DU552" s="459"/>
      <c r="DV552" s="468"/>
      <c r="DW552" s="468"/>
      <c r="DX552" s="459"/>
      <c r="DY552" s="459"/>
    </row>
    <row r="553" spans="1:129" s="128" customFormat="1" ht="54.95" customHeight="1" x14ac:dyDescent="0.25">
      <c r="A553" s="377"/>
      <c r="B553" s="175"/>
      <c r="C553" s="393"/>
      <c r="D553" s="168"/>
      <c r="E553" s="168"/>
      <c r="F553" s="168"/>
      <c r="G553" s="168"/>
      <c r="H553" s="168"/>
      <c r="I553" s="168"/>
      <c r="J553" s="168"/>
      <c r="K553" s="168"/>
      <c r="L553" s="168"/>
      <c r="M553" s="168"/>
      <c r="N553" s="168"/>
      <c r="O553" s="433"/>
      <c r="P553" s="122"/>
      <c r="Q553" s="156"/>
      <c r="R553" s="156"/>
      <c r="S553" s="156"/>
      <c r="T553" s="156"/>
      <c r="U553" s="156"/>
      <c r="V553" s="156"/>
      <c r="W553" s="156"/>
      <c r="X553" s="156"/>
      <c r="Y553" s="156"/>
      <c r="Z553" s="157"/>
      <c r="AA553" s="157"/>
      <c r="AB553" s="156"/>
      <c r="AC553" s="156"/>
      <c r="AD553" s="156"/>
      <c r="AE553" s="156"/>
      <c r="AF553" s="156"/>
      <c r="AG553" s="156"/>
      <c r="AH553" s="156"/>
      <c r="AI553" s="156"/>
      <c r="AJ553" s="156"/>
      <c r="AK553" s="156"/>
      <c r="AL553" s="156"/>
      <c r="AM553" s="158"/>
      <c r="AN553" s="156"/>
      <c r="AO553" s="156"/>
      <c r="AP553" s="156"/>
      <c r="AQ553" s="156"/>
      <c r="AR553" s="156"/>
      <c r="AS553" s="156"/>
      <c r="AT553" s="156"/>
      <c r="AU553" s="156"/>
      <c r="AV553" s="156"/>
      <c r="AW553" s="156"/>
      <c r="AX553" s="156"/>
      <c r="AY553" s="156"/>
      <c r="AZ553" s="156"/>
      <c r="BA553" s="153"/>
      <c r="BD553" s="153"/>
      <c r="BE553" s="147"/>
      <c r="BI553" s="153"/>
      <c r="BO553" s="153"/>
      <c r="BW553" s="153"/>
      <c r="CD553" s="146"/>
      <c r="CF553" s="147"/>
      <c r="CI553" s="146"/>
      <c r="CJ553" s="153"/>
      <c r="CV553" s="154"/>
      <c r="CX553" s="154"/>
      <c r="CZ553" s="154"/>
      <c r="DB553" s="154"/>
      <c r="DD553" s="154"/>
      <c r="DH553" s="474"/>
      <c r="DI553" s="459"/>
      <c r="DJ553" s="459"/>
      <c r="DK553" s="459"/>
      <c r="DL553" s="459"/>
      <c r="DM553" s="459"/>
      <c r="DN553" s="459"/>
      <c r="DO553" s="459"/>
      <c r="DP553" s="459"/>
      <c r="DQ553" s="459"/>
      <c r="DR553" s="459"/>
      <c r="DS553" s="459"/>
      <c r="DT553" s="459"/>
      <c r="DU553" s="459"/>
      <c r="DV553" s="468"/>
      <c r="DW553" s="468"/>
      <c r="DX553" s="459"/>
      <c r="DY553" s="459"/>
    </row>
    <row r="554" spans="1:129" s="128" customFormat="1" ht="54.95" customHeight="1" x14ac:dyDescent="0.25">
      <c r="A554" s="377"/>
      <c r="B554" s="175"/>
      <c r="C554" s="393"/>
      <c r="D554" s="168"/>
      <c r="E554" s="168"/>
      <c r="F554" s="168"/>
      <c r="G554" s="168"/>
      <c r="H554" s="168"/>
      <c r="I554" s="168"/>
      <c r="J554" s="168"/>
      <c r="K554" s="168"/>
      <c r="L554" s="168"/>
      <c r="M554" s="168"/>
      <c r="N554" s="168"/>
      <c r="O554" s="433"/>
      <c r="P554" s="122"/>
      <c r="Q554" s="156"/>
      <c r="R554" s="156"/>
      <c r="S554" s="156"/>
      <c r="T554" s="156"/>
      <c r="U554" s="156"/>
      <c r="V554" s="156"/>
      <c r="W554" s="156"/>
      <c r="X554" s="156"/>
      <c r="Y554" s="156"/>
      <c r="Z554" s="157"/>
      <c r="AA554" s="157"/>
      <c r="AB554" s="156"/>
      <c r="AC554" s="156"/>
      <c r="AD554" s="156"/>
      <c r="AE554" s="156"/>
      <c r="AF554" s="156"/>
      <c r="AG554" s="156"/>
      <c r="AH554" s="156"/>
      <c r="AI554" s="156"/>
      <c r="AJ554" s="156"/>
      <c r="AK554" s="156"/>
      <c r="AL554" s="156"/>
      <c r="AM554" s="158"/>
      <c r="AN554" s="156"/>
      <c r="AO554" s="156"/>
      <c r="AP554" s="156"/>
      <c r="AQ554" s="156"/>
      <c r="AR554" s="156"/>
      <c r="AS554" s="156"/>
      <c r="AT554" s="156"/>
      <c r="AU554" s="156"/>
      <c r="AV554" s="156"/>
      <c r="AW554" s="156"/>
      <c r="AX554" s="156"/>
      <c r="AY554" s="156"/>
      <c r="AZ554" s="156"/>
      <c r="BA554" s="153"/>
      <c r="BD554" s="153"/>
      <c r="BE554" s="147"/>
      <c r="BI554" s="153"/>
      <c r="BO554" s="153"/>
      <c r="BW554" s="153"/>
      <c r="CD554" s="146"/>
      <c r="CF554" s="147"/>
      <c r="CI554" s="146"/>
      <c r="CJ554" s="153"/>
      <c r="CV554" s="154"/>
      <c r="CX554" s="154"/>
      <c r="CZ554" s="154"/>
      <c r="DB554" s="154"/>
      <c r="DD554" s="154"/>
      <c r="DH554" s="474"/>
      <c r="DI554" s="459"/>
      <c r="DJ554" s="459"/>
      <c r="DK554" s="459"/>
      <c r="DL554" s="459"/>
      <c r="DM554" s="459"/>
      <c r="DN554" s="459"/>
      <c r="DO554" s="459"/>
      <c r="DP554" s="459"/>
      <c r="DQ554" s="459"/>
      <c r="DR554" s="459"/>
      <c r="DS554" s="459"/>
      <c r="DT554" s="459"/>
      <c r="DU554" s="459"/>
      <c r="DV554" s="468"/>
      <c r="DW554" s="468"/>
      <c r="DX554" s="459"/>
      <c r="DY554" s="459"/>
    </row>
    <row r="555" spans="1:129" s="128" customFormat="1" ht="54.95" customHeight="1" x14ac:dyDescent="0.25">
      <c r="A555" s="377"/>
      <c r="B555" s="175"/>
      <c r="C555" s="393"/>
      <c r="D555" s="168"/>
      <c r="E555" s="168"/>
      <c r="F555" s="168"/>
      <c r="G555" s="168"/>
      <c r="H555" s="168"/>
      <c r="I555" s="168"/>
      <c r="J555" s="168"/>
      <c r="K555" s="168"/>
      <c r="L555" s="168"/>
      <c r="M555" s="168"/>
      <c r="N555" s="168"/>
      <c r="O555" s="433"/>
      <c r="P555" s="122"/>
      <c r="Q555" s="156"/>
      <c r="R555" s="156"/>
      <c r="S555" s="156"/>
      <c r="T555" s="156"/>
      <c r="U555" s="156"/>
      <c r="V555" s="156"/>
      <c r="W555" s="156"/>
      <c r="X555" s="156"/>
      <c r="Y555" s="156"/>
      <c r="Z555" s="157"/>
      <c r="AA555" s="157"/>
      <c r="AB555" s="156"/>
      <c r="AC555" s="156"/>
      <c r="AD555" s="156"/>
      <c r="AE555" s="156"/>
      <c r="AF555" s="156"/>
      <c r="AG555" s="156"/>
      <c r="AH555" s="156"/>
      <c r="AI555" s="156"/>
      <c r="AJ555" s="156"/>
      <c r="AK555" s="156"/>
      <c r="AL555" s="156"/>
      <c r="AM555" s="158"/>
      <c r="AN555" s="156"/>
      <c r="AO555" s="156"/>
      <c r="AP555" s="156"/>
      <c r="AQ555" s="156"/>
      <c r="AR555" s="156"/>
      <c r="AS555" s="156"/>
      <c r="AT555" s="156"/>
      <c r="AU555" s="156"/>
      <c r="AV555" s="156"/>
      <c r="AW555" s="156"/>
      <c r="AX555" s="156"/>
      <c r="AY555" s="156"/>
      <c r="AZ555" s="156"/>
      <c r="BA555" s="153"/>
      <c r="BD555" s="153"/>
      <c r="BE555" s="147"/>
      <c r="BI555" s="153"/>
      <c r="BO555" s="153"/>
      <c r="BW555" s="153"/>
      <c r="CD555" s="146"/>
      <c r="CF555" s="147"/>
      <c r="CI555" s="146"/>
      <c r="CJ555" s="153"/>
      <c r="CV555" s="154"/>
      <c r="CX555" s="154"/>
      <c r="CZ555" s="154"/>
      <c r="DB555" s="154"/>
      <c r="DD555" s="154"/>
      <c r="DH555" s="474"/>
      <c r="DI555" s="459"/>
      <c r="DJ555" s="459"/>
      <c r="DK555" s="459"/>
      <c r="DL555" s="459"/>
      <c r="DM555" s="459"/>
      <c r="DN555" s="459"/>
      <c r="DO555" s="459"/>
      <c r="DP555" s="459"/>
      <c r="DQ555" s="459"/>
      <c r="DR555" s="459"/>
      <c r="DS555" s="459"/>
      <c r="DT555" s="459"/>
      <c r="DU555" s="459"/>
      <c r="DV555" s="468"/>
      <c r="DW555" s="468"/>
      <c r="DX555" s="459"/>
      <c r="DY555" s="459"/>
    </row>
    <row r="556" spans="1:129" s="128" customFormat="1" ht="54.95" customHeight="1" x14ac:dyDescent="0.25">
      <c r="A556" s="377"/>
      <c r="B556" s="175"/>
      <c r="C556" s="393"/>
      <c r="D556" s="168"/>
      <c r="E556" s="168"/>
      <c r="F556" s="168"/>
      <c r="G556" s="168"/>
      <c r="H556" s="168"/>
      <c r="I556" s="168"/>
      <c r="J556" s="168"/>
      <c r="K556" s="168"/>
      <c r="L556" s="168"/>
      <c r="M556" s="168"/>
      <c r="N556" s="168"/>
      <c r="O556" s="433"/>
      <c r="P556" s="122"/>
      <c r="Q556" s="156"/>
      <c r="R556" s="156"/>
      <c r="S556" s="156"/>
      <c r="T556" s="156"/>
      <c r="U556" s="156"/>
      <c r="V556" s="156"/>
      <c r="W556" s="156"/>
      <c r="X556" s="156"/>
      <c r="Y556" s="156"/>
      <c r="Z556" s="157"/>
      <c r="AA556" s="157"/>
      <c r="AB556" s="156"/>
      <c r="AC556" s="156"/>
      <c r="AD556" s="156"/>
      <c r="AE556" s="156"/>
      <c r="AF556" s="156"/>
      <c r="AG556" s="156"/>
      <c r="AH556" s="156"/>
      <c r="AI556" s="156"/>
      <c r="AJ556" s="156"/>
      <c r="AK556" s="156"/>
      <c r="AL556" s="156"/>
      <c r="AM556" s="158"/>
      <c r="AN556" s="156"/>
      <c r="AO556" s="156"/>
      <c r="AP556" s="156"/>
      <c r="AQ556" s="156"/>
      <c r="AR556" s="156"/>
      <c r="AS556" s="156"/>
      <c r="AT556" s="156"/>
      <c r="AU556" s="156"/>
      <c r="AV556" s="156"/>
      <c r="AW556" s="156"/>
      <c r="AX556" s="156"/>
      <c r="AY556" s="156"/>
      <c r="AZ556" s="156"/>
      <c r="BA556" s="153"/>
      <c r="BD556" s="153"/>
      <c r="BE556" s="147"/>
      <c r="BI556" s="153"/>
      <c r="BO556" s="153"/>
      <c r="BW556" s="153"/>
      <c r="CD556" s="146"/>
      <c r="CF556" s="147"/>
      <c r="CI556" s="146"/>
      <c r="CJ556" s="153"/>
      <c r="CV556" s="154"/>
      <c r="CX556" s="154"/>
      <c r="CZ556" s="154"/>
      <c r="DB556" s="154"/>
      <c r="DD556" s="154"/>
      <c r="DH556" s="474"/>
      <c r="DI556" s="459"/>
      <c r="DJ556" s="459"/>
      <c r="DK556" s="459"/>
      <c r="DL556" s="459"/>
      <c r="DM556" s="459"/>
      <c r="DN556" s="459"/>
      <c r="DO556" s="459"/>
      <c r="DP556" s="459"/>
      <c r="DQ556" s="459"/>
      <c r="DR556" s="459"/>
      <c r="DS556" s="459"/>
      <c r="DT556" s="459"/>
      <c r="DU556" s="459"/>
      <c r="DV556" s="468"/>
      <c r="DW556" s="468"/>
      <c r="DX556" s="459"/>
      <c r="DY556" s="459"/>
    </row>
    <row r="557" spans="1:129" s="128" customFormat="1" ht="54.95" customHeight="1" x14ac:dyDescent="0.25">
      <c r="A557" s="377"/>
      <c r="B557" s="175"/>
      <c r="C557" s="393"/>
      <c r="D557" s="168"/>
      <c r="E557" s="168"/>
      <c r="F557" s="168"/>
      <c r="G557" s="168"/>
      <c r="H557" s="168"/>
      <c r="I557" s="168"/>
      <c r="J557" s="168"/>
      <c r="K557" s="168"/>
      <c r="L557" s="168"/>
      <c r="M557" s="168"/>
      <c r="N557" s="168"/>
      <c r="O557" s="433"/>
      <c r="P557" s="122"/>
      <c r="Q557" s="156"/>
      <c r="R557" s="156"/>
      <c r="S557" s="156"/>
      <c r="T557" s="156"/>
      <c r="U557" s="156"/>
      <c r="V557" s="156"/>
      <c r="W557" s="156"/>
      <c r="X557" s="156"/>
      <c r="Y557" s="156"/>
      <c r="Z557" s="157"/>
      <c r="AA557" s="157"/>
      <c r="AB557" s="156"/>
      <c r="AC557" s="156"/>
      <c r="AD557" s="156"/>
      <c r="AE557" s="156"/>
      <c r="AF557" s="156"/>
      <c r="AG557" s="156"/>
      <c r="AH557" s="156"/>
      <c r="AI557" s="156"/>
      <c r="AJ557" s="156"/>
      <c r="AK557" s="156"/>
      <c r="AL557" s="156"/>
      <c r="AM557" s="158"/>
      <c r="AN557" s="156"/>
      <c r="AO557" s="156"/>
      <c r="AP557" s="156"/>
      <c r="AQ557" s="156"/>
      <c r="AR557" s="156"/>
      <c r="AS557" s="156"/>
      <c r="AT557" s="156"/>
      <c r="AU557" s="156"/>
      <c r="AV557" s="156"/>
      <c r="AW557" s="156"/>
      <c r="AX557" s="156"/>
      <c r="AY557" s="156"/>
      <c r="AZ557" s="156"/>
      <c r="BA557" s="153"/>
      <c r="BD557" s="153"/>
      <c r="BE557" s="147"/>
      <c r="BI557" s="153"/>
      <c r="BO557" s="153"/>
      <c r="BW557" s="153"/>
      <c r="CD557" s="146"/>
      <c r="CF557" s="147"/>
      <c r="CI557" s="146"/>
      <c r="CJ557" s="153"/>
      <c r="CV557" s="154"/>
      <c r="CX557" s="154"/>
      <c r="CZ557" s="154"/>
      <c r="DB557" s="154"/>
      <c r="DD557" s="154"/>
      <c r="DH557" s="474"/>
      <c r="DI557" s="459"/>
      <c r="DJ557" s="459"/>
      <c r="DK557" s="459"/>
      <c r="DL557" s="459"/>
      <c r="DM557" s="459"/>
      <c r="DN557" s="459"/>
      <c r="DO557" s="459"/>
      <c r="DP557" s="459"/>
      <c r="DQ557" s="459"/>
      <c r="DR557" s="459"/>
      <c r="DS557" s="459"/>
      <c r="DT557" s="459"/>
      <c r="DU557" s="459"/>
      <c r="DV557" s="468"/>
      <c r="DW557" s="468"/>
      <c r="DX557" s="459"/>
      <c r="DY557" s="459"/>
    </row>
    <row r="558" spans="1:129" s="128" customFormat="1" ht="54.95" customHeight="1" x14ac:dyDescent="0.25">
      <c r="A558" s="377"/>
      <c r="B558" s="175"/>
      <c r="C558" s="393"/>
      <c r="D558" s="168"/>
      <c r="E558" s="168"/>
      <c r="F558" s="168"/>
      <c r="G558" s="168"/>
      <c r="H558" s="168"/>
      <c r="I558" s="168"/>
      <c r="J558" s="168"/>
      <c r="K558" s="168"/>
      <c r="L558" s="168"/>
      <c r="M558" s="168"/>
      <c r="N558" s="168"/>
      <c r="O558" s="433"/>
      <c r="P558" s="122"/>
      <c r="Q558" s="156"/>
      <c r="R558" s="156"/>
      <c r="S558" s="156"/>
      <c r="T558" s="156"/>
      <c r="U558" s="156"/>
      <c r="V558" s="156"/>
      <c r="W558" s="156"/>
      <c r="X558" s="156"/>
      <c r="Y558" s="156"/>
      <c r="Z558" s="157"/>
      <c r="AA558" s="157"/>
      <c r="AB558" s="156"/>
      <c r="AC558" s="156"/>
      <c r="AD558" s="156"/>
      <c r="AE558" s="156"/>
      <c r="AF558" s="156"/>
      <c r="AG558" s="156"/>
      <c r="AH558" s="156"/>
      <c r="AI558" s="156"/>
      <c r="AJ558" s="156"/>
      <c r="AK558" s="156"/>
      <c r="AL558" s="156"/>
      <c r="AM558" s="158"/>
      <c r="AN558" s="156"/>
      <c r="AO558" s="156"/>
      <c r="AP558" s="156"/>
      <c r="AQ558" s="156"/>
      <c r="AR558" s="156"/>
      <c r="AS558" s="156"/>
      <c r="AT558" s="156"/>
      <c r="AU558" s="156"/>
      <c r="AV558" s="156"/>
      <c r="AW558" s="156"/>
      <c r="AX558" s="156"/>
      <c r="AY558" s="156"/>
      <c r="AZ558" s="156"/>
      <c r="BA558" s="153"/>
      <c r="BD558" s="153"/>
      <c r="BE558" s="147"/>
      <c r="BI558" s="153"/>
      <c r="BO558" s="153"/>
      <c r="BW558" s="153"/>
      <c r="CD558" s="146"/>
      <c r="CF558" s="147"/>
      <c r="CI558" s="146"/>
      <c r="CJ558" s="153"/>
      <c r="CV558" s="154"/>
      <c r="CX558" s="154"/>
      <c r="CZ558" s="154"/>
      <c r="DB558" s="154"/>
      <c r="DD558" s="154"/>
      <c r="DH558" s="474"/>
      <c r="DI558" s="459"/>
      <c r="DJ558" s="459"/>
      <c r="DK558" s="459"/>
      <c r="DL558" s="459"/>
      <c r="DM558" s="459"/>
      <c r="DN558" s="459"/>
      <c r="DO558" s="459"/>
      <c r="DP558" s="459"/>
      <c r="DQ558" s="459"/>
      <c r="DR558" s="459"/>
      <c r="DS558" s="459"/>
      <c r="DT558" s="459"/>
      <c r="DU558" s="459"/>
      <c r="DV558" s="468"/>
      <c r="DW558" s="468"/>
      <c r="DX558" s="459"/>
      <c r="DY558" s="459"/>
    </row>
    <row r="559" spans="1:129" s="128" customFormat="1" ht="54.95" customHeight="1" x14ac:dyDescent="0.25">
      <c r="A559" s="377"/>
      <c r="B559" s="175"/>
      <c r="C559" s="393"/>
      <c r="D559" s="168"/>
      <c r="E559" s="168"/>
      <c r="F559" s="168"/>
      <c r="G559" s="168"/>
      <c r="H559" s="168"/>
      <c r="I559" s="168"/>
      <c r="J559" s="168"/>
      <c r="K559" s="168"/>
      <c r="L559" s="168"/>
      <c r="M559" s="168"/>
      <c r="N559" s="168"/>
      <c r="O559" s="433"/>
      <c r="P559" s="122"/>
      <c r="Q559" s="156"/>
      <c r="R559" s="156"/>
      <c r="S559" s="156"/>
      <c r="T559" s="156"/>
      <c r="U559" s="156"/>
      <c r="V559" s="156"/>
      <c r="W559" s="156"/>
      <c r="X559" s="156"/>
      <c r="Y559" s="156"/>
      <c r="Z559" s="157"/>
      <c r="AA559" s="157"/>
      <c r="AB559" s="156"/>
      <c r="AC559" s="156"/>
      <c r="AD559" s="156"/>
      <c r="AE559" s="156"/>
      <c r="AF559" s="156"/>
      <c r="AG559" s="156"/>
      <c r="AH559" s="156"/>
      <c r="AI559" s="156"/>
      <c r="AJ559" s="156"/>
      <c r="AK559" s="156"/>
      <c r="AL559" s="156"/>
      <c r="AM559" s="158"/>
      <c r="AN559" s="156"/>
      <c r="AO559" s="156"/>
      <c r="AP559" s="156"/>
      <c r="AQ559" s="156"/>
      <c r="AR559" s="156"/>
      <c r="AS559" s="156"/>
      <c r="AT559" s="156"/>
      <c r="AU559" s="156"/>
      <c r="AV559" s="156"/>
      <c r="AW559" s="156"/>
      <c r="AX559" s="156"/>
      <c r="AY559" s="156"/>
      <c r="AZ559" s="156"/>
      <c r="BA559" s="153"/>
      <c r="BD559" s="153"/>
      <c r="BE559" s="147"/>
      <c r="BI559" s="153"/>
      <c r="BO559" s="153"/>
      <c r="BW559" s="153"/>
      <c r="CD559" s="146"/>
      <c r="CF559" s="147"/>
      <c r="CI559" s="146"/>
      <c r="CJ559" s="153"/>
      <c r="CV559" s="154"/>
      <c r="CX559" s="154"/>
      <c r="CZ559" s="154"/>
      <c r="DB559" s="154"/>
      <c r="DD559" s="154"/>
      <c r="DH559" s="474"/>
      <c r="DI559" s="459"/>
      <c r="DJ559" s="459"/>
      <c r="DK559" s="459"/>
      <c r="DL559" s="459"/>
      <c r="DM559" s="459"/>
      <c r="DN559" s="459"/>
      <c r="DO559" s="459"/>
      <c r="DP559" s="459"/>
      <c r="DQ559" s="459"/>
      <c r="DR559" s="459"/>
      <c r="DS559" s="459"/>
      <c r="DT559" s="459"/>
      <c r="DU559" s="459"/>
      <c r="DV559" s="468"/>
      <c r="DW559" s="468"/>
      <c r="DX559" s="459"/>
      <c r="DY559" s="459"/>
    </row>
    <row r="560" spans="1:129" s="128" customFormat="1" ht="54.95" customHeight="1" x14ac:dyDescent="0.25">
      <c r="A560" s="377"/>
      <c r="B560" s="175"/>
      <c r="C560" s="393"/>
      <c r="D560" s="168"/>
      <c r="E560" s="168"/>
      <c r="F560" s="168"/>
      <c r="G560" s="168"/>
      <c r="H560" s="168"/>
      <c r="I560" s="168"/>
      <c r="J560" s="168"/>
      <c r="K560" s="168"/>
      <c r="L560" s="168"/>
      <c r="M560" s="168"/>
      <c r="N560" s="168"/>
      <c r="O560" s="433"/>
      <c r="P560" s="122"/>
      <c r="Q560" s="156"/>
      <c r="R560" s="156"/>
      <c r="S560" s="156"/>
      <c r="T560" s="156"/>
      <c r="U560" s="156"/>
      <c r="V560" s="156"/>
      <c r="W560" s="156"/>
      <c r="X560" s="156"/>
      <c r="Y560" s="156"/>
      <c r="Z560" s="157"/>
      <c r="AA560" s="157"/>
      <c r="AB560" s="156"/>
      <c r="AC560" s="156"/>
      <c r="AD560" s="156"/>
      <c r="AE560" s="156"/>
      <c r="AF560" s="156"/>
      <c r="AG560" s="156"/>
      <c r="AH560" s="156"/>
      <c r="AI560" s="156"/>
      <c r="AJ560" s="156"/>
      <c r="AK560" s="156"/>
      <c r="AL560" s="156"/>
      <c r="AM560" s="158"/>
      <c r="AN560" s="156"/>
      <c r="AO560" s="156"/>
      <c r="AP560" s="156"/>
      <c r="AQ560" s="156"/>
      <c r="AR560" s="156"/>
      <c r="AS560" s="156"/>
      <c r="AT560" s="156"/>
      <c r="AU560" s="156"/>
      <c r="AV560" s="156"/>
      <c r="AW560" s="156"/>
      <c r="AX560" s="156"/>
      <c r="AY560" s="156"/>
      <c r="AZ560" s="156"/>
      <c r="BA560" s="153"/>
      <c r="BD560" s="153"/>
      <c r="BE560" s="147"/>
      <c r="BI560" s="153"/>
      <c r="BO560" s="153"/>
      <c r="BW560" s="153"/>
      <c r="CD560" s="146"/>
      <c r="CF560" s="147"/>
      <c r="CI560" s="146"/>
      <c r="CJ560" s="153"/>
      <c r="CV560" s="154"/>
      <c r="CX560" s="154"/>
      <c r="CZ560" s="154"/>
      <c r="DB560" s="154"/>
      <c r="DD560" s="154"/>
      <c r="DH560" s="474"/>
      <c r="DI560" s="459"/>
      <c r="DJ560" s="459"/>
      <c r="DK560" s="459"/>
      <c r="DL560" s="459"/>
      <c r="DM560" s="459"/>
      <c r="DN560" s="459"/>
      <c r="DO560" s="459"/>
      <c r="DP560" s="459"/>
      <c r="DQ560" s="459"/>
      <c r="DR560" s="459"/>
      <c r="DS560" s="459"/>
      <c r="DT560" s="459"/>
      <c r="DU560" s="459"/>
      <c r="DV560" s="468"/>
      <c r="DW560" s="468"/>
      <c r="DX560" s="459"/>
      <c r="DY560" s="459"/>
    </row>
    <row r="561" spans="1:129" s="128" customFormat="1" ht="54.95" customHeight="1" x14ac:dyDescent="0.25">
      <c r="A561" s="377"/>
      <c r="B561" s="175"/>
      <c r="C561" s="393"/>
      <c r="D561" s="168"/>
      <c r="E561" s="168"/>
      <c r="F561" s="168"/>
      <c r="G561" s="168"/>
      <c r="H561" s="168"/>
      <c r="I561" s="168"/>
      <c r="J561" s="168"/>
      <c r="K561" s="168"/>
      <c r="L561" s="168"/>
      <c r="M561" s="168"/>
      <c r="N561" s="168"/>
      <c r="O561" s="433"/>
      <c r="P561" s="122"/>
      <c r="Q561" s="156"/>
      <c r="R561" s="156"/>
      <c r="S561" s="156"/>
      <c r="T561" s="156"/>
      <c r="U561" s="156"/>
      <c r="V561" s="156"/>
      <c r="W561" s="156"/>
      <c r="X561" s="156"/>
      <c r="Y561" s="156"/>
      <c r="Z561" s="157"/>
      <c r="AA561" s="157"/>
      <c r="AB561" s="156"/>
      <c r="AC561" s="156"/>
      <c r="AD561" s="156"/>
      <c r="AE561" s="156"/>
      <c r="AF561" s="156"/>
      <c r="AG561" s="156"/>
      <c r="AH561" s="156"/>
      <c r="AI561" s="156"/>
      <c r="AJ561" s="156"/>
      <c r="AK561" s="156"/>
      <c r="AL561" s="156"/>
      <c r="AM561" s="158"/>
      <c r="AN561" s="156"/>
      <c r="AO561" s="156"/>
      <c r="AP561" s="156"/>
      <c r="AQ561" s="156"/>
      <c r="AR561" s="156"/>
      <c r="AS561" s="156"/>
      <c r="AT561" s="156"/>
      <c r="AU561" s="156"/>
      <c r="AV561" s="156"/>
      <c r="AW561" s="156"/>
      <c r="AX561" s="156"/>
      <c r="AY561" s="156"/>
      <c r="AZ561" s="156"/>
      <c r="BA561" s="153"/>
      <c r="BD561" s="153"/>
      <c r="BE561" s="147"/>
      <c r="BI561" s="153"/>
      <c r="BO561" s="153"/>
      <c r="BW561" s="153"/>
      <c r="CD561" s="146"/>
      <c r="CF561" s="147"/>
      <c r="CI561" s="146"/>
      <c r="CJ561" s="153"/>
      <c r="CV561" s="154"/>
      <c r="CX561" s="154"/>
      <c r="CZ561" s="154"/>
      <c r="DB561" s="154"/>
      <c r="DD561" s="154"/>
      <c r="DH561" s="474"/>
      <c r="DI561" s="459"/>
      <c r="DJ561" s="459"/>
      <c r="DK561" s="459"/>
      <c r="DL561" s="459"/>
      <c r="DM561" s="459"/>
      <c r="DN561" s="459"/>
      <c r="DO561" s="459"/>
      <c r="DP561" s="459"/>
      <c r="DQ561" s="459"/>
      <c r="DR561" s="459"/>
      <c r="DS561" s="459"/>
      <c r="DT561" s="459"/>
      <c r="DU561" s="459"/>
      <c r="DV561" s="468"/>
      <c r="DW561" s="468"/>
      <c r="DX561" s="459"/>
      <c r="DY561" s="459"/>
    </row>
    <row r="562" spans="1:129" s="128" customFormat="1" ht="54.95" customHeight="1" x14ac:dyDescent="0.25">
      <c r="A562" s="377"/>
      <c r="B562" s="175"/>
      <c r="C562" s="393"/>
      <c r="D562" s="168"/>
      <c r="E562" s="168"/>
      <c r="F562" s="168"/>
      <c r="G562" s="168"/>
      <c r="H562" s="168"/>
      <c r="I562" s="168"/>
      <c r="J562" s="168"/>
      <c r="K562" s="168"/>
      <c r="L562" s="168"/>
      <c r="M562" s="168"/>
      <c r="N562" s="168"/>
      <c r="O562" s="433"/>
      <c r="P562" s="122"/>
      <c r="Q562" s="156"/>
      <c r="R562" s="156"/>
      <c r="S562" s="156"/>
      <c r="T562" s="156"/>
      <c r="U562" s="156"/>
      <c r="V562" s="156"/>
      <c r="W562" s="156"/>
      <c r="X562" s="156"/>
      <c r="Y562" s="156"/>
      <c r="Z562" s="157"/>
      <c r="AA562" s="157"/>
      <c r="AB562" s="156"/>
      <c r="AC562" s="156"/>
      <c r="AD562" s="156"/>
      <c r="AE562" s="156"/>
      <c r="AF562" s="156"/>
      <c r="AG562" s="156"/>
      <c r="AH562" s="156"/>
      <c r="AI562" s="156"/>
      <c r="AJ562" s="156"/>
      <c r="AK562" s="156"/>
      <c r="AL562" s="156"/>
      <c r="AM562" s="158"/>
      <c r="AN562" s="156"/>
      <c r="AO562" s="156"/>
      <c r="AP562" s="156"/>
      <c r="AQ562" s="156"/>
      <c r="AR562" s="156"/>
      <c r="AS562" s="156"/>
      <c r="AT562" s="156"/>
      <c r="AU562" s="156"/>
      <c r="AV562" s="156"/>
      <c r="AW562" s="156"/>
      <c r="AX562" s="156"/>
      <c r="AY562" s="156"/>
      <c r="AZ562" s="156"/>
      <c r="BA562" s="153"/>
      <c r="BD562" s="153"/>
      <c r="BE562" s="147"/>
      <c r="BI562" s="153"/>
      <c r="BO562" s="153"/>
      <c r="BW562" s="153"/>
      <c r="CD562" s="146"/>
      <c r="CF562" s="147"/>
      <c r="CI562" s="146"/>
      <c r="CJ562" s="153"/>
      <c r="CV562" s="154"/>
      <c r="CX562" s="154"/>
      <c r="CZ562" s="154"/>
      <c r="DB562" s="154"/>
      <c r="DD562" s="154"/>
      <c r="DH562" s="474"/>
      <c r="DI562" s="459"/>
      <c r="DJ562" s="459"/>
      <c r="DK562" s="459"/>
      <c r="DL562" s="459"/>
      <c r="DM562" s="459"/>
      <c r="DN562" s="459"/>
      <c r="DO562" s="459"/>
      <c r="DP562" s="459"/>
      <c r="DQ562" s="459"/>
      <c r="DR562" s="459"/>
      <c r="DS562" s="459"/>
      <c r="DT562" s="459"/>
      <c r="DU562" s="459"/>
      <c r="DV562" s="468"/>
      <c r="DW562" s="468"/>
      <c r="DX562" s="459"/>
      <c r="DY562" s="459"/>
    </row>
    <row r="563" spans="1:129" s="128" customFormat="1" ht="54.95" customHeight="1" x14ac:dyDescent="0.25">
      <c r="A563" s="377"/>
      <c r="B563" s="175"/>
      <c r="C563" s="393"/>
      <c r="D563" s="168"/>
      <c r="E563" s="168"/>
      <c r="F563" s="168"/>
      <c r="G563" s="168"/>
      <c r="H563" s="168"/>
      <c r="I563" s="168"/>
      <c r="J563" s="168"/>
      <c r="K563" s="168"/>
      <c r="L563" s="168"/>
      <c r="M563" s="168"/>
      <c r="N563" s="168"/>
      <c r="O563" s="433"/>
      <c r="P563" s="122"/>
      <c r="Q563" s="156"/>
      <c r="R563" s="156"/>
      <c r="S563" s="156"/>
      <c r="T563" s="156"/>
      <c r="U563" s="156"/>
      <c r="V563" s="156"/>
      <c r="W563" s="156"/>
      <c r="X563" s="156"/>
      <c r="Y563" s="156"/>
      <c r="Z563" s="157"/>
      <c r="AA563" s="157"/>
      <c r="AB563" s="156"/>
      <c r="AC563" s="156"/>
      <c r="AD563" s="156"/>
      <c r="AE563" s="156"/>
      <c r="AF563" s="156"/>
      <c r="AG563" s="156"/>
      <c r="AH563" s="156"/>
      <c r="AI563" s="156"/>
      <c r="AJ563" s="156"/>
      <c r="AK563" s="156"/>
      <c r="AL563" s="156"/>
      <c r="AM563" s="158"/>
      <c r="AN563" s="156"/>
      <c r="AO563" s="156"/>
      <c r="AP563" s="156"/>
      <c r="AQ563" s="156"/>
      <c r="AR563" s="156"/>
      <c r="AS563" s="156"/>
      <c r="AT563" s="156"/>
      <c r="AU563" s="156"/>
      <c r="AV563" s="156"/>
      <c r="AW563" s="156"/>
      <c r="AX563" s="156"/>
      <c r="AY563" s="156"/>
      <c r="AZ563" s="156"/>
      <c r="BA563" s="153"/>
      <c r="BD563" s="153"/>
      <c r="BE563" s="147"/>
      <c r="BI563" s="153"/>
      <c r="BO563" s="153"/>
      <c r="BW563" s="153"/>
      <c r="CD563" s="146"/>
      <c r="CF563" s="147"/>
      <c r="CI563" s="146"/>
      <c r="CJ563" s="153"/>
      <c r="CV563" s="154"/>
      <c r="CX563" s="154"/>
      <c r="CZ563" s="154"/>
      <c r="DB563" s="154"/>
      <c r="DD563" s="154"/>
      <c r="DH563" s="474"/>
      <c r="DI563" s="459"/>
      <c r="DJ563" s="459"/>
      <c r="DK563" s="459"/>
      <c r="DL563" s="459"/>
      <c r="DM563" s="459"/>
      <c r="DN563" s="459"/>
      <c r="DO563" s="459"/>
      <c r="DP563" s="459"/>
      <c r="DQ563" s="459"/>
      <c r="DR563" s="459"/>
      <c r="DS563" s="459"/>
      <c r="DT563" s="459"/>
      <c r="DU563" s="459"/>
      <c r="DV563" s="468"/>
      <c r="DW563" s="468"/>
      <c r="DX563" s="459"/>
      <c r="DY563" s="459"/>
    </row>
    <row r="564" spans="1:129" s="128" customFormat="1" ht="54.95" customHeight="1" x14ac:dyDescent="0.25">
      <c r="A564" s="377"/>
      <c r="B564" s="175"/>
      <c r="C564" s="393"/>
      <c r="D564" s="168"/>
      <c r="E564" s="168"/>
      <c r="F564" s="168"/>
      <c r="G564" s="168"/>
      <c r="H564" s="168"/>
      <c r="I564" s="168"/>
      <c r="J564" s="168"/>
      <c r="K564" s="168"/>
      <c r="L564" s="168"/>
      <c r="M564" s="168"/>
      <c r="N564" s="168"/>
      <c r="O564" s="433"/>
      <c r="P564" s="122"/>
      <c r="Q564" s="156"/>
      <c r="R564" s="156"/>
      <c r="S564" s="156"/>
      <c r="T564" s="156"/>
      <c r="U564" s="156"/>
      <c r="V564" s="156"/>
      <c r="W564" s="156"/>
      <c r="X564" s="156"/>
      <c r="Y564" s="156"/>
      <c r="Z564" s="157"/>
      <c r="AA564" s="157"/>
      <c r="AB564" s="156"/>
      <c r="AC564" s="156"/>
      <c r="AD564" s="156"/>
      <c r="AE564" s="156"/>
      <c r="AF564" s="156"/>
      <c r="AG564" s="156"/>
      <c r="AH564" s="156"/>
      <c r="AI564" s="156"/>
      <c r="AJ564" s="156"/>
      <c r="AK564" s="156"/>
      <c r="AL564" s="156"/>
      <c r="AM564" s="158"/>
      <c r="AN564" s="156"/>
      <c r="AO564" s="156"/>
      <c r="AP564" s="156"/>
      <c r="AQ564" s="156"/>
      <c r="AR564" s="156"/>
      <c r="AS564" s="156"/>
      <c r="AT564" s="156"/>
      <c r="AU564" s="156"/>
      <c r="AV564" s="156"/>
      <c r="AW564" s="156"/>
      <c r="AX564" s="156"/>
      <c r="AY564" s="156"/>
      <c r="AZ564" s="156"/>
      <c r="BA564" s="153"/>
      <c r="BD564" s="153"/>
      <c r="BE564" s="147"/>
      <c r="BI564" s="153"/>
      <c r="BO564" s="153"/>
      <c r="BW564" s="153"/>
      <c r="CD564" s="146"/>
      <c r="CF564" s="147"/>
      <c r="CI564" s="146"/>
      <c r="CJ564" s="153"/>
      <c r="CV564" s="154"/>
      <c r="CX564" s="154"/>
      <c r="CZ564" s="154"/>
      <c r="DB564" s="154"/>
      <c r="DD564" s="154"/>
      <c r="DH564" s="474"/>
      <c r="DI564" s="459"/>
      <c r="DJ564" s="459"/>
      <c r="DK564" s="459"/>
      <c r="DL564" s="459"/>
      <c r="DM564" s="459"/>
      <c r="DN564" s="459"/>
      <c r="DO564" s="459"/>
      <c r="DP564" s="459"/>
      <c r="DQ564" s="459"/>
      <c r="DR564" s="459"/>
      <c r="DS564" s="459"/>
      <c r="DT564" s="459"/>
      <c r="DU564" s="459"/>
      <c r="DV564" s="468"/>
      <c r="DW564" s="468"/>
      <c r="DX564" s="459"/>
      <c r="DY564" s="459"/>
    </row>
    <row r="565" spans="1:129" s="128" customFormat="1" ht="54.95" customHeight="1" x14ac:dyDescent="0.25">
      <c r="A565" s="377"/>
      <c r="B565" s="175"/>
      <c r="C565" s="393"/>
      <c r="D565" s="168"/>
      <c r="E565" s="168"/>
      <c r="F565" s="168"/>
      <c r="G565" s="168"/>
      <c r="H565" s="168"/>
      <c r="I565" s="168"/>
      <c r="J565" s="168"/>
      <c r="K565" s="168"/>
      <c r="L565" s="168"/>
      <c r="M565" s="168"/>
      <c r="N565" s="168"/>
      <c r="O565" s="433"/>
      <c r="P565" s="122"/>
      <c r="Q565" s="156"/>
      <c r="R565" s="156"/>
      <c r="S565" s="156"/>
      <c r="T565" s="156"/>
      <c r="U565" s="156"/>
      <c r="V565" s="156"/>
      <c r="W565" s="156"/>
      <c r="X565" s="156"/>
      <c r="Y565" s="156"/>
      <c r="Z565" s="157"/>
      <c r="AA565" s="157"/>
      <c r="AB565" s="156"/>
      <c r="AC565" s="156"/>
      <c r="AD565" s="156"/>
      <c r="AE565" s="156"/>
      <c r="AF565" s="156"/>
      <c r="AG565" s="156"/>
      <c r="AH565" s="156"/>
      <c r="AI565" s="156"/>
      <c r="AJ565" s="156"/>
      <c r="AK565" s="156"/>
      <c r="AL565" s="156"/>
      <c r="AM565" s="158"/>
      <c r="AN565" s="156"/>
      <c r="AO565" s="156"/>
      <c r="AP565" s="156"/>
      <c r="AQ565" s="156"/>
      <c r="AR565" s="156"/>
      <c r="AS565" s="156"/>
      <c r="AT565" s="156"/>
      <c r="AU565" s="156"/>
      <c r="AV565" s="156"/>
      <c r="AW565" s="156"/>
      <c r="AX565" s="156"/>
      <c r="AY565" s="156"/>
      <c r="AZ565" s="156"/>
      <c r="BA565" s="153"/>
      <c r="BD565" s="153"/>
      <c r="BE565" s="147"/>
      <c r="BI565" s="153"/>
      <c r="BO565" s="153"/>
      <c r="BW565" s="153"/>
      <c r="CD565" s="146"/>
      <c r="CF565" s="147"/>
      <c r="CI565" s="146"/>
      <c r="CJ565" s="153"/>
      <c r="CV565" s="154"/>
      <c r="CX565" s="154"/>
      <c r="CZ565" s="154"/>
      <c r="DB565" s="154"/>
      <c r="DD565" s="154"/>
      <c r="DH565" s="474"/>
      <c r="DI565" s="459"/>
      <c r="DJ565" s="459"/>
      <c r="DK565" s="459"/>
      <c r="DL565" s="459"/>
      <c r="DM565" s="459"/>
      <c r="DN565" s="459"/>
      <c r="DO565" s="459"/>
      <c r="DP565" s="459"/>
      <c r="DQ565" s="459"/>
      <c r="DR565" s="459"/>
      <c r="DS565" s="459"/>
      <c r="DT565" s="459"/>
      <c r="DU565" s="459"/>
      <c r="DV565" s="468"/>
      <c r="DW565" s="468"/>
      <c r="DX565" s="459"/>
      <c r="DY565" s="459"/>
    </row>
    <row r="566" spans="1:129" s="128" customFormat="1" ht="54.95" customHeight="1" x14ac:dyDescent="0.25">
      <c r="A566" s="377"/>
      <c r="B566" s="175"/>
      <c r="C566" s="393"/>
      <c r="D566" s="168"/>
      <c r="E566" s="168"/>
      <c r="F566" s="168"/>
      <c r="G566" s="168"/>
      <c r="H566" s="168"/>
      <c r="I566" s="168"/>
      <c r="J566" s="168"/>
      <c r="K566" s="168"/>
      <c r="L566" s="168"/>
      <c r="M566" s="168"/>
      <c r="N566" s="168"/>
      <c r="O566" s="433"/>
      <c r="P566" s="122"/>
      <c r="Q566" s="156"/>
      <c r="R566" s="156"/>
      <c r="S566" s="156"/>
      <c r="T566" s="156"/>
      <c r="U566" s="156"/>
      <c r="V566" s="156"/>
      <c r="W566" s="156"/>
      <c r="X566" s="156"/>
      <c r="Y566" s="156"/>
      <c r="Z566" s="157"/>
      <c r="AA566" s="157"/>
      <c r="AB566" s="156"/>
      <c r="AC566" s="156"/>
      <c r="AD566" s="156"/>
      <c r="AE566" s="156"/>
      <c r="AF566" s="156"/>
      <c r="AG566" s="156"/>
      <c r="AH566" s="156"/>
      <c r="AI566" s="156"/>
      <c r="AJ566" s="156"/>
      <c r="AK566" s="156"/>
      <c r="AL566" s="156"/>
      <c r="AM566" s="158"/>
      <c r="AN566" s="156"/>
      <c r="AO566" s="156"/>
      <c r="AP566" s="156"/>
      <c r="AQ566" s="156"/>
      <c r="AR566" s="156"/>
      <c r="AS566" s="156"/>
      <c r="AT566" s="156"/>
      <c r="AU566" s="156"/>
      <c r="AV566" s="156"/>
      <c r="AW566" s="156"/>
      <c r="AX566" s="156"/>
      <c r="AY566" s="156"/>
      <c r="AZ566" s="156"/>
      <c r="BA566" s="153"/>
      <c r="BD566" s="153"/>
      <c r="BE566" s="147"/>
      <c r="BI566" s="153"/>
      <c r="BO566" s="153"/>
      <c r="BW566" s="153"/>
      <c r="CD566" s="146"/>
      <c r="CF566" s="147"/>
      <c r="CI566" s="146"/>
      <c r="CJ566" s="153"/>
      <c r="CV566" s="154"/>
      <c r="CX566" s="154"/>
      <c r="CZ566" s="154"/>
      <c r="DB566" s="154"/>
      <c r="DD566" s="154"/>
      <c r="DH566" s="474"/>
      <c r="DI566" s="459"/>
      <c r="DJ566" s="459"/>
      <c r="DK566" s="459"/>
      <c r="DL566" s="459"/>
      <c r="DM566" s="459"/>
      <c r="DN566" s="459"/>
      <c r="DO566" s="459"/>
      <c r="DP566" s="459"/>
      <c r="DQ566" s="459"/>
      <c r="DR566" s="459"/>
      <c r="DS566" s="459"/>
      <c r="DT566" s="459"/>
      <c r="DU566" s="459"/>
      <c r="DV566" s="468"/>
      <c r="DW566" s="468"/>
      <c r="DX566" s="459"/>
      <c r="DY566" s="459"/>
    </row>
    <row r="567" spans="1:129" s="128" customFormat="1" ht="54.95" customHeight="1" x14ac:dyDescent="0.25">
      <c r="A567" s="377"/>
      <c r="B567" s="175"/>
      <c r="C567" s="393"/>
      <c r="D567" s="168"/>
      <c r="E567" s="168"/>
      <c r="F567" s="168"/>
      <c r="G567" s="168"/>
      <c r="H567" s="168"/>
      <c r="I567" s="168"/>
      <c r="J567" s="168"/>
      <c r="K567" s="168"/>
      <c r="L567" s="168"/>
      <c r="M567" s="168"/>
      <c r="N567" s="168"/>
      <c r="O567" s="433"/>
      <c r="P567" s="122"/>
      <c r="Q567" s="156"/>
      <c r="R567" s="156"/>
      <c r="S567" s="156"/>
      <c r="T567" s="156"/>
      <c r="U567" s="156"/>
      <c r="V567" s="156"/>
      <c r="W567" s="156"/>
      <c r="X567" s="156"/>
      <c r="Y567" s="156"/>
      <c r="Z567" s="157"/>
      <c r="AA567" s="157"/>
      <c r="AB567" s="156"/>
      <c r="AC567" s="156"/>
      <c r="AD567" s="156"/>
      <c r="AE567" s="156"/>
      <c r="AF567" s="156"/>
      <c r="AG567" s="156"/>
      <c r="AH567" s="156"/>
      <c r="AI567" s="156"/>
      <c r="AJ567" s="156"/>
      <c r="AK567" s="156"/>
      <c r="AL567" s="156"/>
      <c r="AM567" s="158"/>
      <c r="AN567" s="156"/>
      <c r="AO567" s="156"/>
      <c r="AP567" s="156"/>
      <c r="AQ567" s="156"/>
      <c r="AR567" s="156"/>
      <c r="AS567" s="156"/>
      <c r="AT567" s="156"/>
      <c r="AU567" s="156"/>
      <c r="AV567" s="156"/>
      <c r="AW567" s="156"/>
      <c r="AX567" s="156"/>
      <c r="AY567" s="156"/>
      <c r="AZ567" s="156"/>
      <c r="BA567" s="153"/>
      <c r="BD567" s="153"/>
      <c r="BE567" s="147"/>
      <c r="BI567" s="153"/>
      <c r="BO567" s="153"/>
      <c r="BW567" s="153"/>
      <c r="CD567" s="146"/>
      <c r="CF567" s="147"/>
      <c r="CI567" s="146"/>
      <c r="CJ567" s="153"/>
      <c r="CV567" s="154"/>
      <c r="CX567" s="154"/>
      <c r="CZ567" s="154"/>
      <c r="DB567" s="154"/>
      <c r="DD567" s="154"/>
      <c r="DH567" s="474"/>
      <c r="DI567" s="459"/>
      <c r="DJ567" s="459"/>
      <c r="DK567" s="459"/>
      <c r="DL567" s="459"/>
      <c r="DM567" s="459"/>
      <c r="DN567" s="459"/>
      <c r="DO567" s="459"/>
      <c r="DP567" s="459"/>
      <c r="DQ567" s="459"/>
      <c r="DR567" s="459"/>
      <c r="DS567" s="459"/>
      <c r="DT567" s="459"/>
      <c r="DU567" s="459"/>
      <c r="DV567" s="468"/>
      <c r="DW567" s="468"/>
      <c r="DX567" s="459"/>
      <c r="DY567" s="459"/>
    </row>
    <row r="568" spans="1:129" s="128" customFormat="1" ht="54.95" customHeight="1" x14ac:dyDescent="0.25">
      <c r="A568" s="377"/>
      <c r="B568" s="175"/>
      <c r="C568" s="393"/>
      <c r="D568" s="168"/>
      <c r="E568" s="168"/>
      <c r="F568" s="168"/>
      <c r="G568" s="168"/>
      <c r="H568" s="168"/>
      <c r="I568" s="168"/>
      <c r="J568" s="168"/>
      <c r="K568" s="168"/>
      <c r="L568" s="168"/>
      <c r="M568" s="168"/>
      <c r="N568" s="168"/>
      <c r="O568" s="433"/>
      <c r="P568" s="122"/>
      <c r="Q568" s="156"/>
      <c r="R568" s="156"/>
      <c r="S568" s="156"/>
      <c r="T568" s="156"/>
      <c r="U568" s="156"/>
      <c r="V568" s="156"/>
      <c r="W568" s="156"/>
      <c r="X568" s="156"/>
      <c r="Y568" s="156"/>
      <c r="Z568" s="157"/>
      <c r="AA568" s="157"/>
      <c r="AB568" s="156"/>
      <c r="AC568" s="156"/>
      <c r="AD568" s="156"/>
      <c r="AE568" s="156"/>
      <c r="AF568" s="156"/>
      <c r="AG568" s="156"/>
      <c r="AH568" s="156"/>
      <c r="AI568" s="156"/>
      <c r="AJ568" s="156"/>
      <c r="AK568" s="156"/>
      <c r="AL568" s="156"/>
      <c r="AM568" s="158"/>
      <c r="AN568" s="156"/>
      <c r="AO568" s="156"/>
      <c r="AP568" s="156"/>
      <c r="AQ568" s="156"/>
      <c r="AR568" s="156"/>
      <c r="AS568" s="156"/>
      <c r="AT568" s="156"/>
      <c r="AU568" s="156"/>
      <c r="AV568" s="156"/>
      <c r="AW568" s="156"/>
      <c r="AX568" s="156"/>
      <c r="AY568" s="156"/>
      <c r="AZ568" s="156"/>
      <c r="BA568" s="153"/>
      <c r="BD568" s="153"/>
      <c r="BE568" s="147"/>
      <c r="BI568" s="153"/>
      <c r="BO568" s="153"/>
      <c r="BW568" s="153"/>
      <c r="CD568" s="146"/>
      <c r="CF568" s="147"/>
      <c r="CI568" s="146"/>
      <c r="CJ568" s="153"/>
      <c r="CV568" s="154"/>
      <c r="CX568" s="154"/>
      <c r="CZ568" s="154"/>
      <c r="DB568" s="154"/>
      <c r="DD568" s="154"/>
      <c r="DH568" s="474"/>
      <c r="DI568" s="459"/>
      <c r="DJ568" s="459"/>
      <c r="DK568" s="459"/>
      <c r="DL568" s="459"/>
      <c r="DM568" s="459"/>
      <c r="DN568" s="459"/>
      <c r="DO568" s="459"/>
      <c r="DP568" s="459"/>
      <c r="DQ568" s="459"/>
      <c r="DR568" s="459"/>
      <c r="DS568" s="459"/>
      <c r="DT568" s="459"/>
      <c r="DU568" s="459"/>
      <c r="DV568" s="468"/>
      <c r="DW568" s="468"/>
      <c r="DX568" s="459"/>
      <c r="DY568" s="459"/>
    </row>
    <row r="569" spans="1:129" s="128" customFormat="1" ht="54.95" customHeight="1" x14ac:dyDescent="0.25">
      <c r="A569" s="377"/>
      <c r="B569" s="175"/>
      <c r="C569" s="393"/>
      <c r="D569" s="168"/>
      <c r="E569" s="168"/>
      <c r="F569" s="168"/>
      <c r="G569" s="168"/>
      <c r="H569" s="168"/>
      <c r="I569" s="168"/>
      <c r="J569" s="168"/>
      <c r="K569" s="168"/>
      <c r="L569" s="168"/>
      <c r="M569" s="168"/>
      <c r="N569" s="168"/>
      <c r="O569" s="433"/>
      <c r="P569" s="122"/>
      <c r="Q569" s="156"/>
      <c r="R569" s="156"/>
      <c r="S569" s="156"/>
      <c r="T569" s="156"/>
      <c r="U569" s="156"/>
      <c r="V569" s="156"/>
      <c r="W569" s="156"/>
      <c r="X569" s="156"/>
      <c r="Y569" s="156"/>
      <c r="Z569" s="157"/>
      <c r="AA569" s="157"/>
      <c r="AB569" s="156"/>
      <c r="AC569" s="156"/>
      <c r="AD569" s="156"/>
      <c r="AE569" s="156"/>
      <c r="AF569" s="156"/>
      <c r="AG569" s="156"/>
      <c r="AH569" s="156"/>
      <c r="AI569" s="156"/>
      <c r="AJ569" s="156"/>
      <c r="AK569" s="156"/>
      <c r="AL569" s="156"/>
      <c r="AM569" s="158"/>
      <c r="AN569" s="156"/>
      <c r="AO569" s="156"/>
      <c r="AP569" s="156"/>
      <c r="AQ569" s="156"/>
      <c r="AR569" s="156"/>
      <c r="AS569" s="156"/>
      <c r="AT569" s="156"/>
      <c r="AU569" s="156"/>
      <c r="AV569" s="156"/>
      <c r="AW569" s="156"/>
      <c r="AX569" s="156"/>
      <c r="AY569" s="156"/>
      <c r="AZ569" s="156"/>
      <c r="BA569" s="153"/>
      <c r="BD569" s="153"/>
      <c r="BE569" s="147"/>
      <c r="BI569" s="153"/>
      <c r="BO569" s="153"/>
      <c r="BW569" s="153"/>
      <c r="CD569" s="146"/>
      <c r="CF569" s="147"/>
      <c r="CI569" s="146"/>
      <c r="CJ569" s="153"/>
      <c r="CV569" s="154"/>
      <c r="CX569" s="154"/>
      <c r="CZ569" s="154"/>
      <c r="DB569" s="154"/>
      <c r="DD569" s="154"/>
      <c r="DH569" s="474"/>
      <c r="DI569" s="459"/>
      <c r="DJ569" s="459"/>
      <c r="DK569" s="459"/>
      <c r="DL569" s="459"/>
      <c r="DM569" s="459"/>
      <c r="DN569" s="459"/>
      <c r="DO569" s="459"/>
      <c r="DP569" s="459"/>
      <c r="DQ569" s="459"/>
      <c r="DR569" s="459"/>
      <c r="DS569" s="459"/>
      <c r="DT569" s="459"/>
      <c r="DU569" s="459"/>
      <c r="DV569" s="468"/>
      <c r="DW569" s="468"/>
      <c r="DX569" s="459"/>
      <c r="DY569" s="459"/>
    </row>
    <row r="570" spans="1:129" s="128" customFormat="1" ht="54.95" customHeight="1" x14ac:dyDescent="0.25">
      <c r="A570" s="377"/>
      <c r="B570" s="175"/>
      <c r="C570" s="393"/>
      <c r="D570" s="168"/>
      <c r="E570" s="168"/>
      <c r="F570" s="168"/>
      <c r="G570" s="168"/>
      <c r="H570" s="168"/>
      <c r="I570" s="168"/>
      <c r="J570" s="168"/>
      <c r="K570" s="168"/>
      <c r="L570" s="168"/>
      <c r="M570" s="168"/>
      <c r="N570" s="168"/>
      <c r="O570" s="433"/>
      <c r="P570" s="122"/>
      <c r="Q570" s="156"/>
      <c r="R570" s="156"/>
      <c r="S570" s="156"/>
      <c r="T570" s="156"/>
      <c r="U570" s="156"/>
      <c r="V570" s="156"/>
      <c r="W570" s="156"/>
      <c r="X570" s="156"/>
      <c r="Y570" s="156"/>
      <c r="Z570" s="157"/>
      <c r="AA570" s="157"/>
      <c r="AB570" s="156"/>
      <c r="AC570" s="156"/>
      <c r="AD570" s="156"/>
      <c r="AE570" s="156"/>
      <c r="AF570" s="156"/>
      <c r="AG570" s="156"/>
      <c r="AH570" s="156"/>
      <c r="AI570" s="156"/>
      <c r="AJ570" s="156"/>
      <c r="AK570" s="156"/>
      <c r="AL570" s="156"/>
      <c r="AM570" s="158"/>
      <c r="AN570" s="156"/>
      <c r="AO570" s="156"/>
      <c r="AP570" s="156"/>
      <c r="AQ570" s="156"/>
      <c r="AR570" s="156"/>
      <c r="AS570" s="156"/>
      <c r="AT570" s="156"/>
      <c r="AU570" s="156"/>
      <c r="AV570" s="156"/>
      <c r="AW570" s="156"/>
      <c r="AX570" s="156"/>
      <c r="AY570" s="156"/>
      <c r="AZ570" s="156"/>
      <c r="BA570" s="153"/>
      <c r="BD570" s="153"/>
      <c r="BE570" s="147"/>
      <c r="BI570" s="153"/>
      <c r="BO570" s="153"/>
      <c r="BW570" s="153"/>
      <c r="CD570" s="146"/>
      <c r="CF570" s="147"/>
      <c r="CI570" s="146"/>
      <c r="CJ570" s="153"/>
      <c r="CV570" s="154"/>
      <c r="CX570" s="154"/>
      <c r="CZ570" s="154"/>
      <c r="DB570" s="154"/>
      <c r="DD570" s="154"/>
      <c r="DH570" s="474"/>
      <c r="DI570" s="459"/>
      <c r="DJ570" s="459"/>
      <c r="DK570" s="459"/>
      <c r="DL570" s="459"/>
      <c r="DM570" s="459"/>
      <c r="DN570" s="459"/>
      <c r="DO570" s="459"/>
      <c r="DP570" s="459"/>
      <c r="DQ570" s="459"/>
      <c r="DR570" s="459"/>
      <c r="DS570" s="459"/>
      <c r="DT570" s="459"/>
      <c r="DU570" s="459"/>
      <c r="DV570" s="468"/>
      <c r="DW570" s="468"/>
      <c r="DX570" s="459"/>
      <c r="DY570" s="459"/>
    </row>
    <row r="571" spans="1:129" s="128" customFormat="1" ht="54.95" customHeight="1" x14ac:dyDescent="0.25">
      <c r="A571" s="377"/>
      <c r="B571" s="175"/>
      <c r="C571" s="393"/>
      <c r="D571" s="168"/>
      <c r="E571" s="168"/>
      <c r="F571" s="168"/>
      <c r="G571" s="168"/>
      <c r="H571" s="168"/>
      <c r="I571" s="168"/>
      <c r="J571" s="168"/>
      <c r="K571" s="168"/>
      <c r="L571" s="168"/>
      <c r="M571" s="168"/>
      <c r="N571" s="168"/>
      <c r="O571" s="433"/>
      <c r="P571" s="122"/>
      <c r="Q571" s="156"/>
      <c r="R571" s="156"/>
      <c r="S571" s="156"/>
      <c r="T571" s="156"/>
      <c r="U571" s="156"/>
      <c r="V571" s="156"/>
      <c r="W571" s="156"/>
      <c r="X571" s="156"/>
      <c r="Y571" s="156"/>
      <c r="Z571" s="157"/>
      <c r="AA571" s="157"/>
      <c r="AB571" s="156"/>
      <c r="AC571" s="156"/>
      <c r="AD571" s="156"/>
      <c r="AE571" s="156"/>
      <c r="AF571" s="156"/>
      <c r="AG571" s="156"/>
      <c r="AH571" s="156"/>
      <c r="AI571" s="156"/>
      <c r="AJ571" s="156"/>
      <c r="AK571" s="156"/>
      <c r="AL571" s="156"/>
      <c r="AM571" s="158"/>
      <c r="AN571" s="156"/>
      <c r="AO571" s="156"/>
      <c r="AP571" s="156"/>
      <c r="AQ571" s="156"/>
      <c r="AR571" s="156"/>
      <c r="AS571" s="156"/>
      <c r="AT571" s="156"/>
      <c r="AU571" s="156"/>
      <c r="AV571" s="156"/>
      <c r="AW571" s="156"/>
      <c r="AX571" s="156"/>
      <c r="AY571" s="156"/>
      <c r="AZ571" s="156"/>
      <c r="BA571" s="153"/>
      <c r="BD571" s="153"/>
      <c r="BE571" s="147"/>
      <c r="BI571" s="153"/>
      <c r="BO571" s="153"/>
      <c r="BW571" s="153"/>
      <c r="CD571" s="146"/>
      <c r="CF571" s="147"/>
      <c r="CI571" s="146"/>
      <c r="CJ571" s="153"/>
      <c r="CV571" s="154"/>
      <c r="CX571" s="154"/>
      <c r="CZ571" s="154"/>
      <c r="DB571" s="154"/>
      <c r="DD571" s="154"/>
      <c r="DH571" s="474"/>
      <c r="DI571" s="459"/>
      <c r="DJ571" s="459"/>
      <c r="DK571" s="459"/>
      <c r="DL571" s="459"/>
      <c r="DM571" s="459"/>
      <c r="DN571" s="459"/>
      <c r="DO571" s="459"/>
      <c r="DP571" s="459"/>
      <c r="DQ571" s="459"/>
      <c r="DR571" s="459"/>
      <c r="DS571" s="459"/>
      <c r="DT571" s="459"/>
      <c r="DU571" s="459"/>
      <c r="DV571" s="468"/>
      <c r="DW571" s="468"/>
      <c r="DX571" s="459"/>
      <c r="DY571" s="459"/>
    </row>
    <row r="572" spans="1:129" s="128" customFormat="1" ht="54.95" customHeight="1" x14ac:dyDescent="0.25">
      <c r="A572" s="377"/>
      <c r="B572" s="175"/>
      <c r="C572" s="393"/>
      <c r="D572" s="168"/>
      <c r="E572" s="168"/>
      <c r="F572" s="168"/>
      <c r="G572" s="168"/>
      <c r="H572" s="168"/>
      <c r="I572" s="168"/>
      <c r="J572" s="168"/>
      <c r="K572" s="168"/>
      <c r="L572" s="168"/>
      <c r="M572" s="168"/>
      <c r="N572" s="168"/>
      <c r="O572" s="433"/>
      <c r="P572" s="122"/>
      <c r="Q572" s="156"/>
      <c r="R572" s="156"/>
      <c r="S572" s="156"/>
      <c r="T572" s="156"/>
      <c r="U572" s="156"/>
      <c r="V572" s="156"/>
      <c r="W572" s="156"/>
      <c r="X572" s="156"/>
      <c r="Y572" s="156"/>
      <c r="Z572" s="157"/>
      <c r="AA572" s="157"/>
      <c r="AB572" s="156"/>
      <c r="AC572" s="156"/>
      <c r="AD572" s="156"/>
      <c r="AE572" s="156"/>
      <c r="AF572" s="156"/>
      <c r="AG572" s="156"/>
      <c r="AH572" s="156"/>
      <c r="AI572" s="156"/>
      <c r="AJ572" s="156"/>
      <c r="AK572" s="156"/>
      <c r="AL572" s="156"/>
      <c r="AM572" s="158"/>
      <c r="AN572" s="156"/>
      <c r="AO572" s="156"/>
      <c r="AP572" s="156"/>
      <c r="AQ572" s="156"/>
      <c r="AR572" s="156"/>
      <c r="AS572" s="156"/>
      <c r="AT572" s="156"/>
      <c r="AU572" s="156"/>
      <c r="AV572" s="156"/>
      <c r="AW572" s="156"/>
      <c r="AX572" s="156"/>
      <c r="AY572" s="156"/>
      <c r="AZ572" s="156"/>
      <c r="BA572" s="153"/>
      <c r="BD572" s="153"/>
      <c r="BE572" s="147"/>
      <c r="BI572" s="153"/>
      <c r="BO572" s="153"/>
      <c r="BW572" s="153"/>
      <c r="CD572" s="146"/>
      <c r="CF572" s="147"/>
      <c r="CI572" s="146"/>
      <c r="CJ572" s="153"/>
      <c r="CV572" s="154"/>
      <c r="CX572" s="154"/>
      <c r="CZ572" s="154"/>
      <c r="DB572" s="154"/>
      <c r="DD572" s="154"/>
      <c r="DH572" s="474"/>
      <c r="DI572" s="459"/>
      <c r="DJ572" s="459"/>
      <c r="DK572" s="459"/>
      <c r="DL572" s="459"/>
      <c r="DM572" s="459"/>
      <c r="DN572" s="459"/>
      <c r="DO572" s="459"/>
      <c r="DP572" s="459"/>
      <c r="DQ572" s="459"/>
      <c r="DR572" s="459"/>
      <c r="DS572" s="459"/>
      <c r="DT572" s="459"/>
      <c r="DU572" s="459"/>
      <c r="DV572" s="468"/>
      <c r="DW572" s="468"/>
      <c r="DX572" s="459"/>
      <c r="DY572" s="459"/>
    </row>
    <row r="573" spans="1:129" s="128" customFormat="1" ht="54.95" customHeight="1" x14ac:dyDescent="0.25">
      <c r="A573" s="377"/>
      <c r="B573" s="175"/>
      <c r="C573" s="393"/>
      <c r="D573" s="168"/>
      <c r="E573" s="168"/>
      <c r="F573" s="168"/>
      <c r="G573" s="168"/>
      <c r="H573" s="168"/>
      <c r="I573" s="168"/>
      <c r="J573" s="168"/>
      <c r="K573" s="168"/>
      <c r="L573" s="168"/>
      <c r="M573" s="168"/>
      <c r="N573" s="168"/>
      <c r="O573" s="433"/>
      <c r="P573" s="122"/>
      <c r="Q573" s="156"/>
      <c r="R573" s="156"/>
      <c r="S573" s="156"/>
      <c r="T573" s="156"/>
      <c r="U573" s="156"/>
      <c r="V573" s="156"/>
      <c r="W573" s="156"/>
      <c r="X573" s="156"/>
      <c r="Y573" s="156"/>
      <c r="Z573" s="157"/>
      <c r="AA573" s="157"/>
      <c r="AB573" s="156"/>
      <c r="AC573" s="156"/>
      <c r="AD573" s="156"/>
      <c r="AE573" s="156"/>
      <c r="AF573" s="156"/>
      <c r="AG573" s="156"/>
      <c r="AH573" s="156"/>
      <c r="AI573" s="156"/>
      <c r="AJ573" s="156"/>
      <c r="AK573" s="156"/>
      <c r="AL573" s="156"/>
      <c r="AM573" s="158"/>
      <c r="AN573" s="156"/>
      <c r="AO573" s="156"/>
      <c r="AP573" s="156"/>
      <c r="AQ573" s="156"/>
      <c r="AR573" s="156"/>
      <c r="AS573" s="156"/>
      <c r="AT573" s="156"/>
      <c r="AU573" s="156"/>
      <c r="AV573" s="156"/>
      <c r="AW573" s="156"/>
      <c r="AX573" s="156"/>
      <c r="AY573" s="156"/>
      <c r="AZ573" s="156"/>
      <c r="BA573" s="153"/>
      <c r="BD573" s="153"/>
      <c r="BE573" s="147"/>
      <c r="BI573" s="153"/>
      <c r="BO573" s="153"/>
      <c r="BW573" s="153"/>
      <c r="CD573" s="146"/>
      <c r="CF573" s="147"/>
      <c r="CI573" s="146"/>
      <c r="CJ573" s="153"/>
      <c r="CV573" s="154"/>
      <c r="CX573" s="154"/>
      <c r="CZ573" s="154"/>
      <c r="DB573" s="154"/>
      <c r="DD573" s="154"/>
      <c r="DH573" s="474"/>
      <c r="DI573" s="459"/>
      <c r="DJ573" s="459"/>
      <c r="DK573" s="459"/>
      <c r="DL573" s="459"/>
      <c r="DM573" s="459"/>
      <c r="DN573" s="459"/>
      <c r="DO573" s="459"/>
      <c r="DP573" s="459"/>
      <c r="DQ573" s="459"/>
      <c r="DR573" s="459"/>
      <c r="DS573" s="459"/>
      <c r="DT573" s="459"/>
      <c r="DU573" s="459"/>
      <c r="DV573" s="468"/>
      <c r="DW573" s="468"/>
      <c r="DX573" s="459"/>
      <c r="DY573" s="459"/>
    </row>
    <row r="574" spans="1:129" s="128" customFormat="1" ht="54.95" customHeight="1" x14ac:dyDescent="0.25">
      <c r="A574" s="377"/>
      <c r="B574" s="175"/>
      <c r="C574" s="393"/>
      <c r="D574" s="168"/>
      <c r="E574" s="168"/>
      <c r="F574" s="168"/>
      <c r="G574" s="168"/>
      <c r="H574" s="168"/>
      <c r="I574" s="168"/>
      <c r="J574" s="168"/>
      <c r="K574" s="168"/>
      <c r="L574" s="168"/>
      <c r="M574" s="168"/>
      <c r="N574" s="168"/>
      <c r="O574" s="433"/>
      <c r="P574" s="122"/>
      <c r="Q574" s="156"/>
      <c r="R574" s="156"/>
      <c r="S574" s="156"/>
      <c r="T574" s="156"/>
      <c r="U574" s="156"/>
      <c r="V574" s="156"/>
      <c r="W574" s="156"/>
      <c r="X574" s="156"/>
      <c r="Y574" s="156"/>
      <c r="Z574" s="157"/>
      <c r="AA574" s="157"/>
      <c r="AB574" s="156"/>
      <c r="AC574" s="156"/>
      <c r="AD574" s="156"/>
      <c r="AE574" s="156"/>
      <c r="AF574" s="156"/>
      <c r="AG574" s="156"/>
      <c r="AH574" s="156"/>
      <c r="AI574" s="156"/>
      <c r="AJ574" s="156"/>
      <c r="AK574" s="156"/>
      <c r="AL574" s="156"/>
      <c r="AM574" s="158"/>
      <c r="AN574" s="156"/>
      <c r="AO574" s="156"/>
      <c r="AP574" s="156"/>
      <c r="AQ574" s="156"/>
      <c r="AR574" s="156"/>
      <c r="AS574" s="156"/>
      <c r="AT574" s="156"/>
      <c r="AU574" s="156"/>
      <c r="AV574" s="156"/>
      <c r="AW574" s="156"/>
      <c r="AX574" s="156"/>
      <c r="AY574" s="156"/>
      <c r="AZ574" s="156"/>
      <c r="BA574" s="153"/>
      <c r="BD574" s="153"/>
      <c r="BE574" s="147"/>
      <c r="BI574" s="153"/>
      <c r="BO574" s="153"/>
      <c r="BW574" s="153"/>
      <c r="CD574" s="146"/>
      <c r="CF574" s="147"/>
      <c r="CI574" s="146"/>
      <c r="CJ574" s="153"/>
      <c r="CV574" s="154"/>
      <c r="CX574" s="154"/>
      <c r="CZ574" s="154"/>
      <c r="DB574" s="154"/>
      <c r="DD574" s="154"/>
      <c r="DH574" s="474"/>
      <c r="DI574" s="459"/>
      <c r="DJ574" s="459"/>
      <c r="DK574" s="459"/>
      <c r="DL574" s="459"/>
      <c r="DM574" s="459"/>
      <c r="DN574" s="459"/>
      <c r="DO574" s="459"/>
      <c r="DP574" s="459"/>
      <c r="DQ574" s="459"/>
      <c r="DR574" s="459"/>
      <c r="DS574" s="459"/>
      <c r="DT574" s="459"/>
      <c r="DU574" s="459"/>
      <c r="DV574" s="468"/>
      <c r="DW574" s="468"/>
      <c r="DX574" s="459"/>
      <c r="DY574" s="459"/>
    </row>
    <row r="575" spans="1:129" s="128" customFormat="1" ht="54.95" customHeight="1" x14ac:dyDescent="0.25">
      <c r="A575" s="377"/>
      <c r="B575" s="175"/>
      <c r="C575" s="393"/>
      <c r="D575" s="168"/>
      <c r="E575" s="168"/>
      <c r="F575" s="168"/>
      <c r="G575" s="168"/>
      <c r="H575" s="168"/>
      <c r="I575" s="168"/>
      <c r="J575" s="168"/>
      <c r="K575" s="168"/>
      <c r="L575" s="168"/>
      <c r="M575" s="168"/>
      <c r="N575" s="168"/>
      <c r="O575" s="433"/>
      <c r="P575" s="122"/>
      <c r="Q575" s="156"/>
      <c r="R575" s="156"/>
      <c r="S575" s="156"/>
      <c r="T575" s="156"/>
      <c r="U575" s="156"/>
      <c r="V575" s="156"/>
      <c r="W575" s="156"/>
      <c r="X575" s="156"/>
      <c r="Y575" s="156"/>
      <c r="Z575" s="157"/>
      <c r="AA575" s="157"/>
      <c r="AB575" s="156"/>
      <c r="AC575" s="156"/>
      <c r="AD575" s="156"/>
      <c r="AE575" s="156"/>
      <c r="AF575" s="156"/>
      <c r="AG575" s="156"/>
      <c r="AH575" s="156"/>
      <c r="AI575" s="156"/>
      <c r="AJ575" s="156"/>
      <c r="AK575" s="156"/>
      <c r="AL575" s="156"/>
      <c r="AM575" s="158"/>
      <c r="AN575" s="156"/>
      <c r="AO575" s="156"/>
      <c r="AP575" s="156"/>
      <c r="AQ575" s="156"/>
      <c r="AR575" s="156"/>
      <c r="AS575" s="156"/>
      <c r="AT575" s="156"/>
      <c r="AU575" s="156"/>
      <c r="AV575" s="156"/>
      <c r="AW575" s="156"/>
      <c r="AX575" s="156"/>
      <c r="AY575" s="156"/>
      <c r="AZ575" s="156"/>
      <c r="BA575" s="153"/>
      <c r="BD575" s="153"/>
      <c r="BE575" s="147"/>
      <c r="BI575" s="153"/>
      <c r="BO575" s="153"/>
      <c r="BW575" s="153"/>
      <c r="CD575" s="146"/>
      <c r="CF575" s="147"/>
      <c r="CI575" s="146"/>
      <c r="CJ575" s="153"/>
      <c r="CV575" s="154"/>
      <c r="CX575" s="154"/>
      <c r="CZ575" s="154"/>
      <c r="DB575" s="154"/>
      <c r="DD575" s="154"/>
      <c r="DH575" s="474"/>
      <c r="DI575" s="459"/>
      <c r="DJ575" s="459"/>
      <c r="DK575" s="459"/>
      <c r="DL575" s="459"/>
      <c r="DM575" s="459"/>
      <c r="DN575" s="459"/>
      <c r="DO575" s="459"/>
      <c r="DP575" s="459"/>
      <c r="DQ575" s="459"/>
      <c r="DR575" s="459"/>
      <c r="DS575" s="459"/>
      <c r="DT575" s="459"/>
      <c r="DU575" s="459"/>
      <c r="DV575" s="468"/>
      <c r="DW575" s="468"/>
      <c r="DX575" s="459"/>
      <c r="DY575" s="459"/>
    </row>
    <row r="576" spans="1:129" s="128" customFormat="1" ht="54.95" customHeight="1" x14ac:dyDescent="0.25">
      <c r="A576" s="377"/>
      <c r="B576" s="175"/>
      <c r="C576" s="393"/>
      <c r="D576" s="168"/>
      <c r="E576" s="168"/>
      <c r="F576" s="168"/>
      <c r="G576" s="168"/>
      <c r="H576" s="168"/>
      <c r="I576" s="168"/>
      <c r="J576" s="168"/>
      <c r="K576" s="168"/>
      <c r="L576" s="168"/>
      <c r="M576" s="168"/>
      <c r="N576" s="168"/>
      <c r="O576" s="433"/>
      <c r="P576" s="122"/>
      <c r="Q576" s="156"/>
      <c r="R576" s="156"/>
      <c r="S576" s="156"/>
      <c r="T576" s="156"/>
      <c r="U576" s="156"/>
      <c r="V576" s="156"/>
      <c r="W576" s="156"/>
      <c r="X576" s="156"/>
      <c r="Y576" s="156"/>
      <c r="Z576" s="157"/>
      <c r="AA576" s="157"/>
      <c r="AB576" s="156"/>
      <c r="AC576" s="156"/>
      <c r="AD576" s="156"/>
      <c r="AE576" s="156"/>
      <c r="AF576" s="156"/>
      <c r="AG576" s="156"/>
      <c r="AH576" s="156"/>
      <c r="AI576" s="156"/>
      <c r="AJ576" s="156"/>
      <c r="AK576" s="156"/>
      <c r="AL576" s="156"/>
      <c r="AM576" s="158"/>
      <c r="AN576" s="156"/>
      <c r="AO576" s="156"/>
      <c r="AP576" s="156"/>
      <c r="AQ576" s="156"/>
      <c r="AR576" s="156"/>
      <c r="AS576" s="156"/>
      <c r="AT576" s="156"/>
      <c r="AU576" s="156"/>
      <c r="AV576" s="156"/>
      <c r="AW576" s="156"/>
      <c r="AX576" s="156"/>
      <c r="AY576" s="156"/>
      <c r="AZ576" s="156"/>
      <c r="BA576" s="153"/>
      <c r="BD576" s="153"/>
      <c r="BE576" s="147"/>
      <c r="BI576" s="153"/>
      <c r="BO576" s="153"/>
      <c r="BW576" s="153"/>
      <c r="CD576" s="146"/>
      <c r="CF576" s="147"/>
      <c r="CI576" s="146"/>
      <c r="CJ576" s="153"/>
      <c r="CV576" s="154"/>
      <c r="CX576" s="154"/>
      <c r="CZ576" s="154"/>
      <c r="DB576" s="154"/>
      <c r="DD576" s="154"/>
      <c r="DH576" s="474"/>
      <c r="DI576" s="459"/>
      <c r="DJ576" s="459"/>
      <c r="DK576" s="459"/>
      <c r="DL576" s="459"/>
      <c r="DM576" s="459"/>
      <c r="DN576" s="459"/>
      <c r="DO576" s="459"/>
      <c r="DP576" s="459"/>
      <c r="DQ576" s="459"/>
      <c r="DR576" s="459"/>
      <c r="DS576" s="459"/>
      <c r="DT576" s="459"/>
      <c r="DU576" s="459"/>
      <c r="DV576" s="468"/>
      <c r="DW576" s="468"/>
      <c r="DX576" s="459"/>
      <c r="DY576" s="459"/>
    </row>
    <row r="577" spans="1:129" s="128" customFormat="1" ht="54.95" customHeight="1" x14ac:dyDescent="0.25">
      <c r="A577" s="377"/>
      <c r="B577" s="175"/>
      <c r="C577" s="393"/>
      <c r="D577" s="168"/>
      <c r="E577" s="168"/>
      <c r="F577" s="168"/>
      <c r="G577" s="168"/>
      <c r="H577" s="168"/>
      <c r="I577" s="168"/>
      <c r="J577" s="168"/>
      <c r="K577" s="168"/>
      <c r="L577" s="168"/>
      <c r="M577" s="168"/>
      <c r="N577" s="168"/>
      <c r="O577" s="433"/>
      <c r="P577" s="122"/>
      <c r="Q577" s="156"/>
      <c r="R577" s="156"/>
      <c r="S577" s="156"/>
      <c r="T577" s="156"/>
      <c r="U577" s="156"/>
      <c r="V577" s="156"/>
      <c r="W577" s="156"/>
      <c r="X577" s="156"/>
      <c r="Y577" s="156"/>
      <c r="Z577" s="157"/>
      <c r="AA577" s="157"/>
      <c r="AB577" s="156"/>
      <c r="AC577" s="156"/>
      <c r="AD577" s="156"/>
      <c r="AE577" s="156"/>
      <c r="AF577" s="156"/>
      <c r="AG577" s="156"/>
      <c r="AH577" s="156"/>
      <c r="AI577" s="156"/>
      <c r="AJ577" s="156"/>
      <c r="AK577" s="156"/>
      <c r="AL577" s="156"/>
      <c r="AM577" s="158"/>
      <c r="AN577" s="156"/>
      <c r="AO577" s="156"/>
      <c r="AP577" s="156"/>
      <c r="AQ577" s="156"/>
      <c r="AR577" s="156"/>
      <c r="AS577" s="156"/>
      <c r="AT577" s="156"/>
      <c r="AU577" s="156"/>
      <c r="AV577" s="156"/>
      <c r="AW577" s="156"/>
      <c r="AX577" s="156"/>
      <c r="AY577" s="156"/>
      <c r="AZ577" s="156"/>
      <c r="BA577" s="153"/>
      <c r="BD577" s="153"/>
      <c r="BE577" s="147"/>
      <c r="BI577" s="153"/>
      <c r="BO577" s="153"/>
      <c r="BW577" s="153"/>
      <c r="CD577" s="146"/>
      <c r="CF577" s="147"/>
      <c r="CI577" s="146"/>
      <c r="CJ577" s="153"/>
      <c r="CV577" s="154"/>
      <c r="CX577" s="154"/>
      <c r="CZ577" s="154"/>
      <c r="DB577" s="154"/>
      <c r="DD577" s="154"/>
      <c r="DH577" s="474"/>
      <c r="DI577" s="459"/>
      <c r="DJ577" s="459"/>
      <c r="DK577" s="459"/>
      <c r="DL577" s="459"/>
      <c r="DM577" s="459"/>
      <c r="DN577" s="459"/>
      <c r="DO577" s="459"/>
      <c r="DP577" s="459"/>
      <c r="DQ577" s="459"/>
      <c r="DR577" s="459"/>
      <c r="DS577" s="459"/>
      <c r="DT577" s="459"/>
      <c r="DU577" s="459"/>
      <c r="DV577" s="468"/>
      <c r="DW577" s="468"/>
      <c r="DX577" s="459"/>
      <c r="DY577" s="459"/>
    </row>
    <row r="578" spans="1:129" s="128" customFormat="1" ht="54.95" customHeight="1" x14ac:dyDescent="0.25">
      <c r="A578" s="377"/>
      <c r="B578" s="175"/>
      <c r="C578" s="393"/>
      <c r="D578" s="168"/>
      <c r="E578" s="168"/>
      <c r="F578" s="168"/>
      <c r="G578" s="168"/>
      <c r="H578" s="168"/>
      <c r="I578" s="168"/>
      <c r="J578" s="168"/>
      <c r="K578" s="168"/>
      <c r="L578" s="168"/>
      <c r="M578" s="168"/>
      <c r="N578" s="168"/>
      <c r="O578" s="433"/>
      <c r="P578" s="122"/>
      <c r="Q578" s="156"/>
      <c r="R578" s="156"/>
      <c r="S578" s="156"/>
      <c r="T578" s="156"/>
      <c r="U578" s="156"/>
      <c r="V578" s="156"/>
      <c r="W578" s="156"/>
      <c r="X578" s="156"/>
      <c r="Y578" s="156"/>
      <c r="Z578" s="157"/>
      <c r="AA578" s="157"/>
      <c r="AB578" s="156"/>
      <c r="AC578" s="156"/>
      <c r="AD578" s="156"/>
      <c r="AE578" s="156"/>
      <c r="AF578" s="156"/>
      <c r="AG578" s="156"/>
      <c r="AH578" s="156"/>
      <c r="AI578" s="156"/>
      <c r="AJ578" s="156"/>
      <c r="AK578" s="156"/>
      <c r="AL578" s="156"/>
      <c r="AM578" s="158"/>
      <c r="AN578" s="156"/>
      <c r="AO578" s="156"/>
      <c r="AP578" s="156"/>
      <c r="AQ578" s="156"/>
      <c r="AR578" s="156"/>
      <c r="AS578" s="156"/>
      <c r="AT578" s="156"/>
      <c r="AU578" s="156"/>
      <c r="AV578" s="156"/>
      <c r="AW578" s="156"/>
      <c r="AX578" s="156"/>
      <c r="AY578" s="156"/>
      <c r="AZ578" s="156"/>
      <c r="BA578" s="153"/>
      <c r="BD578" s="153"/>
      <c r="BE578" s="147"/>
      <c r="BI578" s="153"/>
      <c r="BO578" s="153"/>
      <c r="BW578" s="153"/>
      <c r="CD578" s="146"/>
      <c r="CF578" s="147"/>
      <c r="CI578" s="146"/>
      <c r="CJ578" s="153"/>
      <c r="CV578" s="154"/>
      <c r="CX578" s="154"/>
      <c r="CZ578" s="154"/>
      <c r="DB578" s="154"/>
      <c r="DD578" s="154"/>
      <c r="DH578" s="474"/>
      <c r="DI578" s="459"/>
      <c r="DJ578" s="459"/>
      <c r="DK578" s="459"/>
      <c r="DL578" s="459"/>
      <c r="DM578" s="459"/>
      <c r="DN578" s="459"/>
      <c r="DO578" s="459"/>
      <c r="DP578" s="459"/>
      <c r="DQ578" s="459"/>
      <c r="DR578" s="459"/>
      <c r="DS578" s="459"/>
      <c r="DT578" s="459"/>
      <c r="DU578" s="459"/>
      <c r="DV578" s="468"/>
      <c r="DW578" s="468"/>
      <c r="DX578" s="459"/>
      <c r="DY578" s="459"/>
    </row>
    <row r="579" spans="1:129" s="128" customFormat="1" ht="54.95" customHeight="1" x14ac:dyDescent="0.25">
      <c r="A579" s="377"/>
      <c r="B579" s="175"/>
      <c r="C579" s="393"/>
      <c r="D579" s="168"/>
      <c r="E579" s="168"/>
      <c r="F579" s="168"/>
      <c r="G579" s="168"/>
      <c r="H579" s="168"/>
      <c r="I579" s="168"/>
      <c r="J579" s="168"/>
      <c r="K579" s="168"/>
      <c r="L579" s="168"/>
      <c r="M579" s="168"/>
      <c r="N579" s="168"/>
      <c r="O579" s="433"/>
      <c r="P579" s="122"/>
      <c r="Q579" s="156"/>
      <c r="R579" s="156"/>
      <c r="S579" s="156"/>
      <c r="T579" s="156"/>
      <c r="U579" s="156"/>
      <c r="V579" s="156"/>
      <c r="W579" s="156"/>
      <c r="X579" s="156"/>
      <c r="Y579" s="156"/>
      <c r="Z579" s="157"/>
      <c r="AA579" s="157"/>
      <c r="AB579" s="156"/>
      <c r="AC579" s="156"/>
      <c r="AD579" s="156"/>
      <c r="AE579" s="156"/>
      <c r="AF579" s="156"/>
      <c r="AG579" s="156"/>
      <c r="AH579" s="156"/>
      <c r="AI579" s="156"/>
      <c r="AJ579" s="156"/>
      <c r="AK579" s="156"/>
      <c r="AL579" s="156"/>
      <c r="AM579" s="158"/>
      <c r="AN579" s="156"/>
      <c r="AO579" s="156"/>
      <c r="AP579" s="156"/>
      <c r="AQ579" s="156"/>
      <c r="AR579" s="156"/>
      <c r="AS579" s="156"/>
      <c r="AT579" s="156"/>
      <c r="AU579" s="156"/>
      <c r="AV579" s="156"/>
      <c r="AW579" s="156"/>
      <c r="AX579" s="156"/>
      <c r="AY579" s="156"/>
      <c r="AZ579" s="156"/>
      <c r="BA579" s="153"/>
      <c r="BD579" s="153"/>
      <c r="BE579" s="147"/>
      <c r="BI579" s="153"/>
      <c r="BO579" s="153"/>
      <c r="BW579" s="153"/>
      <c r="CD579" s="146"/>
      <c r="CF579" s="147"/>
      <c r="CI579" s="146"/>
      <c r="CJ579" s="153"/>
      <c r="CV579" s="154"/>
      <c r="CX579" s="154"/>
      <c r="CZ579" s="154"/>
      <c r="DB579" s="154"/>
      <c r="DD579" s="154"/>
      <c r="DH579" s="474"/>
      <c r="DI579" s="459"/>
      <c r="DJ579" s="459"/>
      <c r="DK579" s="459"/>
      <c r="DL579" s="459"/>
      <c r="DM579" s="459"/>
      <c r="DN579" s="459"/>
      <c r="DO579" s="459"/>
      <c r="DP579" s="459"/>
      <c r="DQ579" s="459"/>
      <c r="DR579" s="459"/>
      <c r="DS579" s="459"/>
      <c r="DT579" s="459"/>
      <c r="DU579" s="459"/>
      <c r="DV579" s="468"/>
      <c r="DW579" s="468"/>
      <c r="DX579" s="459"/>
      <c r="DY579" s="459"/>
    </row>
    <row r="580" spans="1:129" s="128" customFormat="1" ht="54.95" customHeight="1" x14ac:dyDescent="0.25">
      <c r="A580" s="377"/>
      <c r="B580" s="175"/>
      <c r="C580" s="393"/>
      <c r="D580" s="168"/>
      <c r="E580" s="168"/>
      <c r="F580" s="168"/>
      <c r="G580" s="168"/>
      <c r="H580" s="168"/>
      <c r="I580" s="168"/>
      <c r="J580" s="168"/>
      <c r="K580" s="168"/>
      <c r="L580" s="168"/>
      <c r="M580" s="168"/>
      <c r="N580" s="168"/>
      <c r="O580" s="433"/>
      <c r="P580" s="122"/>
      <c r="Q580" s="156"/>
      <c r="R580" s="156"/>
      <c r="S580" s="156"/>
      <c r="T580" s="156"/>
      <c r="U580" s="156"/>
      <c r="V580" s="156"/>
      <c r="W580" s="156"/>
      <c r="X580" s="156"/>
      <c r="Y580" s="156"/>
      <c r="Z580" s="157"/>
      <c r="AA580" s="157"/>
      <c r="AB580" s="156"/>
      <c r="AC580" s="156"/>
      <c r="AD580" s="156"/>
      <c r="AE580" s="156"/>
      <c r="AF580" s="156"/>
      <c r="AG580" s="156"/>
      <c r="AH580" s="156"/>
      <c r="AI580" s="156"/>
      <c r="AJ580" s="156"/>
      <c r="AK580" s="156"/>
      <c r="AL580" s="156"/>
      <c r="AM580" s="158"/>
      <c r="AN580" s="156"/>
      <c r="AO580" s="156"/>
      <c r="AP580" s="156"/>
      <c r="AQ580" s="156"/>
      <c r="AR580" s="156"/>
      <c r="AS580" s="156"/>
      <c r="AT580" s="156"/>
      <c r="AU580" s="156"/>
      <c r="AV580" s="156"/>
      <c r="AW580" s="156"/>
      <c r="AX580" s="156"/>
      <c r="AY580" s="156"/>
      <c r="AZ580" s="156"/>
      <c r="BA580" s="153"/>
      <c r="BD580" s="153"/>
      <c r="BE580" s="147"/>
      <c r="BI580" s="153"/>
      <c r="BO580" s="153"/>
      <c r="BW580" s="153"/>
      <c r="CD580" s="146"/>
      <c r="CF580" s="147"/>
      <c r="CI580" s="146"/>
      <c r="CJ580" s="153"/>
      <c r="CV580" s="154"/>
      <c r="CX580" s="154"/>
      <c r="CZ580" s="154"/>
      <c r="DB580" s="154"/>
      <c r="DD580" s="154"/>
      <c r="DH580" s="474"/>
      <c r="DI580" s="459"/>
      <c r="DJ580" s="459"/>
      <c r="DK580" s="459"/>
      <c r="DL580" s="459"/>
      <c r="DM580" s="459"/>
      <c r="DN580" s="459"/>
      <c r="DO580" s="459"/>
      <c r="DP580" s="459"/>
      <c r="DQ580" s="459"/>
      <c r="DR580" s="459"/>
      <c r="DS580" s="459"/>
      <c r="DT580" s="459"/>
      <c r="DU580" s="459"/>
      <c r="DV580" s="468"/>
      <c r="DW580" s="468"/>
      <c r="DX580" s="459"/>
      <c r="DY580" s="459"/>
    </row>
    <row r="581" spans="1:129" s="128" customFormat="1" ht="54.95" customHeight="1" x14ac:dyDescent="0.25">
      <c r="A581" s="377"/>
      <c r="B581" s="175"/>
      <c r="C581" s="393"/>
      <c r="D581" s="168"/>
      <c r="E581" s="168"/>
      <c r="F581" s="168"/>
      <c r="G581" s="168"/>
      <c r="H581" s="168"/>
      <c r="I581" s="168"/>
      <c r="J581" s="168"/>
      <c r="K581" s="168"/>
      <c r="L581" s="168"/>
      <c r="M581" s="168"/>
      <c r="N581" s="168"/>
      <c r="O581" s="433"/>
      <c r="P581" s="122"/>
      <c r="Q581" s="156"/>
      <c r="R581" s="156"/>
      <c r="S581" s="156"/>
      <c r="T581" s="156"/>
      <c r="U581" s="156"/>
      <c r="V581" s="156"/>
      <c r="W581" s="156"/>
      <c r="X581" s="156"/>
      <c r="Y581" s="156"/>
      <c r="Z581" s="157"/>
      <c r="AA581" s="157"/>
      <c r="AB581" s="156"/>
      <c r="AC581" s="156"/>
      <c r="AD581" s="156"/>
      <c r="AE581" s="156"/>
      <c r="AF581" s="156"/>
      <c r="AG581" s="156"/>
      <c r="AH581" s="156"/>
      <c r="AI581" s="156"/>
      <c r="AJ581" s="156"/>
      <c r="AK581" s="156"/>
      <c r="AL581" s="156"/>
      <c r="AM581" s="158"/>
      <c r="AN581" s="156"/>
      <c r="AO581" s="156"/>
      <c r="AP581" s="156"/>
      <c r="AQ581" s="156"/>
      <c r="AR581" s="156"/>
      <c r="AS581" s="156"/>
      <c r="AT581" s="156"/>
      <c r="AU581" s="156"/>
      <c r="AV581" s="156"/>
      <c r="AW581" s="156"/>
      <c r="AX581" s="156"/>
      <c r="AY581" s="156"/>
      <c r="AZ581" s="156"/>
      <c r="BA581" s="153"/>
      <c r="BD581" s="153"/>
      <c r="BE581" s="147"/>
      <c r="BI581" s="153"/>
      <c r="BO581" s="153"/>
      <c r="BW581" s="153"/>
      <c r="CD581" s="146"/>
      <c r="CF581" s="147"/>
      <c r="CI581" s="146"/>
      <c r="CJ581" s="153"/>
      <c r="CV581" s="154"/>
      <c r="CX581" s="154"/>
      <c r="CZ581" s="154"/>
      <c r="DB581" s="154"/>
      <c r="DD581" s="154"/>
      <c r="DH581" s="474"/>
      <c r="DI581" s="459"/>
      <c r="DJ581" s="459"/>
      <c r="DK581" s="459"/>
      <c r="DL581" s="459"/>
      <c r="DM581" s="459"/>
      <c r="DN581" s="459"/>
      <c r="DO581" s="459"/>
      <c r="DP581" s="459"/>
      <c r="DQ581" s="459"/>
      <c r="DR581" s="459"/>
      <c r="DS581" s="459"/>
      <c r="DT581" s="459"/>
      <c r="DU581" s="459"/>
      <c r="DV581" s="468"/>
      <c r="DW581" s="468"/>
      <c r="DX581" s="459"/>
      <c r="DY581" s="459"/>
    </row>
    <row r="582" spans="1:129" s="128" customFormat="1" ht="54.95" customHeight="1" x14ac:dyDescent="0.25">
      <c r="A582" s="377"/>
      <c r="B582" s="175"/>
      <c r="C582" s="393"/>
      <c r="D582" s="168"/>
      <c r="E582" s="168"/>
      <c r="F582" s="168"/>
      <c r="G582" s="168"/>
      <c r="H582" s="168"/>
      <c r="I582" s="168"/>
      <c r="J582" s="168"/>
      <c r="K582" s="168"/>
      <c r="L582" s="168"/>
      <c r="M582" s="168"/>
      <c r="N582" s="168"/>
      <c r="O582" s="433"/>
      <c r="P582" s="122"/>
      <c r="Q582" s="156"/>
      <c r="R582" s="156"/>
      <c r="S582" s="156"/>
      <c r="T582" s="156"/>
      <c r="U582" s="156"/>
      <c r="V582" s="156"/>
      <c r="W582" s="156"/>
      <c r="X582" s="156"/>
      <c r="Y582" s="156"/>
      <c r="Z582" s="157"/>
      <c r="AA582" s="157"/>
      <c r="AB582" s="156"/>
      <c r="AC582" s="156"/>
      <c r="AD582" s="156"/>
      <c r="AE582" s="156"/>
      <c r="AF582" s="156"/>
      <c r="AG582" s="156"/>
      <c r="AH582" s="156"/>
      <c r="AI582" s="156"/>
      <c r="AJ582" s="156"/>
      <c r="AK582" s="156"/>
      <c r="AL582" s="156"/>
      <c r="AM582" s="158"/>
      <c r="AN582" s="156"/>
      <c r="AO582" s="156"/>
      <c r="AP582" s="156"/>
      <c r="AQ582" s="156"/>
      <c r="AR582" s="156"/>
      <c r="AS582" s="156"/>
      <c r="AT582" s="156"/>
      <c r="AU582" s="156"/>
      <c r="AV582" s="156"/>
      <c r="AW582" s="156"/>
      <c r="AX582" s="156"/>
      <c r="AY582" s="156"/>
      <c r="AZ582" s="156"/>
      <c r="BA582" s="153"/>
      <c r="BD582" s="153"/>
      <c r="BE582" s="147"/>
      <c r="BI582" s="153"/>
      <c r="BO582" s="153"/>
      <c r="BW582" s="153"/>
      <c r="CD582" s="146"/>
      <c r="CF582" s="147"/>
      <c r="CI582" s="146"/>
      <c r="CJ582" s="153"/>
      <c r="CV582" s="154"/>
      <c r="CX582" s="154"/>
      <c r="CZ582" s="154"/>
      <c r="DB582" s="154"/>
      <c r="DD582" s="154"/>
      <c r="DH582" s="474"/>
      <c r="DI582" s="459"/>
      <c r="DJ582" s="459"/>
      <c r="DK582" s="459"/>
      <c r="DL582" s="459"/>
      <c r="DM582" s="459"/>
      <c r="DN582" s="459"/>
      <c r="DO582" s="459"/>
      <c r="DP582" s="459"/>
      <c r="DQ582" s="459"/>
      <c r="DR582" s="459"/>
      <c r="DS582" s="459"/>
      <c r="DT582" s="459"/>
      <c r="DU582" s="459"/>
      <c r="DV582" s="468"/>
      <c r="DW582" s="468"/>
      <c r="DX582" s="459"/>
      <c r="DY582" s="459"/>
    </row>
    <row r="583" spans="1:129" s="128" customFormat="1" ht="54.95" customHeight="1" x14ac:dyDescent="0.25">
      <c r="A583" s="377"/>
      <c r="B583" s="175"/>
      <c r="C583" s="393"/>
      <c r="D583" s="168"/>
      <c r="E583" s="168"/>
      <c r="F583" s="168"/>
      <c r="G583" s="168"/>
      <c r="H583" s="168"/>
      <c r="I583" s="168"/>
      <c r="J583" s="168"/>
      <c r="K583" s="168"/>
      <c r="L583" s="168"/>
      <c r="M583" s="168"/>
      <c r="N583" s="168"/>
      <c r="O583" s="433"/>
      <c r="P583" s="122"/>
      <c r="Q583" s="156"/>
      <c r="R583" s="156"/>
      <c r="S583" s="156"/>
      <c r="T583" s="156"/>
      <c r="U583" s="156"/>
      <c r="V583" s="156"/>
      <c r="W583" s="156"/>
      <c r="X583" s="156"/>
      <c r="Y583" s="156"/>
      <c r="Z583" s="157"/>
      <c r="AA583" s="157"/>
      <c r="AB583" s="156"/>
      <c r="AC583" s="156"/>
      <c r="AD583" s="156"/>
      <c r="AE583" s="156"/>
      <c r="AF583" s="156"/>
      <c r="AG583" s="156"/>
      <c r="AH583" s="156"/>
      <c r="AI583" s="156"/>
      <c r="AJ583" s="156"/>
      <c r="AK583" s="156"/>
      <c r="AL583" s="156"/>
      <c r="AM583" s="158"/>
      <c r="AN583" s="156"/>
      <c r="AO583" s="156"/>
      <c r="AP583" s="156"/>
      <c r="AQ583" s="156"/>
      <c r="AR583" s="156"/>
      <c r="AS583" s="156"/>
      <c r="AT583" s="156"/>
      <c r="AU583" s="156"/>
      <c r="AV583" s="156"/>
      <c r="AW583" s="156"/>
      <c r="AX583" s="156"/>
      <c r="AY583" s="156"/>
      <c r="AZ583" s="156"/>
      <c r="BA583" s="153"/>
      <c r="BD583" s="153"/>
      <c r="BE583" s="147"/>
      <c r="BI583" s="153"/>
      <c r="BO583" s="153"/>
      <c r="BW583" s="153"/>
      <c r="CD583" s="146"/>
      <c r="CF583" s="147"/>
      <c r="CI583" s="146"/>
      <c r="CJ583" s="153"/>
      <c r="CV583" s="154"/>
      <c r="CX583" s="154"/>
      <c r="CZ583" s="154"/>
      <c r="DB583" s="154"/>
      <c r="DD583" s="154"/>
      <c r="DH583" s="474"/>
      <c r="DI583" s="459"/>
      <c r="DJ583" s="459"/>
      <c r="DK583" s="459"/>
      <c r="DL583" s="459"/>
      <c r="DM583" s="459"/>
      <c r="DN583" s="459"/>
      <c r="DO583" s="459"/>
      <c r="DP583" s="459"/>
      <c r="DQ583" s="459"/>
      <c r="DR583" s="459"/>
      <c r="DS583" s="459"/>
      <c r="DT583" s="459"/>
      <c r="DU583" s="459"/>
      <c r="DV583" s="468"/>
      <c r="DW583" s="468"/>
      <c r="DX583" s="459"/>
      <c r="DY583" s="459"/>
    </row>
    <row r="584" spans="1:129" s="128" customFormat="1" ht="54.95" customHeight="1" x14ac:dyDescent="0.25">
      <c r="A584" s="377"/>
      <c r="B584" s="175"/>
      <c r="C584" s="393"/>
      <c r="D584" s="168"/>
      <c r="E584" s="168"/>
      <c r="F584" s="168"/>
      <c r="G584" s="168"/>
      <c r="H584" s="168"/>
      <c r="I584" s="168"/>
      <c r="J584" s="168"/>
      <c r="K584" s="168"/>
      <c r="L584" s="168"/>
      <c r="M584" s="168"/>
      <c r="N584" s="168"/>
      <c r="O584" s="433"/>
      <c r="P584" s="122"/>
      <c r="Q584" s="156"/>
      <c r="R584" s="156"/>
      <c r="S584" s="156"/>
      <c r="T584" s="156"/>
      <c r="U584" s="156"/>
      <c r="V584" s="156"/>
      <c r="W584" s="156"/>
      <c r="X584" s="156"/>
      <c r="Y584" s="156"/>
      <c r="Z584" s="157"/>
      <c r="AA584" s="157"/>
      <c r="AB584" s="156"/>
      <c r="AC584" s="156"/>
      <c r="AD584" s="156"/>
      <c r="AE584" s="156"/>
      <c r="AF584" s="156"/>
      <c r="AG584" s="156"/>
      <c r="AH584" s="156"/>
      <c r="AI584" s="156"/>
      <c r="AJ584" s="156"/>
      <c r="AK584" s="156"/>
      <c r="AL584" s="156"/>
      <c r="AM584" s="158"/>
      <c r="AN584" s="156"/>
      <c r="AO584" s="156"/>
      <c r="AP584" s="156"/>
      <c r="AQ584" s="156"/>
      <c r="AR584" s="156"/>
      <c r="AS584" s="156"/>
      <c r="AT584" s="156"/>
      <c r="AU584" s="156"/>
      <c r="AV584" s="156"/>
      <c r="AW584" s="156"/>
      <c r="AX584" s="156"/>
      <c r="AY584" s="156"/>
      <c r="AZ584" s="156"/>
      <c r="BA584" s="153"/>
      <c r="BD584" s="153"/>
      <c r="BE584" s="147"/>
      <c r="BI584" s="153"/>
      <c r="BO584" s="153"/>
      <c r="BW584" s="153"/>
      <c r="CD584" s="146"/>
      <c r="CF584" s="147"/>
      <c r="CI584" s="146"/>
      <c r="CJ584" s="153"/>
      <c r="CV584" s="154"/>
      <c r="CX584" s="154"/>
      <c r="CZ584" s="154"/>
      <c r="DB584" s="154"/>
      <c r="DD584" s="154"/>
      <c r="DH584" s="474"/>
      <c r="DI584" s="459"/>
      <c r="DJ584" s="459"/>
      <c r="DK584" s="459"/>
      <c r="DL584" s="459"/>
      <c r="DM584" s="459"/>
      <c r="DN584" s="459"/>
      <c r="DO584" s="459"/>
      <c r="DP584" s="459"/>
      <c r="DQ584" s="459"/>
      <c r="DR584" s="459"/>
      <c r="DS584" s="459"/>
      <c r="DT584" s="459"/>
      <c r="DU584" s="459"/>
      <c r="DV584" s="468"/>
      <c r="DW584" s="468"/>
      <c r="DX584" s="459"/>
      <c r="DY584" s="459"/>
    </row>
    <row r="585" spans="1:129" s="128" customFormat="1" ht="54.95" customHeight="1" x14ac:dyDescent="0.25">
      <c r="A585" s="377"/>
      <c r="B585" s="175"/>
      <c r="C585" s="393"/>
      <c r="D585" s="168"/>
      <c r="E585" s="168"/>
      <c r="F585" s="168"/>
      <c r="G585" s="168"/>
      <c r="H585" s="168"/>
      <c r="I585" s="168"/>
      <c r="J585" s="168"/>
      <c r="K585" s="168"/>
      <c r="L585" s="168"/>
      <c r="M585" s="168"/>
      <c r="N585" s="168"/>
      <c r="O585" s="433"/>
      <c r="P585" s="122"/>
      <c r="Q585" s="156"/>
      <c r="R585" s="156"/>
      <c r="S585" s="156"/>
      <c r="T585" s="156"/>
      <c r="U585" s="156"/>
      <c r="V585" s="156"/>
      <c r="W585" s="156"/>
      <c r="X585" s="156"/>
      <c r="Y585" s="156"/>
      <c r="Z585" s="157"/>
      <c r="AA585" s="157"/>
      <c r="AB585" s="156"/>
      <c r="AC585" s="156"/>
      <c r="AD585" s="156"/>
      <c r="AE585" s="156"/>
      <c r="AF585" s="156"/>
      <c r="AG585" s="156"/>
      <c r="AH585" s="156"/>
      <c r="AI585" s="156"/>
      <c r="AJ585" s="156"/>
      <c r="AK585" s="156"/>
      <c r="AL585" s="156"/>
      <c r="AM585" s="158"/>
      <c r="AN585" s="156"/>
      <c r="AO585" s="156"/>
      <c r="AP585" s="156"/>
      <c r="AQ585" s="156"/>
      <c r="AR585" s="156"/>
      <c r="AS585" s="156"/>
      <c r="AT585" s="156"/>
      <c r="AU585" s="156"/>
      <c r="AV585" s="156"/>
      <c r="AW585" s="156"/>
      <c r="AX585" s="156"/>
      <c r="AY585" s="156"/>
      <c r="AZ585" s="156"/>
      <c r="BA585" s="153"/>
      <c r="BD585" s="153"/>
      <c r="BE585" s="147"/>
      <c r="BI585" s="153"/>
      <c r="BO585" s="153"/>
      <c r="BW585" s="153"/>
      <c r="CD585" s="146"/>
      <c r="CF585" s="147"/>
      <c r="CI585" s="146"/>
      <c r="CJ585" s="153"/>
      <c r="CV585" s="154"/>
      <c r="CX585" s="154"/>
      <c r="CZ585" s="154"/>
      <c r="DB585" s="154"/>
      <c r="DD585" s="154"/>
      <c r="DH585" s="474"/>
      <c r="DI585" s="459"/>
      <c r="DJ585" s="459"/>
      <c r="DK585" s="459"/>
      <c r="DL585" s="459"/>
      <c r="DM585" s="459"/>
      <c r="DN585" s="459"/>
      <c r="DO585" s="459"/>
      <c r="DP585" s="459"/>
      <c r="DQ585" s="459"/>
      <c r="DR585" s="459"/>
      <c r="DS585" s="459"/>
      <c r="DT585" s="459"/>
      <c r="DU585" s="459"/>
      <c r="DV585" s="468"/>
      <c r="DW585" s="468"/>
      <c r="DX585" s="459"/>
      <c r="DY585" s="459"/>
    </row>
    <row r="586" spans="1:129" s="128" customFormat="1" ht="54.95" customHeight="1" x14ac:dyDescent="0.25">
      <c r="A586" s="377"/>
      <c r="B586" s="175"/>
      <c r="C586" s="393"/>
      <c r="D586" s="168"/>
      <c r="E586" s="168"/>
      <c r="F586" s="168"/>
      <c r="G586" s="168"/>
      <c r="H586" s="168"/>
      <c r="I586" s="168"/>
      <c r="J586" s="168"/>
      <c r="K586" s="168"/>
      <c r="L586" s="168"/>
      <c r="M586" s="168"/>
      <c r="N586" s="168"/>
      <c r="O586" s="433"/>
      <c r="P586" s="122"/>
      <c r="Q586" s="156"/>
      <c r="R586" s="156"/>
      <c r="S586" s="156"/>
      <c r="T586" s="156"/>
      <c r="U586" s="156"/>
      <c r="V586" s="156"/>
      <c r="W586" s="156"/>
      <c r="X586" s="156"/>
      <c r="Y586" s="156"/>
      <c r="Z586" s="157"/>
      <c r="AA586" s="157"/>
      <c r="AB586" s="156"/>
      <c r="AC586" s="156"/>
      <c r="AD586" s="156"/>
      <c r="AE586" s="156"/>
      <c r="AF586" s="156"/>
      <c r="AG586" s="156"/>
      <c r="AH586" s="156"/>
      <c r="AI586" s="156"/>
      <c r="AJ586" s="156"/>
      <c r="AK586" s="156"/>
      <c r="AL586" s="156"/>
      <c r="AM586" s="158"/>
      <c r="AN586" s="156"/>
      <c r="AO586" s="156"/>
      <c r="AP586" s="156"/>
      <c r="AQ586" s="156"/>
      <c r="AR586" s="156"/>
      <c r="AS586" s="156"/>
      <c r="AT586" s="156"/>
      <c r="AU586" s="156"/>
      <c r="AV586" s="156"/>
      <c r="AW586" s="156"/>
      <c r="AX586" s="156"/>
      <c r="AY586" s="156"/>
      <c r="AZ586" s="156"/>
      <c r="BA586" s="153"/>
      <c r="BD586" s="153"/>
      <c r="BE586" s="147"/>
      <c r="BI586" s="153"/>
      <c r="BO586" s="153"/>
      <c r="BW586" s="153"/>
      <c r="CD586" s="146"/>
      <c r="CF586" s="147"/>
      <c r="CI586" s="146"/>
      <c r="CJ586" s="153"/>
      <c r="CV586" s="154"/>
      <c r="CX586" s="154"/>
      <c r="CZ586" s="154"/>
      <c r="DB586" s="154"/>
      <c r="DD586" s="154"/>
      <c r="DH586" s="474"/>
      <c r="DI586" s="459"/>
      <c r="DJ586" s="459"/>
      <c r="DK586" s="459"/>
      <c r="DL586" s="459"/>
      <c r="DM586" s="459"/>
      <c r="DN586" s="459"/>
      <c r="DO586" s="459"/>
      <c r="DP586" s="459"/>
      <c r="DQ586" s="459"/>
      <c r="DR586" s="459"/>
      <c r="DS586" s="459"/>
      <c r="DT586" s="459"/>
      <c r="DU586" s="459"/>
      <c r="DV586" s="468"/>
      <c r="DW586" s="468"/>
      <c r="DX586" s="459"/>
      <c r="DY586" s="459"/>
    </row>
    <row r="587" spans="1:129" s="128" customFormat="1" ht="54.95" customHeight="1" x14ac:dyDescent="0.25">
      <c r="A587" s="377"/>
      <c r="B587" s="175"/>
      <c r="C587" s="393"/>
      <c r="D587" s="168"/>
      <c r="E587" s="168"/>
      <c r="F587" s="168"/>
      <c r="G587" s="168"/>
      <c r="H587" s="168"/>
      <c r="I587" s="168"/>
      <c r="J587" s="168"/>
      <c r="K587" s="168"/>
      <c r="L587" s="168"/>
      <c r="M587" s="168"/>
      <c r="N587" s="168"/>
      <c r="O587" s="433"/>
      <c r="P587" s="122"/>
      <c r="Q587" s="156"/>
      <c r="R587" s="156"/>
      <c r="S587" s="156"/>
      <c r="T587" s="156"/>
      <c r="U587" s="156"/>
      <c r="V587" s="156"/>
      <c r="W587" s="156"/>
      <c r="X587" s="156"/>
      <c r="Y587" s="156"/>
      <c r="Z587" s="157"/>
      <c r="AA587" s="157"/>
      <c r="AB587" s="156"/>
      <c r="AC587" s="156"/>
      <c r="AD587" s="156"/>
      <c r="AE587" s="156"/>
      <c r="AF587" s="156"/>
      <c r="AG587" s="156"/>
      <c r="AH587" s="156"/>
      <c r="AI587" s="156"/>
      <c r="AJ587" s="156"/>
      <c r="AK587" s="156"/>
      <c r="AL587" s="156"/>
      <c r="AM587" s="158"/>
      <c r="AN587" s="156"/>
      <c r="AO587" s="156"/>
      <c r="AP587" s="156"/>
      <c r="AQ587" s="156"/>
      <c r="AR587" s="156"/>
      <c r="AS587" s="156"/>
      <c r="AT587" s="156"/>
      <c r="AU587" s="156"/>
      <c r="AV587" s="156"/>
      <c r="AW587" s="156"/>
      <c r="AX587" s="156"/>
      <c r="AY587" s="156"/>
      <c r="AZ587" s="156"/>
      <c r="BA587" s="153"/>
      <c r="BD587" s="153"/>
      <c r="BE587" s="147"/>
      <c r="BI587" s="153"/>
      <c r="BO587" s="153"/>
      <c r="BW587" s="153"/>
      <c r="CD587" s="146"/>
      <c r="CF587" s="147"/>
      <c r="CI587" s="146"/>
      <c r="CJ587" s="153"/>
      <c r="CV587" s="154"/>
      <c r="CX587" s="154"/>
      <c r="CZ587" s="154"/>
      <c r="DB587" s="154"/>
      <c r="DD587" s="154"/>
      <c r="DH587" s="474"/>
      <c r="DI587" s="459"/>
      <c r="DJ587" s="459"/>
      <c r="DK587" s="459"/>
      <c r="DL587" s="459"/>
      <c r="DM587" s="459"/>
      <c r="DN587" s="459"/>
      <c r="DO587" s="459"/>
      <c r="DP587" s="459"/>
      <c r="DQ587" s="459"/>
      <c r="DR587" s="459"/>
      <c r="DS587" s="459"/>
      <c r="DT587" s="459"/>
      <c r="DU587" s="459"/>
      <c r="DV587" s="468"/>
      <c r="DW587" s="468"/>
      <c r="DX587" s="459"/>
      <c r="DY587" s="459"/>
    </row>
    <row r="588" spans="1:129" s="128" customFormat="1" ht="54.95" customHeight="1" x14ac:dyDescent="0.25">
      <c r="A588" s="377"/>
      <c r="B588" s="175"/>
      <c r="C588" s="393"/>
      <c r="D588" s="168"/>
      <c r="E588" s="168"/>
      <c r="F588" s="168"/>
      <c r="G588" s="168"/>
      <c r="H588" s="168"/>
      <c r="I588" s="168"/>
      <c r="J588" s="168"/>
      <c r="K588" s="168"/>
      <c r="L588" s="168"/>
      <c r="M588" s="168"/>
      <c r="N588" s="168"/>
      <c r="O588" s="433"/>
      <c r="P588" s="122"/>
      <c r="Q588" s="156"/>
      <c r="R588" s="156"/>
      <c r="S588" s="156"/>
      <c r="T588" s="156"/>
      <c r="U588" s="156"/>
      <c r="V588" s="156"/>
      <c r="W588" s="156"/>
      <c r="X588" s="156"/>
      <c r="Y588" s="156"/>
      <c r="Z588" s="157"/>
      <c r="AA588" s="157"/>
      <c r="AB588" s="156"/>
      <c r="AC588" s="156"/>
      <c r="AD588" s="156"/>
      <c r="AE588" s="156"/>
      <c r="AF588" s="156"/>
      <c r="AG588" s="156"/>
      <c r="AH588" s="156"/>
      <c r="AI588" s="156"/>
      <c r="AJ588" s="156"/>
      <c r="AK588" s="156"/>
      <c r="AL588" s="156"/>
      <c r="AM588" s="158"/>
      <c r="AN588" s="156"/>
      <c r="AO588" s="156"/>
      <c r="AP588" s="156"/>
      <c r="AQ588" s="156"/>
      <c r="AR588" s="156"/>
      <c r="AS588" s="156"/>
      <c r="AT588" s="156"/>
      <c r="AU588" s="156"/>
      <c r="AV588" s="156"/>
      <c r="AW588" s="156"/>
      <c r="AX588" s="156"/>
      <c r="AY588" s="156"/>
      <c r="AZ588" s="156"/>
      <c r="BA588" s="153"/>
      <c r="BD588" s="153"/>
      <c r="BE588" s="147"/>
      <c r="BI588" s="153"/>
      <c r="BO588" s="153"/>
      <c r="BW588" s="153"/>
      <c r="CD588" s="146"/>
      <c r="CF588" s="147"/>
      <c r="CI588" s="146"/>
      <c r="CJ588" s="153"/>
      <c r="CV588" s="154"/>
      <c r="CX588" s="154"/>
      <c r="CZ588" s="154"/>
      <c r="DB588" s="154"/>
      <c r="DD588" s="154"/>
      <c r="DH588" s="474"/>
      <c r="DI588" s="459"/>
      <c r="DJ588" s="459"/>
      <c r="DK588" s="459"/>
      <c r="DL588" s="459"/>
      <c r="DM588" s="459"/>
      <c r="DN588" s="459"/>
      <c r="DO588" s="459"/>
      <c r="DP588" s="459"/>
      <c r="DQ588" s="459"/>
      <c r="DR588" s="459"/>
      <c r="DS588" s="459"/>
      <c r="DT588" s="459"/>
      <c r="DU588" s="459"/>
      <c r="DV588" s="468"/>
      <c r="DW588" s="468"/>
      <c r="DX588" s="459"/>
      <c r="DY588" s="459"/>
    </row>
    <row r="589" spans="1:129" s="128" customFormat="1" ht="54.95" customHeight="1" x14ac:dyDescent="0.25">
      <c r="A589" s="377"/>
      <c r="B589" s="175"/>
      <c r="C589" s="393"/>
      <c r="D589" s="168"/>
      <c r="E589" s="168"/>
      <c r="F589" s="168"/>
      <c r="G589" s="168"/>
      <c r="H589" s="168"/>
      <c r="I589" s="168"/>
      <c r="J589" s="168"/>
      <c r="K589" s="168"/>
      <c r="L589" s="168"/>
      <c r="M589" s="168"/>
      <c r="N589" s="168"/>
      <c r="O589" s="433"/>
      <c r="P589" s="122"/>
      <c r="Q589" s="156"/>
      <c r="R589" s="156"/>
      <c r="S589" s="156"/>
      <c r="T589" s="156"/>
      <c r="U589" s="156"/>
      <c r="V589" s="156"/>
      <c r="W589" s="156"/>
      <c r="X589" s="156"/>
      <c r="Y589" s="156"/>
      <c r="Z589" s="157"/>
      <c r="AA589" s="157"/>
      <c r="AB589" s="156"/>
      <c r="AC589" s="156"/>
      <c r="AD589" s="156"/>
      <c r="AE589" s="156"/>
      <c r="AF589" s="156"/>
      <c r="AG589" s="156"/>
      <c r="AH589" s="156"/>
      <c r="AI589" s="156"/>
      <c r="AJ589" s="156"/>
      <c r="AK589" s="156"/>
      <c r="AL589" s="156"/>
      <c r="AM589" s="158"/>
      <c r="AN589" s="156"/>
      <c r="AO589" s="156"/>
      <c r="AP589" s="156"/>
      <c r="AQ589" s="156"/>
      <c r="AR589" s="156"/>
      <c r="AS589" s="156"/>
      <c r="AT589" s="156"/>
      <c r="AU589" s="156"/>
      <c r="AV589" s="156"/>
      <c r="AW589" s="156"/>
      <c r="AX589" s="156"/>
      <c r="AY589" s="156"/>
      <c r="AZ589" s="156"/>
      <c r="BA589" s="153"/>
      <c r="BD589" s="153"/>
      <c r="BE589" s="147"/>
      <c r="BI589" s="153"/>
      <c r="BO589" s="153"/>
      <c r="BW589" s="153"/>
      <c r="CD589" s="146"/>
      <c r="CF589" s="147"/>
      <c r="CI589" s="146"/>
      <c r="CJ589" s="153"/>
      <c r="CV589" s="154"/>
      <c r="CX589" s="154"/>
      <c r="CZ589" s="154"/>
      <c r="DB589" s="154"/>
      <c r="DD589" s="154"/>
      <c r="DH589" s="474"/>
      <c r="DI589" s="459"/>
      <c r="DJ589" s="459"/>
      <c r="DK589" s="459"/>
      <c r="DL589" s="459"/>
      <c r="DM589" s="459"/>
      <c r="DN589" s="459"/>
      <c r="DO589" s="459"/>
      <c r="DP589" s="459"/>
      <c r="DQ589" s="459"/>
      <c r="DR589" s="459"/>
      <c r="DS589" s="459"/>
      <c r="DT589" s="459"/>
      <c r="DU589" s="459"/>
      <c r="DV589" s="468"/>
      <c r="DW589" s="468"/>
      <c r="DX589" s="459"/>
      <c r="DY589" s="459"/>
    </row>
    <row r="590" spans="1:129" s="128" customFormat="1" ht="54.95" customHeight="1" x14ac:dyDescent="0.25">
      <c r="A590" s="377"/>
      <c r="B590" s="175"/>
      <c r="C590" s="393"/>
      <c r="D590" s="168"/>
      <c r="E590" s="168"/>
      <c r="F590" s="168"/>
      <c r="G590" s="168"/>
      <c r="H590" s="168"/>
      <c r="I590" s="168"/>
      <c r="J590" s="168"/>
      <c r="K590" s="168"/>
      <c r="L590" s="168"/>
      <c r="M590" s="168"/>
      <c r="N590" s="168"/>
      <c r="O590" s="433"/>
      <c r="P590" s="122"/>
      <c r="Q590" s="156"/>
      <c r="R590" s="156"/>
      <c r="S590" s="156"/>
      <c r="T590" s="156"/>
      <c r="U590" s="156"/>
      <c r="V590" s="156"/>
      <c r="W590" s="156"/>
      <c r="X590" s="156"/>
      <c r="Y590" s="156"/>
      <c r="Z590" s="157"/>
      <c r="AA590" s="157"/>
      <c r="AB590" s="156"/>
      <c r="AC590" s="156"/>
      <c r="AD590" s="156"/>
      <c r="AE590" s="156"/>
      <c r="AF590" s="156"/>
      <c r="AG590" s="156"/>
      <c r="AH590" s="156"/>
      <c r="AI590" s="156"/>
      <c r="AJ590" s="156"/>
      <c r="AK590" s="156"/>
      <c r="AL590" s="156"/>
      <c r="AM590" s="158"/>
      <c r="AN590" s="156"/>
      <c r="AO590" s="156"/>
      <c r="AP590" s="156"/>
      <c r="AQ590" s="156"/>
      <c r="AR590" s="156"/>
      <c r="AS590" s="156"/>
      <c r="AT590" s="156"/>
      <c r="AU590" s="156"/>
      <c r="AV590" s="156"/>
      <c r="AW590" s="156"/>
      <c r="AX590" s="156"/>
      <c r="AY590" s="156"/>
      <c r="AZ590" s="156"/>
      <c r="BA590" s="153"/>
      <c r="BD590" s="153"/>
      <c r="BE590" s="147"/>
      <c r="BI590" s="153"/>
      <c r="BO590" s="153"/>
      <c r="BW590" s="153"/>
      <c r="CD590" s="146"/>
      <c r="CF590" s="147"/>
      <c r="CI590" s="146"/>
      <c r="CJ590" s="153"/>
      <c r="CV590" s="154"/>
      <c r="CX590" s="154"/>
      <c r="CZ590" s="154"/>
      <c r="DB590" s="154"/>
      <c r="DD590" s="154"/>
      <c r="DH590" s="474"/>
      <c r="DI590" s="459"/>
      <c r="DJ590" s="459"/>
      <c r="DK590" s="459"/>
      <c r="DL590" s="459"/>
      <c r="DM590" s="459"/>
      <c r="DN590" s="459"/>
      <c r="DO590" s="459"/>
      <c r="DP590" s="459"/>
      <c r="DQ590" s="459"/>
      <c r="DR590" s="459"/>
      <c r="DS590" s="459"/>
      <c r="DT590" s="459"/>
      <c r="DU590" s="459"/>
      <c r="DV590" s="468"/>
      <c r="DW590" s="468"/>
      <c r="DX590" s="459"/>
      <c r="DY590" s="459"/>
    </row>
    <row r="591" spans="1:129" s="128" customFormat="1" ht="54.95" customHeight="1" x14ac:dyDescent="0.25">
      <c r="A591" s="377"/>
      <c r="B591" s="175"/>
      <c r="C591" s="393"/>
      <c r="D591" s="168"/>
      <c r="E591" s="168"/>
      <c r="F591" s="168"/>
      <c r="G591" s="168"/>
      <c r="H591" s="168"/>
      <c r="I591" s="168"/>
      <c r="J591" s="168"/>
      <c r="K591" s="168"/>
      <c r="L591" s="168"/>
      <c r="M591" s="168"/>
      <c r="N591" s="168"/>
      <c r="O591" s="433"/>
      <c r="P591" s="122"/>
      <c r="Q591" s="156"/>
      <c r="R591" s="156"/>
      <c r="S591" s="156"/>
      <c r="T591" s="156"/>
      <c r="U591" s="156"/>
      <c r="V591" s="156"/>
      <c r="W591" s="156"/>
      <c r="X591" s="156"/>
      <c r="Y591" s="156"/>
      <c r="Z591" s="157"/>
      <c r="AA591" s="157"/>
      <c r="AB591" s="156"/>
      <c r="AC591" s="156"/>
      <c r="AD591" s="156"/>
      <c r="AE591" s="156"/>
      <c r="AF591" s="156"/>
      <c r="AG591" s="156"/>
      <c r="AH591" s="156"/>
      <c r="AI591" s="156"/>
      <c r="AJ591" s="156"/>
      <c r="AK591" s="156"/>
      <c r="AL591" s="156"/>
      <c r="AM591" s="158"/>
      <c r="AN591" s="156"/>
      <c r="AO591" s="156"/>
      <c r="AP591" s="156"/>
      <c r="AQ591" s="156"/>
      <c r="AR591" s="156"/>
      <c r="AS591" s="156"/>
      <c r="AT591" s="156"/>
      <c r="AU591" s="156"/>
      <c r="AV591" s="156"/>
      <c r="AW591" s="156"/>
      <c r="AX591" s="156"/>
      <c r="AY591" s="156"/>
      <c r="AZ591" s="156"/>
      <c r="BA591" s="153"/>
      <c r="BD591" s="153"/>
      <c r="BE591" s="147"/>
      <c r="BI591" s="153"/>
      <c r="BO591" s="153"/>
      <c r="BW591" s="153"/>
      <c r="CD591" s="146"/>
      <c r="CF591" s="147"/>
      <c r="CI591" s="146"/>
      <c r="CJ591" s="153"/>
      <c r="CV591" s="154"/>
      <c r="CX591" s="154"/>
      <c r="CZ591" s="154"/>
      <c r="DB591" s="154"/>
      <c r="DD591" s="154"/>
      <c r="DH591" s="474"/>
      <c r="DI591" s="459"/>
      <c r="DJ591" s="459"/>
      <c r="DK591" s="459"/>
      <c r="DL591" s="459"/>
      <c r="DM591" s="459"/>
      <c r="DN591" s="459"/>
      <c r="DO591" s="459"/>
      <c r="DP591" s="459"/>
      <c r="DQ591" s="459"/>
      <c r="DR591" s="459"/>
      <c r="DS591" s="459"/>
      <c r="DT591" s="459"/>
      <c r="DU591" s="459"/>
      <c r="DV591" s="468"/>
      <c r="DW591" s="468"/>
      <c r="DX591" s="459"/>
      <c r="DY591" s="459"/>
    </row>
    <row r="592" spans="1:129" s="128" customFormat="1" ht="54.95" customHeight="1" x14ac:dyDescent="0.25">
      <c r="A592" s="377"/>
      <c r="B592" s="175"/>
      <c r="C592" s="393"/>
      <c r="D592" s="168"/>
      <c r="E592" s="168"/>
      <c r="F592" s="168"/>
      <c r="G592" s="168"/>
      <c r="H592" s="168"/>
      <c r="I592" s="168"/>
      <c r="J592" s="168"/>
      <c r="K592" s="168"/>
      <c r="L592" s="168"/>
      <c r="M592" s="168"/>
      <c r="N592" s="168"/>
      <c r="O592" s="433"/>
      <c r="P592" s="122"/>
      <c r="Q592" s="156"/>
      <c r="R592" s="156"/>
      <c r="S592" s="156"/>
      <c r="T592" s="156"/>
      <c r="U592" s="156"/>
      <c r="V592" s="156"/>
      <c r="W592" s="156"/>
      <c r="X592" s="156"/>
      <c r="Y592" s="156"/>
      <c r="Z592" s="157"/>
      <c r="AA592" s="157"/>
      <c r="AB592" s="156"/>
      <c r="AC592" s="156"/>
      <c r="AD592" s="156"/>
      <c r="AE592" s="156"/>
      <c r="AF592" s="156"/>
      <c r="AG592" s="156"/>
      <c r="AH592" s="156"/>
      <c r="AI592" s="156"/>
      <c r="AJ592" s="156"/>
      <c r="AK592" s="156"/>
      <c r="AL592" s="156"/>
      <c r="AM592" s="158"/>
      <c r="AN592" s="156"/>
      <c r="AO592" s="156"/>
      <c r="AP592" s="156"/>
      <c r="AQ592" s="156"/>
      <c r="AR592" s="156"/>
      <c r="AS592" s="156"/>
      <c r="AT592" s="156"/>
      <c r="AU592" s="156"/>
      <c r="AV592" s="156"/>
      <c r="AW592" s="156"/>
      <c r="AX592" s="156"/>
      <c r="AY592" s="156"/>
      <c r="AZ592" s="156"/>
      <c r="BA592" s="153"/>
      <c r="BD592" s="153"/>
      <c r="BE592" s="147"/>
      <c r="BI592" s="153"/>
      <c r="BO592" s="153"/>
      <c r="BW592" s="153"/>
      <c r="CD592" s="146"/>
      <c r="CF592" s="147"/>
      <c r="CI592" s="146"/>
      <c r="CJ592" s="153"/>
      <c r="CV592" s="154"/>
      <c r="CX592" s="154"/>
      <c r="CZ592" s="154"/>
      <c r="DB592" s="154"/>
      <c r="DD592" s="154"/>
      <c r="DH592" s="474"/>
      <c r="DI592" s="459"/>
      <c r="DJ592" s="459"/>
      <c r="DK592" s="459"/>
      <c r="DL592" s="459"/>
      <c r="DM592" s="459"/>
      <c r="DN592" s="459"/>
      <c r="DO592" s="459"/>
      <c r="DP592" s="459"/>
      <c r="DQ592" s="459"/>
      <c r="DR592" s="459"/>
      <c r="DS592" s="459"/>
      <c r="DT592" s="459"/>
      <c r="DU592" s="459"/>
      <c r="DV592" s="468"/>
      <c r="DW592" s="468"/>
      <c r="DX592" s="459"/>
      <c r="DY592" s="459"/>
    </row>
    <row r="593" spans="1:129" s="128" customFormat="1" ht="54.95" customHeight="1" x14ac:dyDescent="0.25">
      <c r="A593" s="377"/>
      <c r="B593" s="175"/>
      <c r="C593" s="393"/>
      <c r="D593" s="168"/>
      <c r="E593" s="168"/>
      <c r="F593" s="168"/>
      <c r="G593" s="168"/>
      <c r="H593" s="168"/>
      <c r="I593" s="168"/>
      <c r="J593" s="168"/>
      <c r="K593" s="168"/>
      <c r="L593" s="168"/>
      <c r="M593" s="168"/>
      <c r="N593" s="168"/>
      <c r="O593" s="433"/>
      <c r="P593" s="122"/>
      <c r="Q593" s="156"/>
      <c r="R593" s="156"/>
      <c r="S593" s="156"/>
      <c r="T593" s="156"/>
      <c r="U593" s="156"/>
      <c r="V593" s="156"/>
      <c r="W593" s="156"/>
      <c r="X593" s="156"/>
      <c r="Y593" s="156"/>
      <c r="Z593" s="157"/>
      <c r="AA593" s="157"/>
      <c r="AB593" s="156"/>
      <c r="AC593" s="156"/>
      <c r="AD593" s="156"/>
      <c r="AE593" s="156"/>
      <c r="AF593" s="156"/>
      <c r="AG593" s="156"/>
      <c r="AH593" s="156"/>
      <c r="AI593" s="156"/>
      <c r="AJ593" s="156"/>
      <c r="AK593" s="156"/>
      <c r="AL593" s="156"/>
      <c r="AM593" s="158"/>
      <c r="AN593" s="156"/>
      <c r="AO593" s="156"/>
      <c r="AP593" s="156"/>
      <c r="AQ593" s="156"/>
      <c r="AR593" s="156"/>
      <c r="AS593" s="156"/>
      <c r="AT593" s="156"/>
      <c r="AU593" s="156"/>
      <c r="AV593" s="156"/>
      <c r="AW593" s="156"/>
      <c r="AX593" s="156"/>
      <c r="AY593" s="156"/>
      <c r="AZ593" s="156"/>
      <c r="BA593" s="153"/>
      <c r="BD593" s="153"/>
      <c r="BE593" s="147"/>
      <c r="BI593" s="153"/>
      <c r="BO593" s="153"/>
      <c r="BW593" s="153"/>
      <c r="CD593" s="146"/>
      <c r="CF593" s="147"/>
      <c r="CI593" s="146"/>
      <c r="CJ593" s="153"/>
      <c r="CV593" s="154"/>
      <c r="CX593" s="154"/>
      <c r="CZ593" s="154"/>
      <c r="DB593" s="154"/>
      <c r="DD593" s="154"/>
      <c r="DH593" s="474"/>
      <c r="DI593" s="459"/>
      <c r="DJ593" s="459"/>
      <c r="DK593" s="459"/>
      <c r="DL593" s="459"/>
      <c r="DM593" s="459"/>
      <c r="DN593" s="459"/>
      <c r="DO593" s="459"/>
      <c r="DP593" s="459"/>
      <c r="DQ593" s="459"/>
      <c r="DR593" s="459"/>
      <c r="DS593" s="459"/>
      <c r="DT593" s="459"/>
      <c r="DU593" s="459"/>
      <c r="DV593" s="468"/>
      <c r="DW593" s="468"/>
      <c r="DX593" s="459"/>
      <c r="DY593" s="459"/>
    </row>
    <row r="594" spans="1:129" s="128" customFormat="1" ht="54.95" customHeight="1" x14ac:dyDescent="0.25">
      <c r="A594" s="377"/>
      <c r="B594" s="175"/>
      <c r="C594" s="393"/>
      <c r="D594" s="168"/>
      <c r="E594" s="168"/>
      <c r="F594" s="168"/>
      <c r="G594" s="168"/>
      <c r="H594" s="168"/>
      <c r="I594" s="168"/>
      <c r="J594" s="168"/>
      <c r="K594" s="168"/>
      <c r="L594" s="168"/>
      <c r="M594" s="168"/>
      <c r="N594" s="168"/>
      <c r="O594" s="433"/>
      <c r="P594" s="122"/>
      <c r="Q594" s="156"/>
      <c r="R594" s="156"/>
      <c r="S594" s="156"/>
      <c r="T594" s="156"/>
      <c r="U594" s="156"/>
      <c r="V594" s="156"/>
      <c r="W594" s="156"/>
      <c r="X594" s="156"/>
      <c r="Y594" s="156"/>
      <c r="Z594" s="157"/>
      <c r="AA594" s="157"/>
      <c r="AB594" s="156"/>
      <c r="AC594" s="156"/>
      <c r="AD594" s="156"/>
      <c r="AE594" s="156"/>
      <c r="AF594" s="156"/>
      <c r="AG594" s="156"/>
      <c r="AH594" s="156"/>
      <c r="AI594" s="156"/>
      <c r="AJ594" s="156"/>
      <c r="AK594" s="156"/>
      <c r="AL594" s="156"/>
      <c r="AM594" s="158"/>
      <c r="AN594" s="156"/>
      <c r="AO594" s="156"/>
      <c r="AP594" s="156"/>
      <c r="AQ594" s="156"/>
      <c r="AR594" s="156"/>
      <c r="AS594" s="156"/>
      <c r="AT594" s="156"/>
      <c r="AU594" s="156"/>
      <c r="AV594" s="156"/>
      <c r="AW594" s="156"/>
      <c r="AX594" s="156"/>
      <c r="AY594" s="156"/>
      <c r="AZ594" s="156"/>
      <c r="BA594" s="153"/>
      <c r="BD594" s="153"/>
      <c r="BE594" s="147"/>
      <c r="BI594" s="153"/>
      <c r="BO594" s="153"/>
      <c r="BW594" s="153"/>
      <c r="CD594" s="146"/>
      <c r="CF594" s="147"/>
      <c r="CI594" s="146"/>
      <c r="CJ594" s="153"/>
      <c r="CV594" s="154"/>
      <c r="CX594" s="154"/>
      <c r="CZ594" s="154"/>
      <c r="DB594" s="154"/>
      <c r="DD594" s="154"/>
      <c r="DH594" s="474"/>
      <c r="DI594" s="459"/>
      <c r="DJ594" s="459"/>
      <c r="DK594" s="459"/>
      <c r="DL594" s="459"/>
      <c r="DM594" s="459"/>
      <c r="DN594" s="459"/>
      <c r="DO594" s="459"/>
      <c r="DP594" s="459"/>
      <c r="DQ594" s="459"/>
      <c r="DR594" s="459"/>
      <c r="DS594" s="459"/>
      <c r="DT594" s="459"/>
      <c r="DU594" s="459"/>
      <c r="DV594" s="468"/>
      <c r="DW594" s="468"/>
      <c r="DX594" s="459"/>
      <c r="DY594" s="459"/>
    </row>
    <row r="595" spans="1:129" s="128" customFormat="1" ht="54.95" customHeight="1" x14ac:dyDescent="0.25">
      <c r="A595" s="377"/>
      <c r="B595" s="175"/>
      <c r="C595" s="393"/>
      <c r="D595" s="168"/>
      <c r="E595" s="168"/>
      <c r="F595" s="168"/>
      <c r="G595" s="168"/>
      <c r="H595" s="168"/>
      <c r="I595" s="168"/>
      <c r="J595" s="168"/>
      <c r="K595" s="168"/>
      <c r="L595" s="168"/>
      <c r="M595" s="168"/>
      <c r="N595" s="168"/>
      <c r="O595" s="433"/>
      <c r="P595" s="122"/>
      <c r="Q595" s="156"/>
      <c r="R595" s="156"/>
      <c r="S595" s="156"/>
      <c r="T595" s="156"/>
      <c r="U595" s="156"/>
      <c r="V595" s="156"/>
      <c r="W595" s="156"/>
      <c r="X595" s="156"/>
      <c r="Y595" s="156"/>
      <c r="Z595" s="157"/>
      <c r="AA595" s="157"/>
      <c r="AB595" s="156"/>
      <c r="AC595" s="156"/>
      <c r="AD595" s="156"/>
      <c r="AE595" s="156"/>
      <c r="AF595" s="156"/>
      <c r="AG595" s="156"/>
      <c r="AH595" s="156"/>
      <c r="AI595" s="156"/>
      <c r="AJ595" s="156"/>
      <c r="AK595" s="156"/>
      <c r="AL595" s="156"/>
      <c r="AM595" s="158"/>
      <c r="AN595" s="156"/>
      <c r="AO595" s="156"/>
      <c r="AP595" s="156"/>
      <c r="AQ595" s="156"/>
      <c r="AR595" s="156"/>
      <c r="AS595" s="156"/>
      <c r="AT595" s="156"/>
      <c r="AU595" s="156"/>
      <c r="AV595" s="156"/>
      <c r="AW595" s="156"/>
      <c r="AX595" s="156"/>
      <c r="AY595" s="156"/>
      <c r="AZ595" s="156"/>
      <c r="BA595" s="153"/>
      <c r="BD595" s="153"/>
      <c r="BE595" s="147"/>
      <c r="BI595" s="153"/>
      <c r="BO595" s="153"/>
      <c r="BW595" s="153"/>
      <c r="CD595" s="146"/>
      <c r="CF595" s="147"/>
      <c r="CI595" s="146"/>
      <c r="CJ595" s="153"/>
      <c r="CV595" s="154"/>
      <c r="CX595" s="154"/>
      <c r="CZ595" s="154"/>
      <c r="DB595" s="154"/>
      <c r="DD595" s="154"/>
      <c r="DH595" s="474"/>
      <c r="DI595" s="459"/>
      <c r="DJ595" s="459"/>
      <c r="DK595" s="459"/>
      <c r="DL595" s="459"/>
      <c r="DM595" s="459"/>
      <c r="DN595" s="459"/>
      <c r="DO595" s="459"/>
      <c r="DP595" s="459"/>
      <c r="DQ595" s="459"/>
      <c r="DR595" s="459"/>
      <c r="DS595" s="459"/>
      <c r="DT595" s="459"/>
      <c r="DU595" s="459"/>
      <c r="DV595" s="468"/>
      <c r="DW595" s="468"/>
      <c r="DX595" s="459"/>
      <c r="DY595" s="459"/>
    </row>
    <row r="596" spans="1:129" s="128" customFormat="1" ht="54.95" customHeight="1" x14ac:dyDescent="0.25">
      <c r="A596" s="377"/>
      <c r="B596" s="175"/>
      <c r="C596" s="393"/>
      <c r="D596" s="168"/>
      <c r="E596" s="168"/>
      <c r="F596" s="168"/>
      <c r="G596" s="168"/>
      <c r="H596" s="168"/>
      <c r="I596" s="168"/>
      <c r="J596" s="168"/>
      <c r="K596" s="168"/>
      <c r="L596" s="168"/>
      <c r="M596" s="168"/>
      <c r="N596" s="168"/>
      <c r="O596" s="433"/>
      <c r="P596" s="122"/>
      <c r="Q596" s="156"/>
      <c r="R596" s="156"/>
      <c r="S596" s="156"/>
      <c r="T596" s="156"/>
      <c r="U596" s="156"/>
      <c r="V596" s="156"/>
      <c r="W596" s="156"/>
      <c r="X596" s="156"/>
      <c r="Y596" s="156"/>
      <c r="Z596" s="157"/>
      <c r="AA596" s="157"/>
      <c r="AB596" s="156"/>
      <c r="AC596" s="156"/>
      <c r="AD596" s="156"/>
      <c r="AE596" s="156"/>
      <c r="AF596" s="156"/>
      <c r="AG596" s="156"/>
      <c r="AH596" s="156"/>
      <c r="AI596" s="156"/>
      <c r="AJ596" s="156"/>
      <c r="AK596" s="156"/>
      <c r="AL596" s="156"/>
      <c r="AM596" s="158"/>
      <c r="AN596" s="156"/>
      <c r="AO596" s="156"/>
      <c r="AP596" s="156"/>
      <c r="AQ596" s="156"/>
      <c r="AR596" s="156"/>
      <c r="AS596" s="156"/>
      <c r="AT596" s="156"/>
      <c r="AU596" s="156"/>
      <c r="AV596" s="156"/>
      <c r="AW596" s="156"/>
      <c r="AX596" s="156"/>
      <c r="AY596" s="156"/>
      <c r="AZ596" s="156"/>
      <c r="BA596" s="153"/>
      <c r="BD596" s="153"/>
      <c r="BE596" s="147"/>
      <c r="BI596" s="153"/>
      <c r="BO596" s="153"/>
      <c r="BW596" s="153"/>
      <c r="CD596" s="146"/>
      <c r="CF596" s="147"/>
      <c r="CI596" s="146"/>
      <c r="CJ596" s="153"/>
      <c r="CV596" s="154"/>
      <c r="CX596" s="154"/>
      <c r="CZ596" s="154"/>
      <c r="DB596" s="154"/>
      <c r="DD596" s="154"/>
      <c r="DH596" s="474"/>
      <c r="DI596" s="459"/>
      <c r="DJ596" s="459"/>
      <c r="DK596" s="459"/>
      <c r="DL596" s="459"/>
      <c r="DM596" s="459"/>
      <c r="DN596" s="459"/>
      <c r="DO596" s="459"/>
      <c r="DP596" s="459"/>
      <c r="DQ596" s="459"/>
      <c r="DR596" s="459"/>
      <c r="DS596" s="459"/>
      <c r="DT596" s="459"/>
      <c r="DU596" s="459"/>
      <c r="DV596" s="468"/>
      <c r="DW596" s="468"/>
      <c r="DX596" s="459"/>
      <c r="DY596" s="459"/>
    </row>
    <row r="597" spans="1:129" s="128" customFormat="1" ht="54.95" customHeight="1" x14ac:dyDescent="0.25">
      <c r="A597" s="377"/>
      <c r="B597" s="175"/>
      <c r="C597" s="393"/>
      <c r="D597" s="168"/>
      <c r="E597" s="168"/>
      <c r="F597" s="168"/>
      <c r="G597" s="168"/>
      <c r="H597" s="168"/>
      <c r="I597" s="168"/>
      <c r="J597" s="168"/>
      <c r="K597" s="168"/>
      <c r="L597" s="168"/>
      <c r="M597" s="168"/>
      <c r="N597" s="168"/>
      <c r="O597" s="433"/>
      <c r="P597" s="122"/>
      <c r="Q597" s="156"/>
      <c r="R597" s="156"/>
      <c r="S597" s="156"/>
      <c r="T597" s="156"/>
      <c r="U597" s="156"/>
      <c r="V597" s="156"/>
      <c r="W597" s="156"/>
      <c r="X597" s="156"/>
      <c r="Y597" s="156"/>
      <c r="Z597" s="157"/>
      <c r="AA597" s="157"/>
      <c r="AB597" s="156"/>
      <c r="AC597" s="156"/>
      <c r="AD597" s="156"/>
      <c r="AE597" s="156"/>
      <c r="AF597" s="156"/>
      <c r="AG597" s="156"/>
      <c r="AH597" s="156"/>
      <c r="AI597" s="156"/>
      <c r="AJ597" s="156"/>
      <c r="AK597" s="156"/>
      <c r="AL597" s="156"/>
      <c r="AM597" s="158"/>
      <c r="AN597" s="156"/>
      <c r="AO597" s="156"/>
      <c r="AP597" s="156"/>
      <c r="AQ597" s="156"/>
      <c r="AR597" s="156"/>
      <c r="AS597" s="156"/>
      <c r="AT597" s="156"/>
      <c r="AU597" s="156"/>
      <c r="AV597" s="156"/>
      <c r="AW597" s="156"/>
      <c r="AX597" s="156"/>
      <c r="AY597" s="156"/>
      <c r="AZ597" s="156"/>
      <c r="BA597" s="153"/>
      <c r="BD597" s="153"/>
      <c r="BE597" s="147"/>
      <c r="BI597" s="153"/>
      <c r="BO597" s="153"/>
      <c r="BW597" s="153"/>
      <c r="CD597" s="146"/>
      <c r="CF597" s="147"/>
      <c r="CI597" s="146"/>
      <c r="CJ597" s="153"/>
      <c r="CV597" s="154"/>
      <c r="CX597" s="154"/>
      <c r="CZ597" s="154"/>
      <c r="DB597" s="154"/>
      <c r="DD597" s="154"/>
      <c r="DH597" s="474"/>
      <c r="DI597" s="459"/>
      <c r="DJ597" s="459"/>
      <c r="DK597" s="459"/>
      <c r="DL597" s="459"/>
      <c r="DM597" s="459"/>
      <c r="DN597" s="459"/>
      <c r="DO597" s="459"/>
      <c r="DP597" s="459"/>
      <c r="DQ597" s="459"/>
      <c r="DR597" s="459"/>
      <c r="DS597" s="459"/>
      <c r="DT597" s="459"/>
      <c r="DU597" s="459"/>
      <c r="DV597" s="468"/>
      <c r="DW597" s="468"/>
      <c r="DX597" s="459"/>
      <c r="DY597" s="459"/>
    </row>
    <row r="598" spans="1:129" s="128" customFormat="1" ht="54.95" customHeight="1" x14ac:dyDescent="0.25">
      <c r="A598" s="377"/>
      <c r="B598" s="175"/>
      <c r="C598" s="393"/>
      <c r="D598" s="168"/>
      <c r="E598" s="168"/>
      <c r="F598" s="168"/>
      <c r="G598" s="168"/>
      <c r="H598" s="168"/>
      <c r="I598" s="168"/>
      <c r="J598" s="168"/>
      <c r="K598" s="168"/>
      <c r="L598" s="168"/>
      <c r="M598" s="168"/>
      <c r="N598" s="168"/>
      <c r="O598" s="433"/>
      <c r="P598" s="122"/>
      <c r="Q598" s="156"/>
      <c r="R598" s="156"/>
      <c r="S598" s="156"/>
      <c r="T598" s="156"/>
      <c r="U598" s="156"/>
      <c r="V598" s="156"/>
      <c r="W598" s="156"/>
      <c r="X598" s="156"/>
      <c r="Y598" s="156"/>
      <c r="Z598" s="157"/>
      <c r="AA598" s="157"/>
      <c r="AB598" s="156"/>
      <c r="AC598" s="156"/>
      <c r="AD598" s="156"/>
      <c r="AE598" s="156"/>
      <c r="AF598" s="156"/>
      <c r="AG598" s="156"/>
      <c r="AH598" s="156"/>
      <c r="AI598" s="156"/>
      <c r="AJ598" s="156"/>
      <c r="AK598" s="156"/>
      <c r="AL598" s="156"/>
      <c r="AM598" s="158"/>
      <c r="AN598" s="156"/>
      <c r="AO598" s="156"/>
      <c r="AP598" s="156"/>
      <c r="AQ598" s="156"/>
      <c r="AR598" s="156"/>
      <c r="AS598" s="156"/>
      <c r="AT598" s="156"/>
      <c r="AU598" s="156"/>
      <c r="AV598" s="156"/>
      <c r="AW598" s="156"/>
      <c r="AX598" s="156"/>
      <c r="AY598" s="156"/>
      <c r="AZ598" s="156"/>
      <c r="BA598" s="153"/>
      <c r="BD598" s="153"/>
      <c r="BE598" s="147"/>
      <c r="BI598" s="153"/>
      <c r="BO598" s="153"/>
      <c r="BW598" s="153"/>
      <c r="CD598" s="146"/>
      <c r="CF598" s="147"/>
      <c r="CI598" s="146"/>
      <c r="CJ598" s="153"/>
      <c r="CV598" s="154"/>
      <c r="CX598" s="154"/>
      <c r="CZ598" s="154"/>
      <c r="DB598" s="154"/>
      <c r="DD598" s="154"/>
      <c r="DH598" s="474"/>
      <c r="DI598" s="459"/>
      <c r="DJ598" s="459"/>
      <c r="DK598" s="459"/>
      <c r="DL598" s="459"/>
      <c r="DM598" s="459"/>
      <c r="DN598" s="459"/>
      <c r="DO598" s="459"/>
      <c r="DP598" s="459"/>
      <c r="DQ598" s="459"/>
      <c r="DR598" s="459"/>
      <c r="DS598" s="459"/>
      <c r="DT598" s="459"/>
      <c r="DU598" s="459"/>
      <c r="DV598" s="468"/>
      <c r="DW598" s="468"/>
      <c r="DX598" s="459"/>
      <c r="DY598" s="459"/>
    </row>
    <row r="599" spans="1:129" s="128" customFormat="1" ht="54.95" customHeight="1" x14ac:dyDescent="0.25">
      <c r="A599" s="377"/>
      <c r="B599" s="175"/>
      <c r="C599" s="393"/>
      <c r="D599" s="168"/>
      <c r="E599" s="168"/>
      <c r="F599" s="168"/>
      <c r="G599" s="168"/>
      <c r="H599" s="168"/>
      <c r="I599" s="168"/>
      <c r="J599" s="168"/>
      <c r="K599" s="168"/>
      <c r="L599" s="168"/>
      <c r="M599" s="168"/>
      <c r="N599" s="168"/>
      <c r="O599" s="433"/>
      <c r="P599" s="122"/>
      <c r="Q599" s="156"/>
      <c r="R599" s="156"/>
      <c r="S599" s="156"/>
      <c r="T599" s="156"/>
      <c r="U599" s="156"/>
      <c r="V599" s="156"/>
      <c r="W599" s="156"/>
      <c r="X599" s="156"/>
      <c r="Y599" s="156"/>
      <c r="Z599" s="157"/>
      <c r="AA599" s="157"/>
      <c r="AB599" s="156"/>
      <c r="AC599" s="156"/>
      <c r="AD599" s="156"/>
      <c r="AE599" s="156"/>
      <c r="AF599" s="156"/>
      <c r="AG599" s="156"/>
      <c r="AH599" s="156"/>
      <c r="AI599" s="156"/>
      <c r="AJ599" s="156"/>
      <c r="AK599" s="156"/>
      <c r="AL599" s="156"/>
      <c r="AM599" s="158"/>
      <c r="AN599" s="156"/>
      <c r="AO599" s="156"/>
      <c r="AP599" s="156"/>
      <c r="AQ599" s="156"/>
      <c r="AR599" s="156"/>
      <c r="AS599" s="156"/>
      <c r="AT599" s="156"/>
      <c r="AU599" s="156"/>
      <c r="AV599" s="156"/>
      <c r="AW599" s="156"/>
      <c r="AX599" s="156"/>
      <c r="AY599" s="156"/>
      <c r="AZ599" s="156"/>
      <c r="BA599" s="153"/>
      <c r="BD599" s="153"/>
      <c r="BE599" s="147"/>
      <c r="BI599" s="153"/>
      <c r="BO599" s="153"/>
      <c r="BW599" s="153"/>
      <c r="CD599" s="146"/>
      <c r="CF599" s="147"/>
      <c r="CI599" s="146"/>
      <c r="CJ599" s="153"/>
      <c r="CV599" s="154"/>
      <c r="CX599" s="154"/>
      <c r="CZ599" s="154"/>
      <c r="DB599" s="154"/>
      <c r="DD599" s="154"/>
      <c r="DH599" s="474"/>
      <c r="DI599" s="459"/>
      <c r="DJ599" s="459"/>
      <c r="DK599" s="459"/>
      <c r="DL599" s="459"/>
      <c r="DM599" s="459"/>
      <c r="DN599" s="459"/>
      <c r="DO599" s="459"/>
      <c r="DP599" s="459"/>
      <c r="DQ599" s="459"/>
      <c r="DR599" s="459"/>
      <c r="DS599" s="459"/>
      <c r="DT599" s="459"/>
      <c r="DU599" s="459"/>
      <c r="DV599" s="468"/>
      <c r="DW599" s="468"/>
      <c r="DX599" s="459"/>
      <c r="DY599" s="459"/>
    </row>
    <row r="600" spans="1:129" s="128" customFormat="1" ht="54.95" customHeight="1" x14ac:dyDescent="0.25">
      <c r="A600" s="377"/>
      <c r="B600" s="175"/>
      <c r="C600" s="393"/>
      <c r="D600" s="168"/>
      <c r="E600" s="168"/>
      <c r="F600" s="168"/>
      <c r="G600" s="168"/>
      <c r="H600" s="168"/>
      <c r="I600" s="168"/>
      <c r="J600" s="168"/>
      <c r="K600" s="168"/>
      <c r="L600" s="168"/>
      <c r="M600" s="168"/>
      <c r="N600" s="168"/>
      <c r="O600" s="433"/>
      <c r="P600" s="122"/>
      <c r="Q600" s="156"/>
      <c r="R600" s="156"/>
      <c r="S600" s="156"/>
      <c r="T600" s="156"/>
      <c r="U600" s="156"/>
      <c r="V600" s="156"/>
      <c r="W600" s="156"/>
      <c r="X600" s="156"/>
      <c r="Y600" s="156"/>
      <c r="Z600" s="157"/>
      <c r="AA600" s="157"/>
      <c r="AB600" s="156"/>
      <c r="AC600" s="156"/>
      <c r="AD600" s="156"/>
      <c r="AE600" s="156"/>
      <c r="AF600" s="156"/>
      <c r="AG600" s="156"/>
      <c r="AH600" s="156"/>
      <c r="AI600" s="156"/>
      <c r="AJ600" s="156"/>
      <c r="AK600" s="156"/>
      <c r="AL600" s="156"/>
      <c r="AM600" s="158"/>
      <c r="AN600" s="156"/>
      <c r="AO600" s="156"/>
      <c r="AP600" s="156"/>
      <c r="AQ600" s="156"/>
      <c r="AR600" s="156"/>
      <c r="AS600" s="156"/>
      <c r="AT600" s="156"/>
      <c r="AU600" s="156"/>
      <c r="AV600" s="156"/>
      <c r="AW600" s="156"/>
      <c r="AX600" s="156"/>
      <c r="AY600" s="156"/>
      <c r="AZ600" s="156"/>
      <c r="BA600" s="153"/>
      <c r="BD600" s="153"/>
      <c r="BE600" s="147"/>
      <c r="BI600" s="153"/>
      <c r="BO600" s="153"/>
      <c r="BW600" s="153"/>
      <c r="CD600" s="146"/>
      <c r="CF600" s="147"/>
      <c r="CI600" s="146"/>
      <c r="CJ600" s="153"/>
      <c r="CV600" s="154"/>
      <c r="CX600" s="154"/>
      <c r="CZ600" s="154"/>
      <c r="DB600" s="154"/>
      <c r="DD600" s="154"/>
      <c r="DH600" s="474"/>
      <c r="DI600" s="459"/>
      <c r="DJ600" s="459"/>
      <c r="DK600" s="459"/>
      <c r="DL600" s="459"/>
      <c r="DM600" s="459"/>
      <c r="DN600" s="459"/>
      <c r="DO600" s="459"/>
      <c r="DP600" s="459"/>
      <c r="DQ600" s="459"/>
      <c r="DR600" s="459"/>
      <c r="DS600" s="459"/>
      <c r="DT600" s="459"/>
      <c r="DU600" s="459"/>
      <c r="DV600" s="468"/>
      <c r="DW600" s="468"/>
      <c r="DX600" s="459"/>
      <c r="DY600" s="459"/>
    </row>
    <row r="601" spans="1:129" s="128" customFormat="1" ht="54.95" customHeight="1" x14ac:dyDescent="0.25">
      <c r="A601" s="377"/>
      <c r="B601" s="175"/>
      <c r="C601" s="393"/>
      <c r="D601" s="168"/>
      <c r="E601" s="168"/>
      <c r="F601" s="168"/>
      <c r="G601" s="168"/>
      <c r="H601" s="168"/>
      <c r="I601" s="168"/>
      <c r="J601" s="168"/>
      <c r="K601" s="168"/>
      <c r="L601" s="168"/>
      <c r="M601" s="168"/>
      <c r="N601" s="168"/>
      <c r="O601" s="433"/>
      <c r="P601" s="122"/>
      <c r="Q601" s="156"/>
      <c r="R601" s="156"/>
      <c r="S601" s="156"/>
      <c r="T601" s="156"/>
      <c r="U601" s="156"/>
      <c r="V601" s="156"/>
      <c r="W601" s="156"/>
      <c r="X601" s="156"/>
      <c r="Y601" s="156"/>
      <c r="Z601" s="157"/>
      <c r="AA601" s="157"/>
      <c r="AB601" s="156"/>
      <c r="AC601" s="156"/>
      <c r="AD601" s="156"/>
      <c r="AE601" s="156"/>
      <c r="AF601" s="156"/>
      <c r="AG601" s="156"/>
      <c r="AH601" s="156"/>
      <c r="AI601" s="156"/>
      <c r="AJ601" s="156"/>
      <c r="AK601" s="156"/>
      <c r="AL601" s="156"/>
      <c r="AM601" s="158"/>
      <c r="AN601" s="156"/>
      <c r="AO601" s="156"/>
      <c r="AP601" s="156"/>
      <c r="AQ601" s="156"/>
      <c r="AR601" s="156"/>
      <c r="AS601" s="156"/>
      <c r="AT601" s="156"/>
      <c r="AU601" s="156"/>
      <c r="AV601" s="156"/>
      <c r="AW601" s="156"/>
      <c r="AX601" s="156"/>
      <c r="AY601" s="156"/>
      <c r="AZ601" s="156"/>
      <c r="BA601" s="153"/>
      <c r="BD601" s="153"/>
      <c r="BE601" s="147"/>
      <c r="BI601" s="153"/>
      <c r="BO601" s="153"/>
      <c r="BW601" s="153"/>
      <c r="CD601" s="146"/>
      <c r="CF601" s="147"/>
      <c r="CI601" s="146"/>
      <c r="CJ601" s="153"/>
      <c r="CV601" s="154"/>
      <c r="CX601" s="154"/>
      <c r="CZ601" s="154"/>
      <c r="DB601" s="154"/>
      <c r="DD601" s="154"/>
      <c r="DH601" s="474"/>
      <c r="DI601" s="459"/>
      <c r="DJ601" s="459"/>
      <c r="DK601" s="459"/>
      <c r="DL601" s="459"/>
      <c r="DM601" s="459"/>
      <c r="DN601" s="459"/>
      <c r="DO601" s="459"/>
      <c r="DP601" s="459"/>
      <c r="DQ601" s="459"/>
      <c r="DR601" s="459"/>
      <c r="DS601" s="459"/>
      <c r="DT601" s="459"/>
      <c r="DU601" s="459"/>
      <c r="DV601" s="468"/>
      <c r="DW601" s="468"/>
      <c r="DX601" s="459"/>
      <c r="DY601" s="459"/>
    </row>
    <row r="602" spans="1:129" s="128" customFormat="1" ht="54.95" customHeight="1" x14ac:dyDescent="0.25">
      <c r="A602" s="377"/>
      <c r="B602" s="175"/>
      <c r="C602" s="393"/>
      <c r="D602" s="168"/>
      <c r="E602" s="168"/>
      <c r="F602" s="168"/>
      <c r="G602" s="168"/>
      <c r="H602" s="168"/>
      <c r="I602" s="168"/>
      <c r="J602" s="168"/>
      <c r="K602" s="168"/>
      <c r="L602" s="168"/>
      <c r="M602" s="168"/>
      <c r="N602" s="168"/>
      <c r="O602" s="433"/>
      <c r="P602" s="122"/>
      <c r="Q602" s="156"/>
      <c r="R602" s="156"/>
      <c r="S602" s="156"/>
      <c r="T602" s="156"/>
      <c r="U602" s="156"/>
      <c r="V602" s="156"/>
      <c r="W602" s="156"/>
      <c r="X602" s="156"/>
      <c r="Y602" s="156"/>
      <c r="Z602" s="157"/>
      <c r="AA602" s="157"/>
      <c r="AB602" s="156"/>
      <c r="AC602" s="156"/>
      <c r="AD602" s="156"/>
      <c r="AE602" s="156"/>
      <c r="AF602" s="156"/>
      <c r="AG602" s="156"/>
      <c r="AH602" s="156"/>
      <c r="AI602" s="156"/>
      <c r="AJ602" s="156"/>
      <c r="AK602" s="156"/>
      <c r="AL602" s="156"/>
      <c r="AM602" s="158"/>
      <c r="AN602" s="156"/>
      <c r="AO602" s="156"/>
      <c r="AP602" s="156"/>
      <c r="AQ602" s="156"/>
      <c r="AR602" s="156"/>
      <c r="AS602" s="156"/>
      <c r="AT602" s="156"/>
      <c r="AU602" s="156"/>
      <c r="AV602" s="156"/>
      <c r="AW602" s="156"/>
      <c r="AX602" s="156"/>
      <c r="AY602" s="156"/>
      <c r="AZ602" s="156"/>
      <c r="BA602" s="153"/>
      <c r="BD602" s="153"/>
      <c r="BE602" s="147"/>
      <c r="BI602" s="153"/>
      <c r="BO602" s="153"/>
      <c r="BW602" s="153"/>
      <c r="CD602" s="146"/>
      <c r="CF602" s="147"/>
      <c r="CI602" s="146"/>
      <c r="CJ602" s="153"/>
      <c r="CV602" s="154"/>
      <c r="CX602" s="154"/>
      <c r="CZ602" s="154"/>
      <c r="DB602" s="154"/>
      <c r="DD602" s="154"/>
      <c r="DH602" s="474"/>
      <c r="DI602" s="459"/>
      <c r="DJ602" s="459"/>
      <c r="DK602" s="459"/>
      <c r="DL602" s="459"/>
      <c r="DM602" s="459"/>
      <c r="DN602" s="459"/>
      <c r="DO602" s="459"/>
      <c r="DP602" s="459"/>
      <c r="DQ602" s="459"/>
      <c r="DR602" s="459"/>
      <c r="DS602" s="459"/>
      <c r="DT602" s="459"/>
      <c r="DU602" s="459"/>
      <c r="DV602" s="468"/>
      <c r="DW602" s="468"/>
      <c r="DX602" s="459"/>
      <c r="DY602" s="459"/>
    </row>
    <row r="603" spans="1:129" s="128" customFormat="1" ht="54.95" customHeight="1" x14ac:dyDescent="0.25">
      <c r="A603" s="377"/>
      <c r="B603" s="175"/>
      <c r="C603" s="393"/>
      <c r="D603" s="168"/>
      <c r="E603" s="168"/>
      <c r="F603" s="168"/>
      <c r="G603" s="168"/>
      <c r="H603" s="168"/>
      <c r="I603" s="168"/>
      <c r="J603" s="168"/>
      <c r="K603" s="168"/>
      <c r="L603" s="168"/>
      <c r="M603" s="168"/>
      <c r="N603" s="168"/>
      <c r="O603" s="433"/>
      <c r="P603" s="122"/>
      <c r="Q603" s="156"/>
      <c r="R603" s="156"/>
      <c r="S603" s="156"/>
      <c r="T603" s="156"/>
      <c r="U603" s="156"/>
      <c r="V603" s="156"/>
      <c r="W603" s="156"/>
      <c r="X603" s="156"/>
      <c r="Y603" s="156"/>
      <c r="Z603" s="157"/>
      <c r="AA603" s="157"/>
      <c r="AB603" s="156"/>
      <c r="AC603" s="156"/>
      <c r="AD603" s="156"/>
      <c r="AE603" s="156"/>
      <c r="AF603" s="156"/>
      <c r="AG603" s="156"/>
      <c r="AH603" s="156"/>
      <c r="AI603" s="156"/>
      <c r="AJ603" s="156"/>
      <c r="AK603" s="156"/>
      <c r="AL603" s="156"/>
      <c r="AM603" s="158"/>
      <c r="AN603" s="156"/>
      <c r="AO603" s="156"/>
      <c r="AP603" s="156"/>
      <c r="AQ603" s="156"/>
      <c r="AR603" s="156"/>
      <c r="AS603" s="156"/>
      <c r="AT603" s="156"/>
      <c r="AU603" s="156"/>
      <c r="AV603" s="156"/>
      <c r="AW603" s="156"/>
      <c r="AX603" s="156"/>
      <c r="AY603" s="156"/>
      <c r="AZ603" s="156"/>
      <c r="BA603" s="153"/>
      <c r="BD603" s="153"/>
      <c r="BE603" s="147"/>
      <c r="BI603" s="153"/>
      <c r="BO603" s="153"/>
      <c r="BW603" s="153"/>
      <c r="CD603" s="146"/>
      <c r="CF603" s="147"/>
      <c r="CI603" s="146"/>
      <c r="CJ603" s="153"/>
      <c r="CV603" s="154"/>
      <c r="CX603" s="154"/>
      <c r="CZ603" s="154"/>
      <c r="DB603" s="154"/>
      <c r="DD603" s="154"/>
      <c r="DH603" s="474"/>
      <c r="DI603" s="459"/>
      <c r="DJ603" s="459"/>
      <c r="DK603" s="459"/>
      <c r="DL603" s="459"/>
      <c r="DM603" s="459"/>
      <c r="DN603" s="459"/>
      <c r="DO603" s="459"/>
      <c r="DP603" s="459"/>
      <c r="DQ603" s="459"/>
      <c r="DR603" s="459"/>
      <c r="DS603" s="459"/>
      <c r="DT603" s="459"/>
      <c r="DU603" s="459"/>
      <c r="DV603" s="468"/>
      <c r="DW603" s="468"/>
      <c r="DX603" s="459"/>
      <c r="DY603" s="459"/>
    </row>
    <row r="604" spans="1:129" s="128" customFormat="1" ht="54.95" customHeight="1" x14ac:dyDescent="0.25">
      <c r="A604" s="377"/>
      <c r="B604" s="175"/>
      <c r="C604" s="393"/>
      <c r="D604" s="168"/>
      <c r="E604" s="168"/>
      <c r="F604" s="168"/>
      <c r="G604" s="168"/>
      <c r="H604" s="168"/>
      <c r="I604" s="168"/>
      <c r="J604" s="168"/>
      <c r="K604" s="168"/>
      <c r="L604" s="168"/>
      <c r="M604" s="168"/>
      <c r="N604" s="168"/>
      <c r="O604" s="433"/>
      <c r="P604" s="122"/>
      <c r="Q604" s="156"/>
      <c r="R604" s="156"/>
      <c r="S604" s="156"/>
      <c r="T604" s="156"/>
      <c r="U604" s="156"/>
      <c r="V604" s="156"/>
      <c r="W604" s="156"/>
      <c r="X604" s="156"/>
      <c r="Y604" s="156"/>
      <c r="Z604" s="157"/>
      <c r="AA604" s="157"/>
      <c r="AB604" s="156"/>
      <c r="AC604" s="156"/>
      <c r="AD604" s="156"/>
      <c r="AE604" s="156"/>
      <c r="AF604" s="156"/>
      <c r="AG604" s="156"/>
      <c r="AH604" s="156"/>
      <c r="AI604" s="156"/>
      <c r="AJ604" s="156"/>
      <c r="AK604" s="156"/>
      <c r="AL604" s="156"/>
      <c r="AM604" s="158"/>
      <c r="AN604" s="156"/>
      <c r="AO604" s="156"/>
      <c r="AP604" s="156"/>
      <c r="AQ604" s="156"/>
      <c r="AR604" s="156"/>
      <c r="AS604" s="156"/>
      <c r="AT604" s="156"/>
      <c r="AU604" s="156"/>
      <c r="AV604" s="156"/>
      <c r="AW604" s="156"/>
      <c r="AX604" s="156"/>
      <c r="AY604" s="156"/>
      <c r="AZ604" s="156"/>
      <c r="BA604" s="153"/>
      <c r="BD604" s="153"/>
      <c r="BE604" s="147"/>
      <c r="BI604" s="153"/>
      <c r="BO604" s="153"/>
      <c r="BW604" s="153"/>
      <c r="CD604" s="146"/>
      <c r="CF604" s="147"/>
      <c r="CI604" s="146"/>
      <c r="CJ604" s="153"/>
      <c r="CV604" s="154"/>
      <c r="CX604" s="154"/>
      <c r="CZ604" s="154"/>
      <c r="DB604" s="154"/>
      <c r="DD604" s="154"/>
      <c r="DH604" s="474"/>
      <c r="DI604" s="459"/>
      <c r="DJ604" s="459"/>
      <c r="DK604" s="459"/>
      <c r="DL604" s="459"/>
      <c r="DM604" s="459"/>
      <c r="DN604" s="459"/>
      <c r="DO604" s="459"/>
      <c r="DP604" s="459"/>
      <c r="DQ604" s="459"/>
      <c r="DR604" s="459"/>
      <c r="DS604" s="459"/>
      <c r="DT604" s="459"/>
      <c r="DU604" s="459"/>
      <c r="DV604" s="468"/>
      <c r="DW604" s="468"/>
      <c r="DX604" s="459"/>
      <c r="DY604" s="459"/>
    </row>
    <row r="605" spans="1:129" s="128" customFormat="1" ht="54.95" customHeight="1" x14ac:dyDescent="0.25">
      <c r="A605" s="377"/>
      <c r="B605" s="175"/>
      <c r="C605" s="393"/>
      <c r="D605" s="168"/>
      <c r="E605" s="168"/>
      <c r="F605" s="168"/>
      <c r="G605" s="168"/>
      <c r="H605" s="168"/>
      <c r="I605" s="168"/>
      <c r="J605" s="168"/>
      <c r="K605" s="168"/>
      <c r="L605" s="168"/>
      <c r="M605" s="168"/>
      <c r="N605" s="168"/>
      <c r="O605" s="433"/>
      <c r="P605" s="122"/>
      <c r="Q605" s="156"/>
      <c r="R605" s="156"/>
      <c r="S605" s="156"/>
      <c r="T605" s="156"/>
      <c r="U605" s="156"/>
      <c r="V605" s="156"/>
      <c r="W605" s="156"/>
      <c r="X605" s="156"/>
      <c r="Y605" s="156"/>
      <c r="Z605" s="157"/>
      <c r="AA605" s="157"/>
      <c r="AB605" s="156"/>
      <c r="AC605" s="156"/>
      <c r="AD605" s="156"/>
      <c r="AE605" s="156"/>
      <c r="AF605" s="156"/>
      <c r="AG605" s="156"/>
      <c r="AH605" s="156"/>
      <c r="AI605" s="156"/>
      <c r="AJ605" s="156"/>
      <c r="AK605" s="156"/>
      <c r="AL605" s="156"/>
      <c r="AM605" s="158"/>
      <c r="AN605" s="156"/>
      <c r="AO605" s="156"/>
      <c r="AP605" s="156"/>
      <c r="AQ605" s="156"/>
      <c r="AR605" s="156"/>
      <c r="AS605" s="156"/>
      <c r="AT605" s="156"/>
      <c r="AU605" s="156"/>
      <c r="AV605" s="156"/>
      <c r="AW605" s="156"/>
      <c r="AX605" s="156"/>
      <c r="AY605" s="156"/>
      <c r="AZ605" s="156"/>
      <c r="BA605" s="153"/>
      <c r="BD605" s="153"/>
      <c r="BE605" s="147"/>
      <c r="BI605" s="153"/>
      <c r="BO605" s="153"/>
      <c r="BW605" s="153"/>
      <c r="CD605" s="146"/>
      <c r="CF605" s="147"/>
      <c r="CI605" s="146"/>
      <c r="CJ605" s="153"/>
      <c r="CV605" s="154"/>
      <c r="CX605" s="154"/>
      <c r="CZ605" s="154"/>
      <c r="DB605" s="154"/>
      <c r="DD605" s="154"/>
      <c r="DH605" s="474"/>
      <c r="DI605" s="459"/>
      <c r="DJ605" s="459"/>
      <c r="DK605" s="459"/>
      <c r="DL605" s="459"/>
      <c r="DM605" s="459"/>
      <c r="DN605" s="459"/>
      <c r="DO605" s="459"/>
      <c r="DP605" s="459"/>
      <c r="DQ605" s="459"/>
      <c r="DR605" s="459"/>
      <c r="DS605" s="459"/>
      <c r="DT605" s="459"/>
      <c r="DU605" s="459"/>
      <c r="DV605" s="468"/>
      <c r="DW605" s="468"/>
      <c r="DX605" s="459"/>
      <c r="DY605" s="459"/>
    </row>
    <row r="606" spans="1:129" s="128" customFormat="1" ht="54.95" customHeight="1" x14ac:dyDescent="0.25">
      <c r="A606" s="377"/>
      <c r="B606" s="175"/>
      <c r="C606" s="393"/>
      <c r="D606" s="168"/>
      <c r="E606" s="168"/>
      <c r="F606" s="168"/>
      <c r="G606" s="168"/>
      <c r="H606" s="168"/>
      <c r="I606" s="168"/>
      <c r="J606" s="168"/>
      <c r="K606" s="168"/>
      <c r="L606" s="168"/>
      <c r="M606" s="168"/>
      <c r="N606" s="168"/>
      <c r="O606" s="433"/>
      <c r="P606" s="122"/>
      <c r="Q606" s="156"/>
      <c r="R606" s="156"/>
      <c r="S606" s="156"/>
      <c r="T606" s="156"/>
      <c r="U606" s="156"/>
      <c r="V606" s="156"/>
      <c r="W606" s="156"/>
      <c r="X606" s="156"/>
      <c r="Y606" s="156"/>
      <c r="Z606" s="157"/>
      <c r="AA606" s="157"/>
      <c r="AB606" s="156"/>
      <c r="AC606" s="156"/>
      <c r="AD606" s="156"/>
      <c r="AE606" s="156"/>
      <c r="AF606" s="156"/>
      <c r="AG606" s="156"/>
      <c r="AH606" s="156"/>
      <c r="AI606" s="156"/>
      <c r="AJ606" s="156"/>
      <c r="AK606" s="156"/>
      <c r="AL606" s="156"/>
      <c r="AM606" s="158"/>
      <c r="AN606" s="156"/>
      <c r="AO606" s="156"/>
      <c r="AP606" s="156"/>
      <c r="AQ606" s="156"/>
      <c r="AR606" s="156"/>
      <c r="AS606" s="156"/>
      <c r="AT606" s="156"/>
      <c r="AU606" s="156"/>
      <c r="AV606" s="156"/>
      <c r="AW606" s="156"/>
      <c r="AX606" s="156"/>
      <c r="AY606" s="156"/>
      <c r="AZ606" s="156"/>
      <c r="BA606" s="153"/>
      <c r="BD606" s="153"/>
      <c r="BE606" s="147"/>
      <c r="BI606" s="153"/>
      <c r="BO606" s="153"/>
      <c r="BW606" s="153"/>
      <c r="CD606" s="146"/>
      <c r="CF606" s="147"/>
      <c r="CI606" s="146"/>
      <c r="CJ606" s="153"/>
      <c r="CV606" s="154"/>
      <c r="CX606" s="154"/>
      <c r="CZ606" s="154"/>
      <c r="DB606" s="154"/>
      <c r="DD606" s="154"/>
      <c r="DH606" s="474"/>
      <c r="DI606" s="459"/>
      <c r="DJ606" s="459"/>
      <c r="DK606" s="459"/>
      <c r="DL606" s="459"/>
      <c r="DM606" s="459"/>
      <c r="DN606" s="459"/>
      <c r="DO606" s="459"/>
      <c r="DP606" s="459"/>
      <c r="DQ606" s="459"/>
      <c r="DR606" s="459"/>
      <c r="DS606" s="459"/>
      <c r="DT606" s="459"/>
      <c r="DU606" s="459"/>
      <c r="DV606" s="468"/>
      <c r="DW606" s="468"/>
      <c r="DX606" s="459"/>
      <c r="DY606" s="459"/>
    </row>
    <row r="607" spans="1:129" s="128" customFormat="1" ht="54.95" customHeight="1" x14ac:dyDescent="0.25">
      <c r="A607" s="377"/>
      <c r="B607" s="175"/>
      <c r="C607" s="393"/>
      <c r="D607" s="168"/>
      <c r="E607" s="168"/>
      <c r="F607" s="168"/>
      <c r="G607" s="168"/>
      <c r="H607" s="168"/>
      <c r="I607" s="168"/>
      <c r="J607" s="168"/>
      <c r="K607" s="168"/>
      <c r="L607" s="168"/>
      <c r="M607" s="168"/>
      <c r="N607" s="168"/>
      <c r="O607" s="433"/>
      <c r="P607" s="122"/>
      <c r="Q607" s="156"/>
      <c r="R607" s="156"/>
      <c r="S607" s="156"/>
      <c r="T607" s="156"/>
      <c r="U607" s="156"/>
      <c r="V607" s="156"/>
      <c r="W607" s="156"/>
      <c r="X607" s="156"/>
      <c r="Y607" s="156"/>
      <c r="Z607" s="157"/>
      <c r="AA607" s="157"/>
      <c r="AB607" s="156"/>
      <c r="AC607" s="156"/>
      <c r="AD607" s="156"/>
      <c r="AE607" s="156"/>
      <c r="AF607" s="156"/>
      <c r="AG607" s="156"/>
      <c r="AH607" s="156"/>
      <c r="AI607" s="156"/>
      <c r="AJ607" s="156"/>
      <c r="AK607" s="156"/>
      <c r="AL607" s="156"/>
      <c r="AM607" s="158"/>
      <c r="AN607" s="156"/>
      <c r="AO607" s="156"/>
      <c r="AP607" s="156"/>
      <c r="AQ607" s="156"/>
      <c r="AR607" s="156"/>
      <c r="AS607" s="156"/>
      <c r="AT607" s="156"/>
      <c r="AU607" s="156"/>
      <c r="AV607" s="156"/>
      <c r="AW607" s="156"/>
      <c r="AX607" s="156"/>
      <c r="AY607" s="156"/>
      <c r="AZ607" s="156"/>
      <c r="BA607" s="153"/>
      <c r="BD607" s="153"/>
      <c r="BE607" s="147"/>
      <c r="BI607" s="153"/>
      <c r="BO607" s="153"/>
      <c r="BW607" s="153"/>
      <c r="CD607" s="146"/>
      <c r="CF607" s="147"/>
      <c r="CI607" s="146"/>
      <c r="CJ607" s="153"/>
      <c r="CV607" s="154"/>
      <c r="CX607" s="154"/>
      <c r="CZ607" s="154"/>
      <c r="DB607" s="154"/>
      <c r="DD607" s="154"/>
      <c r="DH607" s="474"/>
      <c r="DI607" s="459"/>
      <c r="DJ607" s="459"/>
      <c r="DK607" s="459"/>
      <c r="DL607" s="459"/>
      <c r="DM607" s="459"/>
      <c r="DN607" s="459"/>
      <c r="DO607" s="459"/>
      <c r="DP607" s="459"/>
      <c r="DQ607" s="459"/>
      <c r="DR607" s="459"/>
      <c r="DS607" s="459"/>
      <c r="DT607" s="459"/>
      <c r="DU607" s="459"/>
      <c r="DV607" s="468"/>
      <c r="DW607" s="468"/>
      <c r="DX607" s="459"/>
      <c r="DY607" s="459"/>
    </row>
    <row r="608" spans="1:129" s="128" customFormat="1" ht="54.95" customHeight="1" x14ac:dyDescent="0.25">
      <c r="A608" s="377"/>
      <c r="B608" s="175"/>
      <c r="C608" s="393"/>
      <c r="D608" s="168"/>
      <c r="E608" s="168"/>
      <c r="F608" s="168"/>
      <c r="G608" s="168"/>
      <c r="H608" s="168"/>
      <c r="I608" s="168"/>
      <c r="J608" s="168"/>
      <c r="K608" s="168"/>
      <c r="L608" s="168"/>
      <c r="M608" s="168"/>
      <c r="N608" s="168"/>
      <c r="O608" s="433"/>
      <c r="P608" s="122"/>
      <c r="Q608" s="156"/>
      <c r="R608" s="156"/>
      <c r="S608" s="156"/>
      <c r="T608" s="156"/>
      <c r="U608" s="156"/>
      <c r="V608" s="156"/>
      <c r="W608" s="156"/>
      <c r="X608" s="156"/>
      <c r="Y608" s="156"/>
      <c r="Z608" s="157"/>
      <c r="AA608" s="157"/>
      <c r="AB608" s="156"/>
      <c r="AC608" s="156"/>
      <c r="AD608" s="156"/>
      <c r="AE608" s="156"/>
      <c r="AF608" s="156"/>
      <c r="AG608" s="156"/>
      <c r="AH608" s="156"/>
      <c r="AI608" s="156"/>
      <c r="AJ608" s="156"/>
      <c r="AK608" s="156"/>
      <c r="AL608" s="156"/>
      <c r="AM608" s="158"/>
      <c r="AN608" s="156"/>
      <c r="AO608" s="156"/>
      <c r="AP608" s="156"/>
      <c r="AQ608" s="156"/>
      <c r="AR608" s="156"/>
      <c r="AS608" s="156"/>
      <c r="AT608" s="156"/>
      <c r="AU608" s="156"/>
      <c r="AV608" s="156"/>
      <c r="AW608" s="156"/>
      <c r="AX608" s="156"/>
      <c r="AY608" s="156"/>
      <c r="AZ608" s="156"/>
      <c r="BA608" s="153"/>
      <c r="BD608" s="153"/>
      <c r="BE608" s="147"/>
      <c r="BI608" s="153"/>
      <c r="BO608" s="153"/>
      <c r="BW608" s="153"/>
      <c r="CD608" s="146"/>
      <c r="CF608" s="147"/>
      <c r="CI608" s="146"/>
      <c r="CJ608" s="153"/>
      <c r="CV608" s="154"/>
      <c r="CX608" s="154"/>
      <c r="CZ608" s="154"/>
      <c r="DB608" s="154"/>
      <c r="DD608" s="154"/>
      <c r="DH608" s="474"/>
      <c r="DI608" s="459"/>
      <c r="DJ608" s="459"/>
      <c r="DK608" s="459"/>
      <c r="DL608" s="459"/>
      <c r="DM608" s="459"/>
      <c r="DN608" s="459"/>
      <c r="DO608" s="459"/>
      <c r="DP608" s="459"/>
      <c r="DQ608" s="459"/>
      <c r="DR608" s="459"/>
      <c r="DS608" s="459"/>
      <c r="DT608" s="459"/>
      <c r="DU608" s="459"/>
      <c r="DV608" s="468"/>
      <c r="DW608" s="468"/>
      <c r="DX608" s="459"/>
      <c r="DY608" s="459"/>
    </row>
    <row r="609" spans="1:129" s="128" customFormat="1" ht="54.95" customHeight="1" x14ac:dyDescent="0.25">
      <c r="A609" s="377"/>
      <c r="B609" s="175"/>
      <c r="C609" s="393"/>
      <c r="D609" s="168"/>
      <c r="E609" s="168"/>
      <c r="F609" s="168"/>
      <c r="G609" s="168"/>
      <c r="H609" s="168"/>
      <c r="I609" s="168"/>
      <c r="J609" s="168"/>
      <c r="K609" s="168"/>
      <c r="L609" s="168"/>
      <c r="M609" s="168"/>
      <c r="N609" s="168"/>
      <c r="O609" s="433"/>
      <c r="P609" s="122"/>
      <c r="Q609" s="156"/>
      <c r="R609" s="156"/>
      <c r="S609" s="156"/>
      <c r="T609" s="156"/>
      <c r="U609" s="156"/>
      <c r="V609" s="156"/>
      <c r="W609" s="156"/>
      <c r="X609" s="156"/>
      <c r="Y609" s="156"/>
      <c r="Z609" s="157"/>
      <c r="AA609" s="157"/>
      <c r="AB609" s="156"/>
      <c r="AC609" s="156"/>
      <c r="AD609" s="156"/>
      <c r="AE609" s="156"/>
      <c r="AF609" s="156"/>
      <c r="AG609" s="156"/>
      <c r="AH609" s="156"/>
      <c r="AI609" s="156"/>
      <c r="AJ609" s="156"/>
      <c r="AK609" s="156"/>
      <c r="AL609" s="156"/>
      <c r="AM609" s="158"/>
      <c r="AN609" s="156"/>
      <c r="AO609" s="156"/>
      <c r="AP609" s="156"/>
      <c r="AQ609" s="156"/>
      <c r="AR609" s="156"/>
      <c r="AS609" s="156"/>
      <c r="AT609" s="156"/>
      <c r="AU609" s="156"/>
      <c r="AV609" s="156"/>
      <c r="AW609" s="156"/>
      <c r="AX609" s="156"/>
      <c r="AY609" s="156"/>
      <c r="AZ609" s="156"/>
      <c r="BA609" s="153"/>
      <c r="BD609" s="153"/>
      <c r="BE609" s="147"/>
      <c r="BI609" s="153"/>
      <c r="BO609" s="153"/>
      <c r="BW609" s="153"/>
      <c r="CD609" s="146"/>
      <c r="CF609" s="147"/>
      <c r="CI609" s="146"/>
      <c r="CJ609" s="153"/>
      <c r="CV609" s="154"/>
      <c r="CX609" s="154"/>
      <c r="CZ609" s="154"/>
      <c r="DB609" s="154"/>
      <c r="DD609" s="154"/>
      <c r="DH609" s="474"/>
      <c r="DI609" s="459"/>
      <c r="DJ609" s="459"/>
      <c r="DK609" s="459"/>
      <c r="DL609" s="459"/>
      <c r="DM609" s="459"/>
      <c r="DN609" s="459"/>
      <c r="DO609" s="459"/>
      <c r="DP609" s="459"/>
      <c r="DQ609" s="459"/>
      <c r="DR609" s="459"/>
      <c r="DS609" s="459"/>
      <c r="DT609" s="459"/>
      <c r="DU609" s="459"/>
      <c r="DV609" s="468"/>
      <c r="DW609" s="468"/>
      <c r="DX609" s="459"/>
      <c r="DY609" s="459"/>
    </row>
    <row r="610" spans="1:129" s="128" customFormat="1" ht="54.95" customHeight="1" x14ac:dyDescent="0.25">
      <c r="A610" s="377"/>
      <c r="B610" s="175"/>
      <c r="C610" s="393"/>
      <c r="D610" s="168"/>
      <c r="E610" s="168"/>
      <c r="F610" s="168"/>
      <c r="G610" s="168"/>
      <c r="H610" s="168"/>
      <c r="I610" s="168"/>
      <c r="J610" s="168"/>
      <c r="K610" s="168"/>
      <c r="L610" s="168"/>
      <c r="M610" s="168"/>
      <c r="N610" s="168"/>
      <c r="O610" s="433"/>
      <c r="P610" s="122"/>
      <c r="Q610" s="156"/>
      <c r="R610" s="156"/>
      <c r="S610" s="156"/>
      <c r="T610" s="156"/>
      <c r="U610" s="156"/>
      <c r="V610" s="156"/>
      <c r="W610" s="156"/>
      <c r="X610" s="156"/>
      <c r="Y610" s="156"/>
      <c r="Z610" s="157"/>
      <c r="AA610" s="157"/>
      <c r="AB610" s="156"/>
      <c r="AC610" s="156"/>
      <c r="AD610" s="156"/>
      <c r="AE610" s="156"/>
      <c r="AF610" s="156"/>
      <c r="AG610" s="156"/>
      <c r="AH610" s="156"/>
      <c r="AI610" s="156"/>
      <c r="AJ610" s="156"/>
      <c r="AK610" s="156"/>
      <c r="AL610" s="156"/>
      <c r="AM610" s="158"/>
      <c r="AN610" s="156"/>
      <c r="AO610" s="156"/>
      <c r="AP610" s="156"/>
      <c r="AQ610" s="156"/>
      <c r="AR610" s="156"/>
      <c r="AS610" s="156"/>
      <c r="AT610" s="156"/>
      <c r="AU610" s="156"/>
      <c r="AV610" s="156"/>
      <c r="AW610" s="156"/>
      <c r="AX610" s="156"/>
      <c r="AY610" s="156"/>
      <c r="AZ610" s="156"/>
      <c r="BA610" s="153"/>
      <c r="BD610" s="153"/>
      <c r="BE610" s="147"/>
      <c r="BI610" s="153"/>
      <c r="BO610" s="153"/>
      <c r="BW610" s="153"/>
      <c r="CD610" s="146"/>
      <c r="CF610" s="147"/>
      <c r="CI610" s="146"/>
      <c r="CJ610" s="153"/>
      <c r="CV610" s="154"/>
      <c r="CX610" s="154"/>
      <c r="CZ610" s="154"/>
      <c r="DB610" s="154"/>
      <c r="DD610" s="154"/>
      <c r="DH610" s="474"/>
      <c r="DI610" s="459"/>
      <c r="DJ610" s="459"/>
      <c r="DK610" s="459"/>
      <c r="DL610" s="459"/>
      <c r="DM610" s="459"/>
      <c r="DN610" s="459"/>
      <c r="DO610" s="459"/>
      <c r="DP610" s="459"/>
      <c r="DQ610" s="459"/>
      <c r="DR610" s="459"/>
      <c r="DS610" s="459"/>
      <c r="DT610" s="459"/>
      <c r="DU610" s="459"/>
      <c r="DV610" s="468"/>
      <c r="DW610" s="468"/>
      <c r="DX610" s="459"/>
      <c r="DY610" s="459"/>
    </row>
    <row r="611" spans="1:129" s="128" customFormat="1" ht="54.95" customHeight="1" x14ac:dyDescent="0.25">
      <c r="A611" s="377"/>
      <c r="B611" s="175"/>
      <c r="C611" s="393"/>
      <c r="D611" s="168"/>
      <c r="E611" s="168"/>
      <c r="F611" s="168"/>
      <c r="G611" s="168"/>
      <c r="H611" s="168"/>
      <c r="I611" s="168"/>
      <c r="J611" s="168"/>
      <c r="K611" s="168"/>
      <c r="L611" s="168"/>
      <c r="M611" s="168"/>
      <c r="N611" s="168"/>
      <c r="O611" s="433"/>
      <c r="P611" s="122"/>
      <c r="Q611" s="156"/>
      <c r="R611" s="156"/>
      <c r="S611" s="156"/>
      <c r="T611" s="156"/>
      <c r="U611" s="156"/>
      <c r="V611" s="156"/>
      <c r="W611" s="156"/>
      <c r="X611" s="156"/>
      <c r="Y611" s="156"/>
      <c r="Z611" s="157"/>
      <c r="AA611" s="157"/>
      <c r="AB611" s="156"/>
      <c r="AC611" s="156"/>
      <c r="AD611" s="156"/>
      <c r="AE611" s="156"/>
      <c r="AF611" s="156"/>
      <c r="AG611" s="156"/>
      <c r="AH611" s="156"/>
      <c r="AI611" s="156"/>
      <c r="AJ611" s="156"/>
      <c r="AK611" s="156"/>
      <c r="AL611" s="156"/>
      <c r="AM611" s="158"/>
      <c r="AN611" s="156"/>
      <c r="AO611" s="156"/>
      <c r="AP611" s="156"/>
      <c r="AQ611" s="156"/>
      <c r="AR611" s="156"/>
      <c r="AS611" s="156"/>
      <c r="AT611" s="156"/>
      <c r="AU611" s="156"/>
      <c r="AV611" s="156"/>
      <c r="AW611" s="156"/>
      <c r="AX611" s="156"/>
      <c r="AY611" s="156"/>
      <c r="AZ611" s="156"/>
      <c r="BA611" s="153"/>
      <c r="BD611" s="153"/>
      <c r="BE611" s="147"/>
      <c r="BI611" s="153"/>
      <c r="BO611" s="153"/>
      <c r="BW611" s="153"/>
      <c r="CD611" s="146"/>
      <c r="CF611" s="147"/>
      <c r="CI611" s="146"/>
      <c r="CJ611" s="153"/>
      <c r="CV611" s="154"/>
      <c r="CX611" s="154"/>
      <c r="CZ611" s="154"/>
      <c r="DB611" s="154"/>
      <c r="DD611" s="154"/>
      <c r="DH611" s="474"/>
      <c r="DI611" s="459"/>
      <c r="DJ611" s="459"/>
      <c r="DK611" s="459"/>
      <c r="DL611" s="459"/>
      <c r="DM611" s="459"/>
      <c r="DN611" s="459"/>
      <c r="DO611" s="459"/>
      <c r="DP611" s="459"/>
      <c r="DQ611" s="459"/>
      <c r="DR611" s="459"/>
      <c r="DS611" s="459"/>
      <c r="DT611" s="459"/>
      <c r="DU611" s="459"/>
      <c r="DV611" s="468"/>
      <c r="DW611" s="468"/>
      <c r="DX611" s="459"/>
      <c r="DY611" s="459"/>
    </row>
    <row r="612" spans="1:129" s="128" customFormat="1" ht="54.95" customHeight="1" x14ac:dyDescent="0.25">
      <c r="A612" s="377"/>
      <c r="B612" s="175"/>
      <c r="C612" s="393"/>
      <c r="D612" s="168"/>
      <c r="E612" s="168"/>
      <c r="F612" s="168"/>
      <c r="G612" s="168"/>
      <c r="H612" s="168"/>
      <c r="I612" s="168"/>
      <c r="J612" s="168"/>
      <c r="K612" s="168"/>
      <c r="L612" s="168"/>
      <c r="M612" s="168"/>
      <c r="N612" s="168"/>
      <c r="O612" s="433"/>
      <c r="P612" s="122"/>
      <c r="Q612" s="156"/>
      <c r="R612" s="156"/>
      <c r="S612" s="156"/>
      <c r="T612" s="156"/>
      <c r="U612" s="156"/>
      <c r="V612" s="156"/>
      <c r="W612" s="156"/>
      <c r="X612" s="156"/>
      <c r="Y612" s="156"/>
      <c r="Z612" s="157"/>
      <c r="AA612" s="157"/>
      <c r="AB612" s="156"/>
      <c r="AC612" s="156"/>
      <c r="AD612" s="156"/>
      <c r="AE612" s="156"/>
      <c r="AF612" s="156"/>
      <c r="AG612" s="156"/>
      <c r="AH612" s="156"/>
      <c r="AI612" s="156"/>
      <c r="AJ612" s="156"/>
      <c r="AK612" s="156"/>
      <c r="AL612" s="156"/>
      <c r="AM612" s="158"/>
      <c r="AN612" s="156"/>
      <c r="AO612" s="156"/>
      <c r="AP612" s="156"/>
      <c r="AQ612" s="156"/>
      <c r="AR612" s="156"/>
      <c r="AS612" s="156"/>
      <c r="AT612" s="156"/>
      <c r="AU612" s="156"/>
      <c r="AV612" s="156"/>
      <c r="AW612" s="156"/>
      <c r="AX612" s="156"/>
      <c r="AY612" s="156"/>
      <c r="AZ612" s="156"/>
      <c r="BA612" s="153"/>
      <c r="BD612" s="153"/>
      <c r="BE612" s="147"/>
      <c r="BI612" s="153"/>
      <c r="BO612" s="153"/>
      <c r="BW612" s="153"/>
      <c r="CD612" s="146"/>
      <c r="CF612" s="147"/>
      <c r="CI612" s="146"/>
      <c r="CJ612" s="153"/>
      <c r="CV612" s="154"/>
      <c r="CX612" s="154"/>
      <c r="CZ612" s="154"/>
      <c r="DB612" s="154"/>
      <c r="DD612" s="154"/>
      <c r="DH612" s="474"/>
      <c r="DI612" s="459"/>
      <c r="DJ612" s="459"/>
      <c r="DK612" s="459"/>
      <c r="DL612" s="459"/>
      <c r="DM612" s="459"/>
      <c r="DN612" s="459"/>
      <c r="DO612" s="459"/>
      <c r="DP612" s="459"/>
      <c r="DQ612" s="459"/>
      <c r="DR612" s="459"/>
      <c r="DS612" s="459"/>
      <c r="DT612" s="459"/>
      <c r="DU612" s="459"/>
      <c r="DV612" s="468"/>
      <c r="DW612" s="468"/>
      <c r="DX612" s="459"/>
      <c r="DY612" s="459"/>
    </row>
    <row r="613" spans="1:129" s="128" customFormat="1" ht="54.95" customHeight="1" x14ac:dyDescent="0.25">
      <c r="A613" s="377"/>
      <c r="B613" s="175"/>
      <c r="C613" s="393"/>
      <c r="D613" s="168"/>
      <c r="E613" s="168"/>
      <c r="F613" s="168"/>
      <c r="G613" s="168"/>
      <c r="H613" s="168"/>
      <c r="I613" s="168"/>
      <c r="J613" s="168"/>
      <c r="K613" s="168"/>
      <c r="L613" s="168"/>
      <c r="M613" s="168"/>
      <c r="N613" s="168"/>
      <c r="O613" s="433"/>
      <c r="P613" s="122"/>
      <c r="Q613" s="156"/>
      <c r="R613" s="156"/>
      <c r="S613" s="156"/>
      <c r="T613" s="156"/>
      <c r="U613" s="156"/>
      <c r="V613" s="156"/>
      <c r="W613" s="156"/>
      <c r="X613" s="156"/>
      <c r="Y613" s="156"/>
      <c r="Z613" s="157"/>
      <c r="AA613" s="157"/>
      <c r="AB613" s="156"/>
      <c r="AC613" s="156"/>
      <c r="AD613" s="156"/>
      <c r="AE613" s="156"/>
      <c r="AF613" s="156"/>
      <c r="AG613" s="156"/>
      <c r="AH613" s="156"/>
      <c r="AI613" s="156"/>
      <c r="AJ613" s="156"/>
      <c r="AK613" s="156"/>
      <c r="AL613" s="156"/>
      <c r="AM613" s="158"/>
      <c r="AN613" s="156"/>
      <c r="AO613" s="156"/>
      <c r="AP613" s="156"/>
      <c r="AQ613" s="156"/>
      <c r="AR613" s="156"/>
      <c r="AS613" s="156"/>
      <c r="AT613" s="156"/>
      <c r="AU613" s="156"/>
      <c r="AV613" s="156"/>
      <c r="AW613" s="156"/>
      <c r="AX613" s="156"/>
      <c r="AY613" s="156"/>
      <c r="AZ613" s="156"/>
      <c r="BA613" s="153"/>
      <c r="BD613" s="153"/>
      <c r="BE613" s="147"/>
      <c r="BI613" s="153"/>
      <c r="BO613" s="153"/>
      <c r="BW613" s="153"/>
      <c r="CD613" s="146"/>
      <c r="CF613" s="147"/>
      <c r="CI613" s="146"/>
      <c r="CJ613" s="153"/>
      <c r="CV613" s="154"/>
      <c r="CX613" s="154"/>
      <c r="CZ613" s="154"/>
      <c r="DB613" s="154"/>
      <c r="DD613" s="154"/>
      <c r="DH613" s="474"/>
      <c r="DI613" s="459"/>
      <c r="DJ613" s="459"/>
      <c r="DK613" s="459"/>
      <c r="DL613" s="459"/>
      <c r="DM613" s="459"/>
      <c r="DN613" s="459"/>
      <c r="DO613" s="459"/>
      <c r="DP613" s="459"/>
      <c r="DQ613" s="459"/>
      <c r="DR613" s="459"/>
      <c r="DS613" s="459"/>
      <c r="DT613" s="459"/>
      <c r="DU613" s="459"/>
      <c r="DV613" s="468"/>
      <c r="DW613" s="468"/>
      <c r="DX613" s="459"/>
      <c r="DY613" s="459"/>
    </row>
    <row r="614" spans="1:129" s="128" customFormat="1" ht="54.95" customHeight="1" x14ac:dyDescent="0.25">
      <c r="A614" s="377"/>
      <c r="B614" s="175"/>
      <c r="C614" s="393"/>
      <c r="D614" s="168"/>
      <c r="E614" s="168"/>
      <c r="F614" s="168"/>
      <c r="G614" s="168"/>
      <c r="H614" s="168"/>
      <c r="I614" s="168"/>
      <c r="J614" s="168"/>
      <c r="K614" s="168"/>
      <c r="L614" s="168"/>
      <c r="M614" s="168"/>
      <c r="N614" s="168"/>
      <c r="O614" s="433"/>
      <c r="P614" s="122"/>
      <c r="Q614" s="156"/>
      <c r="R614" s="156"/>
      <c r="S614" s="156"/>
      <c r="T614" s="156"/>
      <c r="U614" s="156"/>
      <c r="V614" s="156"/>
      <c r="W614" s="156"/>
      <c r="X614" s="156"/>
      <c r="Y614" s="156"/>
      <c r="Z614" s="157"/>
      <c r="AA614" s="157"/>
      <c r="AB614" s="156"/>
      <c r="AC614" s="156"/>
      <c r="AD614" s="156"/>
      <c r="AE614" s="156"/>
      <c r="AF614" s="156"/>
      <c r="AG614" s="156"/>
      <c r="AH614" s="156"/>
      <c r="AI614" s="156"/>
      <c r="AJ614" s="156"/>
      <c r="AK614" s="156"/>
      <c r="AL614" s="156"/>
      <c r="AM614" s="158"/>
      <c r="AN614" s="156"/>
      <c r="AO614" s="156"/>
      <c r="AP614" s="156"/>
      <c r="AQ614" s="156"/>
      <c r="AR614" s="156"/>
      <c r="AS614" s="156"/>
      <c r="AT614" s="156"/>
      <c r="AU614" s="156"/>
      <c r="AV614" s="156"/>
      <c r="AW614" s="156"/>
      <c r="AX614" s="156"/>
      <c r="AY614" s="156"/>
      <c r="AZ614" s="156"/>
      <c r="BA614" s="153"/>
      <c r="BD614" s="153"/>
      <c r="BE614" s="147"/>
      <c r="BI614" s="153"/>
      <c r="BO614" s="153"/>
      <c r="BW614" s="153"/>
      <c r="CD614" s="146"/>
      <c r="CF614" s="147"/>
      <c r="CI614" s="146"/>
      <c r="CJ614" s="153"/>
      <c r="CV614" s="154"/>
      <c r="CX614" s="154"/>
      <c r="CZ614" s="154"/>
      <c r="DB614" s="154"/>
      <c r="DD614" s="154"/>
      <c r="DH614" s="474"/>
      <c r="DI614" s="459"/>
      <c r="DJ614" s="459"/>
      <c r="DK614" s="459"/>
      <c r="DL614" s="459"/>
      <c r="DM614" s="459"/>
      <c r="DN614" s="459"/>
      <c r="DO614" s="459"/>
      <c r="DP614" s="459"/>
      <c r="DQ614" s="459"/>
      <c r="DR614" s="459"/>
      <c r="DS614" s="459"/>
      <c r="DT614" s="459"/>
      <c r="DU614" s="459"/>
      <c r="DV614" s="468"/>
      <c r="DW614" s="468"/>
      <c r="DX614" s="459"/>
      <c r="DY614" s="459"/>
    </row>
    <row r="615" spans="1:129" s="128" customFormat="1" ht="54.95" customHeight="1" x14ac:dyDescent="0.25">
      <c r="A615" s="377"/>
      <c r="B615" s="175"/>
      <c r="C615" s="393"/>
      <c r="D615" s="168"/>
      <c r="E615" s="168"/>
      <c r="F615" s="168"/>
      <c r="G615" s="168"/>
      <c r="H615" s="168"/>
      <c r="I615" s="168"/>
      <c r="J615" s="168"/>
      <c r="K615" s="168"/>
      <c r="L615" s="168"/>
      <c r="M615" s="168"/>
      <c r="N615" s="168"/>
      <c r="O615" s="433"/>
      <c r="P615" s="122"/>
      <c r="Q615" s="156"/>
      <c r="R615" s="156"/>
      <c r="S615" s="156"/>
      <c r="T615" s="156"/>
      <c r="U615" s="156"/>
      <c r="V615" s="156"/>
      <c r="W615" s="156"/>
      <c r="X615" s="156"/>
      <c r="Y615" s="156"/>
      <c r="Z615" s="157"/>
      <c r="AA615" s="157"/>
      <c r="AB615" s="156"/>
      <c r="AC615" s="156"/>
      <c r="AD615" s="156"/>
      <c r="AE615" s="156"/>
      <c r="AF615" s="156"/>
      <c r="AG615" s="156"/>
      <c r="AH615" s="156"/>
      <c r="AI615" s="156"/>
      <c r="AJ615" s="156"/>
      <c r="AK615" s="156"/>
      <c r="AL615" s="156"/>
      <c r="AM615" s="158"/>
      <c r="AN615" s="156"/>
      <c r="AO615" s="156"/>
      <c r="AP615" s="156"/>
      <c r="AQ615" s="156"/>
      <c r="AR615" s="156"/>
      <c r="AS615" s="156"/>
      <c r="AT615" s="156"/>
      <c r="AU615" s="156"/>
      <c r="AV615" s="156"/>
      <c r="AW615" s="156"/>
      <c r="AX615" s="156"/>
      <c r="AY615" s="156"/>
      <c r="AZ615" s="156"/>
      <c r="BA615" s="153"/>
      <c r="BD615" s="153"/>
      <c r="BE615" s="147"/>
      <c r="BI615" s="153"/>
      <c r="BO615" s="153"/>
      <c r="BW615" s="153"/>
      <c r="CD615" s="146"/>
      <c r="CF615" s="147"/>
      <c r="CI615" s="146"/>
      <c r="CJ615" s="153"/>
      <c r="CV615" s="154"/>
      <c r="CX615" s="154"/>
      <c r="CZ615" s="154"/>
      <c r="DB615" s="154"/>
      <c r="DD615" s="154"/>
      <c r="DH615" s="474"/>
      <c r="DI615" s="459"/>
      <c r="DJ615" s="459"/>
      <c r="DK615" s="459"/>
      <c r="DL615" s="459"/>
      <c r="DM615" s="459"/>
      <c r="DN615" s="459"/>
      <c r="DO615" s="459"/>
      <c r="DP615" s="459"/>
      <c r="DQ615" s="459"/>
      <c r="DR615" s="459"/>
      <c r="DS615" s="459"/>
      <c r="DT615" s="459"/>
      <c r="DU615" s="459"/>
      <c r="DV615" s="468"/>
      <c r="DW615" s="468"/>
      <c r="DX615" s="459"/>
      <c r="DY615" s="459"/>
    </row>
    <row r="616" spans="1:129" s="128" customFormat="1" ht="54.95" customHeight="1" x14ac:dyDescent="0.25">
      <c r="A616" s="377"/>
      <c r="B616" s="175"/>
      <c r="C616" s="393"/>
      <c r="D616" s="168"/>
      <c r="E616" s="168"/>
      <c r="F616" s="168"/>
      <c r="G616" s="168"/>
      <c r="H616" s="168"/>
      <c r="I616" s="168"/>
      <c r="J616" s="168"/>
      <c r="K616" s="168"/>
      <c r="L616" s="168"/>
      <c r="M616" s="168"/>
      <c r="N616" s="168"/>
      <c r="O616" s="433"/>
      <c r="P616" s="122"/>
      <c r="Q616" s="156"/>
      <c r="R616" s="156"/>
      <c r="S616" s="156"/>
      <c r="T616" s="156"/>
      <c r="U616" s="156"/>
      <c r="V616" s="156"/>
      <c r="W616" s="156"/>
      <c r="X616" s="156"/>
      <c r="Y616" s="156"/>
      <c r="Z616" s="157"/>
      <c r="AA616" s="157"/>
      <c r="AB616" s="156"/>
      <c r="AC616" s="156"/>
      <c r="AD616" s="156"/>
      <c r="AE616" s="156"/>
      <c r="AF616" s="156"/>
      <c r="AG616" s="156"/>
      <c r="AH616" s="156"/>
      <c r="AI616" s="156"/>
      <c r="AJ616" s="156"/>
      <c r="AK616" s="156"/>
      <c r="AL616" s="156"/>
      <c r="AM616" s="158"/>
      <c r="AN616" s="156"/>
      <c r="AO616" s="156"/>
      <c r="AP616" s="156"/>
      <c r="AQ616" s="156"/>
      <c r="AR616" s="156"/>
      <c r="AS616" s="156"/>
      <c r="AT616" s="156"/>
      <c r="AU616" s="156"/>
      <c r="AV616" s="156"/>
      <c r="AW616" s="156"/>
      <c r="AX616" s="156"/>
      <c r="AY616" s="156"/>
      <c r="AZ616" s="156"/>
      <c r="BA616" s="153"/>
      <c r="BD616" s="153"/>
      <c r="BE616" s="147"/>
      <c r="BI616" s="153"/>
      <c r="BO616" s="153"/>
      <c r="BW616" s="153"/>
      <c r="CD616" s="146"/>
      <c r="CF616" s="147"/>
      <c r="CI616" s="146"/>
      <c r="CJ616" s="153"/>
      <c r="CV616" s="154"/>
      <c r="CX616" s="154"/>
      <c r="CZ616" s="154"/>
      <c r="DB616" s="154"/>
      <c r="DD616" s="154"/>
      <c r="DH616" s="474"/>
      <c r="DI616" s="459"/>
      <c r="DJ616" s="459"/>
      <c r="DK616" s="459"/>
      <c r="DL616" s="459"/>
      <c r="DM616" s="459"/>
      <c r="DN616" s="459"/>
      <c r="DO616" s="459"/>
      <c r="DP616" s="459"/>
      <c r="DQ616" s="459"/>
      <c r="DR616" s="459"/>
      <c r="DS616" s="459"/>
      <c r="DT616" s="459"/>
      <c r="DU616" s="459"/>
      <c r="DV616" s="468"/>
      <c r="DW616" s="468"/>
      <c r="DX616" s="459"/>
      <c r="DY616" s="459"/>
    </row>
    <row r="617" spans="1:129" s="128" customFormat="1" ht="54.95" customHeight="1" x14ac:dyDescent="0.25">
      <c r="A617" s="377"/>
      <c r="B617" s="175"/>
      <c r="C617" s="393"/>
      <c r="D617" s="168"/>
      <c r="E617" s="168"/>
      <c r="F617" s="168"/>
      <c r="G617" s="168"/>
      <c r="H617" s="168"/>
      <c r="I617" s="168"/>
      <c r="J617" s="168"/>
      <c r="K617" s="168"/>
      <c r="L617" s="168"/>
      <c r="M617" s="168"/>
      <c r="N617" s="168"/>
      <c r="O617" s="433"/>
      <c r="P617" s="122"/>
      <c r="Q617" s="156"/>
      <c r="R617" s="156"/>
      <c r="S617" s="156"/>
      <c r="T617" s="156"/>
      <c r="U617" s="156"/>
      <c r="V617" s="156"/>
      <c r="W617" s="156"/>
      <c r="X617" s="156"/>
      <c r="Y617" s="156"/>
      <c r="Z617" s="157"/>
      <c r="AA617" s="157"/>
      <c r="AB617" s="156"/>
      <c r="AC617" s="156"/>
      <c r="AD617" s="156"/>
      <c r="AE617" s="156"/>
      <c r="AF617" s="156"/>
      <c r="AG617" s="156"/>
      <c r="AH617" s="156"/>
      <c r="AI617" s="156"/>
      <c r="AJ617" s="156"/>
      <c r="AK617" s="156"/>
      <c r="AL617" s="156"/>
      <c r="AM617" s="158"/>
      <c r="AN617" s="156"/>
      <c r="AO617" s="156"/>
      <c r="AP617" s="156"/>
      <c r="AQ617" s="156"/>
      <c r="AR617" s="156"/>
      <c r="AS617" s="156"/>
      <c r="AT617" s="156"/>
      <c r="AU617" s="156"/>
      <c r="AV617" s="156"/>
      <c r="AW617" s="156"/>
      <c r="AX617" s="156"/>
      <c r="AY617" s="156"/>
      <c r="AZ617" s="156"/>
      <c r="BA617" s="153"/>
      <c r="BD617" s="153"/>
      <c r="BE617" s="147"/>
      <c r="BI617" s="153"/>
      <c r="BO617" s="153"/>
      <c r="BW617" s="153"/>
      <c r="CD617" s="146"/>
      <c r="CF617" s="147"/>
      <c r="CI617" s="146"/>
      <c r="CJ617" s="153"/>
      <c r="CV617" s="154"/>
      <c r="CX617" s="154"/>
      <c r="CZ617" s="154"/>
      <c r="DB617" s="154"/>
      <c r="DD617" s="154"/>
      <c r="DH617" s="474"/>
      <c r="DI617" s="459"/>
      <c r="DJ617" s="459"/>
      <c r="DK617" s="459"/>
      <c r="DL617" s="459"/>
      <c r="DM617" s="459"/>
      <c r="DN617" s="459"/>
      <c r="DO617" s="459"/>
      <c r="DP617" s="459"/>
      <c r="DQ617" s="459"/>
      <c r="DR617" s="459"/>
      <c r="DS617" s="459"/>
      <c r="DT617" s="459"/>
      <c r="DU617" s="459"/>
      <c r="DV617" s="468"/>
      <c r="DW617" s="468"/>
      <c r="DX617" s="459"/>
      <c r="DY617" s="459"/>
    </row>
    <row r="618" spans="1:129" s="128" customFormat="1" ht="54.95" customHeight="1" x14ac:dyDescent="0.25">
      <c r="A618" s="377"/>
      <c r="B618" s="175"/>
      <c r="C618" s="393"/>
      <c r="D618" s="168"/>
      <c r="E618" s="168"/>
      <c r="F618" s="168"/>
      <c r="G618" s="168"/>
      <c r="H618" s="168"/>
      <c r="I618" s="168"/>
      <c r="J618" s="168"/>
      <c r="K618" s="168"/>
      <c r="L618" s="168"/>
      <c r="M618" s="168"/>
      <c r="N618" s="168"/>
      <c r="O618" s="433"/>
      <c r="P618" s="122"/>
      <c r="Q618" s="156"/>
      <c r="R618" s="156"/>
      <c r="S618" s="156"/>
      <c r="T618" s="156"/>
      <c r="U618" s="156"/>
      <c r="V618" s="156"/>
      <c r="W618" s="156"/>
      <c r="X618" s="156"/>
      <c r="Y618" s="156"/>
      <c r="Z618" s="157"/>
      <c r="AA618" s="157"/>
      <c r="AB618" s="156"/>
      <c r="AC618" s="156"/>
      <c r="AD618" s="156"/>
      <c r="AE618" s="156"/>
      <c r="AF618" s="156"/>
      <c r="AG618" s="156"/>
      <c r="AH618" s="156"/>
      <c r="AI618" s="156"/>
      <c r="AJ618" s="156"/>
      <c r="AK618" s="156"/>
      <c r="AL618" s="156"/>
      <c r="AM618" s="158"/>
      <c r="AN618" s="156"/>
      <c r="AO618" s="156"/>
      <c r="AP618" s="156"/>
      <c r="AQ618" s="156"/>
      <c r="AR618" s="156"/>
      <c r="AS618" s="156"/>
      <c r="AT618" s="156"/>
      <c r="AU618" s="156"/>
      <c r="AV618" s="156"/>
      <c r="AW618" s="156"/>
      <c r="AX618" s="156"/>
      <c r="AY618" s="156"/>
      <c r="AZ618" s="156"/>
      <c r="BA618" s="153"/>
      <c r="BD618" s="153"/>
      <c r="BE618" s="147"/>
      <c r="BI618" s="153"/>
      <c r="BO618" s="153"/>
      <c r="BW618" s="153"/>
      <c r="CD618" s="146"/>
      <c r="CF618" s="147"/>
      <c r="CI618" s="146"/>
      <c r="CJ618" s="153"/>
      <c r="CV618" s="154"/>
      <c r="CX618" s="154"/>
      <c r="CZ618" s="154"/>
      <c r="DB618" s="154"/>
      <c r="DD618" s="154"/>
      <c r="DH618" s="474"/>
      <c r="DI618" s="459"/>
      <c r="DJ618" s="459"/>
      <c r="DK618" s="459"/>
      <c r="DL618" s="459"/>
      <c r="DM618" s="459"/>
      <c r="DN618" s="459"/>
      <c r="DO618" s="459"/>
      <c r="DP618" s="459"/>
      <c r="DQ618" s="459"/>
      <c r="DR618" s="459"/>
      <c r="DS618" s="459"/>
      <c r="DT618" s="459"/>
      <c r="DU618" s="459"/>
      <c r="DV618" s="468"/>
      <c r="DW618" s="468"/>
      <c r="DX618" s="459"/>
      <c r="DY618" s="459"/>
    </row>
    <row r="619" spans="1:129" s="128" customFormat="1" ht="54.95" customHeight="1" x14ac:dyDescent="0.25">
      <c r="A619" s="377"/>
      <c r="B619" s="175"/>
      <c r="C619" s="393"/>
      <c r="D619" s="168"/>
      <c r="E619" s="168"/>
      <c r="F619" s="168"/>
      <c r="G619" s="168"/>
      <c r="H619" s="168"/>
      <c r="I619" s="168"/>
      <c r="J619" s="168"/>
      <c r="K619" s="168"/>
      <c r="L619" s="168"/>
      <c r="M619" s="168"/>
      <c r="N619" s="168"/>
      <c r="O619" s="433"/>
      <c r="P619" s="122"/>
      <c r="Q619" s="156"/>
      <c r="R619" s="156"/>
      <c r="S619" s="156"/>
      <c r="T619" s="156"/>
      <c r="U619" s="156"/>
      <c r="V619" s="156"/>
      <c r="W619" s="156"/>
      <c r="X619" s="156"/>
      <c r="Y619" s="156"/>
      <c r="Z619" s="157"/>
      <c r="AA619" s="157"/>
      <c r="AB619" s="156"/>
      <c r="AC619" s="156"/>
      <c r="AD619" s="156"/>
      <c r="AE619" s="156"/>
      <c r="AF619" s="156"/>
      <c r="AG619" s="156"/>
      <c r="AH619" s="156"/>
      <c r="AI619" s="156"/>
      <c r="AJ619" s="156"/>
      <c r="AK619" s="156"/>
      <c r="AL619" s="156"/>
      <c r="AM619" s="158"/>
      <c r="AN619" s="156"/>
      <c r="AO619" s="156"/>
      <c r="AP619" s="156"/>
      <c r="AQ619" s="156"/>
      <c r="AR619" s="156"/>
      <c r="AS619" s="156"/>
      <c r="AT619" s="156"/>
      <c r="AU619" s="156"/>
      <c r="AV619" s="156"/>
      <c r="AW619" s="156"/>
      <c r="AX619" s="156"/>
      <c r="AY619" s="156"/>
      <c r="AZ619" s="156"/>
      <c r="BA619" s="153"/>
      <c r="BD619" s="153"/>
      <c r="BE619" s="147"/>
      <c r="BI619" s="153"/>
      <c r="BO619" s="153"/>
      <c r="BW619" s="153"/>
      <c r="CD619" s="146"/>
      <c r="CF619" s="147"/>
      <c r="CI619" s="146"/>
      <c r="CJ619" s="153"/>
      <c r="CV619" s="154"/>
      <c r="CX619" s="154"/>
      <c r="CZ619" s="154"/>
      <c r="DB619" s="154"/>
      <c r="DD619" s="154"/>
      <c r="DH619" s="474"/>
      <c r="DI619" s="459"/>
      <c r="DJ619" s="459"/>
      <c r="DK619" s="459"/>
      <c r="DL619" s="459"/>
      <c r="DM619" s="459"/>
      <c r="DN619" s="459"/>
      <c r="DO619" s="459"/>
      <c r="DP619" s="459"/>
      <c r="DQ619" s="459"/>
      <c r="DR619" s="459"/>
      <c r="DS619" s="459"/>
      <c r="DT619" s="459"/>
      <c r="DU619" s="459"/>
      <c r="DV619" s="468"/>
      <c r="DW619" s="468"/>
      <c r="DX619" s="459"/>
      <c r="DY619" s="459"/>
    </row>
    <row r="620" spans="1:129" s="128" customFormat="1" ht="54.95" customHeight="1" x14ac:dyDescent="0.25">
      <c r="A620" s="377"/>
      <c r="B620" s="175"/>
      <c r="C620" s="393"/>
      <c r="D620" s="168"/>
      <c r="E620" s="168"/>
      <c r="F620" s="168"/>
      <c r="G620" s="168"/>
      <c r="H620" s="168"/>
      <c r="I620" s="168"/>
      <c r="J620" s="168"/>
      <c r="K620" s="168"/>
      <c r="L620" s="168"/>
      <c r="M620" s="168"/>
      <c r="N620" s="168"/>
      <c r="O620" s="433"/>
      <c r="P620" s="122"/>
      <c r="Q620" s="156"/>
      <c r="R620" s="156"/>
      <c r="S620" s="156"/>
      <c r="T620" s="156"/>
      <c r="U620" s="156"/>
      <c r="V620" s="156"/>
      <c r="W620" s="156"/>
      <c r="X620" s="156"/>
      <c r="Y620" s="156"/>
      <c r="Z620" s="157"/>
      <c r="AA620" s="157"/>
      <c r="AB620" s="156"/>
      <c r="AC620" s="156"/>
      <c r="AD620" s="156"/>
      <c r="AE620" s="156"/>
      <c r="AF620" s="156"/>
      <c r="AG620" s="156"/>
      <c r="AH620" s="156"/>
      <c r="AI620" s="156"/>
      <c r="AJ620" s="156"/>
      <c r="AK620" s="156"/>
      <c r="AL620" s="156"/>
      <c r="AM620" s="158"/>
      <c r="AN620" s="156"/>
      <c r="AO620" s="156"/>
      <c r="AP620" s="156"/>
      <c r="AQ620" s="156"/>
      <c r="AR620" s="156"/>
      <c r="AS620" s="156"/>
      <c r="AT620" s="156"/>
      <c r="AU620" s="156"/>
      <c r="AV620" s="156"/>
      <c r="AW620" s="156"/>
      <c r="AX620" s="156"/>
      <c r="AY620" s="156"/>
      <c r="AZ620" s="156"/>
      <c r="BA620" s="153"/>
      <c r="BD620" s="153"/>
      <c r="BE620" s="147"/>
      <c r="BI620" s="153"/>
      <c r="BO620" s="153"/>
      <c r="BW620" s="153"/>
      <c r="CD620" s="146"/>
      <c r="CF620" s="147"/>
      <c r="CI620" s="146"/>
      <c r="CJ620" s="153"/>
      <c r="CV620" s="154"/>
      <c r="CX620" s="154"/>
      <c r="CZ620" s="154"/>
      <c r="DB620" s="154"/>
      <c r="DD620" s="154"/>
      <c r="DH620" s="474"/>
      <c r="DI620" s="459"/>
      <c r="DJ620" s="459"/>
      <c r="DK620" s="459"/>
      <c r="DL620" s="459"/>
      <c r="DM620" s="459"/>
      <c r="DN620" s="459"/>
      <c r="DO620" s="459"/>
      <c r="DP620" s="459"/>
      <c r="DQ620" s="459"/>
      <c r="DR620" s="459"/>
      <c r="DS620" s="459"/>
      <c r="DT620" s="459"/>
      <c r="DU620" s="459"/>
      <c r="DV620" s="468"/>
      <c r="DW620" s="468"/>
      <c r="DX620" s="459"/>
      <c r="DY620" s="459"/>
    </row>
    <row r="621" spans="1:129" s="128" customFormat="1" ht="54.95" customHeight="1" x14ac:dyDescent="0.25">
      <c r="A621" s="377"/>
      <c r="B621" s="175"/>
      <c r="C621" s="393"/>
      <c r="D621" s="168"/>
      <c r="E621" s="168"/>
      <c r="F621" s="168"/>
      <c r="G621" s="168"/>
      <c r="H621" s="168"/>
      <c r="I621" s="168"/>
      <c r="J621" s="168"/>
      <c r="K621" s="168"/>
      <c r="L621" s="168"/>
      <c r="M621" s="168"/>
      <c r="N621" s="168"/>
      <c r="O621" s="433"/>
      <c r="P621" s="122"/>
      <c r="Q621" s="156"/>
      <c r="R621" s="156"/>
      <c r="S621" s="156"/>
      <c r="T621" s="156"/>
      <c r="U621" s="156"/>
      <c r="V621" s="156"/>
      <c r="W621" s="156"/>
      <c r="X621" s="156"/>
      <c r="Y621" s="156"/>
      <c r="Z621" s="157"/>
      <c r="AA621" s="157"/>
      <c r="AB621" s="156"/>
      <c r="AC621" s="156"/>
      <c r="AD621" s="156"/>
      <c r="AE621" s="156"/>
      <c r="AF621" s="156"/>
      <c r="AG621" s="156"/>
      <c r="AH621" s="156"/>
      <c r="AI621" s="156"/>
      <c r="AJ621" s="156"/>
      <c r="AK621" s="156"/>
      <c r="AL621" s="156"/>
      <c r="AM621" s="158"/>
      <c r="AN621" s="156"/>
      <c r="AO621" s="156"/>
      <c r="AP621" s="156"/>
      <c r="AQ621" s="156"/>
      <c r="AR621" s="156"/>
      <c r="AS621" s="156"/>
      <c r="AT621" s="156"/>
      <c r="AU621" s="156"/>
      <c r="AV621" s="156"/>
      <c r="AW621" s="156"/>
      <c r="AX621" s="156"/>
      <c r="AY621" s="156"/>
      <c r="AZ621" s="156"/>
      <c r="BA621" s="153"/>
      <c r="BD621" s="153"/>
      <c r="BE621" s="147"/>
      <c r="BI621" s="153"/>
      <c r="BO621" s="153"/>
      <c r="BW621" s="153"/>
      <c r="CD621" s="146"/>
      <c r="CF621" s="147"/>
      <c r="CI621" s="146"/>
      <c r="CJ621" s="153"/>
      <c r="CV621" s="154"/>
      <c r="CX621" s="154"/>
      <c r="CZ621" s="154"/>
      <c r="DB621" s="154"/>
      <c r="DD621" s="154"/>
      <c r="DH621" s="474"/>
      <c r="DI621" s="459"/>
      <c r="DJ621" s="459"/>
      <c r="DK621" s="459"/>
      <c r="DL621" s="459"/>
      <c r="DM621" s="459"/>
      <c r="DN621" s="459"/>
      <c r="DO621" s="459"/>
      <c r="DP621" s="459"/>
      <c r="DQ621" s="459"/>
      <c r="DR621" s="459"/>
      <c r="DS621" s="459"/>
      <c r="DT621" s="459"/>
      <c r="DU621" s="459"/>
      <c r="DV621" s="468"/>
      <c r="DW621" s="468"/>
      <c r="DX621" s="459"/>
      <c r="DY621" s="459"/>
    </row>
    <row r="622" spans="1:129" s="128" customFormat="1" ht="54.95" customHeight="1" x14ac:dyDescent="0.25">
      <c r="A622" s="377"/>
      <c r="B622" s="175"/>
      <c r="C622" s="393"/>
      <c r="D622" s="168"/>
      <c r="E622" s="168"/>
      <c r="F622" s="168"/>
      <c r="G622" s="168"/>
      <c r="H622" s="168"/>
      <c r="I622" s="168"/>
      <c r="J622" s="168"/>
      <c r="K622" s="168"/>
      <c r="L622" s="168"/>
      <c r="M622" s="168"/>
      <c r="N622" s="168"/>
      <c r="O622" s="433"/>
      <c r="P622" s="122"/>
      <c r="Q622" s="156"/>
      <c r="R622" s="156"/>
      <c r="S622" s="156"/>
      <c r="T622" s="156"/>
      <c r="U622" s="156"/>
      <c r="V622" s="156"/>
      <c r="W622" s="156"/>
      <c r="X622" s="156"/>
      <c r="Y622" s="156"/>
      <c r="Z622" s="157"/>
      <c r="AA622" s="157"/>
      <c r="AB622" s="156"/>
      <c r="AC622" s="156"/>
      <c r="AD622" s="156"/>
      <c r="AE622" s="156"/>
      <c r="AF622" s="156"/>
      <c r="AG622" s="156"/>
      <c r="AH622" s="156"/>
      <c r="AI622" s="156"/>
      <c r="AJ622" s="156"/>
      <c r="AK622" s="156"/>
      <c r="AL622" s="156"/>
      <c r="AM622" s="158"/>
      <c r="AN622" s="156"/>
      <c r="AO622" s="156"/>
      <c r="AP622" s="156"/>
      <c r="AQ622" s="156"/>
      <c r="AR622" s="156"/>
      <c r="AS622" s="156"/>
      <c r="AT622" s="156"/>
      <c r="AU622" s="156"/>
      <c r="AV622" s="156"/>
      <c r="AW622" s="156"/>
      <c r="AX622" s="156"/>
      <c r="AY622" s="156"/>
      <c r="AZ622" s="156"/>
      <c r="BA622" s="153"/>
      <c r="BD622" s="153"/>
      <c r="BE622" s="147"/>
      <c r="BI622" s="153"/>
      <c r="BO622" s="153"/>
      <c r="BW622" s="153"/>
      <c r="CD622" s="146"/>
      <c r="CF622" s="147"/>
      <c r="CI622" s="146"/>
      <c r="CJ622" s="153"/>
      <c r="CV622" s="154"/>
      <c r="CX622" s="154"/>
      <c r="CZ622" s="154"/>
      <c r="DB622" s="154"/>
      <c r="DD622" s="154"/>
      <c r="DH622" s="474"/>
      <c r="DI622" s="459"/>
      <c r="DJ622" s="459"/>
      <c r="DK622" s="459"/>
      <c r="DL622" s="459"/>
      <c r="DM622" s="459"/>
      <c r="DN622" s="459"/>
      <c r="DO622" s="459"/>
      <c r="DP622" s="459"/>
      <c r="DQ622" s="459"/>
      <c r="DR622" s="459"/>
      <c r="DS622" s="459"/>
      <c r="DT622" s="459"/>
      <c r="DU622" s="459"/>
      <c r="DV622" s="468"/>
      <c r="DW622" s="468"/>
      <c r="DX622" s="459"/>
      <c r="DY622" s="459"/>
    </row>
    <row r="623" spans="1:129" s="128" customFormat="1" ht="54.95" customHeight="1" x14ac:dyDescent="0.25">
      <c r="A623" s="377"/>
      <c r="B623" s="175"/>
      <c r="C623" s="393"/>
      <c r="D623" s="168"/>
      <c r="E623" s="168"/>
      <c r="F623" s="168"/>
      <c r="G623" s="168"/>
      <c r="H623" s="168"/>
      <c r="I623" s="168"/>
      <c r="J623" s="168"/>
      <c r="K623" s="168"/>
      <c r="L623" s="168"/>
      <c r="M623" s="168"/>
      <c r="N623" s="168"/>
      <c r="O623" s="433"/>
      <c r="P623" s="122"/>
      <c r="Q623" s="156"/>
      <c r="R623" s="156"/>
      <c r="S623" s="156"/>
      <c r="T623" s="156"/>
      <c r="U623" s="156"/>
      <c r="V623" s="156"/>
      <c r="W623" s="156"/>
      <c r="X623" s="156"/>
      <c r="Y623" s="156"/>
      <c r="Z623" s="157"/>
      <c r="AA623" s="157"/>
      <c r="AB623" s="156"/>
      <c r="AC623" s="156"/>
      <c r="AD623" s="156"/>
      <c r="AE623" s="156"/>
      <c r="AF623" s="156"/>
      <c r="AG623" s="156"/>
      <c r="AH623" s="156"/>
      <c r="AI623" s="156"/>
      <c r="AJ623" s="156"/>
      <c r="AK623" s="156"/>
      <c r="AL623" s="156"/>
      <c r="AM623" s="158"/>
      <c r="AN623" s="156"/>
      <c r="AO623" s="156"/>
      <c r="AP623" s="156"/>
      <c r="AQ623" s="156"/>
      <c r="AR623" s="156"/>
      <c r="AS623" s="156"/>
      <c r="AT623" s="156"/>
      <c r="AU623" s="156"/>
      <c r="AV623" s="156"/>
      <c r="AW623" s="156"/>
      <c r="AX623" s="156"/>
      <c r="AY623" s="156"/>
      <c r="AZ623" s="156"/>
      <c r="BA623" s="153"/>
      <c r="BD623" s="153"/>
      <c r="BE623" s="147"/>
      <c r="BI623" s="153"/>
      <c r="BO623" s="153"/>
      <c r="BW623" s="153"/>
      <c r="CD623" s="146"/>
      <c r="CF623" s="147"/>
      <c r="CI623" s="146"/>
      <c r="CJ623" s="153"/>
      <c r="CV623" s="154"/>
      <c r="CX623" s="154"/>
      <c r="CZ623" s="154"/>
      <c r="DB623" s="154"/>
      <c r="DD623" s="154"/>
      <c r="DH623" s="474"/>
      <c r="DI623" s="459"/>
      <c r="DJ623" s="459"/>
      <c r="DK623" s="459"/>
      <c r="DL623" s="459"/>
      <c r="DM623" s="459"/>
      <c r="DN623" s="459"/>
      <c r="DO623" s="459"/>
      <c r="DP623" s="459"/>
      <c r="DQ623" s="459"/>
      <c r="DR623" s="459"/>
      <c r="DS623" s="459"/>
      <c r="DT623" s="459"/>
      <c r="DU623" s="459"/>
      <c r="DV623" s="468"/>
      <c r="DW623" s="468"/>
      <c r="DX623" s="459"/>
      <c r="DY623" s="459"/>
    </row>
    <row r="624" spans="1:129" s="128" customFormat="1" ht="54.95" customHeight="1" x14ac:dyDescent="0.25">
      <c r="A624" s="377"/>
      <c r="B624" s="175"/>
      <c r="C624" s="393"/>
      <c r="D624" s="168"/>
      <c r="E624" s="168"/>
      <c r="F624" s="168"/>
      <c r="G624" s="168"/>
      <c r="H624" s="168"/>
      <c r="I624" s="168"/>
      <c r="J624" s="168"/>
      <c r="K624" s="168"/>
      <c r="L624" s="168"/>
      <c r="M624" s="168"/>
      <c r="N624" s="168"/>
      <c r="O624" s="433"/>
      <c r="P624" s="122"/>
      <c r="Q624" s="156"/>
      <c r="R624" s="156"/>
      <c r="S624" s="156"/>
      <c r="T624" s="156"/>
      <c r="U624" s="156"/>
      <c r="V624" s="156"/>
      <c r="W624" s="156"/>
      <c r="X624" s="156"/>
      <c r="Y624" s="156"/>
      <c r="Z624" s="157"/>
      <c r="AA624" s="157"/>
      <c r="AB624" s="156"/>
      <c r="AC624" s="156"/>
      <c r="AD624" s="156"/>
      <c r="AE624" s="156"/>
      <c r="AF624" s="156"/>
      <c r="AG624" s="156"/>
      <c r="AH624" s="156"/>
      <c r="AI624" s="156"/>
      <c r="AJ624" s="156"/>
      <c r="AK624" s="156"/>
      <c r="AL624" s="156"/>
      <c r="AM624" s="158"/>
      <c r="AN624" s="156"/>
      <c r="AO624" s="156"/>
      <c r="AP624" s="156"/>
      <c r="AQ624" s="156"/>
      <c r="AR624" s="156"/>
      <c r="AS624" s="156"/>
      <c r="AT624" s="156"/>
      <c r="AU624" s="156"/>
      <c r="AV624" s="156"/>
      <c r="AW624" s="156"/>
      <c r="AX624" s="156"/>
      <c r="AY624" s="156"/>
      <c r="AZ624" s="156"/>
      <c r="BA624" s="153"/>
      <c r="BD624" s="153"/>
      <c r="BE624" s="147"/>
      <c r="BI624" s="153"/>
      <c r="BO624" s="153"/>
      <c r="BW624" s="153"/>
      <c r="CD624" s="146"/>
      <c r="CF624" s="147"/>
      <c r="CI624" s="146"/>
      <c r="CJ624" s="153"/>
      <c r="CV624" s="154"/>
      <c r="CX624" s="154"/>
      <c r="CZ624" s="154"/>
      <c r="DB624" s="154"/>
      <c r="DD624" s="154"/>
      <c r="DH624" s="474"/>
      <c r="DI624" s="459"/>
      <c r="DJ624" s="459"/>
      <c r="DK624" s="459"/>
      <c r="DL624" s="459"/>
      <c r="DM624" s="459"/>
      <c r="DN624" s="459"/>
      <c r="DO624" s="459"/>
      <c r="DP624" s="459"/>
      <c r="DQ624" s="459"/>
      <c r="DR624" s="459"/>
      <c r="DS624" s="459"/>
      <c r="DT624" s="459"/>
      <c r="DU624" s="459"/>
      <c r="DV624" s="468"/>
      <c r="DW624" s="468"/>
      <c r="DX624" s="459"/>
      <c r="DY624" s="459"/>
    </row>
    <row r="625" spans="1:129" s="128" customFormat="1" ht="54.95" customHeight="1" x14ac:dyDescent="0.25">
      <c r="A625" s="377"/>
      <c r="B625" s="175"/>
      <c r="C625" s="393"/>
      <c r="D625" s="168"/>
      <c r="E625" s="168"/>
      <c r="F625" s="168"/>
      <c r="G625" s="168"/>
      <c r="H625" s="168"/>
      <c r="I625" s="168"/>
      <c r="J625" s="168"/>
      <c r="K625" s="168"/>
      <c r="L625" s="168"/>
      <c r="M625" s="168"/>
      <c r="N625" s="168"/>
      <c r="O625" s="433"/>
      <c r="P625" s="122"/>
      <c r="Q625" s="156"/>
      <c r="R625" s="156"/>
      <c r="S625" s="156"/>
      <c r="T625" s="156"/>
      <c r="U625" s="156"/>
      <c r="V625" s="156"/>
      <c r="W625" s="156"/>
      <c r="X625" s="156"/>
      <c r="Y625" s="156"/>
      <c r="Z625" s="157"/>
      <c r="AA625" s="157"/>
      <c r="AB625" s="156"/>
      <c r="AC625" s="156"/>
      <c r="AD625" s="156"/>
      <c r="AE625" s="156"/>
      <c r="AF625" s="156"/>
      <c r="AG625" s="156"/>
      <c r="AH625" s="156"/>
      <c r="AI625" s="156"/>
      <c r="AJ625" s="156"/>
      <c r="AK625" s="156"/>
      <c r="AL625" s="156"/>
      <c r="AM625" s="158"/>
      <c r="AN625" s="156"/>
      <c r="AO625" s="156"/>
      <c r="AP625" s="156"/>
      <c r="AQ625" s="156"/>
      <c r="AR625" s="156"/>
      <c r="AS625" s="156"/>
      <c r="AT625" s="156"/>
      <c r="AU625" s="156"/>
      <c r="AV625" s="156"/>
      <c r="AW625" s="156"/>
      <c r="AX625" s="156"/>
      <c r="AY625" s="156"/>
      <c r="AZ625" s="156"/>
      <c r="BA625" s="153"/>
      <c r="BD625" s="153"/>
      <c r="BE625" s="147"/>
      <c r="BI625" s="153"/>
      <c r="BO625" s="153"/>
      <c r="BW625" s="153"/>
      <c r="CD625" s="146"/>
      <c r="CF625" s="147"/>
      <c r="CI625" s="146"/>
      <c r="CJ625" s="153"/>
      <c r="CV625" s="154"/>
      <c r="CX625" s="154"/>
      <c r="CZ625" s="154"/>
      <c r="DB625" s="154"/>
      <c r="DD625" s="154"/>
      <c r="DH625" s="474"/>
      <c r="DI625" s="459"/>
      <c r="DJ625" s="459"/>
      <c r="DK625" s="459"/>
      <c r="DL625" s="459"/>
      <c r="DM625" s="459"/>
      <c r="DN625" s="459"/>
      <c r="DO625" s="459"/>
      <c r="DP625" s="459"/>
      <c r="DQ625" s="459"/>
      <c r="DR625" s="459"/>
      <c r="DS625" s="459"/>
      <c r="DT625" s="459"/>
      <c r="DU625" s="459"/>
      <c r="DV625" s="468"/>
      <c r="DW625" s="468"/>
      <c r="DX625" s="459"/>
      <c r="DY625" s="459"/>
    </row>
    <row r="626" spans="1:129" s="128" customFormat="1" ht="54.95" customHeight="1" x14ac:dyDescent="0.25">
      <c r="A626" s="377"/>
      <c r="B626" s="175"/>
      <c r="C626" s="393"/>
      <c r="D626" s="168"/>
      <c r="E626" s="168"/>
      <c r="F626" s="168"/>
      <c r="G626" s="168"/>
      <c r="H626" s="168"/>
      <c r="I626" s="168"/>
      <c r="J626" s="168"/>
      <c r="K626" s="168"/>
      <c r="L626" s="168"/>
      <c r="M626" s="168"/>
      <c r="N626" s="168"/>
      <c r="O626" s="433"/>
      <c r="P626" s="122"/>
      <c r="Q626" s="156"/>
      <c r="R626" s="156"/>
      <c r="S626" s="156"/>
      <c r="T626" s="156"/>
      <c r="U626" s="156"/>
      <c r="V626" s="156"/>
      <c r="W626" s="156"/>
      <c r="X626" s="156"/>
      <c r="Y626" s="156"/>
      <c r="Z626" s="157"/>
      <c r="AA626" s="157"/>
      <c r="AB626" s="156"/>
      <c r="AC626" s="156"/>
      <c r="AD626" s="156"/>
      <c r="AE626" s="156"/>
      <c r="AF626" s="156"/>
      <c r="AG626" s="156"/>
      <c r="AH626" s="156"/>
      <c r="AI626" s="156"/>
      <c r="AJ626" s="156"/>
      <c r="AK626" s="156"/>
      <c r="AL626" s="156"/>
      <c r="AM626" s="158"/>
      <c r="AN626" s="156"/>
      <c r="AO626" s="156"/>
      <c r="AP626" s="156"/>
      <c r="AQ626" s="156"/>
      <c r="AR626" s="156"/>
      <c r="AS626" s="156"/>
      <c r="AT626" s="156"/>
      <c r="AU626" s="156"/>
      <c r="AV626" s="156"/>
      <c r="AW626" s="156"/>
      <c r="AX626" s="156"/>
      <c r="AY626" s="156"/>
      <c r="AZ626" s="156"/>
      <c r="BA626" s="153"/>
      <c r="BD626" s="153"/>
      <c r="BE626" s="147"/>
      <c r="BI626" s="153"/>
      <c r="BO626" s="153"/>
      <c r="BW626" s="153"/>
      <c r="CD626" s="146"/>
      <c r="CF626" s="147"/>
      <c r="CI626" s="146"/>
      <c r="CJ626" s="153"/>
      <c r="CV626" s="154"/>
      <c r="CX626" s="154"/>
      <c r="CZ626" s="154"/>
      <c r="DB626" s="154"/>
      <c r="DD626" s="154"/>
      <c r="DH626" s="474"/>
      <c r="DI626" s="459"/>
      <c r="DJ626" s="459"/>
      <c r="DK626" s="459"/>
      <c r="DL626" s="459"/>
      <c r="DM626" s="459"/>
      <c r="DN626" s="459"/>
      <c r="DO626" s="459"/>
      <c r="DP626" s="459"/>
      <c r="DQ626" s="459"/>
      <c r="DR626" s="459"/>
      <c r="DS626" s="459"/>
      <c r="DT626" s="459"/>
      <c r="DU626" s="459"/>
      <c r="DV626" s="468"/>
      <c r="DW626" s="468"/>
      <c r="DX626" s="459"/>
      <c r="DY626" s="459"/>
    </row>
    <row r="627" spans="1:129" s="128" customFormat="1" ht="54.95" customHeight="1" x14ac:dyDescent="0.25">
      <c r="A627" s="377"/>
      <c r="B627" s="175"/>
      <c r="C627" s="393"/>
      <c r="D627" s="168"/>
      <c r="E627" s="168"/>
      <c r="F627" s="168"/>
      <c r="G627" s="168"/>
      <c r="H627" s="168"/>
      <c r="I627" s="168"/>
      <c r="J627" s="168"/>
      <c r="K627" s="168"/>
      <c r="L627" s="168"/>
      <c r="M627" s="168"/>
      <c r="N627" s="168"/>
      <c r="O627" s="433"/>
      <c r="P627" s="122"/>
      <c r="Q627" s="156"/>
      <c r="R627" s="156"/>
      <c r="S627" s="156"/>
      <c r="T627" s="156"/>
      <c r="U627" s="156"/>
      <c r="V627" s="156"/>
      <c r="W627" s="156"/>
      <c r="X627" s="156"/>
      <c r="Y627" s="156"/>
      <c r="Z627" s="157"/>
      <c r="AA627" s="157"/>
      <c r="AB627" s="156"/>
      <c r="AC627" s="156"/>
      <c r="AD627" s="156"/>
      <c r="AE627" s="156"/>
      <c r="AF627" s="156"/>
      <c r="AG627" s="156"/>
      <c r="AH627" s="156"/>
      <c r="AI627" s="156"/>
      <c r="AJ627" s="156"/>
      <c r="AK627" s="156"/>
      <c r="AL627" s="156"/>
      <c r="AM627" s="158"/>
      <c r="AN627" s="156"/>
      <c r="AO627" s="156"/>
      <c r="AP627" s="156"/>
      <c r="AQ627" s="156"/>
      <c r="AR627" s="156"/>
      <c r="AS627" s="156"/>
      <c r="AT627" s="156"/>
      <c r="AU627" s="156"/>
      <c r="AV627" s="156"/>
      <c r="AW627" s="156"/>
      <c r="AX627" s="156"/>
      <c r="AY627" s="156"/>
      <c r="AZ627" s="156"/>
      <c r="BA627" s="153"/>
      <c r="BD627" s="153"/>
      <c r="BE627" s="147"/>
      <c r="BI627" s="153"/>
      <c r="BO627" s="153"/>
      <c r="BW627" s="153"/>
      <c r="CD627" s="146"/>
      <c r="CF627" s="147"/>
      <c r="CI627" s="146"/>
      <c r="CJ627" s="153"/>
      <c r="CV627" s="154"/>
      <c r="CX627" s="154"/>
      <c r="CZ627" s="154"/>
      <c r="DB627" s="154"/>
      <c r="DD627" s="154"/>
      <c r="DH627" s="474"/>
      <c r="DI627" s="459"/>
      <c r="DJ627" s="459"/>
      <c r="DK627" s="459"/>
      <c r="DL627" s="459"/>
      <c r="DM627" s="459"/>
      <c r="DN627" s="459"/>
      <c r="DO627" s="459"/>
      <c r="DP627" s="459"/>
      <c r="DQ627" s="459"/>
      <c r="DR627" s="459"/>
      <c r="DS627" s="459"/>
      <c r="DT627" s="459"/>
      <c r="DU627" s="459"/>
      <c r="DV627" s="468"/>
      <c r="DW627" s="468"/>
      <c r="DX627" s="459"/>
      <c r="DY627" s="459"/>
    </row>
    <row r="628" spans="1:129" s="128" customFormat="1" ht="54.95" customHeight="1" x14ac:dyDescent="0.25">
      <c r="A628" s="377"/>
      <c r="B628" s="175"/>
      <c r="C628" s="393"/>
      <c r="D628" s="168"/>
      <c r="E628" s="168"/>
      <c r="F628" s="168"/>
      <c r="G628" s="168"/>
      <c r="H628" s="168"/>
      <c r="I628" s="168"/>
      <c r="J628" s="168"/>
      <c r="K628" s="168"/>
      <c r="L628" s="168"/>
      <c r="M628" s="168"/>
      <c r="N628" s="168"/>
      <c r="O628" s="433"/>
      <c r="P628" s="122"/>
      <c r="Q628" s="156"/>
      <c r="R628" s="156"/>
      <c r="S628" s="156"/>
      <c r="T628" s="156"/>
      <c r="U628" s="156"/>
      <c r="V628" s="156"/>
      <c r="W628" s="156"/>
      <c r="X628" s="156"/>
      <c r="Y628" s="156"/>
      <c r="Z628" s="157"/>
      <c r="AA628" s="157"/>
      <c r="AB628" s="156"/>
      <c r="AC628" s="156"/>
      <c r="AD628" s="156"/>
      <c r="AE628" s="156"/>
      <c r="AF628" s="156"/>
      <c r="AG628" s="156"/>
      <c r="AH628" s="156"/>
      <c r="AI628" s="156"/>
      <c r="AJ628" s="156"/>
      <c r="AK628" s="156"/>
      <c r="AL628" s="156"/>
      <c r="AM628" s="158"/>
      <c r="AN628" s="156"/>
      <c r="AO628" s="156"/>
      <c r="AP628" s="156"/>
      <c r="AQ628" s="156"/>
      <c r="AR628" s="156"/>
      <c r="AS628" s="156"/>
      <c r="AT628" s="156"/>
      <c r="AU628" s="156"/>
      <c r="AV628" s="156"/>
      <c r="AW628" s="156"/>
      <c r="AX628" s="156"/>
      <c r="AY628" s="156"/>
      <c r="AZ628" s="156"/>
      <c r="BA628" s="153"/>
      <c r="BD628" s="153"/>
      <c r="BE628" s="147"/>
      <c r="BI628" s="153"/>
      <c r="BO628" s="153"/>
      <c r="BW628" s="153"/>
      <c r="CD628" s="146"/>
      <c r="CF628" s="147"/>
      <c r="CI628" s="146"/>
      <c r="CJ628" s="153"/>
      <c r="CV628" s="154"/>
      <c r="CX628" s="154"/>
      <c r="CZ628" s="154"/>
      <c r="DB628" s="154"/>
      <c r="DD628" s="154"/>
      <c r="DH628" s="474"/>
      <c r="DI628" s="459"/>
      <c r="DJ628" s="459"/>
      <c r="DK628" s="459"/>
      <c r="DL628" s="459"/>
      <c r="DM628" s="459"/>
      <c r="DN628" s="459"/>
      <c r="DO628" s="459"/>
      <c r="DP628" s="459"/>
      <c r="DQ628" s="459"/>
      <c r="DR628" s="459"/>
      <c r="DS628" s="459"/>
      <c r="DT628" s="459"/>
      <c r="DU628" s="459"/>
      <c r="DV628" s="468"/>
      <c r="DW628" s="468"/>
      <c r="DX628" s="459"/>
      <c r="DY628" s="459"/>
    </row>
    <row r="629" spans="1:129" s="128" customFormat="1" ht="54.95" customHeight="1" x14ac:dyDescent="0.25">
      <c r="A629" s="377"/>
      <c r="B629" s="175"/>
      <c r="C629" s="393"/>
      <c r="D629" s="168"/>
      <c r="E629" s="168"/>
      <c r="F629" s="168"/>
      <c r="G629" s="168"/>
      <c r="H629" s="168"/>
      <c r="I629" s="168"/>
      <c r="J629" s="168"/>
      <c r="K629" s="168"/>
      <c r="L629" s="168"/>
      <c r="M629" s="168"/>
      <c r="N629" s="168"/>
      <c r="O629" s="433"/>
      <c r="P629" s="122"/>
      <c r="Q629" s="156"/>
      <c r="R629" s="156"/>
      <c r="S629" s="156"/>
      <c r="T629" s="156"/>
      <c r="U629" s="156"/>
      <c r="V629" s="156"/>
      <c r="W629" s="156"/>
      <c r="X629" s="156"/>
      <c r="Y629" s="156"/>
      <c r="Z629" s="157"/>
      <c r="AA629" s="157"/>
      <c r="AB629" s="156"/>
      <c r="AC629" s="156"/>
      <c r="AD629" s="156"/>
      <c r="AE629" s="156"/>
      <c r="AF629" s="156"/>
      <c r="AG629" s="156"/>
      <c r="AH629" s="156"/>
      <c r="AI629" s="156"/>
      <c r="AJ629" s="156"/>
      <c r="AK629" s="156"/>
      <c r="AL629" s="156"/>
      <c r="AM629" s="158"/>
      <c r="AN629" s="156"/>
      <c r="AO629" s="156"/>
      <c r="AP629" s="156"/>
      <c r="AQ629" s="156"/>
      <c r="AR629" s="156"/>
      <c r="AS629" s="156"/>
      <c r="AT629" s="156"/>
      <c r="AU629" s="156"/>
      <c r="AV629" s="156"/>
      <c r="AW629" s="156"/>
      <c r="AX629" s="156"/>
      <c r="AY629" s="156"/>
      <c r="AZ629" s="156"/>
      <c r="BA629" s="153"/>
      <c r="BD629" s="153"/>
      <c r="BE629" s="147"/>
      <c r="BI629" s="153"/>
      <c r="BO629" s="153"/>
      <c r="BW629" s="153"/>
      <c r="CD629" s="146"/>
      <c r="CF629" s="147"/>
      <c r="CI629" s="146"/>
      <c r="CJ629" s="153"/>
      <c r="CV629" s="154"/>
      <c r="CX629" s="154"/>
      <c r="CZ629" s="154"/>
      <c r="DB629" s="154"/>
      <c r="DD629" s="154"/>
      <c r="DH629" s="474"/>
      <c r="DI629" s="459"/>
      <c r="DJ629" s="459"/>
      <c r="DK629" s="459"/>
      <c r="DL629" s="459"/>
      <c r="DM629" s="459"/>
      <c r="DN629" s="459"/>
      <c r="DO629" s="459"/>
      <c r="DP629" s="459"/>
      <c r="DQ629" s="459"/>
      <c r="DR629" s="459"/>
      <c r="DS629" s="459"/>
      <c r="DT629" s="459"/>
      <c r="DU629" s="459"/>
      <c r="DV629" s="468"/>
      <c r="DW629" s="468"/>
      <c r="DX629" s="459"/>
      <c r="DY629" s="459"/>
    </row>
    <row r="630" spans="1:129" s="128" customFormat="1" ht="54.95" customHeight="1" x14ac:dyDescent="0.25">
      <c r="A630" s="377"/>
      <c r="B630" s="175"/>
      <c r="C630" s="393"/>
      <c r="D630" s="168"/>
      <c r="E630" s="168"/>
      <c r="F630" s="168"/>
      <c r="G630" s="168"/>
      <c r="H630" s="168"/>
      <c r="I630" s="168"/>
      <c r="J630" s="168"/>
      <c r="K630" s="168"/>
      <c r="L630" s="168"/>
      <c r="M630" s="168"/>
      <c r="N630" s="168"/>
      <c r="O630" s="433"/>
      <c r="P630" s="122"/>
      <c r="Q630" s="156"/>
      <c r="R630" s="156"/>
      <c r="S630" s="156"/>
      <c r="T630" s="156"/>
      <c r="U630" s="156"/>
      <c r="V630" s="156"/>
      <c r="W630" s="156"/>
      <c r="X630" s="156"/>
      <c r="Y630" s="156"/>
      <c r="Z630" s="157"/>
      <c r="AA630" s="157"/>
      <c r="AB630" s="156"/>
      <c r="AC630" s="156"/>
      <c r="AD630" s="156"/>
      <c r="AE630" s="156"/>
      <c r="AF630" s="156"/>
      <c r="AG630" s="156"/>
      <c r="AH630" s="156"/>
      <c r="AI630" s="156"/>
      <c r="AJ630" s="156"/>
      <c r="AK630" s="156"/>
      <c r="AL630" s="156"/>
      <c r="AM630" s="158"/>
      <c r="AN630" s="156"/>
      <c r="AO630" s="156"/>
      <c r="AP630" s="156"/>
      <c r="AQ630" s="156"/>
      <c r="AR630" s="156"/>
      <c r="AS630" s="156"/>
      <c r="AT630" s="156"/>
      <c r="AU630" s="156"/>
      <c r="AV630" s="156"/>
      <c r="AW630" s="156"/>
      <c r="AX630" s="156"/>
      <c r="AY630" s="156"/>
      <c r="AZ630" s="156"/>
      <c r="BA630" s="153"/>
      <c r="BD630" s="153"/>
      <c r="BE630" s="147"/>
      <c r="BI630" s="153"/>
      <c r="BO630" s="153"/>
      <c r="BW630" s="153"/>
      <c r="CD630" s="146"/>
      <c r="CF630" s="147"/>
      <c r="CI630" s="146"/>
      <c r="CJ630" s="153"/>
      <c r="CV630" s="154"/>
      <c r="CX630" s="154"/>
      <c r="CZ630" s="154"/>
      <c r="DB630" s="154"/>
      <c r="DD630" s="154"/>
      <c r="DH630" s="474"/>
      <c r="DI630" s="459"/>
      <c r="DJ630" s="459"/>
      <c r="DK630" s="459"/>
      <c r="DL630" s="459"/>
      <c r="DM630" s="459"/>
      <c r="DN630" s="459"/>
      <c r="DO630" s="459"/>
      <c r="DP630" s="459"/>
      <c r="DQ630" s="459"/>
      <c r="DR630" s="459"/>
      <c r="DS630" s="459"/>
      <c r="DT630" s="459"/>
      <c r="DU630" s="459"/>
      <c r="DV630" s="468"/>
      <c r="DW630" s="468"/>
      <c r="DX630" s="459"/>
      <c r="DY630" s="459"/>
    </row>
    <row r="631" spans="1:129" s="128" customFormat="1" ht="54.95" customHeight="1" x14ac:dyDescent="0.25">
      <c r="A631" s="377"/>
      <c r="B631" s="175"/>
      <c r="C631" s="393"/>
      <c r="D631" s="168"/>
      <c r="E631" s="168"/>
      <c r="F631" s="168"/>
      <c r="G631" s="168"/>
      <c r="H631" s="168"/>
      <c r="I631" s="168"/>
      <c r="J631" s="168"/>
      <c r="K631" s="168"/>
      <c r="L631" s="168"/>
      <c r="M631" s="168"/>
      <c r="N631" s="168"/>
      <c r="O631" s="433"/>
      <c r="P631" s="122"/>
      <c r="Q631" s="156"/>
      <c r="R631" s="156"/>
      <c r="S631" s="156"/>
      <c r="T631" s="156"/>
      <c r="U631" s="156"/>
      <c r="V631" s="156"/>
      <c r="W631" s="156"/>
      <c r="X631" s="156"/>
      <c r="Y631" s="156"/>
      <c r="Z631" s="157"/>
      <c r="AA631" s="157"/>
      <c r="AB631" s="156"/>
      <c r="AC631" s="156"/>
      <c r="AD631" s="156"/>
      <c r="AE631" s="156"/>
      <c r="AF631" s="156"/>
      <c r="AG631" s="156"/>
      <c r="AH631" s="156"/>
      <c r="AI631" s="156"/>
      <c r="AJ631" s="156"/>
      <c r="AK631" s="156"/>
      <c r="AL631" s="156"/>
      <c r="AM631" s="158"/>
      <c r="AN631" s="156"/>
      <c r="AO631" s="156"/>
      <c r="AP631" s="156"/>
      <c r="AQ631" s="156"/>
      <c r="AR631" s="156"/>
      <c r="AS631" s="156"/>
      <c r="AT631" s="156"/>
      <c r="AU631" s="156"/>
      <c r="AV631" s="156"/>
      <c r="AW631" s="156"/>
      <c r="AX631" s="156"/>
      <c r="AY631" s="156"/>
      <c r="AZ631" s="156"/>
      <c r="BA631" s="153"/>
      <c r="BD631" s="153"/>
      <c r="BE631" s="147"/>
      <c r="BI631" s="153"/>
      <c r="BO631" s="153"/>
      <c r="BW631" s="153"/>
      <c r="CD631" s="146"/>
      <c r="CF631" s="147"/>
      <c r="CI631" s="146"/>
      <c r="CJ631" s="153"/>
      <c r="CV631" s="154"/>
      <c r="CX631" s="154"/>
      <c r="CZ631" s="154"/>
      <c r="DB631" s="154"/>
      <c r="DD631" s="154"/>
      <c r="DH631" s="474"/>
      <c r="DI631" s="459"/>
      <c r="DJ631" s="459"/>
      <c r="DK631" s="459"/>
      <c r="DL631" s="459"/>
      <c r="DM631" s="459"/>
      <c r="DN631" s="459"/>
      <c r="DO631" s="459"/>
      <c r="DP631" s="459"/>
      <c r="DQ631" s="459"/>
      <c r="DR631" s="459"/>
      <c r="DS631" s="459"/>
      <c r="DT631" s="459"/>
      <c r="DU631" s="459"/>
      <c r="DV631" s="468"/>
      <c r="DW631" s="468"/>
      <c r="DX631" s="459"/>
      <c r="DY631" s="459"/>
    </row>
    <row r="632" spans="1:129" s="128" customFormat="1" ht="54.95" customHeight="1" x14ac:dyDescent="0.25">
      <c r="A632" s="377"/>
      <c r="B632" s="175"/>
      <c r="C632" s="393"/>
      <c r="D632" s="168"/>
      <c r="E632" s="168"/>
      <c r="F632" s="168"/>
      <c r="G632" s="168"/>
      <c r="H632" s="168"/>
      <c r="I632" s="168"/>
      <c r="J632" s="168"/>
      <c r="K632" s="168"/>
      <c r="L632" s="168"/>
      <c r="M632" s="168"/>
      <c r="N632" s="168"/>
      <c r="O632" s="433"/>
      <c r="P632" s="122"/>
      <c r="Q632" s="156"/>
      <c r="R632" s="156"/>
      <c r="S632" s="156"/>
      <c r="T632" s="156"/>
      <c r="U632" s="156"/>
      <c r="V632" s="156"/>
      <c r="W632" s="156"/>
      <c r="X632" s="156"/>
      <c r="Y632" s="156"/>
      <c r="Z632" s="157"/>
      <c r="AA632" s="157"/>
      <c r="AB632" s="156"/>
      <c r="AC632" s="156"/>
      <c r="AD632" s="156"/>
      <c r="AE632" s="156"/>
      <c r="AF632" s="156"/>
      <c r="AG632" s="156"/>
      <c r="AH632" s="156"/>
      <c r="AI632" s="156"/>
      <c r="AJ632" s="156"/>
      <c r="AK632" s="156"/>
      <c r="AL632" s="156"/>
      <c r="AM632" s="158"/>
      <c r="AN632" s="156"/>
      <c r="AO632" s="156"/>
      <c r="AP632" s="156"/>
      <c r="AQ632" s="156"/>
      <c r="AR632" s="156"/>
      <c r="AS632" s="156"/>
      <c r="AT632" s="156"/>
      <c r="AU632" s="156"/>
      <c r="AV632" s="156"/>
      <c r="AW632" s="156"/>
      <c r="AX632" s="156"/>
      <c r="AY632" s="156"/>
      <c r="AZ632" s="156"/>
      <c r="BA632" s="153"/>
      <c r="BD632" s="153"/>
      <c r="BE632" s="147"/>
      <c r="BI632" s="153"/>
      <c r="BO632" s="153"/>
      <c r="BW632" s="153"/>
      <c r="CD632" s="146"/>
      <c r="CF632" s="147"/>
      <c r="CI632" s="146"/>
      <c r="CJ632" s="153"/>
      <c r="CV632" s="154"/>
      <c r="CX632" s="154"/>
      <c r="CZ632" s="154"/>
      <c r="DB632" s="154"/>
      <c r="DD632" s="154"/>
      <c r="DH632" s="474"/>
      <c r="DI632" s="459"/>
      <c r="DJ632" s="459"/>
      <c r="DK632" s="459"/>
      <c r="DL632" s="459"/>
      <c r="DM632" s="459"/>
      <c r="DN632" s="459"/>
      <c r="DO632" s="459"/>
      <c r="DP632" s="459"/>
      <c r="DQ632" s="459"/>
      <c r="DR632" s="459"/>
      <c r="DS632" s="459"/>
      <c r="DT632" s="459"/>
      <c r="DU632" s="459"/>
      <c r="DV632" s="468"/>
      <c r="DW632" s="468"/>
      <c r="DX632" s="459"/>
      <c r="DY632" s="459"/>
    </row>
    <row r="633" spans="1:129" s="128" customFormat="1" ht="54.95" customHeight="1" x14ac:dyDescent="0.25">
      <c r="A633" s="377"/>
      <c r="B633" s="175"/>
      <c r="C633" s="393"/>
      <c r="D633" s="168"/>
      <c r="E633" s="168"/>
      <c r="F633" s="168"/>
      <c r="G633" s="168"/>
      <c r="H633" s="168"/>
      <c r="I633" s="168"/>
      <c r="J633" s="168"/>
      <c r="K633" s="168"/>
      <c r="L633" s="168"/>
      <c r="M633" s="168"/>
      <c r="N633" s="168"/>
      <c r="O633" s="433"/>
      <c r="P633" s="122"/>
      <c r="Q633" s="156"/>
      <c r="R633" s="156"/>
      <c r="S633" s="156"/>
      <c r="T633" s="156"/>
      <c r="U633" s="156"/>
      <c r="V633" s="156"/>
      <c r="W633" s="156"/>
      <c r="X633" s="156"/>
      <c r="Y633" s="156"/>
      <c r="Z633" s="157"/>
      <c r="AA633" s="157"/>
      <c r="AB633" s="156"/>
      <c r="AC633" s="156"/>
      <c r="AD633" s="156"/>
      <c r="AE633" s="156"/>
      <c r="AF633" s="156"/>
      <c r="AG633" s="156"/>
      <c r="AH633" s="156"/>
      <c r="AI633" s="156"/>
      <c r="AJ633" s="156"/>
      <c r="AK633" s="156"/>
      <c r="AL633" s="156"/>
      <c r="AM633" s="158"/>
      <c r="AN633" s="156"/>
      <c r="AO633" s="156"/>
      <c r="AP633" s="156"/>
      <c r="AQ633" s="156"/>
      <c r="AR633" s="156"/>
      <c r="AS633" s="156"/>
      <c r="AT633" s="156"/>
      <c r="AU633" s="156"/>
      <c r="AV633" s="156"/>
      <c r="AW633" s="156"/>
      <c r="AX633" s="156"/>
      <c r="AY633" s="156"/>
      <c r="AZ633" s="156"/>
      <c r="BA633" s="153"/>
      <c r="BD633" s="153"/>
      <c r="BE633" s="147"/>
      <c r="BI633" s="153"/>
      <c r="BO633" s="153"/>
      <c r="BW633" s="153"/>
      <c r="CD633" s="146"/>
      <c r="CF633" s="147"/>
      <c r="CI633" s="146"/>
      <c r="CJ633" s="153"/>
      <c r="CV633" s="154"/>
      <c r="CX633" s="154"/>
      <c r="CZ633" s="154"/>
      <c r="DB633" s="154"/>
      <c r="DD633" s="154"/>
      <c r="DH633" s="474"/>
      <c r="DI633" s="459"/>
      <c r="DJ633" s="459"/>
      <c r="DK633" s="459"/>
      <c r="DL633" s="459"/>
      <c r="DM633" s="459"/>
      <c r="DN633" s="459"/>
      <c r="DO633" s="459"/>
      <c r="DP633" s="459"/>
      <c r="DQ633" s="459"/>
      <c r="DR633" s="459"/>
      <c r="DS633" s="459"/>
      <c r="DT633" s="459"/>
      <c r="DU633" s="459"/>
      <c r="DV633" s="468"/>
      <c r="DW633" s="468"/>
      <c r="DX633" s="459"/>
      <c r="DY633" s="459"/>
    </row>
    <row r="634" spans="1:129" s="128" customFormat="1" ht="54.95" customHeight="1" x14ac:dyDescent="0.25">
      <c r="A634" s="377"/>
      <c r="B634" s="175"/>
      <c r="C634" s="393"/>
      <c r="D634" s="168"/>
      <c r="E634" s="168"/>
      <c r="F634" s="168"/>
      <c r="G634" s="168"/>
      <c r="H634" s="168"/>
      <c r="I634" s="168"/>
      <c r="J634" s="168"/>
      <c r="K634" s="168"/>
      <c r="L634" s="168"/>
      <c r="M634" s="168"/>
      <c r="N634" s="168"/>
      <c r="O634" s="433"/>
      <c r="P634" s="122"/>
      <c r="Q634" s="156"/>
      <c r="R634" s="156"/>
      <c r="S634" s="156"/>
      <c r="T634" s="156"/>
      <c r="U634" s="156"/>
      <c r="V634" s="156"/>
      <c r="W634" s="156"/>
      <c r="X634" s="156"/>
      <c r="Y634" s="156"/>
      <c r="Z634" s="157"/>
      <c r="AA634" s="157"/>
      <c r="AB634" s="156"/>
      <c r="AC634" s="156"/>
      <c r="AD634" s="156"/>
      <c r="AE634" s="156"/>
      <c r="AF634" s="156"/>
      <c r="AG634" s="156"/>
      <c r="AH634" s="156"/>
      <c r="AI634" s="156"/>
      <c r="AJ634" s="156"/>
      <c r="AK634" s="156"/>
      <c r="AL634" s="156"/>
      <c r="AM634" s="158"/>
      <c r="AN634" s="156"/>
      <c r="AO634" s="156"/>
      <c r="AP634" s="156"/>
      <c r="AQ634" s="156"/>
      <c r="AR634" s="156"/>
      <c r="AS634" s="156"/>
      <c r="AT634" s="156"/>
      <c r="AU634" s="156"/>
      <c r="AV634" s="156"/>
      <c r="AW634" s="156"/>
      <c r="AX634" s="156"/>
      <c r="AY634" s="156"/>
      <c r="AZ634" s="156"/>
      <c r="BA634" s="153"/>
      <c r="BD634" s="153"/>
      <c r="BE634" s="147"/>
      <c r="BI634" s="153"/>
      <c r="BO634" s="153"/>
      <c r="BW634" s="153"/>
      <c r="CD634" s="146"/>
      <c r="CF634" s="147"/>
      <c r="CI634" s="146"/>
      <c r="CJ634" s="153"/>
      <c r="CV634" s="154"/>
      <c r="CX634" s="154"/>
      <c r="CZ634" s="154"/>
      <c r="DB634" s="154"/>
      <c r="DD634" s="154"/>
      <c r="DH634" s="474"/>
      <c r="DI634" s="459"/>
      <c r="DJ634" s="459"/>
      <c r="DK634" s="459"/>
      <c r="DL634" s="459"/>
      <c r="DM634" s="459"/>
      <c r="DN634" s="459"/>
      <c r="DO634" s="459"/>
      <c r="DP634" s="459"/>
      <c r="DQ634" s="459"/>
      <c r="DR634" s="459"/>
      <c r="DS634" s="459"/>
      <c r="DT634" s="459"/>
      <c r="DU634" s="459"/>
      <c r="DV634" s="468"/>
      <c r="DW634" s="468"/>
      <c r="DX634" s="459"/>
      <c r="DY634" s="459"/>
    </row>
    <row r="635" spans="1:129" s="128" customFormat="1" ht="54.95" customHeight="1" x14ac:dyDescent="0.25">
      <c r="A635" s="377"/>
      <c r="B635" s="175"/>
      <c r="C635" s="393"/>
      <c r="D635" s="168"/>
      <c r="E635" s="168"/>
      <c r="F635" s="168"/>
      <c r="G635" s="168"/>
      <c r="H635" s="168"/>
      <c r="I635" s="168"/>
      <c r="J635" s="168"/>
      <c r="K635" s="168"/>
      <c r="L635" s="168"/>
      <c r="M635" s="168"/>
      <c r="N635" s="168"/>
      <c r="O635" s="433"/>
      <c r="P635" s="122"/>
      <c r="Q635" s="156"/>
      <c r="R635" s="156"/>
      <c r="S635" s="156"/>
      <c r="T635" s="156"/>
      <c r="U635" s="156"/>
      <c r="V635" s="156"/>
      <c r="W635" s="156"/>
      <c r="X635" s="156"/>
      <c r="Y635" s="156"/>
      <c r="Z635" s="157"/>
      <c r="AA635" s="157"/>
      <c r="AB635" s="156"/>
      <c r="AC635" s="156"/>
      <c r="AD635" s="156"/>
      <c r="AE635" s="156"/>
      <c r="AF635" s="156"/>
      <c r="AG635" s="156"/>
      <c r="AH635" s="156"/>
      <c r="AI635" s="156"/>
      <c r="AJ635" s="156"/>
      <c r="AK635" s="156"/>
      <c r="AL635" s="156"/>
      <c r="AM635" s="158"/>
      <c r="AN635" s="156"/>
      <c r="AO635" s="156"/>
      <c r="AP635" s="156"/>
      <c r="AQ635" s="156"/>
      <c r="AR635" s="156"/>
      <c r="AS635" s="156"/>
      <c r="AT635" s="156"/>
      <c r="AU635" s="156"/>
      <c r="AV635" s="156"/>
      <c r="AW635" s="156"/>
      <c r="AX635" s="156"/>
      <c r="AY635" s="156"/>
      <c r="AZ635" s="156"/>
      <c r="BA635" s="153"/>
      <c r="BD635" s="153"/>
      <c r="BE635" s="147"/>
      <c r="BI635" s="153"/>
      <c r="BO635" s="153"/>
      <c r="BW635" s="153"/>
      <c r="CD635" s="146"/>
      <c r="CF635" s="147"/>
      <c r="CI635" s="146"/>
      <c r="CJ635" s="153"/>
      <c r="CV635" s="154"/>
      <c r="CX635" s="154"/>
      <c r="CZ635" s="154"/>
      <c r="DB635" s="154"/>
      <c r="DD635" s="154"/>
      <c r="DH635" s="474"/>
      <c r="DI635" s="459"/>
      <c r="DJ635" s="459"/>
      <c r="DK635" s="459"/>
      <c r="DL635" s="459"/>
      <c r="DM635" s="459"/>
      <c r="DN635" s="459"/>
      <c r="DO635" s="459"/>
      <c r="DP635" s="459"/>
      <c r="DQ635" s="459"/>
      <c r="DR635" s="459"/>
      <c r="DS635" s="459"/>
      <c r="DT635" s="459"/>
      <c r="DU635" s="459"/>
      <c r="DV635" s="468"/>
      <c r="DW635" s="468"/>
      <c r="DX635" s="459"/>
      <c r="DY635" s="459"/>
    </row>
    <row r="636" spans="1:129" s="128" customFormat="1" ht="54.95" customHeight="1" x14ac:dyDescent="0.25">
      <c r="A636" s="377"/>
      <c r="B636" s="175"/>
      <c r="C636" s="393"/>
      <c r="D636" s="168"/>
      <c r="E636" s="168"/>
      <c r="F636" s="168"/>
      <c r="G636" s="168"/>
      <c r="H636" s="168"/>
      <c r="I636" s="168"/>
      <c r="J636" s="168"/>
      <c r="K636" s="168"/>
      <c r="L636" s="168"/>
      <c r="M636" s="168"/>
      <c r="N636" s="168"/>
      <c r="O636" s="433"/>
      <c r="P636" s="122"/>
      <c r="Q636" s="156"/>
      <c r="R636" s="156"/>
      <c r="S636" s="156"/>
      <c r="T636" s="156"/>
      <c r="U636" s="156"/>
      <c r="V636" s="156"/>
      <c r="W636" s="156"/>
      <c r="X636" s="156"/>
      <c r="Y636" s="156"/>
      <c r="Z636" s="157"/>
      <c r="AA636" s="157"/>
      <c r="AB636" s="156"/>
      <c r="AC636" s="156"/>
      <c r="AD636" s="156"/>
      <c r="AE636" s="156"/>
      <c r="AF636" s="156"/>
      <c r="AG636" s="156"/>
      <c r="AH636" s="156"/>
      <c r="AI636" s="156"/>
      <c r="AJ636" s="156"/>
      <c r="AK636" s="156"/>
      <c r="AL636" s="156"/>
      <c r="AM636" s="158"/>
      <c r="AN636" s="156"/>
      <c r="AO636" s="156"/>
      <c r="AP636" s="156"/>
      <c r="AQ636" s="156"/>
      <c r="AR636" s="156"/>
      <c r="AS636" s="156"/>
      <c r="AT636" s="156"/>
      <c r="AU636" s="156"/>
      <c r="AV636" s="156"/>
      <c r="AW636" s="156"/>
      <c r="AX636" s="156"/>
      <c r="AY636" s="156"/>
      <c r="AZ636" s="156"/>
      <c r="BA636" s="153"/>
      <c r="BD636" s="153"/>
      <c r="BE636" s="147"/>
      <c r="BI636" s="153"/>
      <c r="BO636" s="153"/>
      <c r="BW636" s="153"/>
      <c r="CD636" s="146"/>
      <c r="CF636" s="147"/>
      <c r="CI636" s="146"/>
      <c r="CJ636" s="153"/>
      <c r="CV636" s="154"/>
      <c r="CX636" s="154"/>
      <c r="CZ636" s="154"/>
      <c r="DB636" s="154"/>
      <c r="DD636" s="154"/>
      <c r="DH636" s="474"/>
      <c r="DI636" s="459"/>
      <c r="DJ636" s="459"/>
      <c r="DK636" s="459"/>
      <c r="DL636" s="459"/>
      <c r="DM636" s="459"/>
      <c r="DN636" s="459"/>
      <c r="DO636" s="459"/>
      <c r="DP636" s="459"/>
      <c r="DQ636" s="459"/>
      <c r="DR636" s="459"/>
      <c r="DS636" s="459"/>
      <c r="DT636" s="459"/>
      <c r="DU636" s="459"/>
      <c r="DV636" s="468"/>
      <c r="DW636" s="468"/>
      <c r="DX636" s="459"/>
      <c r="DY636" s="459"/>
    </row>
    <row r="637" spans="1:129" s="128" customFormat="1" ht="54.95" customHeight="1" x14ac:dyDescent="0.25">
      <c r="A637" s="377"/>
      <c r="B637" s="175"/>
      <c r="C637" s="393"/>
      <c r="D637" s="168"/>
      <c r="E637" s="168"/>
      <c r="F637" s="168"/>
      <c r="G637" s="168"/>
      <c r="H637" s="168"/>
      <c r="I637" s="168"/>
      <c r="J637" s="168"/>
      <c r="K637" s="168"/>
      <c r="L637" s="168"/>
      <c r="M637" s="168"/>
      <c r="N637" s="168"/>
      <c r="O637" s="433"/>
      <c r="P637" s="122"/>
      <c r="Q637" s="156"/>
      <c r="R637" s="156"/>
      <c r="S637" s="156"/>
      <c r="T637" s="156"/>
      <c r="U637" s="156"/>
      <c r="V637" s="156"/>
      <c r="W637" s="156"/>
      <c r="X637" s="156"/>
      <c r="Y637" s="156"/>
      <c r="Z637" s="157"/>
      <c r="AA637" s="157"/>
      <c r="AB637" s="156"/>
      <c r="AC637" s="156"/>
      <c r="AD637" s="156"/>
      <c r="AE637" s="156"/>
      <c r="AF637" s="156"/>
      <c r="AG637" s="156"/>
      <c r="AH637" s="156"/>
      <c r="AI637" s="156"/>
      <c r="AJ637" s="156"/>
      <c r="AK637" s="156"/>
      <c r="AL637" s="156"/>
      <c r="AM637" s="158"/>
      <c r="AN637" s="156"/>
      <c r="AO637" s="156"/>
      <c r="AP637" s="156"/>
      <c r="AQ637" s="156"/>
      <c r="AR637" s="156"/>
      <c r="AS637" s="156"/>
      <c r="AT637" s="156"/>
      <c r="AU637" s="156"/>
      <c r="AV637" s="156"/>
      <c r="AW637" s="156"/>
      <c r="AX637" s="156"/>
      <c r="AY637" s="156"/>
      <c r="AZ637" s="156"/>
      <c r="BA637" s="153"/>
      <c r="BD637" s="153"/>
      <c r="BE637" s="147"/>
      <c r="BI637" s="153"/>
      <c r="BO637" s="153"/>
      <c r="BW637" s="153"/>
      <c r="CD637" s="146"/>
      <c r="CF637" s="147"/>
      <c r="CI637" s="146"/>
      <c r="CJ637" s="153"/>
      <c r="CV637" s="154"/>
      <c r="CX637" s="154"/>
      <c r="CZ637" s="154"/>
      <c r="DB637" s="154"/>
      <c r="DD637" s="154"/>
      <c r="DH637" s="474"/>
      <c r="DI637" s="459"/>
      <c r="DJ637" s="459"/>
      <c r="DK637" s="459"/>
      <c r="DL637" s="459"/>
      <c r="DM637" s="459"/>
      <c r="DN637" s="459"/>
      <c r="DO637" s="459"/>
      <c r="DP637" s="459"/>
      <c r="DQ637" s="459"/>
      <c r="DR637" s="459"/>
      <c r="DS637" s="459"/>
      <c r="DT637" s="459"/>
      <c r="DU637" s="459"/>
      <c r="DV637" s="468"/>
      <c r="DW637" s="468"/>
      <c r="DX637" s="459"/>
      <c r="DY637" s="459"/>
    </row>
    <row r="638" spans="1:129" s="128" customFormat="1" ht="54.95" customHeight="1" x14ac:dyDescent="0.25">
      <c r="A638" s="377"/>
      <c r="B638" s="175"/>
      <c r="C638" s="393"/>
      <c r="D638" s="168"/>
      <c r="E638" s="168"/>
      <c r="F638" s="168"/>
      <c r="G638" s="168"/>
      <c r="H638" s="168"/>
      <c r="I638" s="168"/>
      <c r="J638" s="168"/>
      <c r="K638" s="168"/>
      <c r="L638" s="168"/>
      <c r="M638" s="168"/>
      <c r="N638" s="168"/>
      <c r="O638" s="433"/>
      <c r="P638" s="122"/>
      <c r="Q638" s="156"/>
      <c r="R638" s="156"/>
      <c r="S638" s="156"/>
      <c r="T638" s="156"/>
      <c r="U638" s="156"/>
      <c r="V638" s="156"/>
      <c r="W638" s="156"/>
      <c r="X638" s="156"/>
      <c r="Y638" s="156"/>
      <c r="Z638" s="157"/>
      <c r="AA638" s="157"/>
      <c r="AB638" s="156"/>
      <c r="AC638" s="156"/>
      <c r="AD638" s="156"/>
      <c r="AE638" s="156"/>
      <c r="AF638" s="156"/>
      <c r="AG638" s="156"/>
      <c r="AH638" s="156"/>
      <c r="AI638" s="156"/>
      <c r="AJ638" s="156"/>
      <c r="AK638" s="156"/>
      <c r="AL638" s="156"/>
      <c r="AM638" s="158"/>
      <c r="AN638" s="156"/>
      <c r="AO638" s="156"/>
      <c r="AP638" s="156"/>
      <c r="AQ638" s="156"/>
      <c r="AR638" s="156"/>
      <c r="AS638" s="156"/>
      <c r="AT638" s="156"/>
      <c r="AU638" s="156"/>
      <c r="AV638" s="156"/>
      <c r="AW638" s="156"/>
      <c r="AX638" s="156"/>
      <c r="AY638" s="156"/>
      <c r="AZ638" s="156"/>
      <c r="BA638" s="153"/>
      <c r="BD638" s="153"/>
      <c r="BE638" s="147"/>
      <c r="BI638" s="153"/>
      <c r="BO638" s="153"/>
      <c r="BW638" s="153"/>
      <c r="CD638" s="146"/>
      <c r="CF638" s="147"/>
      <c r="CI638" s="146"/>
      <c r="CJ638" s="153"/>
      <c r="CV638" s="154"/>
      <c r="CX638" s="154"/>
      <c r="CZ638" s="154"/>
      <c r="DB638" s="154"/>
      <c r="DD638" s="154"/>
      <c r="DH638" s="474"/>
      <c r="DI638" s="459"/>
      <c r="DJ638" s="459"/>
      <c r="DK638" s="459"/>
      <c r="DL638" s="459"/>
      <c r="DM638" s="459"/>
      <c r="DN638" s="459"/>
      <c r="DO638" s="459"/>
      <c r="DP638" s="459"/>
      <c r="DQ638" s="459"/>
      <c r="DR638" s="459"/>
      <c r="DS638" s="459"/>
      <c r="DT638" s="459"/>
      <c r="DU638" s="459"/>
      <c r="DV638" s="468"/>
      <c r="DW638" s="468"/>
      <c r="DX638" s="459"/>
      <c r="DY638" s="459"/>
    </row>
    <row r="639" spans="1:129" s="128" customFormat="1" ht="54.95" customHeight="1" x14ac:dyDescent="0.25">
      <c r="A639" s="377"/>
      <c r="B639" s="175"/>
      <c r="C639" s="393"/>
      <c r="D639" s="168"/>
      <c r="E639" s="168"/>
      <c r="F639" s="168"/>
      <c r="G639" s="168"/>
      <c r="H639" s="168"/>
      <c r="I639" s="168"/>
      <c r="J639" s="168"/>
      <c r="K639" s="168"/>
      <c r="L639" s="168"/>
      <c r="M639" s="168"/>
      <c r="N639" s="168"/>
      <c r="O639" s="433"/>
      <c r="P639" s="122"/>
      <c r="Q639" s="156"/>
      <c r="R639" s="156"/>
      <c r="S639" s="156"/>
      <c r="T639" s="156"/>
      <c r="U639" s="156"/>
      <c r="V639" s="156"/>
      <c r="W639" s="156"/>
      <c r="X639" s="156"/>
      <c r="Y639" s="156"/>
      <c r="Z639" s="157"/>
      <c r="AA639" s="157"/>
      <c r="AB639" s="156"/>
      <c r="AC639" s="156"/>
      <c r="AD639" s="156"/>
      <c r="AE639" s="156"/>
      <c r="AF639" s="156"/>
      <c r="AG639" s="156"/>
      <c r="AH639" s="156"/>
      <c r="AI639" s="156"/>
      <c r="AJ639" s="156"/>
      <c r="AK639" s="156"/>
      <c r="AL639" s="156"/>
      <c r="AM639" s="158"/>
      <c r="AN639" s="156"/>
      <c r="AO639" s="156"/>
      <c r="AP639" s="156"/>
      <c r="AQ639" s="156"/>
      <c r="AR639" s="156"/>
      <c r="AS639" s="156"/>
      <c r="AT639" s="156"/>
      <c r="AU639" s="156"/>
      <c r="AV639" s="156"/>
      <c r="AW639" s="156"/>
      <c r="AX639" s="156"/>
      <c r="AY639" s="156"/>
      <c r="AZ639" s="156"/>
      <c r="BA639" s="153"/>
      <c r="BD639" s="153"/>
      <c r="BE639" s="147"/>
      <c r="BI639" s="153"/>
      <c r="BO639" s="153"/>
      <c r="BW639" s="153"/>
      <c r="CD639" s="146"/>
      <c r="CF639" s="147"/>
      <c r="CI639" s="146"/>
      <c r="CJ639" s="153"/>
      <c r="CV639" s="154"/>
      <c r="CX639" s="154"/>
      <c r="CZ639" s="154"/>
      <c r="DB639" s="154"/>
      <c r="DD639" s="154"/>
      <c r="DH639" s="474"/>
      <c r="DI639" s="459"/>
      <c r="DJ639" s="459"/>
      <c r="DK639" s="459"/>
      <c r="DL639" s="459"/>
      <c r="DM639" s="459"/>
      <c r="DN639" s="459"/>
      <c r="DO639" s="459"/>
      <c r="DP639" s="459"/>
      <c r="DQ639" s="459"/>
      <c r="DR639" s="459"/>
      <c r="DS639" s="459"/>
      <c r="DT639" s="459"/>
      <c r="DU639" s="459"/>
      <c r="DV639" s="468"/>
      <c r="DW639" s="468"/>
      <c r="DX639" s="459"/>
      <c r="DY639" s="459"/>
    </row>
    <row r="640" spans="1:129" s="128" customFormat="1" ht="54.95" customHeight="1" x14ac:dyDescent="0.25">
      <c r="A640" s="377"/>
      <c r="B640" s="175"/>
      <c r="C640" s="393"/>
      <c r="D640" s="168"/>
      <c r="E640" s="168"/>
      <c r="F640" s="168"/>
      <c r="G640" s="168"/>
      <c r="H640" s="168"/>
      <c r="I640" s="168"/>
      <c r="J640" s="168"/>
      <c r="K640" s="168"/>
      <c r="L640" s="168"/>
      <c r="M640" s="168"/>
      <c r="N640" s="168"/>
      <c r="O640" s="433"/>
      <c r="P640" s="122"/>
      <c r="Q640" s="156"/>
      <c r="R640" s="156"/>
      <c r="S640" s="156"/>
      <c r="T640" s="156"/>
      <c r="U640" s="156"/>
      <c r="V640" s="156"/>
      <c r="W640" s="156"/>
      <c r="X640" s="156"/>
      <c r="Y640" s="156"/>
      <c r="Z640" s="157"/>
      <c r="AA640" s="157"/>
      <c r="AB640" s="156"/>
      <c r="AC640" s="156"/>
      <c r="AD640" s="156"/>
      <c r="AE640" s="156"/>
      <c r="AF640" s="156"/>
      <c r="AG640" s="156"/>
      <c r="AH640" s="156"/>
      <c r="AI640" s="156"/>
      <c r="AJ640" s="156"/>
      <c r="AK640" s="156"/>
      <c r="AL640" s="156"/>
      <c r="AM640" s="158"/>
      <c r="AN640" s="156"/>
      <c r="AO640" s="156"/>
      <c r="AP640" s="156"/>
      <c r="AQ640" s="156"/>
      <c r="AR640" s="156"/>
      <c r="AS640" s="156"/>
      <c r="AT640" s="156"/>
      <c r="AU640" s="156"/>
      <c r="AV640" s="156"/>
      <c r="AW640" s="156"/>
      <c r="AX640" s="156"/>
      <c r="AY640" s="156"/>
      <c r="AZ640" s="156"/>
      <c r="BA640" s="153"/>
      <c r="BD640" s="153"/>
      <c r="BE640" s="147"/>
      <c r="BI640" s="153"/>
      <c r="BO640" s="153"/>
      <c r="BW640" s="153"/>
      <c r="CD640" s="146"/>
      <c r="CF640" s="147"/>
      <c r="CI640" s="146"/>
      <c r="CJ640" s="153"/>
      <c r="CV640" s="154"/>
      <c r="CX640" s="154"/>
      <c r="CZ640" s="154"/>
      <c r="DB640" s="154"/>
      <c r="DD640" s="154"/>
      <c r="DH640" s="474"/>
      <c r="DI640" s="459"/>
      <c r="DJ640" s="459"/>
      <c r="DK640" s="459"/>
      <c r="DL640" s="459"/>
      <c r="DM640" s="459"/>
      <c r="DN640" s="459"/>
      <c r="DO640" s="459"/>
      <c r="DP640" s="459"/>
      <c r="DQ640" s="459"/>
      <c r="DR640" s="459"/>
      <c r="DS640" s="459"/>
      <c r="DT640" s="459"/>
      <c r="DU640" s="459"/>
      <c r="DV640" s="468"/>
      <c r="DW640" s="468"/>
      <c r="DX640" s="459"/>
      <c r="DY640" s="459"/>
    </row>
    <row r="641" spans="1:129" s="128" customFormat="1" ht="54.95" customHeight="1" x14ac:dyDescent="0.25">
      <c r="A641" s="377"/>
      <c r="B641" s="175"/>
      <c r="C641" s="393"/>
      <c r="D641" s="168"/>
      <c r="E641" s="168"/>
      <c r="F641" s="168"/>
      <c r="G641" s="168"/>
      <c r="H641" s="168"/>
      <c r="I641" s="168"/>
      <c r="J641" s="168"/>
      <c r="K641" s="168"/>
      <c r="L641" s="168"/>
      <c r="M641" s="168"/>
      <c r="N641" s="168"/>
      <c r="O641" s="433"/>
      <c r="P641" s="122"/>
      <c r="Q641" s="156"/>
      <c r="R641" s="156"/>
      <c r="S641" s="156"/>
      <c r="T641" s="156"/>
      <c r="U641" s="156"/>
      <c r="V641" s="156"/>
      <c r="W641" s="156"/>
      <c r="X641" s="156"/>
      <c r="Y641" s="156"/>
      <c r="Z641" s="157"/>
      <c r="AA641" s="157"/>
      <c r="AB641" s="156"/>
      <c r="AC641" s="156"/>
      <c r="AD641" s="156"/>
      <c r="AE641" s="156"/>
      <c r="AF641" s="156"/>
      <c r="AG641" s="156"/>
      <c r="AH641" s="156"/>
      <c r="AI641" s="156"/>
      <c r="AJ641" s="156"/>
      <c r="AK641" s="156"/>
      <c r="AL641" s="156"/>
      <c r="AM641" s="158"/>
      <c r="AN641" s="156"/>
      <c r="AO641" s="156"/>
      <c r="AP641" s="156"/>
      <c r="AQ641" s="156"/>
      <c r="AR641" s="156"/>
      <c r="AS641" s="156"/>
      <c r="AT641" s="156"/>
      <c r="AU641" s="156"/>
      <c r="AV641" s="156"/>
      <c r="AW641" s="156"/>
      <c r="AX641" s="156"/>
      <c r="AY641" s="156"/>
      <c r="AZ641" s="156"/>
      <c r="BA641" s="153"/>
      <c r="BD641" s="153"/>
      <c r="BE641" s="147"/>
      <c r="BI641" s="153"/>
      <c r="BO641" s="153"/>
      <c r="BW641" s="153"/>
      <c r="CD641" s="146"/>
      <c r="CF641" s="147"/>
      <c r="CI641" s="146"/>
      <c r="CJ641" s="153"/>
      <c r="CV641" s="154"/>
      <c r="CX641" s="154"/>
      <c r="CZ641" s="154"/>
      <c r="DB641" s="154"/>
      <c r="DD641" s="154"/>
      <c r="DH641" s="474"/>
      <c r="DI641" s="459"/>
      <c r="DJ641" s="459"/>
      <c r="DK641" s="459"/>
      <c r="DL641" s="459"/>
      <c r="DM641" s="459"/>
      <c r="DN641" s="459"/>
      <c r="DO641" s="459"/>
      <c r="DP641" s="459"/>
      <c r="DQ641" s="459"/>
      <c r="DR641" s="459"/>
      <c r="DS641" s="459"/>
      <c r="DT641" s="459"/>
      <c r="DU641" s="459"/>
      <c r="DV641" s="468"/>
      <c r="DW641" s="468"/>
      <c r="DX641" s="459"/>
      <c r="DY641" s="459"/>
    </row>
    <row r="642" spans="1:129" s="128" customFormat="1" ht="54.95" customHeight="1" x14ac:dyDescent="0.25">
      <c r="A642" s="377"/>
      <c r="B642" s="175"/>
      <c r="C642" s="393"/>
      <c r="D642" s="168"/>
      <c r="E642" s="168"/>
      <c r="F642" s="168"/>
      <c r="G642" s="168"/>
      <c r="H642" s="168"/>
      <c r="I642" s="168"/>
      <c r="J642" s="168"/>
      <c r="K642" s="168"/>
      <c r="L642" s="168"/>
      <c r="M642" s="168"/>
      <c r="N642" s="168"/>
      <c r="O642" s="433"/>
      <c r="P642" s="122"/>
      <c r="Q642" s="156"/>
      <c r="R642" s="156"/>
      <c r="S642" s="156"/>
      <c r="T642" s="156"/>
      <c r="U642" s="156"/>
      <c r="V642" s="156"/>
      <c r="W642" s="156"/>
      <c r="X642" s="156"/>
      <c r="Y642" s="156"/>
      <c r="Z642" s="157"/>
      <c r="AA642" s="157"/>
      <c r="AB642" s="156"/>
      <c r="AC642" s="156"/>
      <c r="AD642" s="156"/>
      <c r="AE642" s="156"/>
      <c r="AF642" s="156"/>
      <c r="AG642" s="156"/>
      <c r="AH642" s="156"/>
      <c r="AI642" s="156"/>
      <c r="AJ642" s="156"/>
      <c r="AK642" s="156"/>
      <c r="AL642" s="156"/>
      <c r="AM642" s="158"/>
      <c r="AN642" s="156"/>
      <c r="AO642" s="156"/>
      <c r="AP642" s="156"/>
      <c r="AQ642" s="156"/>
      <c r="AR642" s="156"/>
      <c r="AS642" s="156"/>
      <c r="AT642" s="156"/>
      <c r="AU642" s="156"/>
      <c r="AV642" s="156"/>
      <c r="AW642" s="156"/>
      <c r="AX642" s="156"/>
      <c r="AY642" s="156"/>
      <c r="AZ642" s="156"/>
      <c r="BA642" s="153"/>
      <c r="BD642" s="153"/>
      <c r="BE642" s="147"/>
      <c r="BI642" s="153"/>
      <c r="BO642" s="153"/>
      <c r="BW642" s="153"/>
      <c r="CD642" s="146"/>
      <c r="CF642" s="147"/>
      <c r="CI642" s="146"/>
      <c r="CJ642" s="153"/>
      <c r="CV642" s="154"/>
      <c r="CX642" s="154"/>
      <c r="CZ642" s="154"/>
      <c r="DB642" s="154"/>
      <c r="DD642" s="154"/>
      <c r="DH642" s="474"/>
      <c r="DI642" s="459"/>
      <c r="DJ642" s="459"/>
      <c r="DK642" s="459"/>
      <c r="DL642" s="459"/>
      <c r="DM642" s="459"/>
      <c r="DN642" s="459"/>
      <c r="DO642" s="459"/>
      <c r="DP642" s="459"/>
      <c r="DQ642" s="459"/>
      <c r="DR642" s="459"/>
      <c r="DS642" s="459"/>
      <c r="DT642" s="459"/>
      <c r="DU642" s="459"/>
      <c r="DV642" s="468"/>
      <c r="DW642" s="468"/>
      <c r="DX642" s="459"/>
      <c r="DY642" s="459"/>
    </row>
    <row r="643" spans="1:129" s="128" customFormat="1" ht="54.95" customHeight="1" x14ac:dyDescent="0.25">
      <c r="A643" s="377"/>
      <c r="B643" s="175"/>
      <c r="C643" s="393"/>
      <c r="D643" s="168"/>
      <c r="E643" s="168"/>
      <c r="F643" s="168"/>
      <c r="G643" s="168"/>
      <c r="H643" s="168"/>
      <c r="I643" s="168"/>
      <c r="J643" s="168"/>
      <c r="K643" s="168"/>
      <c r="L643" s="168"/>
      <c r="M643" s="168"/>
      <c r="N643" s="168"/>
      <c r="O643" s="433"/>
      <c r="P643" s="122"/>
      <c r="Q643" s="156"/>
      <c r="R643" s="156"/>
      <c r="S643" s="156"/>
      <c r="T643" s="156"/>
      <c r="U643" s="156"/>
      <c r="V643" s="156"/>
      <c r="W643" s="156"/>
      <c r="X643" s="156"/>
      <c r="Y643" s="156"/>
      <c r="Z643" s="157"/>
      <c r="AA643" s="157"/>
      <c r="AB643" s="156"/>
      <c r="AC643" s="156"/>
      <c r="AD643" s="156"/>
      <c r="AE643" s="156"/>
      <c r="AF643" s="156"/>
      <c r="AG643" s="156"/>
      <c r="AH643" s="156"/>
      <c r="AI643" s="156"/>
      <c r="AJ643" s="156"/>
      <c r="AK643" s="156"/>
      <c r="AL643" s="156"/>
      <c r="AM643" s="158"/>
      <c r="AN643" s="156"/>
      <c r="AO643" s="156"/>
      <c r="AP643" s="156"/>
      <c r="AQ643" s="156"/>
      <c r="AR643" s="156"/>
      <c r="AS643" s="156"/>
      <c r="AT643" s="156"/>
      <c r="AU643" s="156"/>
      <c r="AV643" s="156"/>
      <c r="AW643" s="156"/>
      <c r="AX643" s="156"/>
      <c r="AY643" s="156"/>
      <c r="AZ643" s="156"/>
      <c r="BA643" s="153"/>
      <c r="BD643" s="153"/>
      <c r="BE643" s="147"/>
      <c r="BI643" s="153"/>
      <c r="BO643" s="153"/>
      <c r="BW643" s="153"/>
      <c r="CD643" s="146"/>
      <c r="CF643" s="147"/>
      <c r="CI643" s="146"/>
      <c r="CJ643" s="153"/>
      <c r="CV643" s="154"/>
      <c r="CX643" s="154"/>
      <c r="CZ643" s="154"/>
      <c r="DB643" s="154"/>
      <c r="DD643" s="154"/>
      <c r="DH643" s="474"/>
      <c r="DI643" s="459"/>
      <c r="DJ643" s="459"/>
      <c r="DK643" s="459"/>
      <c r="DL643" s="459"/>
      <c r="DM643" s="459"/>
      <c r="DN643" s="459"/>
      <c r="DO643" s="459"/>
      <c r="DP643" s="459"/>
      <c r="DQ643" s="459"/>
      <c r="DR643" s="459"/>
      <c r="DS643" s="459"/>
      <c r="DT643" s="459"/>
      <c r="DU643" s="459"/>
      <c r="DV643" s="468"/>
      <c r="DW643" s="468"/>
      <c r="DX643" s="459"/>
      <c r="DY643" s="459"/>
    </row>
    <row r="644" spans="1:129" s="128" customFormat="1" ht="54.95" customHeight="1" x14ac:dyDescent="0.25">
      <c r="A644" s="377"/>
      <c r="B644" s="175"/>
      <c r="C644" s="393"/>
      <c r="D644" s="168"/>
      <c r="E644" s="168"/>
      <c r="F644" s="168"/>
      <c r="G644" s="168"/>
      <c r="H644" s="168"/>
      <c r="I644" s="168"/>
      <c r="J644" s="168"/>
      <c r="K644" s="168"/>
      <c r="L644" s="168"/>
      <c r="M644" s="168"/>
      <c r="N644" s="168"/>
      <c r="O644" s="433"/>
      <c r="P644" s="122"/>
      <c r="Q644" s="156"/>
      <c r="R644" s="156"/>
      <c r="S644" s="156"/>
      <c r="T644" s="156"/>
      <c r="U644" s="156"/>
      <c r="V644" s="156"/>
      <c r="W644" s="156"/>
      <c r="X644" s="156"/>
      <c r="Y644" s="156"/>
      <c r="Z644" s="157"/>
      <c r="AA644" s="157"/>
      <c r="AB644" s="156"/>
      <c r="AC644" s="156"/>
      <c r="AD644" s="156"/>
      <c r="AE644" s="156"/>
      <c r="AF644" s="156"/>
      <c r="AG644" s="156"/>
      <c r="AH644" s="156"/>
      <c r="AI644" s="156"/>
      <c r="AJ644" s="156"/>
      <c r="AK644" s="156"/>
      <c r="AL644" s="156"/>
      <c r="AM644" s="158"/>
      <c r="AN644" s="156"/>
      <c r="AO644" s="156"/>
      <c r="AP644" s="156"/>
      <c r="AQ644" s="156"/>
      <c r="AR644" s="156"/>
      <c r="AS644" s="156"/>
      <c r="AT644" s="156"/>
      <c r="AU644" s="156"/>
      <c r="AV644" s="156"/>
      <c r="AW644" s="156"/>
      <c r="AX644" s="156"/>
      <c r="AY644" s="156"/>
      <c r="AZ644" s="156"/>
      <c r="BA644" s="153"/>
      <c r="BD644" s="153"/>
      <c r="BE644" s="147"/>
      <c r="BI644" s="153"/>
      <c r="BO644" s="153"/>
      <c r="BW644" s="153"/>
      <c r="CD644" s="146"/>
      <c r="CF644" s="147"/>
      <c r="CI644" s="146"/>
      <c r="CJ644" s="153"/>
      <c r="CV644" s="154"/>
      <c r="CX644" s="154"/>
      <c r="CZ644" s="154"/>
      <c r="DB644" s="154"/>
      <c r="DD644" s="154"/>
      <c r="DH644" s="474"/>
      <c r="DI644" s="459"/>
      <c r="DJ644" s="459"/>
      <c r="DK644" s="459"/>
      <c r="DL644" s="459"/>
      <c r="DM644" s="459"/>
      <c r="DN644" s="459"/>
      <c r="DO644" s="459"/>
      <c r="DP644" s="459"/>
      <c r="DQ644" s="459"/>
      <c r="DR644" s="459"/>
      <c r="DS644" s="459"/>
      <c r="DT644" s="459"/>
      <c r="DU644" s="459"/>
      <c r="DV644" s="468"/>
      <c r="DW644" s="468"/>
      <c r="DX644" s="459"/>
      <c r="DY644" s="459"/>
    </row>
    <row r="645" spans="1:129" s="128" customFormat="1" ht="54.95" customHeight="1" x14ac:dyDescent="0.25">
      <c r="A645" s="377"/>
      <c r="B645" s="175"/>
      <c r="C645" s="393"/>
      <c r="D645" s="168"/>
      <c r="E645" s="168"/>
      <c r="F645" s="168"/>
      <c r="G645" s="168"/>
      <c r="H645" s="168"/>
      <c r="I645" s="168"/>
      <c r="J645" s="168"/>
      <c r="K645" s="168"/>
      <c r="L645" s="168"/>
      <c r="M645" s="168"/>
      <c r="N645" s="168"/>
      <c r="O645" s="433"/>
      <c r="P645" s="122"/>
      <c r="Q645" s="156"/>
      <c r="R645" s="156"/>
      <c r="S645" s="156"/>
      <c r="T645" s="156"/>
      <c r="U645" s="156"/>
      <c r="V645" s="156"/>
      <c r="W645" s="156"/>
      <c r="X645" s="156"/>
      <c r="Y645" s="156"/>
      <c r="Z645" s="157"/>
      <c r="AA645" s="157"/>
      <c r="AB645" s="156"/>
      <c r="AC645" s="156"/>
      <c r="AD645" s="156"/>
      <c r="AE645" s="156"/>
      <c r="AF645" s="156"/>
      <c r="AG645" s="156"/>
      <c r="AH645" s="156"/>
      <c r="AI645" s="156"/>
      <c r="AJ645" s="156"/>
      <c r="AK645" s="156"/>
      <c r="AL645" s="156"/>
      <c r="AM645" s="158"/>
      <c r="AN645" s="156"/>
      <c r="AO645" s="156"/>
      <c r="AP645" s="156"/>
      <c r="AQ645" s="156"/>
      <c r="AR645" s="156"/>
      <c r="AS645" s="156"/>
      <c r="AT645" s="156"/>
      <c r="AU645" s="156"/>
      <c r="AV645" s="156"/>
      <c r="AW645" s="156"/>
      <c r="AX645" s="156"/>
      <c r="AY645" s="156"/>
      <c r="AZ645" s="156"/>
      <c r="BA645" s="153"/>
      <c r="BD645" s="153"/>
      <c r="BE645" s="147"/>
      <c r="BI645" s="153"/>
      <c r="BO645" s="153"/>
      <c r="BW645" s="153"/>
      <c r="CD645" s="146"/>
      <c r="CF645" s="147"/>
      <c r="CI645" s="146"/>
      <c r="CJ645" s="153"/>
      <c r="CV645" s="154"/>
      <c r="CX645" s="154"/>
      <c r="CZ645" s="154"/>
      <c r="DB645" s="154"/>
      <c r="DD645" s="154"/>
      <c r="DH645" s="474"/>
      <c r="DI645" s="459"/>
      <c r="DJ645" s="459"/>
      <c r="DK645" s="459"/>
      <c r="DL645" s="459"/>
      <c r="DM645" s="459"/>
      <c r="DN645" s="459"/>
      <c r="DO645" s="459"/>
      <c r="DP645" s="459"/>
      <c r="DQ645" s="459"/>
      <c r="DR645" s="459"/>
      <c r="DS645" s="459"/>
      <c r="DT645" s="459"/>
      <c r="DU645" s="459"/>
      <c r="DV645" s="468"/>
      <c r="DW645" s="468"/>
      <c r="DX645" s="459"/>
      <c r="DY645" s="459"/>
    </row>
    <row r="646" spans="1:129" s="128" customFormat="1" ht="54.95" customHeight="1" x14ac:dyDescent="0.25">
      <c r="A646" s="377"/>
      <c r="B646" s="175"/>
      <c r="C646" s="393"/>
      <c r="D646" s="168"/>
      <c r="E646" s="168"/>
      <c r="F646" s="168"/>
      <c r="G646" s="168"/>
      <c r="H646" s="168"/>
      <c r="I646" s="168"/>
      <c r="J646" s="168"/>
      <c r="K646" s="168"/>
      <c r="L646" s="168"/>
      <c r="M646" s="168"/>
      <c r="N646" s="168"/>
      <c r="O646" s="433"/>
      <c r="P646" s="122"/>
      <c r="Q646" s="156"/>
      <c r="R646" s="156"/>
      <c r="S646" s="156"/>
      <c r="T646" s="156"/>
      <c r="U646" s="156"/>
      <c r="V646" s="156"/>
      <c r="W646" s="156"/>
      <c r="X646" s="156"/>
      <c r="Y646" s="156"/>
      <c r="Z646" s="157"/>
      <c r="AA646" s="157"/>
      <c r="AB646" s="156"/>
      <c r="AC646" s="156"/>
      <c r="AD646" s="156"/>
      <c r="AE646" s="156"/>
      <c r="AF646" s="156"/>
      <c r="AG646" s="156"/>
      <c r="AH646" s="156"/>
      <c r="AI646" s="156"/>
      <c r="AJ646" s="156"/>
      <c r="AK646" s="156"/>
      <c r="AL646" s="156"/>
      <c r="AM646" s="158"/>
      <c r="AN646" s="156"/>
      <c r="AO646" s="156"/>
      <c r="AP646" s="156"/>
      <c r="AQ646" s="156"/>
      <c r="AR646" s="156"/>
      <c r="AS646" s="156"/>
      <c r="AT646" s="156"/>
      <c r="AU646" s="156"/>
      <c r="AV646" s="156"/>
      <c r="AW646" s="156"/>
      <c r="AX646" s="156"/>
      <c r="AY646" s="156"/>
      <c r="AZ646" s="156"/>
      <c r="BA646" s="153"/>
      <c r="BD646" s="153"/>
      <c r="BE646" s="147"/>
      <c r="BI646" s="153"/>
      <c r="BO646" s="153"/>
      <c r="BW646" s="153"/>
      <c r="CD646" s="146"/>
      <c r="CF646" s="147"/>
      <c r="CI646" s="146"/>
      <c r="CJ646" s="153"/>
      <c r="CV646" s="154"/>
      <c r="CX646" s="154"/>
      <c r="CZ646" s="154"/>
      <c r="DB646" s="154"/>
      <c r="DD646" s="154"/>
      <c r="DH646" s="474"/>
      <c r="DI646" s="459"/>
      <c r="DJ646" s="459"/>
      <c r="DK646" s="459"/>
      <c r="DL646" s="459"/>
      <c r="DM646" s="459"/>
      <c r="DN646" s="459"/>
      <c r="DO646" s="459"/>
      <c r="DP646" s="459"/>
      <c r="DQ646" s="459"/>
      <c r="DR646" s="459"/>
      <c r="DS646" s="459"/>
      <c r="DT646" s="459"/>
      <c r="DU646" s="459"/>
      <c r="DV646" s="468"/>
      <c r="DW646" s="468"/>
      <c r="DX646" s="459"/>
      <c r="DY646" s="459"/>
    </row>
    <row r="647" spans="1:129" s="128" customFormat="1" ht="54.95" customHeight="1" x14ac:dyDescent="0.25">
      <c r="A647" s="377"/>
      <c r="B647" s="175"/>
      <c r="C647" s="393"/>
      <c r="D647" s="168"/>
      <c r="E647" s="168"/>
      <c r="F647" s="168"/>
      <c r="G647" s="168"/>
      <c r="H647" s="168"/>
      <c r="I647" s="168"/>
      <c r="J647" s="168"/>
      <c r="K647" s="168"/>
      <c r="L647" s="168"/>
      <c r="M647" s="168"/>
      <c r="N647" s="168"/>
      <c r="O647" s="433"/>
      <c r="P647" s="122"/>
      <c r="Q647" s="156"/>
      <c r="R647" s="156"/>
      <c r="S647" s="156"/>
      <c r="T647" s="156"/>
      <c r="U647" s="156"/>
      <c r="V647" s="156"/>
      <c r="W647" s="156"/>
      <c r="X647" s="156"/>
      <c r="Y647" s="156"/>
      <c r="Z647" s="157"/>
      <c r="AA647" s="157"/>
      <c r="AB647" s="156"/>
      <c r="AC647" s="156"/>
      <c r="AD647" s="156"/>
      <c r="AE647" s="156"/>
      <c r="AF647" s="156"/>
      <c r="AG647" s="156"/>
      <c r="AH647" s="156"/>
      <c r="AI647" s="156"/>
      <c r="AJ647" s="156"/>
      <c r="AK647" s="156"/>
      <c r="AL647" s="156"/>
      <c r="AM647" s="158"/>
      <c r="AN647" s="156"/>
      <c r="AO647" s="156"/>
      <c r="AP647" s="156"/>
      <c r="AQ647" s="156"/>
      <c r="AR647" s="156"/>
      <c r="AS647" s="156"/>
      <c r="AT647" s="156"/>
      <c r="AU647" s="156"/>
      <c r="AV647" s="156"/>
      <c r="AW647" s="156"/>
      <c r="AX647" s="156"/>
      <c r="AY647" s="156"/>
      <c r="AZ647" s="156"/>
      <c r="BA647" s="153"/>
      <c r="BD647" s="153"/>
      <c r="BE647" s="147"/>
      <c r="BI647" s="153"/>
      <c r="BO647" s="153"/>
      <c r="BW647" s="153"/>
      <c r="CD647" s="146"/>
      <c r="CF647" s="147"/>
      <c r="CI647" s="146"/>
      <c r="CJ647" s="153"/>
      <c r="CV647" s="154"/>
      <c r="CX647" s="154"/>
      <c r="CZ647" s="154"/>
      <c r="DB647" s="154"/>
      <c r="DD647" s="154"/>
      <c r="DH647" s="474"/>
      <c r="DI647" s="459"/>
      <c r="DJ647" s="459"/>
      <c r="DK647" s="459"/>
      <c r="DL647" s="459"/>
      <c r="DM647" s="459"/>
      <c r="DN647" s="459"/>
      <c r="DO647" s="459"/>
      <c r="DP647" s="459"/>
      <c r="DQ647" s="459"/>
      <c r="DR647" s="459"/>
      <c r="DS647" s="459"/>
      <c r="DT647" s="459"/>
      <c r="DU647" s="459"/>
      <c r="DV647" s="468"/>
      <c r="DW647" s="468"/>
      <c r="DX647" s="459"/>
      <c r="DY647" s="459"/>
    </row>
    <row r="648" spans="1:129" s="128" customFormat="1" ht="54.95" customHeight="1" x14ac:dyDescent="0.25">
      <c r="A648" s="377"/>
      <c r="B648" s="175"/>
      <c r="C648" s="393"/>
      <c r="D648" s="168"/>
      <c r="E648" s="168"/>
      <c r="F648" s="168"/>
      <c r="G648" s="168"/>
      <c r="H648" s="168"/>
      <c r="I648" s="168"/>
      <c r="J648" s="168"/>
      <c r="K648" s="168"/>
      <c r="L648" s="168"/>
      <c r="M648" s="168"/>
      <c r="N648" s="168"/>
      <c r="O648" s="433"/>
      <c r="P648" s="122"/>
      <c r="Q648" s="156"/>
      <c r="R648" s="156"/>
      <c r="S648" s="156"/>
      <c r="T648" s="156"/>
      <c r="U648" s="156"/>
      <c r="V648" s="156"/>
      <c r="W648" s="156"/>
      <c r="X648" s="156"/>
      <c r="Y648" s="156"/>
      <c r="Z648" s="157"/>
      <c r="AA648" s="157"/>
      <c r="AB648" s="156"/>
      <c r="AC648" s="156"/>
      <c r="AD648" s="156"/>
      <c r="AE648" s="156"/>
      <c r="AF648" s="156"/>
      <c r="AG648" s="156"/>
      <c r="AH648" s="156"/>
      <c r="AI648" s="156"/>
      <c r="AJ648" s="156"/>
      <c r="AK648" s="156"/>
      <c r="AL648" s="156"/>
      <c r="AM648" s="158"/>
      <c r="AN648" s="156"/>
      <c r="AO648" s="156"/>
      <c r="AP648" s="156"/>
      <c r="AQ648" s="156"/>
      <c r="AR648" s="156"/>
      <c r="AS648" s="156"/>
      <c r="AT648" s="156"/>
      <c r="AU648" s="156"/>
      <c r="AV648" s="156"/>
      <c r="AW648" s="156"/>
      <c r="AX648" s="156"/>
      <c r="AY648" s="156"/>
      <c r="AZ648" s="156"/>
      <c r="BA648" s="153"/>
      <c r="BD648" s="153"/>
      <c r="BE648" s="147"/>
      <c r="BI648" s="153"/>
      <c r="BO648" s="153"/>
      <c r="BW648" s="153"/>
      <c r="CD648" s="146"/>
      <c r="CF648" s="147"/>
      <c r="CI648" s="146"/>
      <c r="CJ648" s="153"/>
      <c r="CV648" s="154"/>
      <c r="CX648" s="154"/>
      <c r="CZ648" s="154"/>
      <c r="DB648" s="154"/>
      <c r="DD648" s="154"/>
      <c r="DH648" s="474"/>
      <c r="DI648" s="459"/>
      <c r="DJ648" s="459"/>
      <c r="DK648" s="459"/>
      <c r="DL648" s="459"/>
      <c r="DM648" s="459"/>
      <c r="DN648" s="459"/>
      <c r="DO648" s="459"/>
      <c r="DP648" s="459"/>
      <c r="DQ648" s="459"/>
      <c r="DR648" s="459"/>
      <c r="DS648" s="459"/>
      <c r="DT648" s="459"/>
      <c r="DU648" s="459"/>
      <c r="DV648" s="468"/>
      <c r="DW648" s="468"/>
      <c r="DX648" s="459"/>
      <c r="DY648" s="459"/>
    </row>
    <row r="649" spans="1:129" s="128" customFormat="1" ht="54.95" customHeight="1" x14ac:dyDescent="0.25">
      <c r="A649" s="377"/>
      <c r="B649" s="175"/>
      <c r="C649" s="393"/>
      <c r="D649" s="168"/>
      <c r="E649" s="168"/>
      <c r="F649" s="168"/>
      <c r="G649" s="168"/>
      <c r="H649" s="168"/>
      <c r="I649" s="168"/>
      <c r="J649" s="168"/>
      <c r="K649" s="168"/>
      <c r="L649" s="168"/>
      <c r="M649" s="168"/>
      <c r="N649" s="168"/>
      <c r="O649" s="433"/>
      <c r="P649" s="122"/>
      <c r="Q649" s="156"/>
      <c r="R649" s="156"/>
      <c r="S649" s="156"/>
      <c r="T649" s="156"/>
      <c r="U649" s="156"/>
      <c r="V649" s="156"/>
      <c r="W649" s="156"/>
      <c r="X649" s="156"/>
      <c r="Y649" s="156"/>
      <c r="Z649" s="157"/>
      <c r="AA649" s="157"/>
      <c r="AB649" s="156"/>
      <c r="AC649" s="156"/>
      <c r="AD649" s="156"/>
      <c r="AE649" s="156"/>
      <c r="AF649" s="156"/>
      <c r="AG649" s="156"/>
      <c r="AH649" s="156"/>
      <c r="AI649" s="156"/>
      <c r="AJ649" s="156"/>
      <c r="AK649" s="156"/>
      <c r="AL649" s="156"/>
      <c r="AM649" s="158"/>
      <c r="AN649" s="156"/>
      <c r="AO649" s="156"/>
      <c r="AP649" s="156"/>
      <c r="AQ649" s="156"/>
      <c r="AR649" s="156"/>
      <c r="AS649" s="156"/>
      <c r="AT649" s="156"/>
      <c r="AU649" s="156"/>
      <c r="AV649" s="156"/>
      <c r="AW649" s="156"/>
      <c r="AX649" s="156"/>
      <c r="AY649" s="156"/>
      <c r="AZ649" s="156"/>
      <c r="BA649" s="153"/>
      <c r="BD649" s="153"/>
      <c r="BE649" s="147"/>
      <c r="BI649" s="153"/>
      <c r="BO649" s="153"/>
      <c r="BW649" s="153"/>
      <c r="CD649" s="146"/>
      <c r="CF649" s="147"/>
      <c r="CI649" s="146"/>
      <c r="CJ649" s="153"/>
      <c r="CV649" s="154"/>
      <c r="CX649" s="154"/>
      <c r="CZ649" s="154"/>
      <c r="DB649" s="154"/>
      <c r="DD649" s="154"/>
      <c r="DH649" s="474"/>
      <c r="DI649" s="459"/>
      <c r="DJ649" s="459"/>
      <c r="DK649" s="459"/>
      <c r="DL649" s="459"/>
      <c r="DM649" s="459"/>
      <c r="DN649" s="459"/>
      <c r="DO649" s="459"/>
      <c r="DP649" s="459"/>
      <c r="DQ649" s="459"/>
      <c r="DR649" s="459"/>
      <c r="DS649" s="459"/>
      <c r="DT649" s="459"/>
      <c r="DU649" s="459"/>
      <c r="DV649" s="468"/>
      <c r="DW649" s="468"/>
      <c r="DX649" s="459"/>
      <c r="DY649" s="459"/>
    </row>
    <row r="650" spans="1:129" s="128" customFormat="1" ht="54.95" customHeight="1" x14ac:dyDescent="0.25">
      <c r="A650" s="377"/>
      <c r="B650" s="175"/>
      <c r="C650" s="393"/>
      <c r="D650" s="168"/>
      <c r="E650" s="168"/>
      <c r="F650" s="168"/>
      <c r="G650" s="168"/>
      <c r="H650" s="168"/>
      <c r="I650" s="168"/>
      <c r="J650" s="168"/>
      <c r="K650" s="168"/>
      <c r="L650" s="168"/>
      <c r="M650" s="168"/>
      <c r="N650" s="168"/>
      <c r="O650" s="433"/>
      <c r="P650" s="122"/>
      <c r="Q650" s="156"/>
      <c r="R650" s="156"/>
      <c r="S650" s="156"/>
      <c r="T650" s="156"/>
      <c r="U650" s="156"/>
      <c r="V650" s="156"/>
      <c r="W650" s="156"/>
      <c r="X650" s="156"/>
      <c r="Y650" s="156"/>
      <c r="Z650" s="157"/>
      <c r="AA650" s="157"/>
      <c r="AB650" s="156"/>
      <c r="AC650" s="156"/>
      <c r="AD650" s="156"/>
      <c r="AE650" s="156"/>
      <c r="AF650" s="156"/>
      <c r="AG650" s="156"/>
      <c r="AH650" s="156"/>
      <c r="AI650" s="156"/>
      <c r="AJ650" s="156"/>
      <c r="AK650" s="156"/>
      <c r="AL650" s="156"/>
      <c r="AM650" s="158"/>
      <c r="AN650" s="156"/>
      <c r="AO650" s="156"/>
      <c r="AP650" s="156"/>
      <c r="AQ650" s="156"/>
      <c r="AR650" s="156"/>
      <c r="AS650" s="156"/>
      <c r="AT650" s="156"/>
      <c r="AU650" s="156"/>
      <c r="AV650" s="156"/>
      <c r="AW650" s="156"/>
      <c r="AX650" s="156"/>
      <c r="AY650" s="156"/>
      <c r="AZ650" s="156"/>
      <c r="BA650" s="153"/>
      <c r="BD650" s="153"/>
      <c r="BE650" s="147"/>
      <c r="BI650" s="153"/>
      <c r="BO650" s="153"/>
      <c r="BW650" s="153"/>
      <c r="CD650" s="146"/>
      <c r="CF650" s="147"/>
      <c r="CI650" s="146"/>
      <c r="CJ650" s="153"/>
      <c r="CV650" s="154"/>
      <c r="CX650" s="154"/>
      <c r="CZ650" s="154"/>
      <c r="DB650" s="154"/>
      <c r="DD650" s="154"/>
      <c r="DH650" s="474"/>
      <c r="DI650" s="459"/>
      <c r="DJ650" s="459"/>
      <c r="DK650" s="459"/>
      <c r="DL650" s="459"/>
      <c r="DM650" s="459"/>
      <c r="DN650" s="459"/>
      <c r="DO650" s="459"/>
      <c r="DP650" s="459"/>
      <c r="DQ650" s="459"/>
      <c r="DR650" s="459"/>
      <c r="DS650" s="459"/>
      <c r="DT650" s="459"/>
      <c r="DU650" s="459"/>
      <c r="DV650" s="468"/>
      <c r="DW650" s="468"/>
      <c r="DX650" s="459"/>
      <c r="DY650" s="459"/>
    </row>
    <row r="651" spans="1:129" s="128" customFormat="1" ht="54.95" customHeight="1" x14ac:dyDescent="0.25">
      <c r="A651" s="377"/>
      <c r="B651" s="175"/>
      <c r="C651" s="393"/>
      <c r="D651" s="168"/>
      <c r="E651" s="168"/>
      <c r="F651" s="168"/>
      <c r="G651" s="168"/>
      <c r="H651" s="168"/>
      <c r="I651" s="168"/>
      <c r="J651" s="168"/>
      <c r="K651" s="168"/>
      <c r="L651" s="168"/>
      <c r="M651" s="168"/>
      <c r="N651" s="168"/>
      <c r="O651" s="433"/>
      <c r="P651" s="122"/>
      <c r="Q651" s="156"/>
      <c r="R651" s="156"/>
      <c r="S651" s="156"/>
      <c r="T651" s="156"/>
      <c r="U651" s="156"/>
      <c r="V651" s="156"/>
      <c r="W651" s="156"/>
      <c r="X651" s="156"/>
      <c r="Y651" s="156"/>
      <c r="Z651" s="157"/>
      <c r="AA651" s="157"/>
      <c r="AB651" s="156"/>
      <c r="AC651" s="156"/>
      <c r="AD651" s="156"/>
      <c r="AE651" s="156"/>
      <c r="AF651" s="156"/>
      <c r="AG651" s="156"/>
      <c r="AH651" s="156"/>
      <c r="AI651" s="156"/>
      <c r="AJ651" s="156"/>
      <c r="AK651" s="156"/>
      <c r="AL651" s="156"/>
      <c r="AM651" s="158"/>
      <c r="AN651" s="156"/>
      <c r="AO651" s="156"/>
      <c r="AP651" s="156"/>
      <c r="AQ651" s="156"/>
      <c r="AR651" s="156"/>
      <c r="AS651" s="156"/>
      <c r="AT651" s="156"/>
      <c r="AU651" s="156"/>
      <c r="AV651" s="156"/>
      <c r="AW651" s="156"/>
      <c r="AX651" s="156"/>
      <c r="AY651" s="156"/>
      <c r="AZ651" s="156"/>
      <c r="BA651" s="153"/>
      <c r="BD651" s="153"/>
      <c r="BE651" s="147"/>
      <c r="BI651" s="153"/>
      <c r="BO651" s="153"/>
      <c r="BW651" s="153"/>
      <c r="CD651" s="146"/>
      <c r="CF651" s="147"/>
      <c r="CI651" s="146"/>
      <c r="CJ651" s="153"/>
      <c r="CV651" s="154"/>
      <c r="CX651" s="154"/>
      <c r="CZ651" s="154"/>
      <c r="DB651" s="154"/>
      <c r="DD651" s="154"/>
      <c r="DH651" s="474"/>
      <c r="DI651" s="459"/>
      <c r="DJ651" s="459"/>
      <c r="DK651" s="459"/>
      <c r="DL651" s="459"/>
      <c r="DM651" s="459"/>
      <c r="DN651" s="459"/>
      <c r="DO651" s="459"/>
      <c r="DP651" s="459"/>
      <c r="DQ651" s="459"/>
      <c r="DR651" s="459"/>
      <c r="DS651" s="459"/>
      <c r="DT651" s="459"/>
      <c r="DU651" s="459"/>
      <c r="DV651" s="468"/>
      <c r="DW651" s="468"/>
      <c r="DX651" s="459"/>
      <c r="DY651" s="459"/>
    </row>
    <row r="652" spans="1:129" s="128" customFormat="1" ht="54.95" customHeight="1" x14ac:dyDescent="0.25">
      <c r="A652" s="377"/>
      <c r="B652" s="175"/>
      <c r="C652" s="393"/>
      <c r="D652" s="168"/>
      <c r="E652" s="168"/>
      <c r="F652" s="168"/>
      <c r="G652" s="168"/>
      <c r="H652" s="168"/>
      <c r="I652" s="168"/>
      <c r="J652" s="168"/>
      <c r="K652" s="168"/>
      <c r="L652" s="168"/>
      <c r="M652" s="168"/>
      <c r="N652" s="168"/>
      <c r="O652" s="433"/>
      <c r="P652" s="122"/>
      <c r="Q652" s="156"/>
      <c r="R652" s="156"/>
      <c r="S652" s="156"/>
      <c r="T652" s="156"/>
      <c r="U652" s="156"/>
      <c r="V652" s="156"/>
      <c r="W652" s="156"/>
      <c r="X652" s="156"/>
      <c r="Y652" s="156"/>
      <c r="Z652" s="157"/>
      <c r="AA652" s="157"/>
      <c r="AB652" s="156"/>
      <c r="AC652" s="156"/>
      <c r="AD652" s="156"/>
      <c r="AE652" s="156"/>
      <c r="AF652" s="156"/>
      <c r="AG652" s="156"/>
      <c r="AH652" s="156"/>
      <c r="AI652" s="156"/>
      <c r="AJ652" s="156"/>
      <c r="AK652" s="156"/>
      <c r="AL652" s="156"/>
      <c r="AM652" s="158"/>
      <c r="AN652" s="156"/>
      <c r="AO652" s="156"/>
      <c r="AP652" s="156"/>
      <c r="AQ652" s="156"/>
      <c r="AR652" s="156"/>
      <c r="AS652" s="156"/>
      <c r="AT652" s="156"/>
      <c r="AU652" s="156"/>
      <c r="AV652" s="156"/>
      <c r="AW652" s="156"/>
      <c r="AX652" s="156"/>
      <c r="AY652" s="156"/>
      <c r="AZ652" s="156"/>
      <c r="BA652" s="153"/>
      <c r="BD652" s="153"/>
      <c r="BE652" s="147"/>
      <c r="BI652" s="153"/>
      <c r="BO652" s="153"/>
      <c r="BW652" s="153"/>
      <c r="CD652" s="146"/>
      <c r="CF652" s="147"/>
      <c r="CI652" s="146"/>
      <c r="CJ652" s="153"/>
      <c r="CV652" s="154"/>
      <c r="CX652" s="154"/>
      <c r="CZ652" s="154"/>
      <c r="DB652" s="154"/>
      <c r="DD652" s="154"/>
      <c r="DH652" s="474"/>
      <c r="DI652" s="459"/>
      <c r="DJ652" s="459"/>
      <c r="DK652" s="459"/>
      <c r="DL652" s="459"/>
      <c r="DM652" s="459"/>
      <c r="DN652" s="459"/>
      <c r="DO652" s="459"/>
      <c r="DP652" s="459"/>
      <c r="DQ652" s="459"/>
      <c r="DR652" s="459"/>
      <c r="DS652" s="459"/>
      <c r="DT652" s="459"/>
      <c r="DU652" s="459"/>
      <c r="DV652" s="468"/>
      <c r="DW652" s="468"/>
      <c r="DX652" s="459"/>
      <c r="DY652" s="459"/>
    </row>
    <row r="653" spans="1:129" s="128" customFormat="1" ht="54.95" customHeight="1" x14ac:dyDescent="0.25">
      <c r="A653" s="377"/>
      <c r="B653" s="175"/>
      <c r="C653" s="393"/>
      <c r="D653" s="168"/>
      <c r="E653" s="168"/>
      <c r="F653" s="168"/>
      <c r="G653" s="168"/>
      <c r="H653" s="168"/>
      <c r="I653" s="168"/>
      <c r="J653" s="168"/>
      <c r="K653" s="168"/>
      <c r="L653" s="168"/>
      <c r="M653" s="168"/>
      <c r="N653" s="168"/>
      <c r="O653" s="433"/>
      <c r="P653" s="122"/>
      <c r="Q653" s="156"/>
      <c r="R653" s="156"/>
      <c r="S653" s="156"/>
      <c r="T653" s="156"/>
      <c r="U653" s="156"/>
      <c r="V653" s="156"/>
      <c r="W653" s="156"/>
      <c r="X653" s="156"/>
      <c r="Y653" s="156"/>
      <c r="Z653" s="157"/>
      <c r="AA653" s="157"/>
      <c r="AB653" s="156"/>
      <c r="AC653" s="156"/>
      <c r="AD653" s="156"/>
      <c r="AE653" s="156"/>
      <c r="AF653" s="156"/>
      <c r="AG653" s="156"/>
      <c r="AH653" s="156"/>
      <c r="AI653" s="156"/>
      <c r="AJ653" s="156"/>
      <c r="AK653" s="156"/>
      <c r="AL653" s="156"/>
      <c r="AM653" s="158"/>
      <c r="AN653" s="156"/>
      <c r="AO653" s="156"/>
      <c r="AP653" s="156"/>
      <c r="AQ653" s="156"/>
      <c r="AR653" s="156"/>
      <c r="AS653" s="156"/>
      <c r="AT653" s="156"/>
      <c r="AU653" s="156"/>
      <c r="AV653" s="156"/>
      <c r="AW653" s="156"/>
      <c r="AX653" s="156"/>
      <c r="AY653" s="156"/>
      <c r="AZ653" s="156"/>
      <c r="BA653" s="153"/>
      <c r="BD653" s="153"/>
      <c r="BE653" s="147"/>
      <c r="BI653" s="153"/>
      <c r="BO653" s="153"/>
      <c r="BW653" s="153"/>
      <c r="CD653" s="146"/>
      <c r="CF653" s="147"/>
      <c r="CI653" s="146"/>
      <c r="CJ653" s="153"/>
      <c r="CV653" s="154"/>
      <c r="CX653" s="154"/>
      <c r="CZ653" s="154"/>
      <c r="DB653" s="154"/>
      <c r="DD653" s="154"/>
      <c r="DH653" s="474"/>
      <c r="DI653" s="459"/>
      <c r="DJ653" s="459"/>
      <c r="DK653" s="459"/>
      <c r="DL653" s="459"/>
      <c r="DM653" s="459"/>
      <c r="DN653" s="459"/>
      <c r="DO653" s="459"/>
      <c r="DP653" s="459"/>
      <c r="DQ653" s="459"/>
      <c r="DR653" s="459"/>
      <c r="DS653" s="459"/>
      <c r="DT653" s="459"/>
      <c r="DU653" s="459"/>
      <c r="DV653" s="468"/>
      <c r="DW653" s="468"/>
      <c r="DX653" s="459"/>
      <c r="DY653" s="459"/>
    </row>
    <row r="654" spans="1:129" s="128" customFormat="1" ht="54.95" customHeight="1" x14ac:dyDescent="0.25">
      <c r="A654" s="377"/>
      <c r="B654" s="175"/>
      <c r="C654" s="393"/>
      <c r="D654" s="168"/>
      <c r="E654" s="168"/>
      <c r="F654" s="168"/>
      <c r="G654" s="168"/>
      <c r="H654" s="168"/>
      <c r="I654" s="168"/>
      <c r="J654" s="168"/>
      <c r="K654" s="168"/>
      <c r="L654" s="168"/>
      <c r="M654" s="168"/>
      <c r="N654" s="168"/>
      <c r="O654" s="433"/>
      <c r="P654" s="122"/>
      <c r="Q654" s="156"/>
      <c r="R654" s="156"/>
      <c r="S654" s="156"/>
      <c r="T654" s="156"/>
      <c r="U654" s="156"/>
      <c r="V654" s="156"/>
      <c r="W654" s="156"/>
      <c r="X654" s="156"/>
      <c r="Y654" s="156"/>
      <c r="Z654" s="157"/>
      <c r="AA654" s="157"/>
      <c r="AB654" s="156"/>
      <c r="AC654" s="156"/>
      <c r="AD654" s="156"/>
      <c r="AE654" s="156"/>
      <c r="AF654" s="156"/>
      <c r="AG654" s="156"/>
      <c r="AH654" s="156"/>
      <c r="AI654" s="156"/>
      <c r="AJ654" s="156"/>
      <c r="AK654" s="156"/>
      <c r="AL654" s="156"/>
      <c r="AM654" s="158"/>
      <c r="AN654" s="156"/>
      <c r="AO654" s="156"/>
      <c r="AP654" s="156"/>
      <c r="AQ654" s="156"/>
      <c r="AR654" s="156"/>
      <c r="AS654" s="156"/>
      <c r="AT654" s="156"/>
      <c r="AU654" s="156"/>
      <c r="AV654" s="156"/>
      <c r="AW654" s="156"/>
      <c r="AX654" s="156"/>
      <c r="AY654" s="156"/>
      <c r="AZ654" s="156"/>
      <c r="BA654" s="153"/>
      <c r="BD654" s="153"/>
      <c r="BE654" s="147"/>
      <c r="BI654" s="153"/>
      <c r="BO654" s="153"/>
      <c r="BW654" s="153"/>
      <c r="CD654" s="146"/>
      <c r="CF654" s="147"/>
      <c r="CI654" s="146"/>
      <c r="CJ654" s="153"/>
      <c r="CV654" s="154"/>
      <c r="CX654" s="154"/>
      <c r="CZ654" s="154"/>
      <c r="DB654" s="154"/>
      <c r="DD654" s="154"/>
      <c r="DH654" s="474"/>
      <c r="DI654" s="459"/>
      <c r="DJ654" s="459"/>
      <c r="DK654" s="459"/>
      <c r="DL654" s="459"/>
      <c r="DM654" s="459"/>
      <c r="DN654" s="459"/>
      <c r="DO654" s="459"/>
      <c r="DP654" s="459"/>
      <c r="DQ654" s="459"/>
      <c r="DR654" s="459"/>
      <c r="DS654" s="459"/>
      <c r="DT654" s="459"/>
      <c r="DU654" s="459"/>
      <c r="DV654" s="468"/>
      <c r="DW654" s="468"/>
      <c r="DX654" s="459"/>
      <c r="DY654" s="459"/>
    </row>
    <row r="655" spans="1:129" s="128" customFormat="1" ht="54.95" customHeight="1" x14ac:dyDescent="0.25">
      <c r="A655" s="377"/>
      <c r="B655" s="175"/>
      <c r="C655" s="393"/>
      <c r="D655" s="168"/>
      <c r="E655" s="168"/>
      <c r="F655" s="168"/>
      <c r="G655" s="168"/>
      <c r="H655" s="168"/>
      <c r="I655" s="168"/>
      <c r="J655" s="168"/>
      <c r="K655" s="168"/>
      <c r="L655" s="168"/>
      <c r="M655" s="168"/>
      <c r="N655" s="168"/>
      <c r="O655" s="433"/>
      <c r="P655" s="122"/>
      <c r="Q655" s="156"/>
      <c r="R655" s="156"/>
      <c r="S655" s="156"/>
      <c r="T655" s="156"/>
      <c r="U655" s="156"/>
      <c r="V655" s="156"/>
      <c r="W655" s="156"/>
      <c r="X655" s="156"/>
      <c r="Y655" s="156"/>
      <c r="Z655" s="157"/>
      <c r="AA655" s="157"/>
      <c r="AB655" s="156"/>
      <c r="AC655" s="156"/>
      <c r="AD655" s="156"/>
      <c r="AE655" s="156"/>
      <c r="AF655" s="156"/>
      <c r="AG655" s="156"/>
      <c r="AH655" s="156"/>
      <c r="AI655" s="156"/>
      <c r="AJ655" s="156"/>
      <c r="AK655" s="156"/>
      <c r="AL655" s="156"/>
      <c r="AM655" s="158"/>
      <c r="AN655" s="156"/>
      <c r="AO655" s="156"/>
      <c r="AP655" s="156"/>
      <c r="AQ655" s="156"/>
      <c r="AR655" s="156"/>
      <c r="AS655" s="156"/>
      <c r="AT655" s="156"/>
      <c r="AU655" s="156"/>
      <c r="AV655" s="156"/>
      <c r="AW655" s="156"/>
      <c r="AX655" s="156"/>
      <c r="AY655" s="156"/>
      <c r="AZ655" s="156"/>
      <c r="BA655" s="153"/>
      <c r="BD655" s="153"/>
      <c r="BE655" s="147"/>
      <c r="BI655" s="153"/>
      <c r="BO655" s="153"/>
      <c r="BW655" s="153"/>
      <c r="CD655" s="146"/>
      <c r="CF655" s="147"/>
      <c r="CI655" s="146"/>
      <c r="CJ655" s="153"/>
      <c r="CV655" s="154"/>
      <c r="CX655" s="154"/>
      <c r="CZ655" s="154"/>
      <c r="DB655" s="154"/>
      <c r="DD655" s="154"/>
      <c r="DH655" s="474"/>
      <c r="DI655" s="459"/>
      <c r="DJ655" s="459"/>
      <c r="DK655" s="459"/>
      <c r="DL655" s="459"/>
      <c r="DM655" s="459"/>
      <c r="DN655" s="459"/>
      <c r="DO655" s="459"/>
      <c r="DP655" s="459"/>
      <c r="DQ655" s="459"/>
      <c r="DR655" s="459"/>
      <c r="DS655" s="459"/>
      <c r="DT655" s="459"/>
      <c r="DU655" s="459"/>
      <c r="DV655" s="468"/>
      <c r="DW655" s="468"/>
      <c r="DX655" s="459"/>
      <c r="DY655" s="459"/>
    </row>
    <row r="656" spans="1:129" s="128" customFormat="1" ht="54.95" customHeight="1" x14ac:dyDescent="0.25">
      <c r="A656" s="377"/>
      <c r="B656" s="175"/>
      <c r="C656" s="393"/>
      <c r="D656" s="168"/>
      <c r="E656" s="168"/>
      <c r="F656" s="168"/>
      <c r="G656" s="168"/>
      <c r="H656" s="168"/>
      <c r="I656" s="168"/>
      <c r="J656" s="168"/>
      <c r="K656" s="168"/>
      <c r="L656" s="168"/>
      <c r="M656" s="168"/>
      <c r="N656" s="168"/>
      <c r="O656" s="433"/>
      <c r="P656" s="122"/>
      <c r="Q656" s="156"/>
      <c r="R656" s="156"/>
      <c r="S656" s="156"/>
      <c r="T656" s="156"/>
      <c r="U656" s="156"/>
      <c r="V656" s="156"/>
      <c r="W656" s="156"/>
      <c r="X656" s="156"/>
      <c r="Y656" s="156"/>
      <c r="Z656" s="157"/>
      <c r="AA656" s="157"/>
      <c r="AB656" s="156"/>
      <c r="AC656" s="156"/>
      <c r="AD656" s="156"/>
      <c r="AE656" s="156"/>
      <c r="AF656" s="156"/>
      <c r="AG656" s="156"/>
      <c r="AH656" s="156"/>
      <c r="AI656" s="156"/>
      <c r="AJ656" s="156"/>
      <c r="AK656" s="156"/>
      <c r="AL656" s="156"/>
      <c r="AM656" s="158"/>
      <c r="AN656" s="156"/>
      <c r="AO656" s="156"/>
      <c r="AP656" s="156"/>
      <c r="AQ656" s="156"/>
      <c r="AR656" s="156"/>
      <c r="AS656" s="156"/>
      <c r="AT656" s="156"/>
      <c r="AU656" s="156"/>
      <c r="AV656" s="156"/>
      <c r="AW656" s="156"/>
      <c r="AX656" s="156"/>
      <c r="AY656" s="156"/>
      <c r="AZ656" s="156"/>
      <c r="BA656" s="153"/>
      <c r="BD656" s="153"/>
      <c r="BE656" s="147"/>
      <c r="BI656" s="153"/>
      <c r="BO656" s="153"/>
      <c r="BW656" s="153"/>
      <c r="CD656" s="146"/>
      <c r="CF656" s="147"/>
      <c r="CI656" s="146"/>
      <c r="CJ656" s="153"/>
      <c r="CV656" s="154"/>
      <c r="CX656" s="154"/>
      <c r="CZ656" s="154"/>
      <c r="DB656" s="154"/>
      <c r="DD656" s="154"/>
      <c r="DH656" s="474"/>
      <c r="DI656" s="459"/>
      <c r="DJ656" s="459"/>
      <c r="DK656" s="459"/>
      <c r="DL656" s="459"/>
      <c r="DM656" s="459"/>
      <c r="DN656" s="459"/>
      <c r="DO656" s="459"/>
      <c r="DP656" s="459"/>
      <c r="DQ656" s="459"/>
      <c r="DR656" s="459"/>
      <c r="DS656" s="459"/>
      <c r="DT656" s="459"/>
      <c r="DU656" s="459"/>
      <c r="DV656" s="468"/>
      <c r="DW656" s="468"/>
      <c r="DX656" s="459"/>
      <c r="DY656" s="459"/>
    </row>
    <row r="657" spans="1:129" s="128" customFormat="1" ht="54.95" customHeight="1" x14ac:dyDescent="0.25">
      <c r="A657" s="377"/>
      <c r="B657" s="175"/>
      <c r="C657" s="393"/>
      <c r="D657" s="168"/>
      <c r="E657" s="168"/>
      <c r="F657" s="168"/>
      <c r="G657" s="168"/>
      <c r="H657" s="168"/>
      <c r="I657" s="168"/>
      <c r="J657" s="168"/>
      <c r="K657" s="168"/>
      <c r="L657" s="168"/>
      <c r="M657" s="168"/>
      <c r="N657" s="168"/>
      <c r="O657" s="433"/>
      <c r="P657" s="122"/>
      <c r="Q657" s="156"/>
      <c r="R657" s="156"/>
      <c r="S657" s="156"/>
      <c r="T657" s="156"/>
      <c r="U657" s="156"/>
      <c r="V657" s="156"/>
      <c r="W657" s="156"/>
      <c r="X657" s="156"/>
      <c r="Y657" s="156"/>
      <c r="Z657" s="157"/>
      <c r="AA657" s="157"/>
      <c r="AB657" s="156"/>
      <c r="AC657" s="156"/>
      <c r="AD657" s="156"/>
      <c r="AE657" s="156"/>
      <c r="AF657" s="156"/>
      <c r="AG657" s="156"/>
      <c r="AH657" s="156"/>
      <c r="AI657" s="156"/>
      <c r="AJ657" s="156"/>
      <c r="AK657" s="156"/>
      <c r="AL657" s="156"/>
      <c r="AM657" s="158"/>
      <c r="AN657" s="156"/>
      <c r="AO657" s="156"/>
      <c r="AP657" s="156"/>
      <c r="AQ657" s="156"/>
      <c r="AR657" s="156"/>
      <c r="AS657" s="156"/>
      <c r="AT657" s="156"/>
      <c r="AU657" s="156"/>
      <c r="AV657" s="156"/>
      <c r="AW657" s="156"/>
      <c r="AX657" s="156"/>
      <c r="AY657" s="156"/>
      <c r="AZ657" s="156"/>
      <c r="BA657" s="153"/>
      <c r="BD657" s="153"/>
      <c r="BE657" s="147"/>
      <c r="BI657" s="153"/>
      <c r="BO657" s="153"/>
      <c r="BW657" s="153"/>
      <c r="CD657" s="146"/>
      <c r="CF657" s="147"/>
      <c r="CI657" s="146"/>
      <c r="CJ657" s="153"/>
      <c r="CV657" s="154"/>
      <c r="CX657" s="154"/>
      <c r="CZ657" s="154"/>
      <c r="DB657" s="154"/>
      <c r="DD657" s="154"/>
      <c r="DH657" s="474"/>
      <c r="DI657" s="459"/>
      <c r="DJ657" s="459"/>
      <c r="DK657" s="459"/>
      <c r="DL657" s="459"/>
      <c r="DM657" s="459"/>
      <c r="DN657" s="459"/>
      <c r="DO657" s="459"/>
      <c r="DP657" s="459"/>
      <c r="DQ657" s="459"/>
      <c r="DR657" s="459"/>
      <c r="DS657" s="459"/>
      <c r="DT657" s="459"/>
      <c r="DU657" s="459"/>
      <c r="DV657" s="468"/>
      <c r="DW657" s="468"/>
      <c r="DX657" s="459"/>
      <c r="DY657" s="459"/>
    </row>
    <row r="658" spans="1:129" s="128" customFormat="1" ht="54.95" customHeight="1" x14ac:dyDescent="0.25">
      <c r="A658" s="377"/>
      <c r="B658" s="175"/>
      <c r="C658" s="393"/>
      <c r="D658" s="168"/>
      <c r="E658" s="168"/>
      <c r="F658" s="168"/>
      <c r="G658" s="168"/>
      <c r="H658" s="168"/>
      <c r="I658" s="168"/>
      <c r="J658" s="168"/>
      <c r="K658" s="168"/>
      <c r="L658" s="168"/>
      <c r="M658" s="168"/>
      <c r="N658" s="168"/>
      <c r="O658" s="433"/>
      <c r="P658" s="122"/>
      <c r="Q658" s="156"/>
      <c r="R658" s="156"/>
      <c r="S658" s="156"/>
      <c r="T658" s="156"/>
      <c r="U658" s="156"/>
      <c r="V658" s="156"/>
      <c r="W658" s="156"/>
      <c r="X658" s="156"/>
      <c r="Y658" s="156"/>
      <c r="Z658" s="157"/>
      <c r="AA658" s="157"/>
      <c r="AB658" s="156"/>
      <c r="AC658" s="156"/>
      <c r="AD658" s="156"/>
      <c r="AE658" s="156"/>
      <c r="AF658" s="156"/>
      <c r="AG658" s="156"/>
      <c r="AH658" s="156"/>
      <c r="AI658" s="156"/>
      <c r="AJ658" s="156"/>
      <c r="AK658" s="156"/>
      <c r="AL658" s="156"/>
      <c r="AM658" s="158"/>
      <c r="AN658" s="156"/>
      <c r="AO658" s="156"/>
      <c r="AP658" s="156"/>
      <c r="AQ658" s="156"/>
      <c r="AR658" s="156"/>
      <c r="AS658" s="156"/>
      <c r="AT658" s="156"/>
      <c r="AU658" s="156"/>
      <c r="AV658" s="156"/>
      <c r="AW658" s="156"/>
      <c r="AX658" s="156"/>
      <c r="AY658" s="156"/>
      <c r="AZ658" s="156"/>
      <c r="BA658" s="153"/>
      <c r="BD658" s="153"/>
      <c r="BE658" s="147"/>
      <c r="BI658" s="153"/>
      <c r="BO658" s="153"/>
      <c r="BW658" s="153"/>
      <c r="CD658" s="146"/>
      <c r="CF658" s="147"/>
      <c r="CI658" s="146"/>
      <c r="CJ658" s="153"/>
      <c r="CV658" s="154"/>
      <c r="CX658" s="154"/>
      <c r="CZ658" s="154"/>
      <c r="DB658" s="154"/>
      <c r="DD658" s="154"/>
      <c r="DH658" s="474"/>
      <c r="DI658" s="459"/>
      <c r="DJ658" s="459"/>
      <c r="DK658" s="459"/>
      <c r="DL658" s="459"/>
      <c r="DM658" s="459"/>
      <c r="DN658" s="459"/>
      <c r="DO658" s="459"/>
      <c r="DP658" s="459"/>
      <c r="DQ658" s="459"/>
      <c r="DR658" s="459"/>
      <c r="DS658" s="459"/>
      <c r="DT658" s="459"/>
      <c r="DU658" s="459"/>
      <c r="DV658" s="468"/>
      <c r="DW658" s="468"/>
      <c r="DX658" s="459"/>
      <c r="DY658" s="459"/>
    </row>
    <row r="659" spans="1:129" s="128" customFormat="1" ht="54.95" customHeight="1" x14ac:dyDescent="0.25">
      <c r="A659" s="377"/>
      <c r="B659" s="175"/>
      <c r="C659" s="393"/>
      <c r="D659" s="168"/>
      <c r="E659" s="168"/>
      <c r="F659" s="168"/>
      <c r="G659" s="168"/>
      <c r="H659" s="168"/>
      <c r="I659" s="168"/>
      <c r="J659" s="168"/>
      <c r="K659" s="168"/>
      <c r="L659" s="168"/>
      <c r="M659" s="168"/>
      <c r="N659" s="168"/>
      <c r="O659" s="433"/>
      <c r="P659" s="122"/>
      <c r="Q659" s="156"/>
      <c r="R659" s="156"/>
      <c r="S659" s="156"/>
      <c r="T659" s="156"/>
      <c r="U659" s="156"/>
      <c r="V659" s="156"/>
      <c r="W659" s="156"/>
      <c r="X659" s="156"/>
      <c r="Y659" s="156"/>
      <c r="Z659" s="157"/>
      <c r="AA659" s="157"/>
      <c r="AB659" s="156"/>
      <c r="AC659" s="156"/>
      <c r="AD659" s="156"/>
      <c r="AE659" s="156"/>
      <c r="AF659" s="156"/>
      <c r="AG659" s="156"/>
      <c r="AH659" s="156"/>
      <c r="AI659" s="156"/>
      <c r="AJ659" s="156"/>
      <c r="AK659" s="156"/>
      <c r="AL659" s="156"/>
      <c r="AM659" s="158"/>
      <c r="AN659" s="156"/>
      <c r="AO659" s="156"/>
      <c r="AP659" s="156"/>
      <c r="AQ659" s="156"/>
      <c r="AR659" s="156"/>
      <c r="AS659" s="156"/>
      <c r="AT659" s="156"/>
      <c r="AU659" s="156"/>
      <c r="AV659" s="156"/>
      <c r="AW659" s="156"/>
      <c r="AX659" s="156"/>
      <c r="AY659" s="156"/>
      <c r="AZ659" s="156"/>
      <c r="BA659" s="153"/>
      <c r="BD659" s="153"/>
      <c r="BE659" s="147"/>
      <c r="BI659" s="153"/>
      <c r="BO659" s="153"/>
      <c r="BW659" s="153"/>
      <c r="CD659" s="146"/>
      <c r="CF659" s="147"/>
      <c r="CI659" s="146"/>
      <c r="CJ659" s="153"/>
      <c r="CV659" s="154"/>
      <c r="CX659" s="154"/>
      <c r="CZ659" s="154"/>
      <c r="DB659" s="154"/>
      <c r="DD659" s="154"/>
      <c r="DH659" s="474"/>
      <c r="DI659" s="459"/>
      <c r="DJ659" s="459"/>
      <c r="DK659" s="459"/>
      <c r="DL659" s="459"/>
      <c r="DM659" s="459"/>
      <c r="DN659" s="459"/>
      <c r="DO659" s="459"/>
      <c r="DP659" s="459"/>
      <c r="DQ659" s="459"/>
      <c r="DR659" s="459"/>
      <c r="DS659" s="459"/>
      <c r="DT659" s="459"/>
      <c r="DU659" s="459"/>
      <c r="DV659" s="468"/>
      <c r="DW659" s="468"/>
      <c r="DX659" s="459"/>
      <c r="DY659" s="459"/>
    </row>
    <row r="660" spans="1:129" s="128" customFormat="1" ht="54.95" customHeight="1" x14ac:dyDescent="0.25">
      <c r="A660" s="377"/>
      <c r="B660" s="175"/>
      <c r="C660" s="393"/>
      <c r="D660" s="168"/>
      <c r="E660" s="168"/>
      <c r="F660" s="168"/>
      <c r="G660" s="168"/>
      <c r="H660" s="168"/>
      <c r="I660" s="168"/>
      <c r="J660" s="168"/>
      <c r="K660" s="168"/>
      <c r="L660" s="168"/>
      <c r="M660" s="168"/>
      <c r="N660" s="168"/>
      <c r="O660" s="433"/>
      <c r="P660" s="122"/>
      <c r="Q660" s="156"/>
      <c r="R660" s="156"/>
      <c r="S660" s="156"/>
      <c r="T660" s="156"/>
      <c r="U660" s="156"/>
      <c r="V660" s="156"/>
      <c r="W660" s="156"/>
      <c r="X660" s="156"/>
      <c r="Y660" s="156"/>
      <c r="Z660" s="157"/>
      <c r="AA660" s="157"/>
      <c r="AB660" s="156"/>
      <c r="AC660" s="156"/>
      <c r="AD660" s="156"/>
      <c r="AE660" s="156"/>
      <c r="AF660" s="156"/>
      <c r="AG660" s="156"/>
      <c r="AH660" s="156"/>
      <c r="AI660" s="156"/>
      <c r="AJ660" s="156"/>
      <c r="AK660" s="156"/>
      <c r="AL660" s="156"/>
      <c r="AM660" s="158"/>
      <c r="AN660" s="156"/>
      <c r="AO660" s="156"/>
      <c r="AP660" s="156"/>
      <c r="AQ660" s="156"/>
      <c r="AR660" s="156"/>
      <c r="AS660" s="156"/>
      <c r="AT660" s="156"/>
      <c r="AU660" s="156"/>
      <c r="AV660" s="156"/>
      <c r="AW660" s="156"/>
      <c r="AX660" s="156"/>
      <c r="AY660" s="156"/>
      <c r="AZ660" s="156"/>
      <c r="BA660" s="153"/>
      <c r="BD660" s="153"/>
      <c r="BE660" s="147"/>
      <c r="BI660" s="153"/>
      <c r="BO660" s="153"/>
      <c r="BW660" s="153"/>
      <c r="CD660" s="146"/>
      <c r="CF660" s="147"/>
      <c r="CI660" s="146"/>
      <c r="CJ660" s="153"/>
      <c r="CV660" s="154"/>
      <c r="CX660" s="154"/>
      <c r="CZ660" s="154"/>
      <c r="DB660" s="154"/>
      <c r="DD660" s="154"/>
      <c r="DH660" s="474"/>
      <c r="DI660" s="459"/>
      <c r="DJ660" s="459"/>
      <c r="DK660" s="459"/>
      <c r="DL660" s="459"/>
      <c r="DM660" s="459"/>
      <c r="DN660" s="459"/>
      <c r="DO660" s="459"/>
      <c r="DP660" s="459"/>
      <c r="DQ660" s="459"/>
      <c r="DR660" s="459"/>
      <c r="DS660" s="459"/>
      <c r="DT660" s="459"/>
      <c r="DU660" s="459"/>
      <c r="DV660" s="468"/>
      <c r="DW660" s="468"/>
      <c r="DX660" s="459"/>
      <c r="DY660" s="459"/>
    </row>
    <row r="661" spans="1:129" s="128" customFormat="1" ht="54.95" customHeight="1" x14ac:dyDescent="0.25">
      <c r="A661" s="377"/>
      <c r="B661" s="175"/>
      <c r="C661" s="393"/>
      <c r="D661" s="168"/>
      <c r="E661" s="168"/>
      <c r="F661" s="168"/>
      <c r="G661" s="168"/>
      <c r="H661" s="168"/>
      <c r="I661" s="168"/>
      <c r="J661" s="168"/>
      <c r="K661" s="168"/>
      <c r="L661" s="168"/>
      <c r="M661" s="168"/>
      <c r="N661" s="168"/>
      <c r="O661" s="433"/>
      <c r="P661" s="122"/>
      <c r="Q661" s="156"/>
      <c r="R661" s="156"/>
      <c r="S661" s="156"/>
      <c r="T661" s="156"/>
      <c r="U661" s="156"/>
      <c r="V661" s="156"/>
      <c r="W661" s="156"/>
      <c r="X661" s="156"/>
      <c r="Y661" s="156"/>
      <c r="Z661" s="157"/>
      <c r="AA661" s="157"/>
      <c r="AB661" s="156"/>
      <c r="AC661" s="156"/>
      <c r="AD661" s="156"/>
      <c r="AE661" s="156"/>
      <c r="AF661" s="156"/>
      <c r="AG661" s="156"/>
      <c r="AH661" s="156"/>
      <c r="AI661" s="156"/>
      <c r="AJ661" s="156"/>
      <c r="AK661" s="156"/>
      <c r="AL661" s="156"/>
      <c r="AM661" s="158"/>
      <c r="AN661" s="156"/>
      <c r="AO661" s="156"/>
      <c r="AP661" s="156"/>
      <c r="AQ661" s="156"/>
      <c r="AR661" s="156"/>
      <c r="AS661" s="156"/>
      <c r="AT661" s="156"/>
      <c r="AU661" s="156"/>
      <c r="AV661" s="156"/>
      <c r="AW661" s="156"/>
      <c r="AX661" s="156"/>
      <c r="AY661" s="156"/>
      <c r="AZ661" s="156"/>
      <c r="BA661" s="153"/>
      <c r="BD661" s="153"/>
      <c r="BE661" s="147"/>
      <c r="BI661" s="153"/>
      <c r="BO661" s="153"/>
      <c r="BW661" s="153"/>
      <c r="CD661" s="146"/>
      <c r="CF661" s="147"/>
      <c r="CI661" s="146"/>
      <c r="CJ661" s="153"/>
      <c r="CV661" s="154"/>
      <c r="CX661" s="154"/>
      <c r="CZ661" s="154"/>
      <c r="DB661" s="154"/>
      <c r="DD661" s="154"/>
      <c r="DH661" s="474"/>
      <c r="DI661" s="459"/>
      <c r="DJ661" s="459"/>
      <c r="DK661" s="459"/>
      <c r="DL661" s="459"/>
      <c r="DM661" s="459"/>
      <c r="DN661" s="459"/>
      <c r="DO661" s="459"/>
      <c r="DP661" s="459"/>
      <c r="DQ661" s="459"/>
      <c r="DR661" s="459"/>
      <c r="DS661" s="459"/>
      <c r="DT661" s="459"/>
      <c r="DU661" s="459"/>
      <c r="DV661" s="468"/>
      <c r="DW661" s="468"/>
      <c r="DX661" s="459"/>
      <c r="DY661" s="459"/>
    </row>
    <row r="662" spans="1:129" s="128" customFormat="1" ht="54.95" customHeight="1" x14ac:dyDescent="0.25">
      <c r="A662" s="377"/>
      <c r="B662" s="175"/>
      <c r="C662" s="393"/>
      <c r="D662" s="168"/>
      <c r="E662" s="168"/>
      <c r="F662" s="168"/>
      <c r="G662" s="168"/>
      <c r="H662" s="168"/>
      <c r="I662" s="168"/>
      <c r="J662" s="168"/>
      <c r="K662" s="168"/>
      <c r="L662" s="168"/>
      <c r="M662" s="168"/>
      <c r="N662" s="168"/>
      <c r="O662" s="433"/>
      <c r="P662" s="122"/>
      <c r="Q662" s="156"/>
      <c r="R662" s="156"/>
      <c r="S662" s="156"/>
      <c r="T662" s="156"/>
      <c r="U662" s="156"/>
      <c r="V662" s="156"/>
      <c r="W662" s="156"/>
      <c r="X662" s="156"/>
      <c r="Y662" s="156"/>
      <c r="Z662" s="157"/>
      <c r="AA662" s="157"/>
      <c r="AB662" s="156"/>
      <c r="AC662" s="156"/>
      <c r="AD662" s="156"/>
      <c r="AE662" s="156"/>
      <c r="AF662" s="156"/>
      <c r="AG662" s="156"/>
      <c r="AH662" s="156"/>
      <c r="AI662" s="156"/>
      <c r="AJ662" s="156"/>
      <c r="AK662" s="156"/>
      <c r="AL662" s="156"/>
      <c r="AM662" s="158"/>
      <c r="AN662" s="156"/>
      <c r="AO662" s="156"/>
      <c r="AP662" s="156"/>
      <c r="AQ662" s="156"/>
      <c r="AR662" s="156"/>
      <c r="AS662" s="156"/>
      <c r="AT662" s="156"/>
      <c r="AU662" s="156"/>
      <c r="AV662" s="156"/>
      <c r="AW662" s="156"/>
      <c r="AX662" s="156"/>
      <c r="AY662" s="156"/>
      <c r="AZ662" s="156"/>
      <c r="BA662" s="153"/>
      <c r="BD662" s="153"/>
      <c r="BE662" s="147"/>
      <c r="BI662" s="153"/>
      <c r="BO662" s="153"/>
      <c r="BW662" s="153"/>
      <c r="CD662" s="146"/>
      <c r="CF662" s="147"/>
      <c r="CI662" s="146"/>
      <c r="CJ662" s="153"/>
      <c r="CV662" s="154"/>
      <c r="CX662" s="154"/>
      <c r="CZ662" s="154"/>
      <c r="DB662" s="154"/>
      <c r="DD662" s="154"/>
      <c r="DH662" s="474"/>
      <c r="DI662" s="459"/>
      <c r="DJ662" s="459"/>
      <c r="DK662" s="459"/>
      <c r="DL662" s="459"/>
      <c r="DM662" s="459"/>
      <c r="DN662" s="459"/>
      <c r="DO662" s="459"/>
      <c r="DP662" s="459"/>
      <c r="DQ662" s="459"/>
      <c r="DR662" s="459"/>
      <c r="DS662" s="459"/>
      <c r="DT662" s="459"/>
      <c r="DU662" s="459"/>
      <c r="DV662" s="468"/>
      <c r="DW662" s="468"/>
      <c r="DX662" s="459"/>
      <c r="DY662" s="459"/>
    </row>
    <row r="663" spans="1:129" s="128" customFormat="1" ht="54.95" customHeight="1" x14ac:dyDescent="0.25">
      <c r="A663" s="377"/>
      <c r="B663" s="175"/>
      <c r="C663" s="393"/>
      <c r="D663" s="168"/>
      <c r="E663" s="168"/>
      <c r="F663" s="168"/>
      <c r="G663" s="168"/>
      <c r="H663" s="168"/>
      <c r="I663" s="168"/>
      <c r="J663" s="168"/>
      <c r="K663" s="168"/>
      <c r="L663" s="168"/>
      <c r="M663" s="168"/>
      <c r="N663" s="168"/>
      <c r="O663" s="433"/>
      <c r="P663" s="122"/>
      <c r="Q663" s="156"/>
      <c r="R663" s="156"/>
      <c r="S663" s="156"/>
      <c r="T663" s="156"/>
      <c r="U663" s="156"/>
      <c r="V663" s="156"/>
      <c r="W663" s="156"/>
      <c r="X663" s="156"/>
      <c r="Y663" s="156"/>
      <c r="Z663" s="157"/>
      <c r="AA663" s="157"/>
      <c r="AB663" s="156"/>
      <c r="AC663" s="156"/>
      <c r="AD663" s="156"/>
      <c r="AE663" s="156"/>
      <c r="AF663" s="156"/>
      <c r="AG663" s="156"/>
      <c r="AH663" s="156"/>
      <c r="AI663" s="156"/>
      <c r="AJ663" s="156"/>
      <c r="AK663" s="156"/>
      <c r="AL663" s="156"/>
      <c r="AM663" s="158"/>
      <c r="AN663" s="156"/>
      <c r="AO663" s="156"/>
      <c r="AP663" s="156"/>
      <c r="AQ663" s="156"/>
      <c r="AR663" s="156"/>
      <c r="AS663" s="156"/>
      <c r="AT663" s="156"/>
      <c r="AU663" s="156"/>
      <c r="AV663" s="156"/>
      <c r="AW663" s="156"/>
      <c r="AX663" s="156"/>
      <c r="AY663" s="156"/>
      <c r="AZ663" s="156"/>
      <c r="BA663" s="153"/>
      <c r="BD663" s="153"/>
      <c r="BE663" s="147"/>
      <c r="BI663" s="153"/>
      <c r="BO663" s="153"/>
      <c r="BW663" s="153"/>
      <c r="CD663" s="146"/>
      <c r="CF663" s="147"/>
      <c r="CI663" s="146"/>
      <c r="CJ663" s="153"/>
      <c r="CV663" s="154"/>
      <c r="CX663" s="154"/>
      <c r="CZ663" s="154"/>
      <c r="DB663" s="154"/>
      <c r="DD663" s="154"/>
      <c r="DH663" s="474"/>
      <c r="DI663" s="459"/>
      <c r="DJ663" s="459"/>
      <c r="DK663" s="459"/>
      <c r="DL663" s="459"/>
      <c r="DM663" s="459"/>
      <c r="DN663" s="459"/>
      <c r="DO663" s="459"/>
      <c r="DP663" s="459"/>
      <c r="DQ663" s="459"/>
      <c r="DR663" s="459"/>
      <c r="DS663" s="459"/>
      <c r="DT663" s="459"/>
      <c r="DU663" s="459"/>
      <c r="DV663" s="468"/>
      <c r="DW663" s="468"/>
      <c r="DX663" s="459"/>
      <c r="DY663" s="459"/>
    </row>
    <row r="664" spans="1:129" s="128" customFormat="1" ht="54.95" customHeight="1" x14ac:dyDescent="0.25">
      <c r="A664" s="377"/>
      <c r="B664" s="175"/>
      <c r="C664" s="393"/>
      <c r="D664" s="168"/>
      <c r="E664" s="168"/>
      <c r="F664" s="168"/>
      <c r="G664" s="168"/>
      <c r="H664" s="168"/>
      <c r="I664" s="168"/>
      <c r="J664" s="168"/>
      <c r="K664" s="168"/>
      <c r="L664" s="168"/>
      <c r="M664" s="168"/>
      <c r="N664" s="168"/>
      <c r="O664" s="433"/>
      <c r="P664" s="122"/>
      <c r="Q664" s="156"/>
      <c r="R664" s="156"/>
      <c r="S664" s="156"/>
      <c r="T664" s="156"/>
      <c r="U664" s="156"/>
      <c r="V664" s="156"/>
      <c r="W664" s="156"/>
      <c r="X664" s="156"/>
      <c r="Y664" s="156"/>
      <c r="Z664" s="157"/>
      <c r="AA664" s="157"/>
      <c r="AB664" s="156"/>
      <c r="AC664" s="156"/>
      <c r="AD664" s="156"/>
      <c r="AE664" s="156"/>
      <c r="AF664" s="156"/>
      <c r="AG664" s="156"/>
      <c r="AH664" s="156"/>
      <c r="AI664" s="156"/>
      <c r="AJ664" s="156"/>
      <c r="AK664" s="156"/>
      <c r="AL664" s="156"/>
      <c r="AM664" s="158"/>
      <c r="AN664" s="156"/>
      <c r="AO664" s="156"/>
      <c r="AP664" s="156"/>
      <c r="AQ664" s="156"/>
      <c r="AR664" s="156"/>
      <c r="AS664" s="156"/>
      <c r="AT664" s="156"/>
      <c r="AU664" s="156"/>
      <c r="AV664" s="156"/>
      <c r="AW664" s="156"/>
      <c r="AX664" s="156"/>
      <c r="AY664" s="156"/>
      <c r="AZ664" s="156"/>
      <c r="BA664" s="153"/>
      <c r="BD664" s="153"/>
      <c r="BE664" s="147"/>
      <c r="BI664" s="153"/>
      <c r="BO664" s="153"/>
      <c r="BW664" s="153"/>
      <c r="CD664" s="146"/>
      <c r="CF664" s="147"/>
      <c r="CI664" s="146"/>
      <c r="CJ664" s="153"/>
      <c r="CV664" s="154"/>
      <c r="CX664" s="154"/>
      <c r="CZ664" s="154"/>
      <c r="DB664" s="154"/>
      <c r="DD664" s="154"/>
      <c r="DH664" s="474"/>
      <c r="DI664" s="459"/>
      <c r="DJ664" s="459"/>
      <c r="DK664" s="459"/>
      <c r="DL664" s="459"/>
      <c r="DM664" s="459"/>
      <c r="DN664" s="459"/>
      <c r="DO664" s="459"/>
      <c r="DP664" s="459"/>
      <c r="DQ664" s="459"/>
      <c r="DR664" s="459"/>
      <c r="DS664" s="459"/>
      <c r="DT664" s="459"/>
      <c r="DU664" s="459"/>
      <c r="DV664" s="468"/>
      <c r="DW664" s="468"/>
      <c r="DX664" s="459"/>
      <c r="DY664" s="459"/>
    </row>
    <row r="665" spans="1:129" s="128" customFormat="1" ht="54.95" customHeight="1" x14ac:dyDescent="0.25">
      <c r="A665" s="377"/>
      <c r="B665" s="175"/>
      <c r="C665" s="393"/>
      <c r="D665" s="168"/>
      <c r="E665" s="168"/>
      <c r="F665" s="168"/>
      <c r="G665" s="168"/>
      <c r="H665" s="168"/>
      <c r="I665" s="168"/>
      <c r="J665" s="168"/>
      <c r="K665" s="168"/>
      <c r="L665" s="168"/>
      <c r="M665" s="168"/>
      <c r="N665" s="168"/>
      <c r="O665" s="433"/>
      <c r="P665" s="122"/>
      <c r="Q665" s="156"/>
      <c r="R665" s="156"/>
      <c r="S665" s="156"/>
      <c r="T665" s="156"/>
      <c r="U665" s="156"/>
      <c r="V665" s="156"/>
      <c r="W665" s="156"/>
      <c r="X665" s="156"/>
      <c r="Y665" s="156"/>
      <c r="Z665" s="157"/>
      <c r="AA665" s="157"/>
      <c r="AB665" s="156"/>
      <c r="AC665" s="156"/>
      <c r="AD665" s="156"/>
      <c r="AE665" s="156"/>
      <c r="AF665" s="156"/>
      <c r="AG665" s="156"/>
      <c r="AH665" s="156"/>
      <c r="AI665" s="156"/>
      <c r="AJ665" s="156"/>
      <c r="AK665" s="156"/>
      <c r="AL665" s="156"/>
      <c r="AM665" s="158"/>
      <c r="AN665" s="156"/>
      <c r="AO665" s="156"/>
      <c r="AP665" s="156"/>
      <c r="AQ665" s="156"/>
      <c r="AR665" s="156"/>
      <c r="AS665" s="156"/>
      <c r="AT665" s="156"/>
      <c r="AU665" s="156"/>
      <c r="AV665" s="156"/>
      <c r="AW665" s="156"/>
      <c r="AX665" s="156"/>
      <c r="AY665" s="156"/>
      <c r="AZ665" s="156"/>
      <c r="BA665" s="153"/>
      <c r="BD665" s="153"/>
      <c r="BE665" s="147"/>
      <c r="BI665" s="153"/>
      <c r="BO665" s="153"/>
      <c r="BW665" s="153"/>
      <c r="CD665" s="146"/>
      <c r="CF665" s="147"/>
      <c r="CI665" s="146"/>
      <c r="CJ665" s="153"/>
      <c r="CV665" s="154"/>
      <c r="CX665" s="154"/>
      <c r="CZ665" s="154"/>
      <c r="DB665" s="154"/>
      <c r="DD665" s="154"/>
      <c r="DH665" s="474"/>
      <c r="DI665" s="459"/>
      <c r="DJ665" s="459"/>
      <c r="DK665" s="459"/>
      <c r="DL665" s="459"/>
      <c r="DM665" s="459"/>
      <c r="DN665" s="459"/>
      <c r="DO665" s="459"/>
      <c r="DP665" s="459"/>
      <c r="DQ665" s="459"/>
      <c r="DR665" s="459"/>
      <c r="DS665" s="459"/>
      <c r="DT665" s="459"/>
      <c r="DU665" s="459"/>
      <c r="DV665" s="468"/>
      <c r="DW665" s="468"/>
      <c r="DX665" s="459"/>
      <c r="DY665" s="459"/>
    </row>
    <row r="666" spans="1:129" s="128" customFormat="1" ht="54.95" customHeight="1" x14ac:dyDescent="0.25">
      <c r="A666" s="377"/>
      <c r="B666" s="175"/>
      <c r="C666" s="393"/>
      <c r="D666" s="168"/>
      <c r="E666" s="168"/>
      <c r="F666" s="168"/>
      <c r="G666" s="168"/>
      <c r="H666" s="168"/>
      <c r="I666" s="168"/>
      <c r="J666" s="168"/>
      <c r="K666" s="168"/>
      <c r="L666" s="168"/>
      <c r="M666" s="168"/>
      <c r="N666" s="168"/>
      <c r="O666" s="433"/>
      <c r="P666" s="122"/>
      <c r="Q666" s="156"/>
      <c r="R666" s="156"/>
      <c r="S666" s="156"/>
      <c r="T666" s="156"/>
      <c r="U666" s="156"/>
      <c r="V666" s="156"/>
      <c r="W666" s="156"/>
      <c r="X666" s="156"/>
      <c r="Y666" s="156"/>
      <c r="Z666" s="157"/>
      <c r="AA666" s="157"/>
      <c r="AB666" s="156"/>
      <c r="AC666" s="156"/>
      <c r="AD666" s="156"/>
      <c r="AE666" s="156"/>
      <c r="AF666" s="156"/>
      <c r="AG666" s="156"/>
      <c r="AH666" s="156"/>
      <c r="AI666" s="156"/>
      <c r="AJ666" s="156"/>
      <c r="AK666" s="156"/>
      <c r="AL666" s="156"/>
      <c r="AM666" s="158"/>
      <c r="AN666" s="156"/>
      <c r="AO666" s="156"/>
      <c r="AP666" s="156"/>
      <c r="AQ666" s="156"/>
      <c r="AR666" s="156"/>
      <c r="AS666" s="156"/>
      <c r="AT666" s="156"/>
      <c r="AU666" s="156"/>
      <c r="AV666" s="156"/>
      <c r="AW666" s="156"/>
      <c r="AX666" s="156"/>
      <c r="AY666" s="156"/>
      <c r="AZ666" s="156"/>
      <c r="BA666" s="153"/>
      <c r="BD666" s="153"/>
      <c r="BE666" s="147"/>
      <c r="BI666" s="153"/>
      <c r="BO666" s="153"/>
      <c r="BW666" s="153"/>
      <c r="CD666" s="146"/>
      <c r="CF666" s="147"/>
      <c r="CI666" s="146"/>
      <c r="CJ666" s="153"/>
      <c r="CV666" s="154"/>
      <c r="CX666" s="154"/>
      <c r="CZ666" s="154"/>
      <c r="DB666" s="154"/>
      <c r="DD666" s="154"/>
      <c r="DH666" s="474"/>
      <c r="DI666" s="459"/>
      <c r="DJ666" s="459"/>
      <c r="DK666" s="459"/>
      <c r="DL666" s="459"/>
      <c r="DM666" s="459"/>
      <c r="DN666" s="459"/>
      <c r="DO666" s="459"/>
      <c r="DP666" s="459"/>
      <c r="DQ666" s="459"/>
      <c r="DR666" s="459"/>
      <c r="DS666" s="459"/>
      <c r="DT666" s="459"/>
      <c r="DU666" s="459"/>
      <c r="DV666" s="468"/>
      <c r="DW666" s="468"/>
      <c r="DX666" s="459"/>
      <c r="DY666" s="459"/>
    </row>
    <row r="667" spans="1:129" s="128" customFormat="1" ht="54.95" customHeight="1" x14ac:dyDescent="0.25">
      <c r="A667" s="377"/>
      <c r="B667" s="175"/>
      <c r="C667" s="393"/>
      <c r="D667" s="168"/>
      <c r="E667" s="168"/>
      <c r="F667" s="168"/>
      <c r="G667" s="168"/>
      <c r="H667" s="168"/>
      <c r="I667" s="168"/>
      <c r="J667" s="168"/>
      <c r="K667" s="168"/>
      <c r="L667" s="168"/>
      <c r="M667" s="168"/>
      <c r="N667" s="168"/>
      <c r="O667" s="433"/>
      <c r="P667" s="122"/>
      <c r="Q667" s="156"/>
      <c r="R667" s="156"/>
      <c r="S667" s="156"/>
      <c r="T667" s="156"/>
      <c r="U667" s="156"/>
      <c r="V667" s="156"/>
      <c r="W667" s="156"/>
      <c r="X667" s="156"/>
      <c r="Y667" s="156"/>
      <c r="Z667" s="157"/>
      <c r="AA667" s="157"/>
      <c r="AB667" s="156"/>
      <c r="AC667" s="156"/>
      <c r="AD667" s="156"/>
      <c r="AE667" s="156"/>
      <c r="AF667" s="156"/>
      <c r="AG667" s="156"/>
      <c r="AH667" s="156"/>
      <c r="AI667" s="156"/>
      <c r="AJ667" s="156"/>
      <c r="AK667" s="156"/>
      <c r="AL667" s="156"/>
      <c r="AM667" s="158"/>
      <c r="AN667" s="156"/>
      <c r="AO667" s="156"/>
      <c r="AP667" s="156"/>
      <c r="AQ667" s="156"/>
      <c r="AR667" s="156"/>
      <c r="AS667" s="156"/>
      <c r="AT667" s="156"/>
      <c r="AU667" s="156"/>
      <c r="AV667" s="156"/>
      <c r="AW667" s="156"/>
      <c r="AX667" s="156"/>
      <c r="AY667" s="156"/>
      <c r="AZ667" s="156"/>
      <c r="BA667" s="153"/>
      <c r="BD667" s="153"/>
      <c r="BE667" s="147"/>
      <c r="BI667" s="153"/>
      <c r="BO667" s="153"/>
      <c r="BW667" s="153"/>
      <c r="CD667" s="146"/>
      <c r="CF667" s="147"/>
      <c r="CI667" s="146"/>
      <c r="CJ667" s="153"/>
      <c r="CV667" s="154"/>
      <c r="CX667" s="154"/>
      <c r="CZ667" s="154"/>
      <c r="DB667" s="154"/>
      <c r="DD667" s="154"/>
      <c r="DH667" s="474"/>
      <c r="DI667" s="459"/>
      <c r="DJ667" s="459"/>
      <c r="DK667" s="459"/>
      <c r="DL667" s="459"/>
      <c r="DM667" s="459"/>
      <c r="DN667" s="459"/>
      <c r="DO667" s="459"/>
      <c r="DP667" s="459"/>
      <c r="DQ667" s="459"/>
      <c r="DR667" s="459"/>
      <c r="DS667" s="459"/>
      <c r="DT667" s="459"/>
      <c r="DU667" s="459"/>
      <c r="DV667" s="468"/>
      <c r="DW667" s="468"/>
      <c r="DX667" s="459"/>
      <c r="DY667" s="459"/>
    </row>
    <row r="668" spans="1:129" s="128" customFormat="1" ht="54.95" customHeight="1" x14ac:dyDescent="0.25">
      <c r="A668" s="377"/>
      <c r="B668" s="175"/>
      <c r="C668" s="393"/>
      <c r="D668" s="168"/>
      <c r="E668" s="168"/>
      <c r="F668" s="168"/>
      <c r="G668" s="168"/>
      <c r="H668" s="168"/>
      <c r="I668" s="168"/>
      <c r="J668" s="168"/>
      <c r="K668" s="168"/>
      <c r="L668" s="168"/>
      <c r="M668" s="168"/>
      <c r="N668" s="168"/>
      <c r="O668" s="433"/>
      <c r="P668" s="122"/>
      <c r="Q668" s="156"/>
      <c r="R668" s="156"/>
      <c r="S668" s="156"/>
      <c r="T668" s="156"/>
      <c r="U668" s="156"/>
      <c r="V668" s="156"/>
      <c r="W668" s="156"/>
      <c r="X668" s="156"/>
      <c r="Y668" s="156"/>
      <c r="Z668" s="157"/>
      <c r="AA668" s="157"/>
      <c r="AB668" s="156"/>
      <c r="AC668" s="156"/>
      <c r="AD668" s="156"/>
      <c r="AE668" s="156"/>
      <c r="AF668" s="156"/>
      <c r="AG668" s="156"/>
      <c r="AH668" s="156"/>
      <c r="AI668" s="156"/>
      <c r="AJ668" s="156"/>
      <c r="AK668" s="156"/>
      <c r="AL668" s="156"/>
      <c r="AM668" s="158"/>
      <c r="AN668" s="156"/>
      <c r="AO668" s="156"/>
      <c r="AP668" s="156"/>
      <c r="AQ668" s="156"/>
      <c r="AR668" s="156"/>
      <c r="AS668" s="156"/>
      <c r="AT668" s="156"/>
      <c r="AU668" s="156"/>
      <c r="AV668" s="156"/>
      <c r="AW668" s="156"/>
      <c r="AX668" s="156"/>
      <c r="AY668" s="156"/>
      <c r="AZ668" s="156"/>
      <c r="BA668" s="153"/>
      <c r="BD668" s="153"/>
      <c r="BE668" s="147"/>
      <c r="BI668" s="153"/>
      <c r="BO668" s="153"/>
      <c r="BW668" s="153"/>
      <c r="CD668" s="146"/>
      <c r="CF668" s="147"/>
      <c r="CI668" s="146"/>
      <c r="CJ668" s="153"/>
      <c r="CV668" s="154"/>
      <c r="CX668" s="154"/>
      <c r="CZ668" s="154"/>
      <c r="DB668" s="154"/>
      <c r="DD668" s="154"/>
      <c r="DH668" s="474"/>
      <c r="DI668" s="459"/>
      <c r="DJ668" s="459"/>
      <c r="DK668" s="459"/>
      <c r="DL668" s="459"/>
      <c r="DM668" s="459"/>
      <c r="DN668" s="459"/>
      <c r="DO668" s="459"/>
      <c r="DP668" s="459"/>
      <c r="DQ668" s="459"/>
      <c r="DR668" s="459"/>
      <c r="DS668" s="459"/>
      <c r="DT668" s="459"/>
      <c r="DU668" s="459"/>
      <c r="DV668" s="468"/>
      <c r="DW668" s="468"/>
      <c r="DX668" s="459"/>
      <c r="DY668" s="459"/>
    </row>
    <row r="669" spans="1:129" s="128" customFormat="1" ht="54.95" customHeight="1" x14ac:dyDescent="0.25">
      <c r="A669" s="377"/>
      <c r="B669" s="175"/>
      <c r="C669" s="393"/>
      <c r="D669" s="168"/>
      <c r="E669" s="168"/>
      <c r="F669" s="168"/>
      <c r="G669" s="168"/>
      <c r="H669" s="168"/>
      <c r="I669" s="168"/>
      <c r="J669" s="168"/>
      <c r="K669" s="168"/>
      <c r="L669" s="168"/>
      <c r="M669" s="168"/>
      <c r="N669" s="168"/>
      <c r="O669" s="433"/>
      <c r="P669" s="122"/>
      <c r="Q669" s="156"/>
      <c r="R669" s="156"/>
      <c r="S669" s="156"/>
      <c r="T669" s="156"/>
      <c r="U669" s="156"/>
      <c r="V669" s="156"/>
      <c r="W669" s="156"/>
      <c r="X669" s="156"/>
      <c r="Y669" s="156"/>
      <c r="Z669" s="157"/>
      <c r="AA669" s="157"/>
      <c r="AB669" s="156"/>
      <c r="AC669" s="156"/>
      <c r="AD669" s="156"/>
      <c r="AE669" s="156"/>
      <c r="AF669" s="156"/>
      <c r="AG669" s="156"/>
      <c r="AH669" s="156"/>
      <c r="AI669" s="156"/>
      <c r="AJ669" s="156"/>
      <c r="AK669" s="156"/>
      <c r="AL669" s="156"/>
      <c r="AM669" s="158"/>
      <c r="AN669" s="156"/>
      <c r="AO669" s="156"/>
      <c r="AP669" s="156"/>
      <c r="AQ669" s="156"/>
      <c r="AR669" s="156"/>
      <c r="AS669" s="156"/>
      <c r="AT669" s="156"/>
      <c r="AU669" s="156"/>
      <c r="AV669" s="156"/>
      <c r="AW669" s="156"/>
      <c r="AX669" s="156"/>
      <c r="AY669" s="156"/>
      <c r="AZ669" s="156"/>
      <c r="BA669" s="153"/>
      <c r="BD669" s="153"/>
      <c r="BE669" s="147"/>
      <c r="BI669" s="153"/>
      <c r="BO669" s="153"/>
      <c r="BW669" s="153"/>
      <c r="CD669" s="146"/>
      <c r="CF669" s="147"/>
      <c r="CI669" s="146"/>
      <c r="CJ669" s="153"/>
      <c r="CV669" s="154"/>
      <c r="CX669" s="154"/>
      <c r="CZ669" s="154"/>
      <c r="DB669" s="154"/>
      <c r="DD669" s="154"/>
      <c r="DH669" s="474"/>
      <c r="DI669" s="459"/>
      <c r="DJ669" s="459"/>
      <c r="DK669" s="459"/>
      <c r="DL669" s="459"/>
      <c r="DM669" s="459"/>
      <c r="DN669" s="459"/>
      <c r="DO669" s="459"/>
      <c r="DP669" s="459"/>
      <c r="DQ669" s="459"/>
      <c r="DR669" s="459"/>
      <c r="DS669" s="459"/>
      <c r="DT669" s="459"/>
      <c r="DU669" s="459"/>
      <c r="DV669" s="468"/>
      <c r="DW669" s="468"/>
      <c r="DX669" s="459"/>
      <c r="DY669" s="459"/>
    </row>
    <row r="670" spans="1:129" s="128" customFormat="1" ht="54.95" customHeight="1" x14ac:dyDescent="0.25">
      <c r="A670" s="377"/>
      <c r="B670" s="175"/>
      <c r="C670" s="393"/>
      <c r="D670" s="168"/>
      <c r="E670" s="168"/>
      <c r="F670" s="168"/>
      <c r="G670" s="168"/>
      <c r="H670" s="168"/>
      <c r="I670" s="168"/>
      <c r="J670" s="168"/>
      <c r="K670" s="168"/>
      <c r="L670" s="168"/>
      <c r="M670" s="168"/>
      <c r="N670" s="168"/>
      <c r="O670" s="433"/>
      <c r="P670" s="122"/>
      <c r="Q670" s="156"/>
      <c r="R670" s="156"/>
      <c r="S670" s="156"/>
      <c r="T670" s="156"/>
      <c r="U670" s="156"/>
      <c r="V670" s="156"/>
      <c r="W670" s="156"/>
      <c r="X670" s="156"/>
      <c r="Y670" s="156"/>
      <c r="Z670" s="157"/>
      <c r="AA670" s="157"/>
      <c r="AB670" s="156"/>
      <c r="AC670" s="156"/>
      <c r="AD670" s="156"/>
      <c r="AE670" s="156"/>
      <c r="AF670" s="156"/>
      <c r="AG670" s="156"/>
      <c r="AH670" s="156"/>
      <c r="AI670" s="156"/>
      <c r="AJ670" s="156"/>
      <c r="AK670" s="156"/>
      <c r="AL670" s="156"/>
      <c r="AM670" s="158"/>
      <c r="AN670" s="156"/>
      <c r="AO670" s="156"/>
      <c r="AP670" s="156"/>
      <c r="AQ670" s="156"/>
      <c r="AR670" s="156"/>
      <c r="AS670" s="156"/>
      <c r="AT670" s="156"/>
      <c r="AU670" s="156"/>
      <c r="AV670" s="156"/>
      <c r="AW670" s="156"/>
      <c r="AX670" s="156"/>
      <c r="AY670" s="156"/>
      <c r="AZ670" s="156"/>
      <c r="BA670" s="153"/>
      <c r="BD670" s="153"/>
      <c r="BE670" s="147"/>
      <c r="BI670" s="153"/>
      <c r="BO670" s="153"/>
      <c r="BW670" s="153"/>
      <c r="CD670" s="146"/>
      <c r="CF670" s="147"/>
      <c r="CI670" s="146"/>
      <c r="CJ670" s="153"/>
      <c r="CV670" s="154"/>
      <c r="CX670" s="154"/>
      <c r="CZ670" s="154"/>
      <c r="DB670" s="154"/>
      <c r="DD670" s="154"/>
      <c r="DH670" s="474"/>
      <c r="DI670" s="459"/>
      <c r="DJ670" s="459"/>
      <c r="DK670" s="459"/>
      <c r="DL670" s="459"/>
      <c r="DM670" s="459"/>
      <c r="DN670" s="459"/>
      <c r="DO670" s="459"/>
      <c r="DP670" s="459"/>
      <c r="DQ670" s="459"/>
      <c r="DR670" s="459"/>
      <c r="DS670" s="459"/>
      <c r="DT670" s="459"/>
      <c r="DU670" s="459"/>
      <c r="DV670" s="468"/>
      <c r="DW670" s="468"/>
      <c r="DX670" s="459"/>
      <c r="DY670" s="459"/>
    </row>
    <row r="671" spans="1:129" s="128" customFormat="1" ht="54.95" customHeight="1" x14ac:dyDescent="0.25">
      <c r="A671" s="377"/>
      <c r="B671" s="175"/>
      <c r="C671" s="393"/>
      <c r="D671" s="168"/>
      <c r="E671" s="168"/>
      <c r="F671" s="168"/>
      <c r="G671" s="168"/>
      <c r="H671" s="168"/>
      <c r="I671" s="168"/>
      <c r="J671" s="168"/>
      <c r="K671" s="168"/>
      <c r="L671" s="168"/>
      <c r="M671" s="168"/>
      <c r="N671" s="168"/>
      <c r="O671" s="433"/>
      <c r="P671" s="122"/>
      <c r="Q671" s="156"/>
      <c r="R671" s="156"/>
      <c r="S671" s="156"/>
      <c r="T671" s="156"/>
      <c r="U671" s="156"/>
      <c r="V671" s="156"/>
      <c r="W671" s="156"/>
      <c r="X671" s="156"/>
      <c r="Y671" s="156"/>
      <c r="Z671" s="157"/>
      <c r="AA671" s="157"/>
      <c r="AB671" s="156"/>
      <c r="AC671" s="156"/>
      <c r="AD671" s="156"/>
      <c r="AE671" s="156"/>
      <c r="AF671" s="156"/>
      <c r="AG671" s="156"/>
      <c r="AH671" s="156"/>
      <c r="AI671" s="156"/>
      <c r="AJ671" s="156"/>
      <c r="AK671" s="156"/>
      <c r="AL671" s="156"/>
      <c r="AM671" s="158"/>
      <c r="AN671" s="156"/>
      <c r="AO671" s="156"/>
      <c r="AP671" s="156"/>
      <c r="AQ671" s="156"/>
      <c r="AR671" s="156"/>
      <c r="AS671" s="156"/>
      <c r="AT671" s="156"/>
      <c r="AU671" s="156"/>
      <c r="AV671" s="156"/>
      <c r="AW671" s="156"/>
      <c r="AX671" s="156"/>
      <c r="AY671" s="156"/>
      <c r="AZ671" s="156"/>
      <c r="BA671" s="153"/>
      <c r="BD671" s="153"/>
      <c r="BE671" s="147"/>
      <c r="BI671" s="153"/>
      <c r="BO671" s="153"/>
      <c r="BW671" s="153"/>
      <c r="CD671" s="146"/>
      <c r="CF671" s="147"/>
      <c r="CI671" s="146"/>
      <c r="CJ671" s="153"/>
      <c r="CV671" s="154"/>
      <c r="CX671" s="154"/>
      <c r="CZ671" s="154"/>
      <c r="DB671" s="154"/>
      <c r="DD671" s="154"/>
      <c r="DH671" s="474"/>
      <c r="DI671" s="459"/>
      <c r="DJ671" s="459"/>
      <c r="DK671" s="459"/>
      <c r="DL671" s="459"/>
      <c r="DM671" s="459"/>
      <c r="DN671" s="459"/>
      <c r="DO671" s="459"/>
      <c r="DP671" s="459"/>
      <c r="DQ671" s="459"/>
      <c r="DR671" s="459"/>
      <c r="DS671" s="459"/>
      <c r="DT671" s="459"/>
      <c r="DU671" s="459"/>
      <c r="DV671" s="468"/>
      <c r="DW671" s="468"/>
      <c r="DX671" s="459"/>
      <c r="DY671" s="459"/>
    </row>
    <row r="672" spans="1:129" s="128" customFormat="1" ht="54.95" customHeight="1" x14ac:dyDescent="0.25">
      <c r="A672" s="377"/>
      <c r="B672" s="175"/>
      <c r="C672" s="393"/>
      <c r="D672" s="168"/>
      <c r="E672" s="168"/>
      <c r="F672" s="168"/>
      <c r="G672" s="168"/>
      <c r="H672" s="168"/>
      <c r="I672" s="168"/>
      <c r="J672" s="168"/>
      <c r="K672" s="168"/>
      <c r="L672" s="168"/>
      <c r="M672" s="168"/>
      <c r="N672" s="168"/>
      <c r="O672" s="433"/>
      <c r="P672" s="122"/>
      <c r="Q672" s="156"/>
      <c r="R672" s="156"/>
      <c r="S672" s="156"/>
      <c r="T672" s="156"/>
      <c r="U672" s="156"/>
      <c r="V672" s="156"/>
      <c r="W672" s="156"/>
      <c r="X672" s="156"/>
      <c r="Y672" s="156"/>
      <c r="Z672" s="157"/>
      <c r="AA672" s="157"/>
      <c r="AB672" s="156"/>
      <c r="AC672" s="156"/>
      <c r="AD672" s="156"/>
      <c r="AE672" s="156"/>
      <c r="AF672" s="156"/>
      <c r="AG672" s="156"/>
      <c r="AH672" s="156"/>
      <c r="AI672" s="156"/>
      <c r="AJ672" s="156"/>
      <c r="AK672" s="156"/>
      <c r="AL672" s="156"/>
      <c r="AM672" s="158"/>
      <c r="AN672" s="156"/>
      <c r="AO672" s="156"/>
      <c r="AP672" s="156"/>
      <c r="AQ672" s="156"/>
      <c r="AR672" s="156"/>
      <c r="AS672" s="156"/>
      <c r="AT672" s="156"/>
      <c r="AU672" s="156"/>
      <c r="AV672" s="156"/>
      <c r="AW672" s="156"/>
      <c r="AX672" s="156"/>
      <c r="AY672" s="156"/>
      <c r="AZ672" s="156"/>
      <c r="BA672" s="153"/>
      <c r="BD672" s="153"/>
      <c r="BE672" s="147"/>
      <c r="BI672" s="153"/>
      <c r="BO672" s="153"/>
      <c r="BW672" s="153"/>
      <c r="CD672" s="146"/>
      <c r="CF672" s="147"/>
      <c r="CI672" s="146"/>
      <c r="CJ672" s="153"/>
      <c r="CV672" s="154"/>
      <c r="CX672" s="154"/>
      <c r="CZ672" s="154"/>
      <c r="DB672" s="154"/>
      <c r="DD672" s="154"/>
      <c r="DH672" s="474"/>
      <c r="DI672" s="459"/>
      <c r="DJ672" s="459"/>
      <c r="DK672" s="459"/>
      <c r="DL672" s="459"/>
      <c r="DM672" s="459"/>
      <c r="DN672" s="459"/>
      <c r="DO672" s="459"/>
      <c r="DP672" s="459"/>
      <c r="DQ672" s="459"/>
      <c r="DR672" s="459"/>
      <c r="DS672" s="459"/>
      <c r="DT672" s="459"/>
      <c r="DU672" s="459"/>
      <c r="DV672" s="468"/>
      <c r="DW672" s="468"/>
      <c r="DX672" s="459"/>
      <c r="DY672" s="459"/>
    </row>
    <row r="673" spans="1:129" s="128" customFormat="1" ht="54.95" customHeight="1" x14ac:dyDescent="0.25">
      <c r="A673" s="377"/>
      <c r="B673" s="175"/>
      <c r="C673" s="393"/>
      <c r="D673" s="168"/>
      <c r="E673" s="168"/>
      <c r="F673" s="168"/>
      <c r="G673" s="168"/>
      <c r="H673" s="168"/>
      <c r="I673" s="168"/>
      <c r="J673" s="168"/>
      <c r="K673" s="168"/>
      <c r="L673" s="168"/>
      <c r="M673" s="168"/>
      <c r="N673" s="168"/>
      <c r="O673" s="433"/>
      <c r="P673" s="122"/>
      <c r="Q673" s="156"/>
      <c r="R673" s="156"/>
      <c r="S673" s="156"/>
      <c r="T673" s="156"/>
      <c r="U673" s="156"/>
      <c r="V673" s="156"/>
      <c r="W673" s="156"/>
      <c r="X673" s="156"/>
      <c r="Y673" s="156"/>
      <c r="Z673" s="157"/>
      <c r="AA673" s="157"/>
      <c r="AB673" s="156"/>
      <c r="AC673" s="156"/>
      <c r="AD673" s="156"/>
      <c r="AE673" s="156"/>
      <c r="AF673" s="156"/>
      <c r="AG673" s="156"/>
      <c r="AH673" s="156"/>
      <c r="AI673" s="156"/>
      <c r="AJ673" s="156"/>
      <c r="AK673" s="156"/>
      <c r="AL673" s="156"/>
      <c r="AM673" s="158"/>
      <c r="AN673" s="156"/>
      <c r="AO673" s="156"/>
      <c r="AP673" s="156"/>
      <c r="AQ673" s="156"/>
      <c r="AR673" s="156"/>
      <c r="AS673" s="156"/>
      <c r="AT673" s="156"/>
      <c r="AU673" s="156"/>
      <c r="AV673" s="156"/>
      <c r="AW673" s="156"/>
      <c r="AX673" s="156"/>
      <c r="AY673" s="156"/>
      <c r="AZ673" s="156"/>
      <c r="BA673" s="153"/>
      <c r="BD673" s="153"/>
      <c r="BE673" s="147"/>
      <c r="BI673" s="153"/>
      <c r="BO673" s="153"/>
      <c r="BW673" s="153"/>
      <c r="CD673" s="146"/>
      <c r="CF673" s="147"/>
      <c r="CI673" s="146"/>
      <c r="CJ673" s="153"/>
      <c r="CV673" s="154"/>
      <c r="CX673" s="154"/>
      <c r="CZ673" s="154"/>
      <c r="DB673" s="154"/>
      <c r="DD673" s="154"/>
      <c r="DH673" s="474"/>
      <c r="DI673" s="459"/>
      <c r="DJ673" s="459"/>
      <c r="DK673" s="459"/>
      <c r="DL673" s="459"/>
      <c r="DM673" s="459"/>
      <c r="DN673" s="459"/>
      <c r="DO673" s="459"/>
      <c r="DP673" s="459"/>
      <c r="DQ673" s="459"/>
      <c r="DR673" s="459"/>
      <c r="DS673" s="459"/>
      <c r="DT673" s="459"/>
      <c r="DU673" s="459"/>
      <c r="DV673" s="468"/>
      <c r="DW673" s="468"/>
      <c r="DX673" s="459"/>
      <c r="DY673" s="459"/>
    </row>
    <row r="674" spans="1:129" s="128" customFormat="1" ht="54.95" customHeight="1" x14ac:dyDescent="0.25">
      <c r="A674" s="377"/>
      <c r="B674" s="175"/>
      <c r="C674" s="393"/>
      <c r="D674" s="168"/>
      <c r="E674" s="168"/>
      <c r="F674" s="168"/>
      <c r="G674" s="168"/>
      <c r="H674" s="168"/>
      <c r="I674" s="168"/>
      <c r="J674" s="168"/>
      <c r="K674" s="168"/>
      <c r="L674" s="168"/>
      <c r="M674" s="168"/>
      <c r="N674" s="168"/>
      <c r="O674" s="433"/>
      <c r="P674" s="122"/>
      <c r="Q674" s="156"/>
      <c r="R674" s="156"/>
      <c r="S674" s="156"/>
      <c r="T674" s="156"/>
      <c r="U674" s="156"/>
      <c r="V674" s="156"/>
      <c r="W674" s="156"/>
      <c r="X674" s="156"/>
      <c r="Y674" s="156"/>
      <c r="Z674" s="157"/>
      <c r="AA674" s="157"/>
      <c r="AB674" s="156"/>
      <c r="AC674" s="156"/>
      <c r="AD674" s="156"/>
      <c r="AE674" s="156"/>
      <c r="AF674" s="156"/>
      <c r="AG674" s="156"/>
      <c r="AH674" s="156"/>
      <c r="AI674" s="156"/>
      <c r="AJ674" s="156"/>
      <c r="AK674" s="156"/>
      <c r="AL674" s="156"/>
      <c r="AM674" s="158"/>
      <c r="AN674" s="156"/>
      <c r="AO674" s="156"/>
      <c r="AP674" s="156"/>
      <c r="AQ674" s="156"/>
      <c r="AR674" s="156"/>
      <c r="AS674" s="156"/>
      <c r="AT674" s="156"/>
      <c r="AU674" s="156"/>
      <c r="AV674" s="156"/>
      <c r="AW674" s="156"/>
      <c r="AX674" s="156"/>
      <c r="AY674" s="156"/>
      <c r="AZ674" s="156"/>
      <c r="BA674" s="153"/>
      <c r="BD674" s="153"/>
      <c r="BE674" s="147"/>
      <c r="BI674" s="153"/>
      <c r="BO674" s="153"/>
      <c r="BW674" s="153"/>
      <c r="CD674" s="146"/>
      <c r="CF674" s="147"/>
      <c r="CI674" s="146"/>
      <c r="CJ674" s="153"/>
      <c r="CV674" s="154"/>
      <c r="CX674" s="154"/>
      <c r="CZ674" s="154"/>
      <c r="DB674" s="154"/>
      <c r="DD674" s="154"/>
      <c r="DH674" s="474"/>
      <c r="DI674" s="459"/>
      <c r="DJ674" s="459"/>
      <c r="DK674" s="459"/>
      <c r="DL674" s="459"/>
      <c r="DM674" s="459"/>
      <c r="DN674" s="459"/>
      <c r="DO674" s="459"/>
      <c r="DP674" s="459"/>
      <c r="DQ674" s="459"/>
      <c r="DR674" s="459"/>
      <c r="DS674" s="459"/>
      <c r="DT674" s="459"/>
      <c r="DU674" s="459"/>
      <c r="DV674" s="468"/>
      <c r="DW674" s="468"/>
      <c r="DX674" s="459"/>
      <c r="DY674" s="459"/>
    </row>
    <row r="675" spans="1:129" s="128" customFormat="1" ht="54.95" customHeight="1" x14ac:dyDescent="0.25">
      <c r="A675" s="377"/>
      <c r="B675" s="175"/>
      <c r="C675" s="393"/>
      <c r="D675" s="168"/>
      <c r="E675" s="168"/>
      <c r="F675" s="168"/>
      <c r="G675" s="168"/>
      <c r="H675" s="168"/>
      <c r="I675" s="168"/>
      <c r="J675" s="168"/>
      <c r="K675" s="168"/>
      <c r="L675" s="168"/>
      <c r="M675" s="168"/>
      <c r="N675" s="168"/>
      <c r="O675" s="433"/>
      <c r="P675" s="122"/>
      <c r="Q675" s="156"/>
      <c r="R675" s="156"/>
      <c r="S675" s="156"/>
      <c r="T675" s="156"/>
      <c r="U675" s="156"/>
      <c r="V675" s="156"/>
      <c r="W675" s="156"/>
      <c r="X675" s="156"/>
      <c r="Y675" s="156"/>
      <c r="Z675" s="157"/>
      <c r="AA675" s="157"/>
      <c r="AB675" s="156"/>
      <c r="AC675" s="156"/>
      <c r="AD675" s="156"/>
      <c r="AE675" s="156"/>
      <c r="AF675" s="156"/>
      <c r="AG675" s="156"/>
      <c r="AH675" s="156"/>
      <c r="AI675" s="156"/>
      <c r="AJ675" s="156"/>
      <c r="AK675" s="156"/>
      <c r="AL675" s="156"/>
      <c r="AM675" s="158"/>
      <c r="AN675" s="156"/>
      <c r="AO675" s="156"/>
      <c r="AP675" s="156"/>
      <c r="AQ675" s="156"/>
      <c r="AR675" s="156"/>
      <c r="AS675" s="156"/>
      <c r="AT675" s="156"/>
      <c r="AU675" s="156"/>
      <c r="AV675" s="156"/>
      <c r="AW675" s="156"/>
      <c r="AX675" s="156"/>
      <c r="AY675" s="156"/>
      <c r="AZ675" s="156"/>
      <c r="BA675" s="153"/>
      <c r="BD675" s="153"/>
      <c r="BE675" s="147"/>
      <c r="BI675" s="153"/>
      <c r="BO675" s="153"/>
      <c r="BW675" s="153"/>
      <c r="CD675" s="146"/>
      <c r="CF675" s="147"/>
      <c r="CI675" s="146"/>
      <c r="CJ675" s="153"/>
      <c r="CV675" s="154"/>
      <c r="CX675" s="154"/>
      <c r="CZ675" s="154"/>
      <c r="DB675" s="154"/>
      <c r="DD675" s="154"/>
      <c r="DH675" s="474"/>
      <c r="DI675" s="459"/>
      <c r="DJ675" s="459"/>
      <c r="DK675" s="459"/>
      <c r="DL675" s="459"/>
      <c r="DM675" s="459"/>
      <c r="DN675" s="459"/>
      <c r="DO675" s="459"/>
      <c r="DP675" s="459"/>
      <c r="DQ675" s="459"/>
      <c r="DR675" s="459"/>
      <c r="DS675" s="459"/>
      <c r="DT675" s="459"/>
      <c r="DU675" s="459"/>
      <c r="DV675" s="468"/>
      <c r="DW675" s="468"/>
      <c r="DX675" s="459"/>
      <c r="DY675" s="459"/>
    </row>
    <row r="676" spans="1:129" s="128" customFormat="1" ht="54.95" customHeight="1" x14ac:dyDescent="0.25">
      <c r="A676" s="377"/>
      <c r="B676" s="175"/>
      <c r="C676" s="393"/>
      <c r="D676" s="168"/>
      <c r="E676" s="168"/>
      <c r="F676" s="168"/>
      <c r="G676" s="168"/>
      <c r="H676" s="168"/>
      <c r="I676" s="168"/>
      <c r="J676" s="168"/>
      <c r="K676" s="168"/>
      <c r="L676" s="168"/>
      <c r="M676" s="168"/>
      <c r="N676" s="168"/>
      <c r="O676" s="433"/>
      <c r="P676" s="122"/>
      <c r="Q676" s="156"/>
      <c r="R676" s="156"/>
      <c r="S676" s="156"/>
      <c r="T676" s="156"/>
      <c r="U676" s="156"/>
      <c r="V676" s="156"/>
      <c r="W676" s="156"/>
      <c r="X676" s="156"/>
      <c r="Y676" s="156"/>
      <c r="Z676" s="157"/>
      <c r="AA676" s="157"/>
      <c r="AB676" s="156"/>
      <c r="AC676" s="156"/>
      <c r="AD676" s="156"/>
      <c r="AE676" s="156"/>
      <c r="AF676" s="156"/>
      <c r="AG676" s="156"/>
      <c r="AH676" s="156"/>
      <c r="AI676" s="156"/>
      <c r="AJ676" s="156"/>
      <c r="AK676" s="156"/>
      <c r="AL676" s="156"/>
      <c r="AM676" s="158"/>
      <c r="AN676" s="156"/>
      <c r="AO676" s="156"/>
      <c r="AP676" s="156"/>
      <c r="AQ676" s="156"/>
      <c r="AR676" s="156"/>
      <c r="AS676" s="156"/>
      <c r="AT676" s="156"/>
      <c r="AU676" s="156"/>
      <c r="AV676" s="156"/>
      <c r="AW676" s="156"/>
      <c r="AX676" s="156"/>
      <c r="AY676" s="156"/>
      <c r="AZ676" s="156"/>
      <c r="BA676" s="153"/>
      <c r="BD676" s="153"/>
      <c r="BE676" s="147"/>
      <c r="BI676" s="153"/>
      <c r="BO676" s="153"/>
      <c r="BW676" s="153"/>
      <c r="CD676" s="146"/>
      <c r="CF676" s="147"/>
      <c r="CI676" s="146"/>
      <c r="CJ676" s="153"/>
      <c r="CV676" s="154"/>
      <c r="CX676" s="154"/>
      <c r="CZ676" s="154"/>
      <c r="DB676" s="154"/>
      <c r="DD676" s="154"/>
      <c r="DH676" s="474"/>
      <c r="DI676" s="459"/>
      <c r="DJ676" s="459"/>
      <c r="DK676" s="459"/>
      <c r="DL676" s="459"/>
      <c r="DM676" s="459"/>
      <c r="DN676" s="459"/>
      <c r="DO676" s="459"/>
      <c r="DP676" s="459"/>
      <c r="DQ676" s="459"/>
      <c r="DR676" s="459"/>
      <c r="DS676" s="459"/>
      <c r="DT676" s="459"/>
      <c r="DU676" s="459"/>
      <c r="DV676" s="468"/>
      <c r="DW676" s="468"/>
      <c r="DX676" s="459"/>
      <c r="DY676" s="459"/>
    </row>
    <row r="677" spans="1:129" s="128" customFormat="1" ht="54.95" customHeight="1" x14ac:dyDescent="0.25">
      <c r="A677" s="377"/>
      <c r="B677" s="175"/>
      <c r="C677" s="393"/>
      <c r="D677" s="168"/>
      <c r="E677" s="168"/>
      <c r="F677" s="168"/>
      <c r="G677" s="168"/>
      <c r="H677" s="168"/>
      <c r="I677" s="168"/>
      <c r="J677" s="168"/>
      <c r="K677" s="168"/>
      <c r="L677" s="168"/>
      <c r="M677" s="168"/>
      <c r="N677" s="168"/>
      <c r="O677" s="433"/>
      <c r="P677" s="122"/>
      <c r="Q677" s="156"/>
      <c r="R677" s="156"/>
      <c r="S677" s="156"/>
      <c r="T677" s="156"/>
      <c r="U677" s="156"/>
      <c r="V677" s="156"/>
      <c r="W677" s="156"/>
      <c r="X677" s="156"/>
      <c r="Y677" s="156"/>
      <c r="Z677" s="157"/>
      <c r="AA677" s="157"/>
      <c r="AB677" s="156"/>
      <c r="AC677" s="156"/>
      <c r="AD677" s="156"/>
      <c r="AE677" s="156"/>
      <c r="AF677" s="156"/>
      <c r="AG677" s="156"/>
      <c r="AH677" s="156"/>
      <c r="AI677" s="156"/>
      <c r="AJ677" s="156"/>
      <c r="AK677" s="156"/>
      <c r="AL677" s="156"/>
      <c r="AM677" s="158"/>
      <c r="AN677" s="156"/>
      <c r="AO677" s="156"/>
      <c r="AP677" s="156"/>
      <c r="AQ677" s="156"/>
      <c r="AR677" s="156"/>
      <c r="AS677" s="156"/>
      <c r="AT677" s="156"/>
      <c r="AU677" s="156"/>
      <c r="AV677" s="156"/>
      <c r="AW677" s="156"/>
      <c r="AX677" s="156"/>
      <c r="AY677" s="156"/>
      <c r="AZ677" s="156"/>
      <c r="BA677" s="153"/>
      <c r="BD677" s="153"/>
      <c r="BE677" s="147"/>
      <c r="BI677" s="153"/>
      <c r="BO677" s="153"/>
      <c r="BW677" s="153"/>
      <c r="CD677" s="146"/>
      <c r="CF677" s="147"/>
      <c r="CI677" s="146"/>
      <c r="CJ677" s="153"/>
      <c r="CV677" s="154"/>
      <c r="CX677" s="154"/>
      <c r="CZ677" s="154"/>
      <c r="DB677" s="154"/>
      <c r="DD677" s="154"/>
      <c r="DH677" s="474"/>
      <c r="DI677" s="459"/>
      <c r="DJ677" s="459"/>
      <c r="DK677" s="459"/>
      <c r="DL677" s="459"/>
      <c r="DM677" s="459"/>
      <c r="DN677" s="459"/>
      <c r="DO677" s="459"/>
      <c r="DP677" s="459"/>
      <c r="DQ677" s="459"/>
      <c r="DR677" s="459"/>
      <c r="DS677" s="459"/>
      <c r="DT677" s="459"/>
      <c r="DU677" s="459"/>
      <c r="DV677" s="468"/>
      <c r="DW677" s="468"/>
      <c r="DX677" s="459"/>
      <c r="DY677" s="459"/>
    </row>
    <row r="678" spans="1:129" s="128" customFormat="1" ht="54.95" customHeight="1" x14ac:dyDescent="0.25">
      <c r="A678" s="377"/>
      <c r="B678" s="175"/>
      <c r="C678" s="393"/>
      <c r="D678" s="168"/>
      <c r="E678" s="168"/>
      <c r="F678" s="168"/>
      <c r="G678" s="168"/>
      <c r="H678" s="168"/>
      <c r="I678" s="168"/>
      <c r="J678" s="168"/>
      <c r="K678" s="168"/>
      <c r="L678" s="168"/>
      <c r="M678" s="168"/>
      <c r="N678" s="168"/>
      <c r="O678" s="433"/>
      <c r="P678" s="122"/>
      <c r="Q678" s="156"/>
      <c r="R678" s="156"/>
      <c r="S678" s="156"/>
      <c r="T678" s="156"/>
      <c r="U678" s="156"/>
      <c r="V678" s="156"/>
      <c r="W678" s="156"/>
      <c r="X678" s="156"/>
      <c r="Y678" s="156"/>
      <c r="Z678" s="157"/>
      <c r="AA678" s="157"/>
      <c r="AB678" s="156"/>
      <c r="AC678" s="156"/>
      <c r="AD678" s="156"/>
      <c r="AE678" s="156"/>
      <c r="AF678" s="156"/>
      <c r="AG678" s="156"/>
      <c r="AH678" s="156"/>
      <c r="AI678" s="156"/>
      <c r="AJ678" s="156"/>
      <c r="AK678" s="156"/>
      <c r="AL678" s="156"/>
      <c r="AM678" s="158"/>
      <c r="AN678" s="156"/>
      <c r="AO678" s="156"/>
      <c r="AP678" s="156"/>
      <c r="AQ678" s="156"/>
      <c r="AR678" s="156"/>
      <c r="AS678" s="156"/>
      <c r="AT678" s="156"/>
      <c r="AU678" s="156"/>
      <c r="AV678" s="156"/>
      <c r="AW678" s="156"/>
      <c r="AX678" s="156"/>
      <c r="AY678" s="156"/>
      <c r="AZ678" s="156"/>
      <c r="BA678" s="153"/>
      <c r="BD678" s="153"/>
      <c r="BE678" s="147"/>
      <c r="BI678" s="153"/>
      <c r="BO678" s="153"/>
      <c r="BW678" s="153"/>
      <c r="CD678" s="146"/>
      <c r="CF678" s="147"/>
      <c r="CI678" s="146"/>
      <c r="CJ678" s="153"/>
      <c r="CV678" s="154"/>
      <c r="CX678" s="154"/>
      <c r="CZ678" s="154"/>
      <c r="DB678" s="154"/>
      <c r="DD678" s="154"/>
      <c r="DH678" s="474"/>
      <c r="DI678" s="459"/>
      <c r="DJ678" s="459"/>
      <c r="DK678" s="459"/>
      <c r="DL678" s="459"/>
      <c r="DM678" s="459"/>
      <c r="DN678" s="459"/>
      <c r="DO678" s="459"/>
      <c r="DP678" s="459"/>
      <c r="DQ678" s="459"/>
      <c r="DR678" s="459"/>
      <c r="DS678" s="459"/>
      <c r="DT678" s="459"/>
      <c r="DU678" s="459"/>
      <c r="DV678" s="468"/>
      <c r="DW678" s="468"/>
      <c r="DX678" s="459"/>
      <c r="DY678" s="459"/>
    </row>
    <row r="679" spans="1:129" s="128" customFormat="1" ht="54.95" customHeight="1" x14ac:dyDescent="0.25">
      <c r="A679" s="377"/>
      <c r="B679" s="175"/>
      <c r="C679" s="393"/>
      <c r="D679" s="168"/>
      <c r="E679" s="168"/>
      <c r="F679" s="168"/>
      <c r="G679" s="168"/>
      <c r="H679" s="168"/>
      <c r="I679" s="168"/>
      <c r="J679" s="168"/>
      <c r="K679" s="168"/>
      <c r="L679" s="168"/>
      <c r="M679" s="168"/>
      <c r="N679" s="168"/>
      <c r="O679" s="433"/>
      <c r="P679" s="122"/>
      <c r="Q679" s="156"/>
      <c r="R679" s="156"/>
      <c r="S679" s="156"/>
      <c r="T679" s="156"/>
      <c r="U679" s="156"/>
      <c r="V679" s="156"/>
      <c r="W679" s="156"/>
      <c r="X679" s="156"/>
      <c r="Y679" s="156"/>
      <c r="Z679" s="157"/>
      <c r="AA679" s="157"/>
      <c r="AB679" s="156"/>
      <c r="AC679" s="156"/>
      <c r="AD679" s="156"/>
      <c r="AE679" s="156"/>
      <c r="AF679" s="156"/>
      <c r="AG679" s="156"/>
      <c r="AH679" s="156"/>
      <c r="AI679" s="156"/>
      <c r="AJ679" s="156"/>
      <c r="AK679" s="156"/>
      <c r="AL679" s="156"/>
      <c r="AM679" s="158"/>
      <c r="AN679" s="156"/>
      <c r="AO679" s="156"/>
      <c r="AP679" s="156"/>
      <c r="AQ679" s="156"/>
      <c r="AR679" s="156"/>
      <c r="AS679" s="156"/>
      <c r="AT679" s="156"/>
      <c r="AU679" s="156"/>
      <c r="AV679" s="156"/>
      <c r="AW679" s="156"/>
      <c r="AX679" s="156"/>
      <c r="AY679" s="156"/>
      <c r="AZ679" s="156"/>
      <c r="BA679" s="153"/>
      <c r="BD679" s="153"/>
      <c r="BE679" s="147"/>
      <c r="BI679" s="153"/>
      <c r="BO679" s="153"/>
      <c r="BW679" s="153"/>
      <c r="CD679" s="146"/>
      <c r="CF679" s="147"/>
      <c r="CI679" s="146"/>
      <c r="CJ679" s="153"/>
      <c r="CV679" s="154"/>
      <c r="CX679" s="154"/>
      <c r="CZ679" s="154"/>
      <c r="DB679" s="154"/>
      <c r="DD679" s="154"/>
      <c r="DH679" s="474"/>
      <c r="DI679" s="459"/>
      <c r="DJ679" s="459"/>
      <c r="DK679" s="459"/>
      <c r="DL679" s="459"/>
      <c r="DM679" s="459"/>
      <c r="DN679" s="459"/>
      <c r="DO679" s="459"/>
      <c r="DP679" s="459"/>
      <c r="DQ679" s="459"/>
      <c r="DR679" s="459"/>
      <c r="DS679" s="459"/>
      <c r="DT679" s="459"/>
      <c r="DU679" s="459"/>
      <c r="DV679" s="468"/>
      <c r="DW679" s="468"/>
      <c r="DX679" s="459"/>
      <c r="DY679" s="459"/>
    </row>
    <row r="680" spans="1:129" s="128" customFormat="1" ht="54.95" customHeight="1" x14ac:dyDescent="0.25">
      <c r="A680" s="377"/>
      <c r="B680" s="175"/>
      <c r="C680" s="393"/>
      <c r="D680" s="168"/>
      <c r="E680" s="168"/>
      <c r="F680" s="168"/>
      <c r="G680" s="168"/>
      <c r="H680" s="168"/>
      <c r="I680" s="168"/>
      <c r="J680" s="168"/>
      <c r="K680" s="168"/>
      <c r="L680" s="168"/>
      <c r="M680" s="168"/>
      <c r="N680" s="168"/>
      <c r="O680" s="433"/>
      <c r="P680" s="122"/>
      <c r="Q680" s="156"/>
      <c r="R680" s="156"/>
      <c r="S680" s="156"/>
      <c r="T680" s="156"/>
      <c r="U680" s="156"/>
      <c r="V680" s="156"/>
      <c r="W680" s="156"/>
      <c r="X680" s="156"/>
      <c r="Y680" s="156"/>
      <c r="Z680" s="157"/>
      <c r="AA680" s="157"/>
      <c r="AB680" s="156"/>
      <c r="AC680" s="156"/>
      <c r="AD680" s="156"/>
      <c r="AE680" s="156"/>
      <c r="AF680" s="156"/>
      <c r="AG680" s="156"/>
      <c r="AH680" s="156"/>
      <c r="AI680" s="156"/>
      <c r="AJ680" s="156"/>
      <c r="AK680" s="156"/>
      <c r="AL680" s="156"/>
      <c r="AM680" s="158"/>
      <c r="AN680" s="156"/>
      <c r="AO680" s="156"/>
      <c r="AP680" s="156"/>
      <c r="AQ680" s="156"/>
      <c r="AR680" s="156"/>
      <c r="AS680" s="156"/>
      <c r="AT680" s="156"/>
      <c r="AU680" s="156"/>
      <c r="AV680" s="156"/>
      <c r="AW680" s="156"/>
      <c r="AX680" s="156"/>
      <c r="AY680" s="156"/>
      <c r="AZ680" s="156"/>
      <c r="BA680" s="153"/>
      <c r="BD680" s="153"/>
      <c r="BE680" s="147"/>
      <c r="BI680" s="153"/>
      <c r="BO680" s="153"/>
      <c r="BW680" s="153"/>
      <c r="CD680" s="146"/>
      <c r="CF680" s="147"/>
      <c r="CI680" s="146"/>
      <c r="CJ680" s="153"/>
      <c r="CV680" s="154"/>
      <c r="CX680" s="154"/>
      <c r="CZ680" s="154"/>
      <c r="DB680" s="154"/>
      <c r="DD680" s="154"/>
      <c r="DH680" s="474"/>
      <c r="DI680" s="459"/>
      <c r="DJ680" s="459"/>
      <c r="DK680" s="459"/>
      <c r="DL680" s="459"/>
      <c r="DM680" s="459"/>
      <c r="DN680" s="459"/>
      <c r="DO680" s="459"/>
      <c r="DP680" s="459"/>
      <c r="DQ680" s="459"/>
      <c r="DR680" s="459"/>
      <c r="DS680" s="459"/>
      <c r="DT680" s="459"/>
      <c r="DU680" s="459"/>
      <c r="DV680" s="468"/>
      <c r="DW680" s="468"/>
      <c r="DX680" s="459"/>
      <c r="DY680" s="459"/>
    </row>
    <row r="681" spans="1:129" s="128" customFormat="1" ht="54.95" customHeight="1" x14ac:dyDescent="0.25">
      <c r="A681" s="377"/>
      <c r="B681" s="175"/>
      <c r="C681" s="393"/>
      <c r="D681" s="168"/>
      <c r="E681" s="168"/>
      <c r="F681" s="168"/>
      <c r="G681" s="168"/>
      <c r="H681" s="168"/>
      <c r="I681" s="168"/>
      <c r="J681" s="168"/>
      <c r="K681" s="168"/>
      <c r="L681" s="168"/>
      <c r="M681" s="168"/>
      <c r="N681" s="168"/>
      <c r="O681" s="433"/>
      <c r="P681" s="122"/>
      <c r="Q681" s="156"/>
      <c r="R681" s="156"/>
      <c r="S681" s="156"/>
      <c r="T681" s="156"/>
      <c r="U681" s="156"/>
      <c r="V681" s="156"/>
      <c r="W681" s="156"/>
      <c r="X681" s="156"/>
      <c r="Y681" s="156"/>
      <c r="Z681" s="157"/>
      <c r="AA681" s="157"/>
      <c r="AB681" s="156"/>
      <c r="AC681" s="156"/>
      <c r="AD681" s="156"/>
      <c r="AE681" s="156"/>
      <c r="AF681" s="156"/>
      <c r="AG681" s="156"/>
      <c r="AH681" s="156"/>
      <c r="AI681" s="156"/>
      <c r="AJ681" s="156"/>
      <c r="AK681" s="156"/>
      <c r="AL681" s="156"/>
      <c r="AM681" s="158"/>
      <c r="AN681" s="156"/>
      <c r="AO681" s="156"/>
      <c r="AP681" s="156"/>
      <c r="AQ681" s="156"/>
      <c r="AR681" s="156"/>
      <c r="AS681" s="156"/>
      <c r="AT681" s="156"/>
      <c r="AU681" s="156"/>
      <c r="AV681" s="156"/>
      <c r="AW681" s="156"/>
      <c r="AX681" s="156"/>
      <c r="AY681" s="156"/>
      <c r="AZ681" s="156"/>
      <c r="BA681" s="153"/>
      <c r="BD681" s="153"/>
      <c r="BE681" s="147"/>
      <c r="BI681" s="153"/>
      <c r="BO681" s="153"/>
      <c r="BW681" s="153"/>
      <c r="CD681" s="146"/>
      <c r="CF681" s="147"/>
      <c r="CI681" s="146"/>
      <c r="CJ681" s="153"/>
      <c r="CV681" s="154"/>
      <c r="CX681" s="154"/>
      <c r="CZ681" s="154"/>
      <c r="DB681" s="154"/>
      <c r="DD681" s="154"/>
      <c r="DH681" s="474"/>
      <c r="DI681" s="459"/>
      <c r="DJ681" s="459"/>
      <c r="DK681" s="459"/>
      <c r="DL681" s="459"/>
      <c r="DM681" s="459"/>
      <c r="DN681" s="459"/>
      <c r="DO681" s="459"/>
      <c r="DP681" s="459"/>
      <c r="DQ681" s="459"/>
      <c r="DR681" s="459"/>
      <c r="DS681" s="459"/>
      <c r="DT681" s="459"/>
      <c r="DU681" s="459"/>
      <c r="DV681" s="468"/>
      <c r="DW681" s="468"/>
      <c r="DX681" s="459"/>
      <c r="DY681" s="459"/>
    </row>
    <row r="682" spans="1:129" s="128" customFormat="1" ht="54.95" customHeight="1" x14ac:dyDescent="0.25">
      <c r="A682" s="377"/>
      <c r="B682" s="175"/>
      <c r="C682" s="393"/>
      <c r="D682" s="168"/>
      <c r="E682" s="168"/>
      <c r="F682" s="168"/>
      <c r="G682" s="168"/>
      <c r="H682" s="168"/>
      <c r="I682" s="168"/>
      <c r="J682" s="168"/>
      <c r="K682" s="168"/>
      <c r="L682" s="168"/>
      <c r="M682" s="168"/>
      <c r="N682" s="168"/>
      <c r="O682" s="433"/>
      <c r="P682" s="122"/>
      <c r="Q682" s="156"/>
      <c r="R682" s="156"/>
      <c r="S682" s="156"/>
      <c r="T682" s="156"/>
      <c r="U682" s="156"/>
      <c r="V682" s="156"/>
      <c r="W682" s="156"/>
      <c r="X682" s="156"/>
      <c r="Y682" s="156"/>
      <c r="Z682" s="157"/>
      <c r="AA682" s="157"/>
      <c r="AB682" s="156"/>
      <c r="AC682" s="156"/>
      <c r="AD682" s="156"/>
      <c r="AE682" s="156"/>
      <c r="AF682" s="156"/>
      <c r="AG682" s="156"/>
      <c r="AH682" s="156"/>
      <c r="AI682" s="156"/>
      <c r="AJ682" s="156"/>
      <c r="AK682" s="156"/>
      <c r="AL682" s="156"/>
      <c r="AM682" s="158"/>
      <c r="AN682" s="156"/>
      <c r="AO682" s="156"/>
      <c r="AP682" s="156"/>
      <c r="AQ682" s="156"/>
      <c r="AR682" s="156"/>
      <c r="AS682" s="156"/>
      <c r="AT682" s="156"/>
      <c r="AU682" s="156"/>
      <c r="AV682" s="156"/>
      <c r="AW682" s="156"/>
      <c r="AX682" s="156"/>
      <c r="AY682" s="156"/>
      <c r="AZ682" s="156"/>
      <c r="BA682" s="153"/>
      <c r="BD682" s="153"/>
      <c r="BE682" s="147"/>
      <c r="BI682" s="153"/>
      <c r="BO682" s="153"/>
      <c r="BW682" s="153"/>
      <c r="CD682" s="146"/>
      <c r="CF682" s="147"/>
      <c r="CI682" s="146"/>
      <c r="CJ682" s="153"/>
      <c r="CV682" s="154"/>
      <c r="CX682" s="154"/>
      <c r="CZ682" s="154"/>
      <c r="DB682" s="154"/>
      <c r="DD682" s="154"/>
      <c r="DH682" s="474"/>
      <c r="DI682" s="459"/>
      <c r="DJ682" s="459"/>
      <c r="DK682" s="459"/>
      <c r="DL682" s="459"/>
      <c r="DM682" s="459"/>
      <c r="DN682" s="459"/>
      <c r="DO682" s="459"/>
      <c r="DP682" s="459"/>
      <c r="DQ682" s="459"/>
      <c r="DR682" s="459"/>
      <c r="DS682" s="459"/>
      <c r="DT682" s="459"/>
      <c r="DU682" s="459"/>
      <c r="DV682" s="468"/>
      <c r="DW682" s="468"/>
      <c r="DX682" s="459"/>
      <c r="DY682" s="459"/>
    </row>
    <row r="683" spans="1:129" s="128" customFormat="1" ht="54.95" customHeight="1" x14ac:dyDescent="0.25">
      <c r="A683" s="377"/>
      <c r="B683" s="175"/>
      <c r="C683" s="393"/>
      <c r="D683" s="168"/>
      <c r="E683" s="168"/>
      <c r="F683" s="168"/>
      <c r="G683" s="168"/>
      <c r="H683" s="168"/>
      <c r="I683" s="168"/>
      <c r="J683" s="168"/>
      <c r="K683" s="168"/>
      <c r="L683" s="168"/>
      <c r="M683" s="168"/>
      <c r="N683" s="168"/>
      <c r="O683" s="433"/>
      <c r="P683" s="122"/>
      <c r="Q683" s="156"/>
      <c r="R683" s="156"/>
      <c r="S683" s="156"/>
      <c r="T683" s="156"/>
      <c r="U683" s="156"/>
      <c r="V683" s="156"/>
      <c r="W683" s="156"/>
      <c r="X683" s="156"/>
      <c r="Y683" s="156"/>
      <c r="Z683" s="157"/>
      <c r="AA683" s="157"/>
      <c r="AB683" s="156"/>
      <c r="AC683" s="156"/>
      <c r="AD683" s="156"/>
      <c r="AE683" s="156"/>
      <c r="AF683" s="156"/>
      <c r="AG683" s="156"/>
      <c r="AH683" s="156"/>
      <c r="AI683" s="156"/>
      <c r="AJ683" s="156"/>
      <c r="AK683" s="156"/>
      <c r="AL683" s="156"/>
      <c r="AM683" s="158"/>
      <c r="AN683" s="156"/>
      <c r="AO683" s="156"/>
      <c r="AP683" s="156"/>
      <c r="AQ683" s="156"/>
      <c r="AR683" s="156"/>
      <c r="AS683" s="156"/>
      <c r="AT683" s="156"/>
      <c r="AU683" s="156"/>
      <c r="AV683" s="156"/>
      <c r="AW683" s="156"/>
      <c r="AX683" s="156"/>
      <c r="AY683" s="156"/>
      <c r="AZ683" s="156"/>
      <c r="BA683" s="153"/>
      <c r="BD683" s="153"/>
      <c r="BE683" s="147"/>
      <c r="BI683" s="153"/>
      <c r="BO683" s="153"/>
      <c r="BW683" s="153"/>
      <c r="CD683" s="146"/>
      <c r="CF683" s="147"/>
      <c r="CI683" s="146"/>
      <c r="CJ683" s="153"/>
      <c r="CV683" s="154"/>
      <c r="CX683" s="154"/>
      <c r="CZ683" s="154"/>
      <c r="DB683" s="154"/>
      <c r="DD683" s="154"/>
      <c r="DH683" s="474"/>
      <c r="DI683" s="459"/>
      <c r="DJ683" s="459"/>
      <c r="DK683" s="459"/>
      <c r="DL683" s="459"/>
      <c r="DM683" s="459"/>
      <c r="DN683" s="459"/>
      <c r="DO683" s="459"/>
      <c r="DP683" s="459"/>
      <c r="DQ683" s="459"/>
      <c r="DR683" s="459"/>
      <c r="DS683" s="459"/>
      <c r="DT683" s="459"/>
      <c r="DU683" s="459"/>
      <c r="DV683" s="468"/>
      <c r="DW683" s="468"/>
      <c r="DX683" s="459"/>
      <c r="DY683" s="459"/>
    </row>
    <row r="684" spans="1:129" s="128" customFormat="1" ht="54.95" customHeight="1" x14ac:dyDescent="0.25">
      <c r="A684" s="377"/>
      <c r="B684" s="175"/>
      <c r="C684" s="393"/>
      <c r="D684" s="168"/>
      <c r="E684" s="168"/>
      <c r="F684" s="168"/>
      <c r="G684" s="168"/>
      <c r="H684" s="168"/>
      <c r="I684" s="168"/>
      <c r="J684" s="168"/>
      <c r="K684" s="168"/>
      <c r="L684" s="168"/>
      <c r="M684" s="168"/>
      <c r="N684" s="168"/>
      <c r="O684" s="433"/>
      <c r="P684" s="122"/>
      <c r="Q684" s="156"/>
      <c r="R684" s="156"/>
      <c r="S684" s="156"/>
      <c r="T684" s="156"/>
      <c r="U684" s="156"/>
      <c r="V684" s="156"/>
      <c r="W684" s="156"/>
      <c r="X684" s="156"/>
      <c r="Y684" s="156"/>
      <c r="Z684" s="157"/>
      <c r="AA684" s="157"/>
      <c r="AB684" s="156"/>
      <c r="AC684" s="156"/>
      <c r="AD684" s="156"/>
      <c r="AE684" s="156"/>
      <c r="AF684" s="156"/>
      <c r="AG684" s="156"/>
      <c r="AH684" s="156"/>
      <c r="AI684" s="156"/>
      <c r="AJ684" s="156"/>
      <c r="AK684" s="156"/>
      <c r="AL684" s="156"/>
      <c r="AM684" s="158"/>
      <c r="AN684" s="156"/>
      <c r="AO684" s="156"/>
      <c r="AP684" s="156"/>
      <c r="AQ684" s="156"/>
      <c r="AR684" s="156"/>
      <c r="AS684" s="156"/>
      <c r="AT684" s="156"/>
      <c r="AU684" s="156"/>
      <c r="AV684" s="156"/>
      <c r="AW684" s="156"/>
      <c r="AX684" s="156"/>
      <c r="AY684" s="156"/>
      <c r="AZ684" s="156"/>
      <c r="BA684" s="153"/>
      <c r="BD684" s="153"/>
      <c r="BE684" s="147"/>
      <c r="BI684" s="153"/>
      <c r="BO684" s="153"/>
      <c r="BW684" s="153"/>
      <c r="CD684" s="146"/>
      <c r="CF684" s="147"/>
      <c r="CI684" s="146"/>
      <c r="CJ684" s="153"/>
      <c r="CV684" s="154"/>
      <c r="CX684" s="154"/>
      <c r="CZ684" s="154"/>
      <c r="DB684" s="154"/>
      <c r="DD684" s="154"/>
      <c r="DH684" s="474"/>
      <c r="DI684" s="459"/>
      <c r="DJ684" s="459"/>
      <c r="DK684" s="459"/>
      <c r="DL684" s="459"/>
      <c r="DM684" s="459"/>
      <c r="DN684" s="459"/>
      <c r="DO684" s="459"/>
      <c r="DP684" s="459"/>
      <c r="DQ684" s="459"/>
      <c r="DR684" s="459"/>
      <c r="DS684" s="459"/>
      <c r="DT684" s="459"/>
      <c r="DU684" s="459"/>
      <c r="DV684" s="468"/>
      <c r="DW684" s="468"/>
      <c r="DX684" s="459"/>
      <c r="DY684" s="459"/>
    </row>
    <row r="685" spans="1:129" s="128" customFormat="1" ht="54.95" customHeight="1" x14ac:dyDescent="0.25">
      <c r="A685" s="377"/>
      <c r="B685" s="175"/>
      <c r="C685" s="393"/>
      <c r="D685" s="168"/>
      <c r="E685" s="168"/>
      <c r="F685" s="168"/>
      <c r="G685" s="168"/>
      <c r="H685" s="168"/>
      <c r="I685" s="168"/>
      <c r="J685" s="168"/>
      <c r="K685" s="168"/>
      <c r="L685" s="168"/>
      <c r="M685" s="168"/>
      <c r="N685" s="168"/>
      <c r="O685" s="433"/>
      <c r="P685" s="122"/>
      <c r="Q685" s="156"/>
      <c r="R685" s="156"/>
      <c r="S685" s="156"/>
      <c r="T685" s="156"/>
      <c r="U685" s="156"/>
      <c r="V685" s="156"/>
      <c r="W685" s="156"/>
      <c r="X685" s="156"/>
      <c r="Y685" s="156"/>
      <c r="Z685" s="157"/>
      <c r="AA685" s="157"/>
      <c r="AB685" s="156"/>
      <c r="AC685" s="156"/>
      <c r="AD685" s="156"/>
      <c r="AE685" s="156"/>
      <c r="AF685" s="156"/>
      <c r="AG685" s="156"/>
      <c r="AH685" s="156"/>
      <c r="AI685" s="156"/>
      <c r="AJ685" s="156"/>
      <c r="AK685" s="156"/>
      <c r="AL685" s="156"/>
      <c r="AM685" s="158"/>
      <c r="AN685" s="156"/>
      <c r="AO685" s="156"/>
      <c r="AP685" s="156"/>
      <c r="AQ685" s="156"/>
      <c r="AR685" s="156"/>
      <c r="AS685" s="156"/>
      <c r="AT685" s="156"/>
      <c r="AU685" s="156"/>
      <c r="AV685" s="156"/>
      <c r="AW685" s="156"/>
      <c r="AX685" s="156"/>
      <c r="AY685" s="156"/>
      <c r="AZ685" s="156"/>
      <c r="BA685" s="153"/>
      <c r="BD685" s="153"/>
      <c r="BE685" s="147"/>
      <c r="BI685" s="153"/>
      <c r="BO685" s="153"/>
      <c r="BW685" s="153"/>
      <c r="CD685" s="146"/>
      <c r="CF685" s="147"/>
      <c r="CI685" s="146"/>
      <c r="CJ685" s="153"/>
      <c r="CV685" s="154"/>
      <c r="CX685" s="154"/>
      <c r="CZ685" s="154"/>
      <c r="DB685" s="154"/>
      <c r="DD685" s="154"/>
      <c r="DH685" s="474"/>
      <c r="DI685" s="459"/>
      <c r="DJ685" s="459"/>
      <c r="DK685" s="459"/>
      <c r="DL685" s="459"/>
      <c r="DM685" s="459"/>
      <c r="DN685" s="459"/>
      <c r="DO685" s="459"/>
      <c r="DP685" s="459"/>
      <c r="DQ685" s="459"/>
      <c r="DR685" s="459"/>
      <c r="DS685" s="459"/>
      <c r="DT685" s="459"/>
      <c r="DU685" s="459"/>
      <c r="DV685" s="468"/>
      <c r="DW685" s="468"/>
      <c r="DX685" s="459"/>
      <c r="DY685" s="459"/>
    </row>
    <row r="686" spans="1:129" s="128" customFormat="1" ht="54.95" customHeight="1" x14ac:dyDescent="0.25">
      <c r="A686" s="377"/>
      <c r="B686" s="175"/>
      <c r="C686" s="393"/>
      <c r="D686" s="168"/>
      <c r="E686" s="168"/>
      <c r="F686" s="168"/>
      <c r="G686" s="168"/>
      <c r="H686" s="168"/>
      <c r="I686" s="168"/>
      <c r="J686" s="168"/>
      <c r="K686" s="168"/>
      <c r="L686" s="168"/>
      <c r="M686" s="168"/>
      <c r="N686" s="168"/>
      <c r="O686" s="433"/>
      <c r="P686" s="122"/>
      <c r="Q686" s="156"/>
      <c r="R686" s="156"/>
      <c r="S686" s="156"/>
      <c r="T686" s="156"/>
      <c r="U686" s="156"/>
      <c r="V686" s="156"/>
      <c r="W686" s="156"/>
      <c r="X686" s="156"/>
      <c r="Y686" s="156"/>
      <c r="Z686" s="157"/>
      <c r="AA686" s="157"/>
      <c r="AB686" s="156"/>
      <c r="AC686" s="156"/>
      <c r="AD686" s="156"/>
      <c r="AE686" s="156"/>
      <c r="AF686" s="156"/>
      <c r="AG686" s="156"/>
      <c r="AH686" s="156"/>
      <c r="AI686" s="156"/>
      <c r="AJ686" s="156"/>
      <c r="AK686" s="156"/>
      <c r="AL686" s="156"/>
      <c r="AM686" s="158"/>
      <c r="AN686" s="156"/>
      <c r="AO686" s="156"/>
      <c r="AP686" s="156"/>
      <c r="AQ686" s="156"/>
      <c r="AR686" s="156"/>
      <c r="AS686" s="156"/>
      <c r="AT686" s="156"/>
      <c r="AU686" s="156"/>
      <c r="AV686" s="156"/>
      <c r="AW686" s="156"/>
      <c r="AX686" s="156"/>
      <c r="AY686" s="156"/>
      <c r="AZ686" s="156"/>
      <c r="BA686" s="153"/>
      <c r="BD686" s="153"/>
      <c r="BE686" s="147"/>
      <c r="BI686" s="153"/>
      <c r="BO686" s="153"/>
      <c r="BW686" s="153"/>
      <c r="CD686" s="146"/>
      <c r="CF686" s="147"/>
      <c r="CI686" s="146"/>
      <c r="CJ686" s="153"/>
      <c r="CV686" s="154"/>
      <c r="CX686" s="154"/>
      <c r="CZ686" s="154"/>
      <c r="DB686" s="154"/>
      <c r="DD686" s="154"/>
      <c r="DH686" s="474"/>
      <c r="DI686" s="459"/>
      <c r="DJ686" s="459"/>
      <c r="DK686" s="459"/>
      <c r="DL686" s="459"/>
      <c r="DM686" s="459"/>
      <c r="DN686" s="459"/>
      <c r="DO686" s="459"/>
      <c r="DP686" s="459"/>
      <c r="DQ686" s="459"/>
      <c r="DR686" s="459"/>
      <c r="DS686" s="459"/>
      <c r="DT686" s="459"/>
      <c r="DU686" s="459"/>
      <c r="DV686" s="468"/>
      <c r="DW686" s="468"/>
      <c r="DX686" s="459"/>
      <c r="DY686" s="459"/>
    </row>
    <row r="687" spans="1:129" s="128" customFormat="1" ht="54.95" customHeight="1" x14ac:dyDescent="0.25">
      <c r="A687" s="377"/>
      <c r="B687" s="175"/>
      <c r="C687" s="393"/>
      <c r="D687" s="168"/>
      <c r="E687" s="168"/>
      <c r="F687" s="168"/>
      <c r="G687" s="168"/>
      <c r="H687" s="168"/>
      <c r="I687" s="168"/>
      <c r="J687" s="168"/>
      <c r="K687" s="168"/>
      <c r="L687" s="168"/>
      <c r="M687" s="168"/>
      <c r="N687" s="168"/>
      <c r="O687" s="433"/>
      <c r="P687" s="122"/>
      <c r="Q687" s="156"/>
      <c r="R687" s="156"/>
      <c r="S687" s="156"/>
      <c r="T687" s="156"/>
      <c r="U687" s="156"/>
      <c r="V687" s="156"/>
      <c r="W687" s="156"/>
      <c r="X687" s="156"/>
      <c r="Y687" s="156"/>
      <c r="Z687" s="157"/>
      <c r="AA687" s="157"/>
      <c r="AB687" s="156"/>
      <c r="AC687" s="156"/>
      <c r="AD687" s="156"/>
      <c r="AE687" s="156"/>
      <c r="AF687" s="156"/>
      <c r="AG687" s="156"/>
      <c r="AH687" s="156"/>
      <c r="AI687" s="156"/>
      <c r="AJ687" s="156"/>
      <c r="AK687" s="156"/>
      <c r="AL687" s="156"/>
      <c r="AM687" s="158"/>
      <c r="AN687" s="156"/>
      <c r="AO687" s="156"/>
      <c r="AP687" s="156"/>
      <c r="AQ687" s="156"/>
      <c r="AR687" s="156"/>
      <c r="AS687" s="156"/>
      <c r="AT687" s="156"/>
      <c r="AU687" s="156"/>
      <c r="AV687" s="156"/>
      <c r="AW687" s="156"/>
      <c r="AX687" s="156"/>
      <c r="AY687" s="156"/>
      <c r="AZ687" s="156"/>
      <c r="BA687" s="153"/>
      <c r="BD687" s="153"/>
      <c r="BE687" s="147"/>
      <c r="BI687" s="153"/>
      <c r="BO687" s="153"/>
      <c r="BW687" s="153"/>
      <c r="CD687" s="146"/>
      <c r="CF687" s="147"/>
      <c r="CI687" s="146"/>
      <c r="CJ687" s="153"/>
      <c r="CV687" s="154"/>
      <c r="CX687" s="154"/>
      <c r="CZ687" s="154"/>
      <c r="DB687" s="154"/>
      <c r="DD687" s="154"/>
      <c r="DH687" s="474"/>
      <c r="DI687" s="459"/>
      <c r="DJ687" s="459"/>
      <c r="DK687" s="459"/>
      <c r="DL687" s="459"/>
      <c r="DM687" s="459"/>
      <c r="DN687" s="459"/>
      <c r="DO687" s="459"/>
      <c r="DP687" s="459"/>
      <c r="DQ687" s="459"/>
      <c r="DR687" s="459"/>
      <c r="DS687" s="459"/>
      <c r="DT687" s="459"/>
      <c r="DU687" s="459"/>
      <c r="DV687" s="468"/>
      <c r="DW687" s="468"/>
      <c r="DX687" s="459"/>
      <c r="DY687" s="459"/>
    </row>
    <row r="688" spans="1:129" s="128" customFormat="1" ht="54.95" customHeight="1" x14ac:dyDescent="0.25">
      <c r="A688" s="377"/>
      <c r="B688" s="175"/>
      <c r="C688" s="393"/>
      <c r="D688" s="168"/>
      <c r="E688" s="168"/>
      <c r="F688" s="168"/>
      <c r="G688" s="168"/>
      <c r="H688" s="168"/>
      <c r="I688" s="168"/>
      <c r="J688" s="168"/>
      <c r="K688" s="168"/>
      <c r="L688" s="168"/>
      <c r="M688" s="168"/>
      <c r="N688" s="168"/>
      <c r="O688" s="433"/>
      <c r="P688" s="122"/>
      <c r="Q688" s="156"/>
      <c r="R688" s="156"/>
      <c r="S688" s="156"/>
      <c r="T688" s="156"/>
      <c r="U688" s="156"/>
      <c r="V688" s="156"/>
      <c r="W688" s="156"/>
      <c r="X688" s="156"/>
      <c r="Y688" s="156"/>
      <c r="Z688" s="157"/>
      <c r="AA688" s="157"/>
      <c r="AB688" s="156"/>
      <c r="AC688" s="156"/>
      <c r="AD688" s="156"/>
      <c r="AE688" s="156"/>
      <c r="AF688" s="156"/>
      <c r="AG688" s="156"/>
      <c r="AH688" s="156"/>
      <c r="AI688" s="156"/>
      <c r="AJ688" s="156"/>
      <c r="AK688" s="156"/>
      <c r="AL688" s="156"/>
      <c r="AM688" s="158"/>
      <c r="AN688" s="156"/>
      <c r="AO688" s="156"/>
      <c r="AP688" s="156"/>
      <c r="AQ688" s="156"/>
      <c r="AR688" s="156"/>
      <c r="AS688" s="156"/>
      <c r="AT688" s="156"/>
      <c r="AU688" s="156"/>
      <c r="AV688" s="156"/>
      <c r="AW688" s="156"/>
      <c r="AX688" s="156"/>
      <c r="AY688" s="156"/>
      <c r="AZ688" s="156"/>
      <c r="BA688" s="153"/>
      <c r="BD688" s="153"/>
      <c r="BE688" s="147"/>
      <c r="BI688" s="153"/>
      <c r="BO688" s="153"/>
      <c r="BW688" s="153"/>
      <c r="CD688" s="146"/>
      <c r="CF688" s="147"/>
      <c r="CI688" s="146"/>
      <c r="CJ688" s="153"/>
      <c r="CV688" s="154"/>
      <c r="CX688" s="154"/>
      <c r="CZ688" s="154"/>
      <c r="DB688" s="154"/>
      <c r="DD688" s="154"/>
      <c r="DH688" s="474"/>
      <c r="DI688" s="459"/>
      <c r="DJ688" s="459"/>
      <c r="DK688" s="459"/>
      <c r="DL688" s="459"/>
      <c r="DM688" s="459"/>
      <c r="DN688" s="459"/>
      <c r="DO688" s="459"/>
      <c r="DP688" s="459"/>
      <c r="DQ688" s="459"/>
      <c r="DR688" s="459"/>
      <c r="DS688" s="459"/>
      <c r="DT688" s="459"/>
      <c r="DU688" s="459"/>
      <c r="DV688" s="468"/>
      <c r="DW688" s="468"/>
      <c r="DX688" s="459"/>
      <c r="DY688" s="459"/>
    </row>
    <row r="689" spans="1:129" s="128" customFormat="1" ht="54.95" customHeight="1" x14ac:dyDescent="0.25">
      <c r="A689" s="377"/>
      <c r="B689" s="175"/>
      <c r="C689" s="393"/>
      <c r="D689" s="168"/>
      <c r="E689" s="168"/>
      <c r="F689" s="168"/>
      <c r="G689" s="168"/>
      <c r="H689" s="168"/>
      <c r="I689" s="168"/>
      <c r="J689" s="168"/>
      <c r="K689" s="168"/>
      <c r="L689" s="168"/>
      <c r="M689" s="168"/>
      <c r="N689" s="168"/>
      <c r="O689" s="433"/>
      <c r="P689" s="122"/>
      <c r="Q689" s="156"/>
      <c r="R689" s="156"/>
      <c r="S689" s="156"/>
      <c r="T689" s="156"/>
      <c r="U689" s="156"/>
      <c r="V689" s="156"/>
      <c r="W689" s="156"/>
      <c r="X689" s="156"/>
      <c r="Y689" s="156"/>
      <c r="Z689" s="157"/>
      <c r="AA689" s="157"/>
      <c r="AB689" s="156"/>
      <c r="AC689" s="156"/>
      <c r="AD689" s="156"/>
      <c r="AE689" s="156"/>
      <c r="AF689" s="156"/>
      <c r="AG689" s="156"/>
      <c r="AH689" s="156"/>
      <c r="AI689" s="156"/>
      <c r="AJ689" s="156"/>
      <c r="AK689" s="156"/>
      <c r="AL689" s="156"/>
      <c r="AM689" s="158"/>
      <c r="AN689" s="156"/>
      <c r="AO689" s="156"/>
      <c r="AP689" s="156"/>
      <c r="AQ689" s="156"/>
      <c r="AR689" s="156"/>
      <c r="AS689" s="156"/>
      <c r="AT689" s="156"/>
      <c r="AU689" s="156"/>
      <c r="AV689" s="156"/>
      <c r="AW689" s="156"/>
      <c r="AX689" s="156"/>
      <c r="AY689" s="156"/>
      <c r="AZ689" s="156"/>
      <c r="BA689" s="153"/>
      <c r="BD689" s="153"/>
      <c r="BE689" s="147"/>
      <c r="BI689" s="153"/>
      <c r="BO689" s="153"/>
      <c r="BW689" s="153"/>
      <c r="CD689" s="146"/>
      <c r="CF689" s="147"/>
      <c r="CI689" s="146"/>
      <c r="CJ689" s="153"/>
      <c r="CV689" s="154"/>
      <c r="CX689" s="154"/>
      <c r="CZ689" s="154"/>
      <c r="DB689" s="154"/>
      <c r="DD689" s="154"/>
      <c r="DH689" s="474"/>
      <c r="DI689" s="459"/>
      <c r="DJ689" s="459"/>
      <c r="DK689" s="459"/>
      <c r="DL689" s="459"/>
      <c r="DM689" s="459"/>
      <c r="DN689" s="459"/>
      <c r="DO689" s="459"/>
      <c r="DP689" s="459"/>
      <c r="DQ689" s="459"/>
      <c r="DR689" s="459"/>
      <c r="DS689" s="459"/>
      <c r="DT689" s="459"/>
      <c r="DU689" s="459"/>
      <c r="DV689" s="468"/>
      <c r="DW689" s="468"/>
      <c r="DX689" s="459"/>
      <c r="DY689" s="459"/>
    </row>
    <row r="690" spans="1:129" s="128" customFormat="1" ht="54.95" customHeight="1" x14ac:dyDescent="0.25">
      <c r="A690" s="377"/>
      <c r="B690" s="175"/>
      <c r="C690" s="393"/>
      <c r="D690" s="168"/>
      <c r="E690" s="168"/>
      <c r="F690" s="168"/>
      <c r="G690" s="168"/>
      <c r="H690" s="168"/>
      <c r="I690" s="168"/>
      <c r="J690" s="168"/>
      <c r="K690" s="168"/>
      <c r="L690" s="168"/>
      <c r="M690" s="168"/>
      <c r="N690" s="168"/>
      <c r="O690" s="433"/>
      <c r="P690" s="122"/>
      <c r="Q690" s="156"/>
      <c r="R690" s="156"/>
      <c r="S690" s="156"/>
      <c r="T690" s="156"/>
      <c r="U690" s="156"/>
      <c r="V690" s="156"/>
      <c r="W690" s="156"/>
      <c r="X690" s="156"/>
      <c r="Y690" s="156"/>
      <c r="Z690" s="157"/>
      <c r="AA690" s="157"/>
      <c r="AB690" s="156"/>
      <c r="AC690" s="156"/>
      <c r="AD690" s="156"/>
      <c r="AE690" s="156"/>
      <c r="AF690" s="156"/>
      <c r="AG690" s="156"/>
      <c r="AH690" s="156"/>
      <c r="AI690" s="156"/>
      <c r="AJ690" s="156"/>
      <c r="AK690" s="156"/>
      <c r="AL690" s="156"/>
      <c r="AM690" s="158"/>
      <c r="AN690" s="156"/>
      <c r="AO690" s="156"/>
      <c r="AP690" s="156"/>
      <c r="AQ690" s="156"/>
      <c r="AR690" s="156"/>
      <c r="AS690" s="156"/>
      <c r="AT690" s="156"/>
      <c r="AU690" s="156"/>
      <c r="AV690" s="156"/>
      <c r="AW690" s="156"/>
      <c r="AX690" s="156"/>
      <c r="AY690" s="156"/>
      <c r="AZ690" s="156"/>
      <c r="BA690" s="153"/>
      <c r="BD690" s="153"/>
      <c r="BE690" s="147"/>
      <c r="BI690" s="153"/>
      <c r="BO690" s="153"/>
      <c r="BW690" s="153"/>
      <c r="CD690" s="146"/>
      <c r="CF690" s="147"/>
      <c r="CI690" s="146"/>
      <c r="CJ690" s="153"/>
      <c r="CV690" s="154"/>
      <c r="CX690" s="154"/>
      <c r="CZ690" s="154"/>
      <c r="DB690" s="154"/>
      <c r="DD690" s="154"/>
      <c r="DH690" s="474"/>
      <c r="DI690" s="459"/>
      <c r="DJ690" s="459"/>
      <c r="DK690" s="459"/>
      <c r="DL690" s="459"/>
      <c r="DM690" s="459"/>
      <c r="DN690" s="459"/>
      <c r="DO690" s="459"/>
      <c r="DP690" s="459"/>
      <c r="DQ690" s="459"/>
      <c r="DR690" s="459"/>
      <c r="DS690" s="459"/>
      <c r="DT690" s="459"/>
      <c r="DU690" s="459"/>
      <c r="DV690" s="468"/>
      <c r="DW690" s="468"/>
      <c r="DX690" s="459"/>
      <c r="DY690" s="459"/>
    </row>
    <row r="691" spans="1:129" s="128" customFormat="1" ht="54.95" customHeight="1" x14ac:dyDescent="0.25">
      <c r="A691" s="377"/>
      <c r="B691" s="175"/>
      <c r="C691" s="393"/>
      <c r="D691" s="168"/>
      <c r="E691" s="168"/>
      <c r="F691" s="168"/>
      <c r="G691" s="168"/>
      <c r="H691" s="168"/>
      <c r="I691" s="168"/>
      <c r="J691" s="168"/>
      <c r="K691" s="168"/>
      <c r="L691" s="168"/>
      <c r="M691" s="168"/>
      <c r="N691" s="168"/>
      <c r="O691" s="433"/>
      <c r="P691" s="122"/>
      <c r="Q691" s="156"/>
      <c r="R691" s="156"/>
      <c r="S691" s="156"/>
      <c r="T691" s="156"/>
      <c r="U691" s="156"/>
      <c r="V691" s="156"/>
      <c r="W691" s="156"/>
      <c r="X691" s="156"/>
      <c r="Y691" s="156"/>
      <c r="Z691" s="157"/>
      <c r="AA691" s="157"/>
      <c r="AB691" s="156"/>
      <c r="AC691" s="156"/>
      <c r="AD691" s="156"/>
      <c r="AE691" s="156"/>
      <c r="AF691" s="156"/>
      <c r="AG691" s="156"/>
      <c r="AH691" s="156"/>
      <c r="AI691" s="156"/>
      <c r="AJ691" s="156"/>
      <c r="AK691" s="156"/>
      <c r="AL691" s="156"/>
      <c r="AM691" s="158"/>
      <c r="AN691" s="156"/>
      <c r="AO691" s="156"/>
      <c r="AP691" s="156"/>
      <c r="AQ691" s="156"/>
      <c r="AR691" s="156"/>
      <c r="AS691" s="156"/>
      <c r="AT691" s="156"/>
      <c r="AU691" s="156"/>
      <c r="AV691" s="156"/>
      <c r="AW691" s="156"/>
      <c r="AX691" s="156"/>
      <c r="AY691" s="156"/>
      <c r="AZ691" s="156"/>
      <c r="BA691" s="153"/>
      <c r="BD691" s="153"/>
      <c r="BE691" s="147"/>
      <c r="BI691" s="153"/>
      <c r="BO691" s="153"/>
      <c r="BW691" s="153"/>
      <c r="CD691" s="146"/>
      <c r="CF691" s="147"/>
      <c r="CI691" s="146"/>
      <c r="CJ691" s="153"/>
      <c r="CV691" s="154"/>
      <c r="CX691" s="154"/>
      <c r="CZ691" s="154"/>
      <c r="DB691" s="154"/>
      <c r="DD691" s="154"/>
      <c r="DH691" s="474"/>
      <c r="DI691" s="459"/>
      <c r="DJ691" s="459"/>
      <c r="DK691" s="459"/>
      <c r="DL691" s="459"/>
      <c r="DM691" s="459"/>
      <c r="DN691" s="459"/>
      <c r="DO691" s="459"/>
      <c r="DP691" s="459"/>
      <c r="DQ691" s="459"/>
      <c r="DR691" s="459"/>
      <c r="DS691" s="459"/>
      <c r="DT691" s="459"/>
      <c r="DU691" s="459"/>
      <c r="DV691" s="468"/>
      <c r="DW691" s="468"/>
      <c r="DX691" s="459"/>
      <c r="DY691" s="459"/>
    </row>
    <row r="692" spans="1:129" s="128" customFormat="1" ht="54.95" customHeight="1" x14ac:dyDescent="0.25">
      <c r="A692" s="377"/>
      <c r="B692" s="175"/>
      <c r="C692" s="393"/>
      <c r="D692" s="168"/>
      <c r="E692" s="168"/>
      <c r="F692" s="168"/>
      <c r="G692" s="168"/>
      <c r="H692" s="168"/>
      <c r="I692" s="168"/>
      <c r="J692" s="168"/>
      <c r="K692" s="168"/>
      <c r="L692" s="168"/>
      <c r="M692" s="168"/>
      <c r="N692" s="168"/>
      <c r="O692" s="433"/>
      <c r="P692" s="122"/>
      <c r="Q692" s="156"/>
      <c r="R692" s="156"/>
      <c r="S692" s="156"/>
      <c r="T692" s="156"/>
      <c r="U692" s="156"/>
      <c r="V692" s="156"/>
      <c r="W692" s="156"/>
      <c r="X692" s="156"/>
      <c r="Y692" s="156"/>
      <c r="Z692" s="157"/>
      <c r="AA692" s="157"/>
      <c r="AB692" s="156"/>
      <c r="AC692" s="156"/>
      <c r="AD692" s="156"/>
      <c r="AE692" s="156"/>
      <c r="AF692" s="156"/>
      <c r="AG692" s="156"/>
      <c r="AH692" s="156"/>
      <c r="AI692" s="156"/>
      <c r="AJ692" s="156"/>
      <c r="AK692" s="156"/>
      <c r="AL692" s="156"/>
      <c r="AM692" s="158"/>
      <c r="AN692" s="156"/>
      <c r="AO692" s="156"/>
      <c r="AP692" s="156"/>
      <c r="AQ692" s="156"/>
      <c r="AR692" s="156"/>
      <c r="AS692" s="156"/>
      <c r="AT692" s="156"/>
      <c r="AU692" s="156"/>
      <c r="AV692" s="156"/>
      <c r="AW692" s="156"/>
      <c r="AX692" s="156"/>
      <c r="AY692" s="156"/>
      <c r="AZ692" s="156"/>
      <c r="BA692" s="153"/>
      <c r="BD692" s="153"/>
      <c r="BE692" s="147"/>
      <c r="BI692" s="153"/>
      <c r="BO692" s="153"/>
      <c r="BW692" s="153"/>
      <c r="CD692" s="146"/>
      <c r="CF692" s="147"/>
      <c r="CI692" s="146"/>
      <c r="CJ692" s="153"/>
      <c r="CV692" s="154"/>
      <c r="CX692" s="154"/>
      <c r="CZ692" s="154"/>
      <c r="DB692" s="154"/>
      <c r="DD692" s="154"/>
      <c r="DH692" s="474"/>
      <c r="DI692" s="459"/>
      <c r="DJ692" s="459"/>
      <c r="DK692" s="459"/>
      <c r="DL692" s="459"/>
      <c r="DM692" s="459"/>
      <c r="DN692" s="459"/>
      <c r="DO692" s="459"/>
      <c r="DP692" s="459"/>
      <c r="DQ692" s="459"/>
      <c r="DR692" s="459"/>
      <c r="DS692" s="459"/>
      <c r="DT692" s="459"/>
      <c r="DU692" s="459"/>
      <c r="DV692" s="468"/>
      <c r="DW692" s="468"/>
      <c r="DX692" s="459"/>
      <c r="DY692" s="459"/>
    </row>
    <row r="693" spans="1:129" s="128" customFormat="1" ht="54.95" customHeight="1" x14ac:dyDescent="0.25">
      <c r="A693" s="377"/>
      <c r="B693" s="175"/>
      <c r="C693" s="393"/>
      <c r="D693" s="168"/>
      <c r="E693" s="168"/>
      <c r="F693" s="168"/>
      <c r="G693" s="168"/>
      <c r="H693" s="168"/>
      <c r="I693" s="168"/>
      <c r="J693" s="168"/>
      <c r="K693" s="168"/>
      <c r="L693" s="168"/>
      <c r="M693" s="168"/>
      <c r="N693" s="168"/>
      <c r="O693" s="433"/>
      <c r="P693" s="122"/>
      <c r="Q693" s="156"/>
      <c r="R693" s="156"/>
      <c r="S693" s="156"/>
      <c r="T693" s="156"/>
      <c r="U693" s="156"/>
      <c r="V693" s="156"/>
      <c r="W693" s="156"/>
      <c r="X693" s="156"/>
      <c r="Y693" s="156"/>
      <c r="Z693" s="157"/>
      <c r="AA693" s="157"/>
      <c r="AB693" s="156"/>
      <c r="AC693" s="156"/>
      <c r="AD693" s="156"/>
      <c r="AE693" s="156"/>
      <c r="AF693" s="156"/>
      <c r="AG693" s="156"/>
      <c r="AH693" s="156"/>
      <c r="AI693" s="156"/>
      <c r="AJ693" s="156"/>
      <c r="AK693" s="156"/>
      <c r="AL693" s="156"/>
      <c r="AM693" s="158"/>
      <c r="AN693" s="156"/>
      <c r="AO693" s="156"/>
      <c r="AP693" s="156"/>
      <c r="AQ693" s="156"/>
      <c r="AR693" s="156"/>
      <c r="AS693" s="156"/>
      <c r="AT693" s="156"/>
      <c r="AU693" s="156"/>
      <c r="AV693" s="156"/>
      <c r="AW693" s="156"/>
      <c r="AX693" s="156"/>
      <c r="AY693" s="156"/>
      <c r="AZ693" s="156"/>
      <c r="BA693" s="153"/>
      <c r="BD693" s="153"/>
      <c r="BE693" s="147"/>
      <c r="BI693" s="153"/>
      <c r="BO693" s="153"/>
      <c r="BW693" s="153"/>
      <c r="CD693" s="146"/>
      <c r="CF693" s="147"/>
      <c r="CI693" s="146"/>
      <c r="CJ693" s="153"/>
      <c r="CV693" s="154"/>
      <c r="CX693" s="154"/>
      <c r="CZ693" s="154"/>
      <c r="DB693" s="154"/>
      <c r="DD693" s="154"/>
      <c r="DH693" s="474"/>
      <c r="DI693" s="459"/>
      <c r="DJ693" s="459"/>
      <c r="DK693" s="459"/>
      <c r="DL693" s="459"/>
      <c r="DM693" s="459"/>
      <c r="DN693" s="459"/>
      <c r="DO693" s="459"/>
      <c r="DP693" s="459"/>
      <c r="DQ693" s="459"/>
      <c r="DR693" s="459"/>
      <c r="DS693" s="459"/>
      <c r="DT693" s="459"/>
      <c r="DU693" s="459"/>
      <c r="DV693" s="468"/>
      <c r="DW693" s="468"/>
      <c r="DX693" s="459"/>
      <c r="DY693" s="459"/>
    </row>
    <row r="694" spans="1:129" s="128" customFormat="1" ht="54.95" customHeight="1" x14ac:dyDescent="0.25">
      <c r="A694" s="377"/>
      <c r="B694" s="175"/>
      <c r="C694" s="393"/>
      <c r="D694" s="168"/>
      <c r="E694" s="168"/>
      <c r="F694" s="168"/>
      <c r="G694" s="168"/>
      <c r="H694" s="168"/>
      <c r="I694" s="168"/>
      <c r="J694" s="168"/>
      <c r="K694" s="168"/>
      <c r="L694" s="168"/>
      <c r="M694" s="168"/>
      <c r="N694" s="168"/>
      <c r="O694" s="433"/>
      <c r="P694" s="122"/>
      <c r="Q694" s="156"/>
      <c r="R694" s="156"/>
      <c r="S694" s="156"/>
      <c r="T694" s="156"/>
      <c r="U694" s="156"/>
      <c r="V694" s="156"/>
      <c r="W694" s="156"/>
      <c r="X694" s="156"/>
      <c r="Y694" s="156"/>
      <c r="Z694" s="157"/>
      <c r="AA694" s="157"/>
      <c r="AB694" s="156"/>
      <c r="AC694" s="156"/>
      <c r="AD694" s="156"/>
      <c r="AE694" s="156"/>
      <c r="AF694" s="156"/>
      <c r="AG694" s="156"/>
      <c r="AH694" s="156"/>
      <c r="AI694" s="156"/>
      <c r="AJ694" s="156"/>
      <c r="AK694" s="156"/>
      <c r="AL694" s="156"/>
      <c r="AM694" s="158"/>
      <c r="AN694" s="156"/>
      <c r="AO694" s="156"/>
      <c r="AP694" s="156"/>
      <c r="AQ694" s="156"/>
      <c r="AR694" s="156"/>
      <c r="AS694" s="156"/>
      <c r="AT694" s="156"/>
      <c r="AU694" s="156"/>
      <c r="AV694" s="156"/>
      <c r="AW694" s="156"/>
      <c r="AX694" s="156"/>
      <c r="AY694" s="156"/>
      <c r="AZ694" s="156"/>
      <c r="BA694" s="153"/>
      <c r="BD694" s="153"/>
      <c r="BE694" s="147"/>
      <c r="BI694" s="153"/>
      <c r="BO694" s="153"/>
      <c r="BW694" s="153"/>
      <c r="CD694" s="146"/>
      <c r="CF694" s="147"/>
      <c r="CI694" s="146"/>
      <c r="CJ694" s="153"/>
      <c r="CV694" s="154"/>
      <c r="CX694" s="154"/>
      <c r="CZ694" s="154"/>
      <c r="DB694" s="154"/>
      <c r="DD694" s="154"/>
      <c r="DH694" s="474"/>
      <c r="DI694" s="459"/>
      <c r="DJ694" s="459"/>
      <c r="DK694" s="459"/>
      <c r="DL694" s="459"/>
      <c r="DM694" s="459"/>
      <c r="DN694" s="459"/>
      <c r="DO694" s="459"/>
      <c r="DP694" s="459"/>
      <c r="DQ694" s="459"/>
      <c r="DR694" s="459"/>
      <c r="DS694" s="459"/>
      <c r="DT694" s="459"/>
      <c r="DU694" s="459"/>
      <c r="DV694" s="468"/>
      <c r="DW694" s="468"/>
      <c r="DX694" s="459"/>
      <c r="DY694" s="459"/>
    </row>
    <row r="695" spans="1:129" s="128" customFormat="1" ht="54.95" customHeight="1" x14ac:dyDescent="0.25">
      <c r="A695" s="377"/>
      <c r="B695" s="175"/>
      <c r="C695" s="393"/>
      <c r="D695" s="168"/>
      <c r="E695" s="168"/>
      <c r="F695" s="168"/>
      <c r="G695" s="168"/>
      <c r="H695" s="168"/>
      <c r="I695" s="168"/>
      <c r="J695" s="168"/>
      <c r="K695" s="168"/>
      <c r="L695" s="168"/>
      <c r="M695" s="168"/>
      <c r="N695" s="168"/>
      <c r="O695" s="433"/>
      <c r="P695" s="122"/>
      <c r="Q695" s="156"/>
      <c r="R695" s="156"/>
      <c r="S695" s="156"/>
      <c r="T695" s="156"/>
      <c r="U695" s="156"/>
      <c r="V695" s="156"/>
      <c r="W695" s="156"/>
      <c r="X695" s="156"/>
      <c r="Y695" s="156"/>
      <c r="Z695" s="157"/>
      <c r="AA695" s="157"/>
      <c r="AB695" s="156"/>
      <c r="AC695" s="156"/>
      <c r="AD695" s="156"/>
      <c r="AE695" s="156"/>
      <c r="AF695" s="156"/>
      <c r="AG695" s="156"/>
      <c r="AH695" s="156"/>
      <c r="AI695" s="156"/>
      <c r="AJ695" s="156"/>
      <c r="AK695" s="156"/>
      <c r="AL695" s="156"/>
      <c r="AM695" s="158"/>
      <c r="AN695" s="156"/>
      <c r="AO695" s="156"/>
      <c r="AP695" s="156"/>
      <c r="AQ695" s="156"/>
      <c r="AR695" s="156"/>
      <c r="AS695" s="156"/>
      <c r="AT695" s="156"/>
      <c r="AU695" s="156"/>
      <c r="AV695" s="156"/>
      <c r="AW695" s="156"/>
      <c r="AX695" s="156"/>
      <c r="AY695" s="156"/>
      <c r="AZ695" s="156"/>
      <c r="BA695" s="153"/>
      <c r="BD695" s="153"/>
      <c r="BE695" s="147"/>
      <c r="BI695" s="153"/>
      <c r="BO695" s="153"/>
      <c r="BW695" s="153"/>
      <c r="CD695" s="146"/>
      <c r="CF695" s="147"/>
      <c r="CI695" s="146"/>
      <c r="CJ695" s="153"/>
      <c r="CV695" s="154"/>
      <c r="CX695" s="154"/>
      <c r="CZ695" s="154"/>
      <c r="DB695" s="154"/>
      <c r="DD695" s="154"/>
      <c r="DH695" s="474"/>
      <c r="DI695" s="459"/>
      <c r="DJ695" s="459"/>
      <c r="DK695" s="459"/>
      <c r="DL695" s="459"/>
      <c r="DM695" s="459"/>
      <c r="DN695" s="459"/>
      <c r="DO695" s="459"/>
      <c r="DP695" s="459"/>
      <c r="DQ695" s="459"/>
      <c r="DR695" s="459"/>
      <c r="DS695" s="459"/>
      <c r="DT695" s="459"/>
      <c r="DU695" s="459"/>
      <c r="DV695" s="468"/>
      <c r="DW695" s="468"/>
      <c r="DX695" s="459"/>
      <c r="DY695" s="459"/>
    </row>
    <row r="696" spans="1:129" s="128" customFormat="1" ht="54.95" customHeight="1" x14ac:dyDescent="0.25">
      <c r="A696" s="377"/>
      <c r="B696" s="175"/>
      <c r="C696" s="393"/>
      <c r="D696" s="168"/>
      <c r="E696" s="168"/>
      <c r="F696" s="168"/>
      <c r="G696" s="168"/>
      <c r="H696" s="168"/>
      <c r="I696" s="168"/>
      <c r="J696" s="168"/>
      <c r="K696" s="168"/>
      <c r="L696" s="168"/>
      <c r="M696" s="168"/>
      <c r="N696" s="168"/>
      <c r="O696" s="433"/>
      <c r="P696" s="122"/>
      <c r="Q696" s="156"/>
      <c r="R696" s="156"/>
      <c r="S696" s="156"/>
      <c r="T696" s="156"/>
      <c r="U696" s="156"/>
      <c r="V696" s="156"/>
      <c r="W696" s="156"/>
      <c r="X696" s="156"/>
      <c r="Y696" s="156"/>
      <c r="Z696" s="157"/>
      <c r="AA696" s="157"/>
      <c r="AB696" s="156"/>
      <c r="AC696" s="156"/>
      <c r="AD696" s="156"/>
      <c r="AE696" s="156"/>
      <c r="AF696" s="156"/>
      <c r="AG696" s="156"/>
      <c r="AH696" s="156"/>
      <c r="AI696" s="156"/>
      <c r="AJ696" s="156"/>
      <c r="AK696" s="156"/>
      <c r="AL696" s="156"/>
      <c r="AM696" s="158"/>
      <c r="AN696" s="156"/>
      <c r="AO696" s="156"/>
      <c r="AP696" s="156"/>
      <c r="AQ696" s="156"/>
      <c r="AR696" s="156"/>
      <c r="AS696" s="156"/>
      <c r="AT696" s="156"/>
      <c r="AU696" s="156"/>
      <c r="AV696" s="156"/>
      <c r="AW696" s="156"/>
      <c r="AX696" s="156"/>
      <c r="AY696" s="156"/>
      <c r="AZ696" s="156"/>
      <c r="BA696" s="153"/>
      <c r="BD696" s="153"/>
      <c r="BE696" s="147"/>
      <c r="BI696" s="153"/>
      <c r="BO696" s="153"/>
      <c r="BW696" s="153"/>
      <c r="CD696" s="146"/>
      <c r="CF696" s="147"/>
      <c r="CI696" s="146"/>
      <c r="CJ696" s="153"/>
      <c r="CV696" s="154"/>
      <c r="CX696" s="154"/>
      <c r="CZ696" s="154"/>
      <c r="DB696" s="154"/>
      <c r="DD696" s="154"/>
      <c r="DH696" s="474"/>
      <c r="DI696" s="459"/>
      <c r="DJ696" s="459"/>
      <c r="DK696" s="459"/>
      <c r="DL696" s="459"/>
      <c r="DM696" s="459"/>
      <c r="DN696" s="459"/>
      <c r="DO696" s="459"/>
      <c r="DP696" s="459"/>
      <c r="DQ696" s="459"/>
      <c r="DR696" s="459"/>
      <c r="DS696" s="459"/>
      <c r="DT696" s="459"/>
      <c r="DU696" s="459"/>
      <c r="DV696" s="468"/>
      <c r="DW696" s="468"/>
      <c r="DX696" s="459"/>
      <c r="DY696" s="459"/>
    </row>
    <row r="697" spans="1:129" s="128" customFormat="1" ht="54.95" customHeight="1" x14ac:dyDescent="0.25">
      <c r="A697" s="377"/>
      <c r="B697" s="175"/>
      <c r="C697" s="393"/>
      <c r="D697" s="168"/>
      <c r="E697" s="168"/>
      <c r="F697" s="168"/>
      <c r="G697" s="168"/>
      <c r="H697" s="168"/>
      <c r="I697" s="168"/>
      <c r="J697" s="168"/>
      <c r="K697" s="168"/>
      <c r="L697" s="168"/>
      <c r="M697" s="168"/>
      <c r="N697" s="168"/>
      <c r="O697" s="433"/>
      <c r="P697" s="122"/>
      <c r="Q697" s="156"/>
      <c r="R697" s="156"/>
      <c r="S697" s="156"/>
      <c r="T697" s="156"/>
      <c r="U697" s="156"/>
      <c r="V697" s="156"/>
      <c r="W697" s="156"/>
      <c r="X697" s="156"/>
      <c r="Y697" s="156"/>
      <c r="Z697" s="157"/>
      <c r="AA697" s="157"/>
      <c r="AB697" s="156"/>
      <c r="AC697" s="156"/>
      <c r="AD697" s="156"/>
      <c r="AE697" s="156"/>
      <c r="AF697" s="156"/>
      <c r="AG697" s="156"/>
      <c r="AH697" s="156"/>
      <c r="AI697" s="156"/>
      <c r="AJ697" s="156"/>
      <c r="AK697" s="156"/>
      <c r="AL697" s="156"/>
      <c r="AM697" s="158"/>
      <c r="AN697" s="156"/>
      <c r="AO697" s="156"/>
      <c r="AP697" s="156"/>
      <c r="AQ697" s="156"/>
      <c r="AR697" s="156"/>
      <c r="AS697" s="156"/>
      <c r="AT697" s="156"/>
      <c r="AU697" s="156"/>
      <c r="AV697" s="156"/>
      <c r="AW697" s="156"/>
      <c r="AX697" s="156"/>
      <c r="AY697" s="156"/>
      <c r="AZ697" s="156"/>
      <c r="BA697" s="153"/>
      <c r="BD697" s="153"/>
      <c r="BE697" s="147"/>
      <c r="BI697" s="153"/>
      <c r="BO697" s="153"/>
      <c r="BW697" s="153"/>
      <c r="CD697" s="146"/>
      <c r="CF697" s="147"/>
      <c r="CI697" s="146"/>
      <c r="CJ697" s="153"/>
      <c r="CV697" s="154"/>
      <c r="CX697" s="154"/>
      <c r="CZ697" s="154"/>
      <c r="DB697" s="154"/>
      <c r="DD697" s="154"/>
      <c r="DH697" s="474"/>
      <c r="DI697" s="459"/>
      <c r="DJ697" s="459"/>
      <c r="DK697" s="459"/>
      <c r="DL697" s="459"/>
      <c r="DM697" s="459"/>
      <c r="DN697" s="459"/>
      <c r="DO697" s="459"/>
      <c r="DP697" s="459"/>
      <c r="DQ697" s="459"/>
      <c r="DR697" s="459"/>
      <c r="DS697" s="459"/>
      <c r="DT697" s="459"/>
      <c r="DU697" s="459"/>
      <c r="DV697" s="468"/>
      <c r="DW697" s="468"/>
      <c r="DX697" s="459"/>
      <c r="DY697" s="459"/>
    </row>
    <row r="698" spans="1:129" s="128" customFormat="1" ht="54.95" customHeight="1" x14ac:dyDescent="0.25">
      <c r="A698" s="377"/>
      <c r="B698" s="175"/>
      <c r="C698" s="393"/>
      <c r="D698" s="168"/>
      <c r="E698" s="168"/>
      <c r="F698" s="168"/>
      <c r="G698" s="168"/>
      <c r="H698" s="168"/>
      <c r="I698" s="168"/>
      <c r="J698" s="168"/>
      <c r="K698" s="168"/>
      <c r="L698" s="168"/>
      <c r="M698" s="168"/>
      <c r="N698" s="168"/>
      <c r="O698" s="433"/>
      <c r="P698" s="122"/>
      <c r="Q698" s="156"/>
      <c r="R698" s="156"/>
      <c r="S698" s="156"/>
      <c r="T698" s="156"/>
      <c r="U698" s="156"/>
      <c r="V698" s="156"/>
      <c r="W698" s="156"/>
      <c r="X698" s="156"/>
      <c r="Y698" s="156"/>
      <c r="Z698" s="157"/>
      <c r="AA698" s="157"/>
      <c r="AB698" s="156"/>
      <c r="AC698" s="156"/>
      <c r="AD698" s="156"/>
      <c r="AE698" s="156"/>
      <c r="AF698" s="156"/>
      <c r="AG698" s="156"/>
      <c r="AH698" s="156"/>
      <c r="AI698" s="156"/>
      <c r="AJ698" s="156"/>
      <c r="AK698" s="156"/>
      <c r="AL698" s="156"/>
      <c r="AM698" s="158"/>
      <c r="AN698" s="156"/>
      <c r="AO698" s="156"/>
      <c r="AP698" s="156"/>
      <c r="AQ698" s="156"/>
      <c r="AR698" s="156"/>
      <c r="AS698" s="156"/>
      <c r="AT698" s="156"/>
      <c r="AU698" s="156"/>
      <c r="AV698" s="156"/>
      <c r="AW698" s="156"/>
      <c r="AX698" s="156"/>
      <c r="AY698" s="156"/>
      <c r="AZ698" s="156"/>
      <c r="BA698" s="153"/>
      <c r="BD698" s="153"/>
      <c r="BE698" s="147"/>
      <c r="BI698" s="153"/>
      <c r="BO698" s="153"/>
      <c r="BW698" s="153"/>
      <c r="CD698" s="146"/>
      <c r="CF698" s="147"/>
      <c r="CI698" s="146"/>
      <c r="CJ698" s="153"/>
      <c r="CV698" s="154"/>
      <c r="CX698" s="154"/>
      <c r="CZ698" s="154"/>
      <c r="DB698" s="154"/>
      <c r="DD698" s="154"/>
      <c r="DH698" s="474"/>
      <c r="DI698" s="459"/>
      <c r="DJ698" s="459"/>
      <c r="DK698" s="459"/>
      <c r="DL698" s="459"/>
      <c r="DM698" s="459"/>
      <c r="DN698" s="459"/>
      <c r="DO698" s="459"/>
      <c r="DP698" s="459"/>
      <c r="DQ698" s="459"/>
      <c r="DR698" s="459"/>
      <c r="DS698" s="459"/>
      <c r="DT698" s="459"/>
      <c r="DU698" s="459"/>
      <c r="DV698" s="468"/>
      <c r="DW698" s="468"/>
      <c r="DX698" s="459"/>
      <c r="DY698" s="459"/>
    </row>
    <row r="699" spans="1:129" s="128" customFormat="1" ht="54.95" customHeight="1" x14ac:dyDescent="0.25">
      <c r="A699" s="377"/>
      <c r="B699" s="175"/>
      <c r="C699" s="393"/>
      <c r="D699" s="168"/>
      <c r="E699" s="168"/>
      <c r="F699" s="168"/>
      <c r="G699" s="168"/>
      <c r="H699" s="168"/>
      <c r="I699" s="168"/>
      <c r="J699" s="168"/>
      <c r="K699" s="168"/>
      <c r="L699" s="168"/>
      <c r="M699" s="168"/>
      <c r="N699" s="168"/>
      <c r="O699" s="433"/>
      <c r="P699" s="122"/>
      <c r="Q699" s="156"/>
      <c r="R699" s="156"/>
      <c r="S699" s="156"/>
      <c r="T699" s="156"/>
      <c r="U699" s="156"/>
      <c r="V699" s="156"/>
      <c r="W699" s="156"/>
      <c r="X699" s="156"/>
      <c r="Y699" s="156"/>
      <c r="Z699" s="157"/>
      <c r="AA699" s="157"/>
      <c r="AB699" s="156"/>
      <c r="AC699" s="156"/>
      <c r="AD699" s="156"/>
      <c r="AE699" s="156"/>
      <c r="AF699" s="156"/>
      <c r="AG699" s="156"/>
      <c r="AH699" s="156"/>
      <c r="AI699" s="156"/>
      <c r="AJ699" s="156"/>
      <c r="AK699" s="156"/>
      <c r="AL699" s="156"/>
      <c r="AM699" s="158"/>
      <c r="AN699" s="156"/>
      <c r="AO699" s="156"/>
      <c r="AP699" s="156"/>
      <c r="AQ699" s="156"/>
      <c r="AR699" s="156"/>
      <c r="AS699" s="156"/>
      <c r="AT699" s="156"/>
      <c r="AU699" s="156"/>
      <c r="AV699" s="156"/>
      <c r="AW699" s="156"/>
      <c r="AX699" s="156"/>
      <c r="AY699" s="156"/>
      <c r="AZ699" s="156"/>
      <c r="BA699" s="153"/>
      <c r="BD699" s="153"/>
      <c r="BE699" s="147"/>
      <c r="BI699" s="153"/>
      <c r="BO699" s="153"/>
      <c r="BW699" s="153"/>
      <c r="CD699" s="146"/>
      <c r="CF699" s="147"/>
      <c r="CI699" s="146"/>
      <c r="CJ699" s="153"/>
      <c r="CV699" s="154"/>
      <c r="CX699" s="154"/>
      <c r="CZ699" s="154"/>
      <c r="DB699" s="154"/>
      <c r="DD699" s="154"/>
      <c r="DH699" s="474"/>
      <c r="DI699" s="459"/>
      <c r="DJ699" s="459"/>
      <c r="DK699" s="459"/>
      <c r="DL699" s="459"/>
      <c r="DM699" s="459"/>
      <c r="DN699" s="459"/>
      <c r="DO699" s="459"/>
      <c r="DP699" s="459"/>
      <c r="DQ699" s="459"/>
      <c r="DR699" s="459"/>
      <c r="DS699" s="459"/>
      <c r="DT699" s="459"/>
      <c r="DU699" s="459"/>
      <c r="DV699" s="468"/>
      <c r="DW699" s="468"/>
      <c r="DX699" s="459"/>
      <c r="DY699" s="459"/>
    </row>
    <row r="700" spans="1:129" s="128" customFormat="1" ht="54.95" customHeight="1" x14ac:dyDescent="0.25">
      <c r="A700" s="377"/>
      <c r="B700" s="175"/>
      <c r="C700" s="393"/>
      <c r="D700" s="168"/>
      <c r="E700" s="168"/>
      <c r="F700" s="168"/>
      <c r="G700" s="168"/>
      <c r="H700" s="168"/>
      <c r="I700" s="168"/>
      <c r="J700" s="168"/>
      <c r="K700" s="168"/>
      <c r="L700" s="168"/>
      <c r="M700" s="168"/>
      <c r="N700" s="168"/>
      <c r="O700" s="433"/>
      <c r="P700" s="122"/>
      <c r="Q700" s="156"/>
      <c r="R700" s="156"/>
      <c r="S700" s="156"/>
      <c r="T700" s="156"/>
      <c r="U700" s="156"/>
      <c r="V700" s="156"/>
      <c r="W700" s="156"/>
      <c r="X700" s="156"/>
      <c r="Y700" s="156"/>
      <c r="Z700" s="157"/>
      <c r="AA700" s="157"/>
      <c r="AB700" s="156"/>
      <c r="AC700" s="156"/>
      <c r="AD700" s="156"/>
      <c r="AE700" s="156"/>
      <c r="AF700" s="156"/>
      <c r="AG700" s="156"/>
      <c r="AH700" s="156"/>
      <c r="AI700" s="156"/>
      <c r="AJ700" s="156"/>
      <c r="AK700" s="156"/>
      <c r="AL700" s="156"/>
      <c r="AM700" s="158"/>
      <c r="AN700" s="156"/>
      <c r="AO700" s="156"/>
      <c r="AP700" s="156"/>
      <c r="AQ700" s="156"/>
      <c r="AR700" s="156"/>
      <c r="AS700" s="156"/>
      <c r="AT700" s="156"/>
      <c r="AU700" s="156"/>
      <c r="AV700" s="156"/>
      <c r="AW700" s="156"/>
      <c r="AX700" s="156"/>
      <c r="AY700" s="156"/>
      <c r="AZ700" s="156"/>
      <c r="BA700" s="153"/>
      <c r="BD700" s="153"/>
      <c r="BE700" s="147"/>
      <c r="BI700" s="153"/>
      <c r="BO700" s="153"/>
      <c r="BW700" s="153"/>
      <c r="CD700" s="146"/>
      <c r="CF700" s="147"/>
      <c r="CI700" s="146"/>
      <c r="CJ700" s="153"/>
      <c r="CV700" s="154"/>
      <c r="CX700" s="154"/>
      <c r="CZ700" s="154"/>
      <c r="DB700" s="154"/>
      <c r="DD700" s="154"/>
      <c r="DH700" s="474"/>
      <c r="DI700" s="459"/>
      <c r="DJ700" s="459"/>
      <c r="DK700" s="459"/>
      <c r="DL700" s="459"/>
      <c r="DM700" s="459"/>
      <c r="DN700" s="459"/>
      <c r="DO700" s="459"/>
      <c r="DP700" s="459"/>
      <c r="DQ700" s="459"/>
      <c r="DR700" s="459"/>
      <c r="DS700" s="459"/>
      <c r="DT700" s="459"/>
      <c r="DU700" s="459"/>
      <c r="DV700" s="468"/>
      <c r="DW700" s="468"/>
      <c r="DX700" s="459"/>
      <c r="DY700" s="459"/>
    </row>
    <row r="701" spans="1:129" s="128" customFormat="1" ht="54.95" customHeight="1" x14ac:dyDescent="0.25">
      <c r="A701" s="377"/>
      <c r="B701" s="175"/>
      <c r="C701" s="393"/>
      <c r="D701" s="168"/>
      <c r="E701" s="168"/>
      <c r="F701" s="168"/>
      <c r="G701" s="168"/>
      <c r="H701" s="168"/>
      <c r="I701" s="168"/>
      <c r="J701" s="168"/>
      <c r="K701" s="168"/>
      <c r="L701" s="168"/>
      <c r="M701" s="168"/>
      <c r="N701" s="168"/>
      <c r="O701" s="433"/>
      <c r="P701" s="122"/>
      <c r="Q701" s="156"/>
      <c r="R701" s="156"/>
      <c r="S701" s="156"/>
      <c r="T701" s="156"/>
      <c r="U701" s="156"/>
      <c r="V701" s="156"/>
      <c r="W701" s="156"/>
      <c r="X701" s="156"/>
      <c r="Y701" s="156"/>
      <c r="Z701" s="157"/>
      <c r="AA701" s="157"/>
      <c r="AB701" s="156"/>
      <c r="AC701" s="156"/>
      <c r="AD701" s="156"/>
      <c r="AE701" s="156"/>
      <c r="AF701" s="156"/>
      <c r="AG701" s="156"/>
      <c r="AH701" s="156"/>
      <c r="AI701" s="156"/>
      <c r="AJ701" s="156"/>
      <c r="AK701" s="156"/>
      <c r="AL701" s="156"/>
      <c r="AM701" s="158"/>
      <c r="AN701" s="156"/>
      <c r="AO701" s="156"/>
      <c r="AP701" s="156"/>
      <c r="AQ701" s="156"/>
      <c r="AR701" s="156"/>
      <c r="AS701" s="156"/>
      <c r="AT701" s="156"/>
      <c r="AU701" s="156"/>
      <c r="AV701" s="156"/>
      <c r="AW701" s="156"/>
      <c r="AX701" s="156"/>
      <c r="AY701" s="156"/>
      <c r="AZ701" s="156"/>
      <c r="BA701" s="153"/>
      <c r="BD701" s="153"/>
      <c r="BE701" s="147"/>
      <c r="BI701" s="153"/>
      <c r="BO701" s="153"/>
      <c r="BW701" s="153"/>
      <c r="CD701" s="146"/>
      <c r="CF701" s="147"/>
      <c r="CI701" s="146"/>
      <c r="CJ701" s="153"/>
      <c r="CV701" s="154"/>
      <c r="CX701" s="154"/>
      <c r="CZ701" s="154"/>
      <c r="DB701" s="154"/>
      <c r="DD701" s="154"/>
      <c r="DH701" s="474"/>
      <c r="DI701" s="459"/>
      <c r="DJ701" s="459"/>
      <c r="DK701" s="459"/>
      <c r="DL701" s="459"/>
      <c r="DM701" s="459"/>
      <c r="DN701" s="459"/>
      <c r="DO701" s="459"/>
      <c r="DP701" s="459"/>
      <c r="DQ701" s="459"/>
      <c r="DR701" s="459"/>
      <c r="DS701" s="459"/>
      <c r="DT701" s="459"/>
      <c r="DU701" s="459"/>
      <c r="DV701" s="468"/>
      <c r="DW701" s="468"/>
      <c r="DX701" s="459"/>
      <c r="DY701" s="459"/>
    </row>
    <row r="702" spans="1:129" s="128" customFormat="1" ht="54.95" customHeight="1" x14ac:dyDescent="0.25">
      <c r="A702" s="377"/>
      <c r="B702" s="175"/>
      <c r="C702" s="393"/>
      <c r="D702" s="168"/>
      <c r="E702" s="168"/>
      <c r="F702" s="168"/>
      <c r="G702" s="168"/>
      <c r="H702" s="168"/>
      <c r="I702" s="168"/>
      <c r="J702" s="168"/>
      <c r="K702" s="168"/>
      <c r="L702" s="168"/>
      <c r="M702" s="168"/>
      <c r="N702" s="168"/>
      <c r="O702" s="433"/>
      <c r="P702" s="122"/>
      <c r="Q702" s="156"/>
      <c r="R702" s="156"/>
      <c r="S702" s="156"/>
      <c r="T702" s="156"/>
      <c r="U702" s="156"/>
      <c r="V702" s="156"/>
      <c r="W702" s="156"/>
      <c r="X702" s="156"/>
      <c r="Y702" s="156"/>
      <c r="Z702" s="157"/>
      <c r="AA702" s="157"/>
      <c r="AB702" s="156"/>
      <c r="AC702" s="156"/>
      <c r="AD702" s="156"/>
      <c r="AE702" s="156"/>
      <c r="AF702" s="156"/>
      <c r="AG702" s="156"/>
      <c r="AH702" s="156"/>
      <c r="AI702" s="156"/>
      <c r="AJ702" s="156"/>
      <c r="AK702" s="156"/>
      <c r="AL702" s="156"/>
      <c r="AM702" s="158"/>
      <c r="AN702" s="156"/>
      <c r="AO702" s="156"/>
      <c r="AP702" s="156"/>
      <c r="AQ702" s="156"/>
      <c r="AR702" s="156"/>
      <c r="AS702" s="156"/>
      <c r="AT702" s="156"/>
      <c r="AU702" s="156"/>
      <c r="AV702" s="156"/>
      <c r="AW702" s="156"/>
      <c r="AX702" s="156"/>
      <c r="AY702" s="156"/>
      <c r="AZ702" s="156"/>
      <c r="BA702" s="153"/>
      <c r="BD702" s="153"/>
      <c r="BE702" s="147"/>
      <c r="BI702" s="153"/>
      <c r="BO702" s="153"/>
      <c r="BW702" s="153"/>
      <c r="CD702" s="146"/>
      <c r="CF702" s="147"/>
      <c r="CI702" s="146"/>
      <c r="CJ702" s="153"/>
      <c r="CV702" s="154"/>
      <c r="CX702" s="154"/>
      <c r="CZ702" s="154"/>
      <c r="DB702" s="154"/>
      <c r="DD702" s="154"/>
      <c r="DH702" s="474"/>
      <c r="DI702" s="459"/>
      <c r="DJ702" s="459"/>
      <c r="DK702" s="459"/>
      <c r="DL702" s="459"/>
      <c r="DM702" s="459"/>
      <c r="DN702" s="459"/>
      <c r="DO702" s="459"/>
      <c r="DP702" s="459"/>
      <c r="DQ702" s="459"/>
      <c r="DR702" s="459"/>
      <c r="DS702" s="459"/>
      <c r="DT702" s="459"/>
      <c r="DU702" s="459"/>
      <c r="DV702" s="468"/>
      <c r="DW702" s="468"/>
      <c r="DX702" s="459"/>
      <c r="DY702" s="459"/>
    </row>
    <row r="703" spans="1:129" s="128" customFormat="1" ht="54.95" customHeight="1" x14ac:dyDescent="0.25">
      <c r="A703" s="377"/>
      <c r="B703" s="175"/>
      <c r="C703" s="393"/>
      <c r="D703" s="168"/>
      <c r="E703" s="168"/>
      <c r="F703" s="168"/>
      <c r="G703" s="168"/>
      <c r="H703" s="168"/>
      <c r="I703" s="168"/>
      <c r="J703" s="168"/>
      <c r="K703" s="168"/>
      <c r="L703" s="168"/>
      <c r="M703" s="168"/>
      <c r="N703" s="168"/>
      <c r="O703" s="433"/>
      <c r="P703" s="122"/>
      <c r="Q703" s="156"/>
      <c r="R703" s="156"/>
      <c r="S703" s="156"/>
      <c r="T703" s="156"/>
      <c r="U703" s="156"/>
      <c r="V703" s="156"/>
      <c r="W703" s="156"/>
      <c r="X703" s="156"/>
      <c r="Y703" s="156"/>
      <c r="Z703" s="157"/>
      <c r="AA703" s="157"/>
      <c r="AB703" s="156"/>
      <c r="AC703" s="156"/>
      <c r="AD703" s="156"/>
      <c r="AE703" s="156"/>
      <c r="AF703" s="156"/>
      <c r="AG703" s="156"/>
      <c r="AH703" s="156"/>
      <c r="AI703" s="156"/>
      <c r="AJ703" s="156"/>
      <c r="AK703" s="156"/>
      <c r="AL703" s="156"/>
      <c r="AM703" s="158"/>
      <c r="AN703" s="156"/>
      <c r="AO703" s="156"/>
      <c r="AP703" s="156"/>
      <c r="AQ703" s="156"/>
      <c r="AR703" s="156"/>
      <c r="AS703" s="156"/>
      <c r="AT703" s="156"/>
      <c r="AU703" s="156"/>
      <c r="AV703" s="156"/>
      <c r="AW703" s="156"/>
      <c r="AX703" s="156"/>
      <c r="AY703" s="156"/>
      <c r="AZ703" s="156"/>
      <c r="BA703" s="153"/>
      <c r="BD703" s="153"/>
      <c r="BE703" s="147"/>
      <c r="BI703" s="153"/>
      <c r="BO703" s="153"/>
      <c r="BW703" s="153"/>
      <c r="CD703" s="146"/>
      <c r="CF703" s="147"/>
      <c r="CI703" s="146"/>
      <c r="CJ703" s="153"/>
      <c r="CV703" s="154"/>
      <c r="CX703" s="154"/>
      <c r="CZ703" s="154"/>
      <c r="DB703" s="154"/>
      <c r="DD703" s="154"/>
      <c r="DH703" s="474"/>
      <c r="DI703" s="459"/>
      <c r="DJ703" s="459"/>
      <c r="DK703" s="459"/>
      <c r="DL703" s="459"/>
      <c r="DM703" s="459"/>
      <c r="DN703" s="459"/>
      <c r="DO703" s="459"/>
      <c r="DP703" s="459"/>
      <c r="DQ703" s="459"/>
      <c r="DR703" s="459"/>
      <c r="DS703" s="459"/>
      <c r="DT703" s="459"/>
      <c r="DU703" s="459"/>
      <c r="DV703" s="468"/>
      <c r="DW703" s="468"/>
      <c r="DX703" s="459"/>
      <c r="DY703" s="459"/>
    </row>
    <row r="704" spans="1:129" s="128" customFormat="1" ht="54.95" customHeight="1" x14ac:dyDescent="0.25">
      <c r="A704" s="377"/>
      <c r="B704" s="175"/>
      <c r="C704" s="393"/>
      <c r="D704" s="168"/>
      <c r="E704" s="168"/>
      <c r="F704" s="168"/>
      <c r="G704" s="168"/>
      <c r="H704" s="168"/>
      <c r="I704" s="168"/>
      <c r="J704" s="168"/>
      <c r="K704" s="168"/>
      <c r="L704" s="168"/>
      <c r="M704" s="168"/>
      <c r="N704" s="168"/>
      <c r="O704" s="433"/>
      <c r="P704" s="122"/>
      <c r="Q704" s="156"/>
      <c r="R704" s="156"/>
      <c r="S704" s="156"/>
      <c r="T704" s="156"/>
      <c r="U704" s="156"/>
      <c r="V704" s="156"/>
      <c r="W704" s="156"/>
      <c r="X704" s="156"/>
      <c r="Y704" s="156"/>
      <c r="Z704" s="157"/>
      <c r="AA704" s="157"/>
      <c r="AB704" s="156"/>
      <c r="AC704" s="156"/>
      <c r="AD704" s="156"/>
      <c r="AE704" s="156"/>
      <c r="AF704" s="156"/>
      <c r="AG704" s="156"/>
      <c r="AH704" s="156"/>
      <c r="AI704" s="156"/>
      <c r="AJ704" s="156"/>
      <c r="AK704" s="156"/>
      <c r="AL704" s="156"/>
      <c r="AM704" s="158"/>
      <c r="AN704" s="156"/>
      <c r="AO704" s="156"/>
      <c r="AP704" s="156"/>
      <c r="AQ704" s="156"/>
      <c r="AR704" s="156"/>
      <c r="AS704" s="156"/>
      <c r="AT704" s="156"/>
      <c r="AU704" s="156"/>
      <c r="AV704" s="156"/>
      <c r="AW704" s="156"/>
      <c r="AX704" s="156"/>
      <c r="AY704" s="156"/>
      <c r="AZ704" s="156"/>
      <c r="BA704" s="153"/>
      <c r="BD704" s="153"/>
      <c r="BE704" s="147"/>
      <c r="BI704" s="153"/>
      <c r="BO704" s="153"/>
      <c r="BW704" s="153"/>
      <c r="CD704" s="146"/>
      <c r="CF704" s="147"/>
      <c r="CI704" s="146"/>
      <c r="CJ704" s="153"/>
      <c r="CV704" s="154"/>
      <c r="CX704" s="154"/>
      <c r="CZ704" s="154"/>
      <c r="DB704" s="154"/>
      <c r="DD704" s="154"/>
      <c r="DH704" s="474"/>
      <c r="DI704" s="459"/>
      <c r="DJ704" s="459"/>
      <c r="DK704" s="459"/>
      <c r="DL704" s="459"/>
      <c r="DM704" s="459"/>
      <c r="DN704" s="459"/>
      <c r="DO704" s="459"/>
      <c r="DP704" s="459"/>
      <c r="DQ704" s="459"/>
      <c r="DR704" s="459"/>
      <c r="DS704" s="459"/>
      <c r="DT704" s="459"/>
      <c r="DU704" s="459"/>
      <c r="DV704" s="468"/>
      <c r="DW704" s="468"/>
      <c r="DX704" s="459"/>
      <c r="DY704" s="459"/>
    </row>
    <row r="705" spans="1:129" s="128" customFormat="1" ht="54.95" customHeight="1" x14ac:dyDescent="0.25">
      <c r="A705" s="377"/>
      <c r="B705" s="175"/>
      <c r="C705" s="393"/>
      <c r="D705" s="168"/>
      <c r="E705" s="168"/>
      <c r="F705" s="168"/>
      <c r="G705" s="168"/>
      <c r="H705" s="168"/>
      <c r="I705" s="168"/>
      <c r="J705" s="168"/>
      <c r="K705" s="168"/>
      <c r="L705" s="168"/>
      <c r="M705" s="168"/>
      <c r="N705" s="168"/>
      <c r="O705" s="433"/>
      <c r="P705" s="122"/>
      <c r="Q705" s="156"/>
      <c r="R705" s="156"/>
      <c r="S705" s="156"/>
      <c r="T705" s="156"/>
      <c r="U705" s="156"/>
      <c r="V705" s="156"/>
      <c r="W705" s="156"/>
      <c r="X705" s="156"/>
      <c r="Y705" s="156"/>
      <c r="Z705" s="157"/>
      <c r="AA705" s="157"/>
      <c r="AB705" s="156"/>
      <c r="AC705" s="156"/>
      <c r="AD705" s="156"/>
      <c r="AE705" s="156"/>
      <c r="AF705" s="156"/>
      <c r="AG705" s="156"/>
      <c r="AH705" s="156"/>
      <c r="AI705" s="156"/>
      <c r="AJ705" s="156"/>
      <c r="AK705" s="156"/>
      <c r="AL705" s="156"/>
      <c r="AM705" s="158"/>
      <c r="AN705" s="156"/>
      <c r="AO705" s="156"/>
      <c r="AP705" s="156"/>
      <c r="AQ705" s="156"/>
      <c r="AR705" s="156"/>
      <c r="AS705" s="156"/>
      <c r="AT705" s="156"/>
      <c r="AU705" s="156"/>
      <c r="AV705" s="156"/>
      <c r="AW705" s="156"/>
      <c r="AX705" s="156"/>
      <c r="AY705" s="156"/>
      <c r="AZ705" s="156"/>
      <c r="BA705" s="153"/>
      <c r="BD705" s="153"/>
      <c r="BE705" s="147"/>
      <c r="BI705" s="153"/>
      <c r="BO705" s="153"/>
      <c r="BW705" s="153"/>
      <c r="CD705" s="146"/>
      <c r="CF705" s="147"/>
      <c r="CI705" s="146"/>
      <c r="CJ705" s="153"/>
      <c r="CV705" s="154"/>
      <c r="CX705" s="154"/>
      <c r="CZ705" s="154"/>
      <c r="DB705" s="154"/>
      <c r="DD705" s="154"/>
      <c r="DH705" s="474"/>
      <c r="DI705" s="459"/>
      <c r="DJ705" s="459"/>
      <c r="DK705" s="459"/>
      <c r="DL705" s="459"/>
      <c r="DM705" s="459"/>
      <c r="DN705" s="459"/>
      <c r="DO705" s="459"/>
      <c r="DP705" s="459"/>
      <c r="DQ705" s="459"/>
      <c r="DR705" s="459"/>
      <c r="DS705" s="459"/>
      <c r="DT705" s="459"/>
      <c r="DU705" s="459"/>
      <c r="DV705" s="468"/>
      <c r="DW705" s="468"/>
      <c r="DX705" s="459"/>
      <c r="DY705" s="459"/>
    </row>
    <row r="706" spans="1:129" s="128" customFormat="1" ht="54.95" customHeight="1" x14ac:dyDescent="0.25">
      <c r="A706" s="377"/>
      <c r="B706" s="175"/>
      <c r="C706" s="393"/>
      <c r="D706" s="168"/>
      <c r="E706" s="168"/>
      <c r="F706" s="168"/>
      <c r="G706" s="168"/>
      <c r="H706" s="168"/>
      <c r="I706" s="168"/>
      <c r="J706" s="168"/>
      <c r="K706" s="168"/>
      <c r="L706" s="168"/>
      <c r="M706" s="168"/>
      <c r="N706" s="168"/>
      <c r="O706" s="433"/>
      <c r="P706" s="122"/>
      <c r="Q706" s="156"/>
      <c r="R706" s="156"/>
      <c r="S706" s="156"/>
      <c r="T706" s="156"/>
      <c r="U706" s="156"/>
      <c r="V706" s="156"/>
      <c r="W706" s="156"/>
      <c r="X706" s="156"/>
      <c r="Y706" s="156"/>
      <c r="Z706" s="157"/>
      <c r="AA706" s="157"/>
      <c r="AB706" s="156"/>
      <c r="AC706" s="156"/>
      <c r="AD706" s="156"/>
      <c r="AE706" s="156"/>
      <c r="AF706" s="156"/>
      <c r="AG706" s="156"/>
      <c r="AH706" s="156"/>
      <c r="AI706" s="156"/>
      <c r="AJ706" s="156"/>
      <c r="AK706" s="156"/>
      <c r="AL706" s="156"/>
      <c r="AM706" s="158"/>
      <c r="AN706" s="156"/>
      <c r="AO706" s="156"/>
      <c r="AP706" s="156"/>
      <c r="AQ706" s="156"/>
      <c r="AR706" s="156"/>
      <c r="AS706" s="156"/>
      <c r="AT706" s="156"/>
      <c r="AU706" s="156"/>
      <c r="AV706" s="156"/>
      <c r="AW706" s="156"/>
      <c r="AX706" s="156"/>
      <c r="AY706" s="156"/>
      <c r="AZ706" s="156"/>
      <c r="BA706" s="153"/>
      <c r="BD706" s="153"/>
      <c r="BE706" s="147"/>
      <c r="BI706" s="153"/>
      <c r="BO706" s="153"/>
      <c r="BW706" s="153"/>
      <c r="CD706" s="146"/>
      <c r="CF706" s="147"/>
      <c r="CI706" s="146"/>
      <c r="CJ706" s="153"/>
      <c r="CV706" s="154"/>
      <c r="CX706" s="154"/>
      <c r="CZ706" s="154"/>
      <c r="DB706" s="154"/>
      <c r="DD706" s="154"/>
      <c r="DH706" s="474"/>
      <c r="DI706" s="459"/>
      <c r="DJ706" s="459"/>
      <c r="DK706" s="459"/>
      <c r="DL706" s="459"/>
      <c r="DM706" s="459"/>
      <c r="DN706" s="459"/>
      <c r="DO706" s="459"/>
      <c r="DP706" s="459"/>
      <c r="DQ706" s="459"/>
      <c r="DR706" s="459"/>
      <c r="DS706" s="459"/>
      <c r="DT706" s="459"/>
      <c r="DU706" s="459"/>
      <c r="DV706" s="468"/>
      <c r="DW706" s="468"/>
      <c r="DX706" s="459"/>
      <c r="DY706" s="459"/>
    </row>
    <row r="707" spans="1:129" s="128" customFormat="1" ht="54.95" customHeight="1" x14ac:dyDescent="0.25">
      <c r="A707" s="377"/>
      <c r="B707" s="175"/>
      <c r="C707" s="393"/>
      <c r="D707" s="168"/>
      <c r="E707" s="168"/>
      <c r="F707" s="168"/>
      <c r="G707" s="168"/>
      <c r="H707" s="168"/>
      <c r="I707" s="168"/>
      <c r="J707" s="168"/>
      <c r="K707" s="168"/>
      <c r="L707" s="168"/>
      <c r="M707" s="168"/>
      <c r="N707" s="168"/>
      <c r="O707" s="433"/>
      <c r="P707" s="122"/>
      <c r="Q707" s="156"/>
      <c r="R707" s="156"/>
      <c r="S707" s="156"/>
      <c r="T707" s="156"/>
      <c r="U707" s="156"/>
      <c r="V707" s="156"/>
      <c r="W707" s="156"/>
      <c r="X707" s="156"/>
      <c r="Y707" s="156"/>
      <c r="Z707" s="157"/>
      <c r="AA707" s="157"/>
      <c r="AB707" s="156"/>
      <c r="AC707" s="156"/>
      <c r="AD707" s="156"/>
      <c r="AE707" s="156"/>
      <c r="AF707" s="156"/>
      <c r="AG707" s="156"/>
      <c r="AH707" s="156"/>
      <c r="AI707" s="156"/>
      <c r="AJ707" s="156"/>
      <c r="AK707" s="156"/>
      <c r="AL707" s="156"/>
      <c r="AM707" s="158"/>
      <c r="AN707" s="156"/>
      <c r="AO707" s="156"/>
      <c r="AP707" s="156"/>
      <c r="AQ707" s="156"/>
      <c r="AR707" s="156"/>
      <c r="AS707" s="156"/>
      <c r="AT707" s="156"/>
      <c r="AU707" s="156"/>
      <c r="AV707" s="156"/>
      <c r="AW707" s="156"/>
      <c r="AX707" s="156"/>
      <c r="AY707" s="156"/>
      <c r="AZ707" s="156"/>
      <c r="BA707" s="153"/>
      <c r="BD707" s="153"/>
      <c r="BE707" s="147"/>
      <c r="BI707" s="153"/>
      <c r="BO707" s="153"/>
      <c r="BW707" s="153"/>
      <c r="CD707" s="146"/>
      <c r="CF707" s="147"/>
      <c r="CI707" s="146"/>
      <c r="CJ707" s="153"/>
      <c r="CV707" s="154"/>
      <c r="CX707" s="154"/>
      <c r="CZ707" s="154"/>
      <c r="DB707" s="154"/>
      <c r="DD707" s="154"/>
      <c r="DH707" s="474"/>
      <c r="DI707" s="459"/>
      <c r="DJ707" s="459"/>
      <c r="DK707" s="459"/>
      <c r="DL707" s="459"/>
      <c r="DM707" s="459"/>
      <c r="DN707" s="459"/>
      <c r="DO707" s="459"/>
      <c r="DP707" s="459"/>
      <c r="DQ707" s="459"/>
      <c r="DR707" s="459"/>
      <c r="DS707" s="459"/>
      <c r="DT707" s="459"/>
      <c r="DU707" s="459"/>
      <c r="DV707" s="468"/>
      <c r="DW707" s="468"/>
      <c r="DX707" s="459"/>
      <c r="DY707" s="459"/>
    </row>
    <row r="708" spans="1:129" s="128" customFormat="1" ht="54.95" customHeight="1" x14ac:dyDescent="0.25">
      <c r="A708" s="377"/>
      <c r="B708" s="175"/>
      <c r="C708" s="393"/>
      <c r="D708" s="168"/>
      <c r="E708" s="168"/>
      <c r="F708" s="168"/>
      <c r="G708" s="168"/>
      <c r="H708" s="168"/>
      <c r="I708" s="168"/>
      <c r="J708" s="168"/>
      <c r="K708" s="168"/>
      <c r="L708" s="168"/>
      <c r="M708" s="168"/>
      <c r="N708" s="168"/>
      <c r="O708" s="433"/>
      <c r="P708" s="122"/>
      <c r="Q708" s="156"/>
      <c r="R708" s="156"/>
      <c r="S708" s="156"/>
      <c r="T708" s="156"/>
      <c r="U708" s="156"/>
      <c r="V708" s="156"/>
      <c r="W708" s="156"/>
      <c r="X708" s="156"/>
      <c r="Y708" s="156"/>
      <c r="Z708" s="157"/>
      <c r="AA708" s="157"/>
      <c r="AB708" s="156"/>
      <c r="AC708" s="156"/>
      <c r="AD708" s="156"/>
      <c r="AE708" s="156"/>
      <c r="AF708" s="156"/>
      <c r="AG708" s="156"/>
      <c r="AH708" s="156"/>
      <c r="AI708" s="156"/>
      <c r="AJ708" s="156"/>
      <c r="AK708" s="156"/>
      <c r="AL708" s="156"/>
      <c r="AM708" s="158"/>
      <c r="AN708" s="156"/>
      <c r="AO708" s="156"/>
      <c r="AP708" s="156"/>
      <c r="AQ708" s="156"/>
      <c r="AR708" s="156"/>
      <c r="AS708" s="156"/>
      <c r="AT708" s="156"/>
      <c r="AU708" s="156"/>
      <c r="AV708" s="156"/>
      <c r="AW708" s="156"/>
      <c r="AX708" s="156"/>
      <c r="AY708" s="156"/>
      <c r="AZ708" s="156"/>
      <c r="BA708" s="153"/>
      <c r="BD708" s="153"/>
      <c r="BE708" s="147"/>
      <c r="BI708" s="153"/>
      <c r="BO708" s="153"/>
      <c r="BW708" s="153"/>
      <c r="CD708" s="146"/>
      <c r="CF708" s="147"/>
      <c r="CI708" s="146"/>
      <c r="CJ708" s="153"/>
      <c r="CV708" s="154"/>
      <c r="CX708" s="154"/>
      <c r="CZ708" s="154"/>
      <c r="DB708" s="154"/>
      <c r="DD708" s="154"/>
      <c r="DH708" s="474"/>
      <c r="DI708" s="459"/>
      <c r="DJ708" s="459"/>
      <c r="DK708" s="459"/>
      <c r="DL708" s="459"/>
      <c r="DM708" s="459"/>
      <c r="DN708" s="459"/>
      <c r="DO708" s="459"/>
      <c r="DP708" s="459"/>
      <c r="DQ708" s="459"/>
      <c r="DR708" s="459"/>
      <c r="DS708" s="459"/>
      <c r="DT708" s="459"/>
      <c r="DU708" s="459"/>
      <c r="DV708" s="468"/>
      <c r="DW708" s="468"/>
      <c r="DX708" s="459"/>
      <c r="DY708" s="459"/>
    </row>
    <row r="709" spans="1:129" s="128" customFormat="1" ht="54.95" customHeight="1" x14ac:dyDescent="0.25">
      <c r="A709" s="377"/>
      <c r="B709" s="175"/>
      <c r="C709" s="393"/>
      <c r="D709" s="168"/>
      <c r="E709" s="168"/>
      <c r="F709" s="168"/>
      <c r="G709" s="168"/>
      <c r="H709" s="168"/>
      <c r="I709" s="168"/>
      <c r="J709" s="168"/>
      <c r="K709" s="168"/>
      <c r="L709" s="168"/>
      <c r="M709" s="168"/>
      <c r="N709" s="168"/>
      <c r="O709" s="433"/>
      <c r="P709" s="122"/>
      <c r="Q709" s="156"/>
      <c r="R709" s="156"/>
      <c r="S709" s="156"/>
      <c r="T709" s="156"/>
      <c r="U709" s="156"/>
      <c r="V709" s="156"/>
      <c r="W709" s="156"/>
      <c r="X709" s="156"/>
      <c r="Y709" s="156"/>
      <c r="Z709" s="157"/>
      <c r="AA709" s="157"/>
      <c r="AB709" s="156"/>
      <c r="AC709" s="156"/>
      <c r="AD709" s="156"/>
      <c r="AE709" s="156"/>
      <c r="AF709" s="156"/>
      <c r="AG709" s="156"/>
      <c r="AH709" s="156"/>
      <c r="AI709" s="156"/>
      <c r="AJ709" s="156"/>
      <c r="AK709" s="156"/>
      <c r="AL709" s="156"/>
      <c r="AM709" s="158"/>
      <c r="AN709" s="156"/>
      <c r="AO709" s="156"/>
      <c r="AP709" s="156"/>
      <c r="AQ709" s="156"/>
      <c r="AR709" s="156"/>
      <c r="AS709" s="156"/>
      <c r="AT709" s="156"/>
      <c r="AU709" s="156"/>
      <c r="AV709" s="156"/>
      <c r="AW709" s="156"/>
      <c r="AX709" s="156"/>
      <c r="AY709" s="156"/>
      <c r="AZ709" s="156"/>
      <c r="BA709" s="153"/>
      <c r="BD709" s="153"/>
      <c r="BE709" s="147"/>
      <c r="BI709" s="153"/>
      <c r="BO709" s="153"/>
      <c r="BW709" s="153"/>
      <c r="CD709" s="146"/>
      <c r="CF709" s="147"/>
      <c r="CI709" s="146"/>
      <c r="CJ709" s="153"/>
      <c r="CV709" s="154"/>
      <c r="CX709" s="154"/>
      <c r="CZ709" s="154"/>
      <c r="DB709" s="154"/>
      <c r="DD709" s="154"/>
      <c r="DH709" s="474"/>
      <c r="DI709" s="459"/>
      <c r="DJ709" s="459"/>
      <c r="DK709" s="459"/>
      <c r="DL709" s="459"/>
      <c r="DM709" s="459"/>
      <c r="DN709" s="459"/>
      <c r="DO709" s="459"/>
      <c r="DP709" s="459"/>
      <c r="DQ709" s="459"/>
      <c r="DR709" s="459"/>
      <c r="DS709" s="459"/>
      <c r="DT709" s="459"/>
      <c r="DU709" s="459"/>
      <c r="DV709" s="468"/>
      <c r="DW709" s="468"/>
      <c r="DX709" s="459"/>
      <c r="DY709" s="459"/>
    </row>
    <row r="710" spans="1:129" s="128" customFormat="1" ht="54.95" customHeight="1" x14ac:dyDescent="0.25">
      <c r="A710" s="377"/>
      <c r="B710" s="175"/>
      <c r="C710" s="393"/>
      <c r="D710" s="168"/>
      <c r="E710" s="168"/>
      <c r="F710" s="168"/>
      <c r="G710" s="168"/>
      <c r="H710" s="168"/>
      <c r="I710" s="168"/>
      <c r="J710" s="168"/>
      <c r="K710" s="168"/>
      <c r="L710" s="168"/>
      <c r="M710" s="168"/>
      <c r="N710" s="168"/>
      <c r="O710" s="433"/>
      <c r="P710" s="122"/>
      <c r="Q710" s="156"/>
      <c r="R710" s="156"/>
      <c r="S710" s="156"/>
      <c r="T710" s="156"/>
      <c r="U710" s="156"/>
      <c r="V710" s="156"/>
      <c r="W710" s="156"/>
      <c r="X710" s="156"/>
      <c r="Y710" s="156"/>
      <c r="Z710" s="157"/>
      <c r="AA710" s="157"/>
      <c r="AB710" s="156"/>
      <c r="AC710" s="156"/>
      <c r="AD710" s="156"/>
      <c r="AE710" s="156"/>
      <c r="AF710" s="156"/>
      <c r="AG710" s="156"/>
      <c r="AH710" s="156"/>
      <c r="AI710" s="156"/>
      <c r="AJ710" s="156"/>
      <c r="AK710" s="156"/>
      <c r="AL710" s="156"/>
      <c r="AM710" s="158"/>
      <c r="AN710" s="156"/>
      <c r="AO710" s="156"/>
      <c r="AP710" s="156"/>
      <c r="AQ710" s="156"/>
      <c r="AR710" s="156"/>
      <c r="AS710" s="156"/>
      <c r="AT710" s="156"/>
      <c r="AU710" s="156"/>
      <c r="AV710" s="156"/>
      <c r="AW710" s="156"/>
      <c r="AX710" s="156"/>
      <c r="AY710" s="156"/>
      <c r="AZ710" s="156"/>
      <c r="BA710" s="153"/>
      <c r="BD710" s="153"/>
      <c r="BE710" s="147"/>
      <c r="BI710" s="153"/>
      <c r="BO710" s="153"/>
      <c r="BW710" s="153"/>
      <c r="CD710" s="146"/>
      <c r="CF710" s="147"/>
      <c r="CI710" s="146"/>
      <c r="CJ710" s="153"/>
      <c r="CV710" s="154"/>
      <c r="CX710" s="154"/>
      <c r="CZ710" s="154"/>
      <c r="DB710" s="154"/>
      <c r="DD710" s="154"/>
      <c r="DH710" s="474"/>
      <c r="DI710" s="459"/>
      <c r="DJ710" s="459"/>
      <c r="DK710" s="459"/>
      <c r="DL710" s="459"/>
      <c r="DM710" s="459"/>
      <c r="DN710" s="459"/>
      <c r="DO710" s="459"/>
      <c r="DP710" s="459"/>
      <c r="DQ710" s="459"/>
      <c r="DR710" s="459"/>
      <c r="DS710" s="459"/>
      <c r="DT710" s="459"/>
      <c r="DU710" s="459"/>
      <c r="DV710" s="468"/>
      <c r="DW710" s="468"/>
      <c r="DX710" s="459"/>
      <c r="DY710" s="459"/>
    </row>
    <row r="711" spans="1:129" s="128" customFormat="1" ht="54.95" customHeight="1" x14ac:dyDescent="0.25">
      <c r="A711" s="377"/>
      <c r="B711" s="175"/>
      <c r="C711" s="393"/>
      <c r="D711" s="168"/>
      <c r="E711" s="168"/>
      <c r="F711" s="168"/>
      <c r="G711" s="168"/>
      <c r="H711" s="168"/>
      <c r="I711" s="168"/>
      <c r="J711" s="168"/>
      <c r="K711" s="168"/>
      <c r="L711" s="168"/>
      <c r="M711" s="168"/>
      <c r="N711" s="168"/>
      <c r="O711" s="433"/>
      <c r="P711" s="122"/>
      <c r="Q711" s="156"/>
      <c r="R711" s="156"/>
      <c r="S711" s="156"/>
      <c r="T711" s="156"/>
      <c r="U711" s="156"/>
      <c r="V711" s="156"/>
      <c r="W711" s="156"/>
      <c r="X711" s="156"/>
      <c r="Y711" s="156"/>
      <c r="Z711" s="157"/>
      <c r="AA711" s="157"/>
      <c r="AB711" s="156"/>
      <c r="AC711" s="156"/>
      <c r="AD711" s="156"/>
      <c r="AE711" s="156"/>
      <c r="AF711" s="156"/>
      <c r="AG711" s="156"/>
      <c r="AH711" s="156"/>
      <c r="AI711" s="156"/>
      <c r="AJ711" s="156"/>
      <c r="AK711" s="156"/>
      <c r="AL711" s="156"/>
      <c r="AM711" s="158"/>
      <c r="AN711" s="156"/>
      <c r="AO711" s="156"/>
      <c r="AP711" s="156"/>
      <c r="AQ711" s="156"/>
      <c r="AR711" s="156"/>
      <c r="AS711" s="156"/>
      <c r="AT711" s="156"/>
      <c r="AU711" s="156"/>
      <c r="AV711" s="156"/>
      <c r="AW711" s="156"/>
      <c r="AX711" s="156"/>
      <c r="AY711" s="156"/>
      <c r="AZ711" s="156"/>
      <c r="BA711" s="153"/>
      <c r="BD711" s="153"/>
      <c r="BE711" s="147"/>
      <c r="BI711" s="153"/>
      <c r="BO711" s="153"/>
      <c r="BW711" s="153"/>
      <c r="CD711" s="146"/>
      <c r="CF711" s="147"/>
      <c r="CI711" s="146"/>
      <c r="CJ711" s="153"/>
      <c r="CV711" s="154"/>
      <c r="CX711" s="154"/>
      <c r="CZ711" s="154"/>
      <c r="DB711" s="154"/>
      <c r="DD711" s="154"/>
      <c r="DH711" s="474"/>
      <c r="DI711" s="459"/>
      <c r="DJ711" s="459"/>
      <c r="DK711" s="459"/>
      <c r="DL711" s="459"/>
      <c r="DM711" s="459"/>
      <c r="DN711" s="459"/>
      <c r="DO711" s="459"/>
      <c r="DP711" s="459"/>
      <c r="DQ711" s="459"/>
      <c r="DR711" s="459"/>
      <c r="DS711" s="459"/>
      <c r="DT711" s="459"/>
      <c r="DU711" s="459"/>
      <c r="DV711" s="468"/>
      <c r="DW711" s="468"/>
      <c r="DX711" s="459"/>
      <c r="DY711" s="459"/>
    </row>
    <row r="712" spans="1:129" s="128" customFormat="1" ht="54.95" customHeight="1" x14ac:dyDescent="0.25">
      <c r="A712" s="377"/>
      <c r="B712" s="175"/>
      <c r="C712" s="393"/>
      <c r="D712" s="168"/>
      <c r="E712" s="168"/>
      <c r="F712" s="168"/>
      <c r="G712" s="168"/>
      <c r="H712" s="168"/>
      <c r="I712" s="168"/>
      <c r="J712" s="168"/>
      <c r="K712" s="168"/>
      <c r="L712" s="168"/>
      <c r="M712" s="168"/>
      <c r="N712" s="168"/>
      <c r="O712" s="433"/>
      <c r="P712" s="122"/>
      <c r="Q712" s="156"/>
      <c r="R712" s="156"/>
      <c r="S712" s="156"/>
      <c r="T712" s="156"/>
      <c r="U712" s="156"/>
      <c r="V712" s="156"/>
      <c r="W712" s="156"/>
      <c r="X712" s="156"/>
      <c r="Y712" s="156"/>
      <c r="Z712" s="157"/>
      <c r="AA712" s="157"/>
      <c r="AB712" s="156"/>
      <c r="AC712" s="156"/>
      <c r="AD712" s="156"/>
      <c r="AE712" s="156"/>
      <c r="AF712" s="156"/>
      <c r="AG712" s="156"/>
      <c r="AH712" s="156"/>
      <c r="AI712" s="156"/>
      <c r="AJ712" s="156"/>
      <c r="AK712" s="156"/>
      <c r="AL712" s="156"/>
      <c r="AM712" s="158"/>
      <c r="AN712" s="156"/>
      <c r="AO712" s="156"/>
      <c r="AP712" s="156"/>
      <c r="AQ712" s="156"/>
      <c r="AR712" s="156"/>
      <c r="AS712" s="156"/>
      <c r="AT712" s="156"/>
      <c r="AU712" s="156"/>
      <c r="AV712" s="156"/>
      <c r="AW712" s="156"/>
      <c r="AX712" s="156"/>
      <c r="AY712" s="156"/>
      <c r="AZ712" s="156"/>
      <c r="BA712" s="153"/>
      <c r="BD712" s="153"/>
      <c r="BE712" s="147"/>
      <c r="BI712" s="153"/>
      <c r="BO712" s="153"/>
      <c r="BW712" s="153"/>
      <c r="CD712" s="146"/>
      <c r="CF712" s="147"/>
      <c r="CI712" s="146"/>
      <c r="CJ712" s="153"/>
      <c r="CV712" s="154"/>
      <c r="CX712" s="154"/>
      <c r="CZ712" s="154"/>
      <c r="DB712" s="154"/>
      <c r="DD712" s="154"/>
      <c r="DH712" s="474"/>
      <c r="DI712" s="459"/>
      <c r="DJ712" s="459"/>
      <c r="DK712" s="459"/>
      <c r="DL712" s="459"/>
      <c r="DM712" s="459"/>
      <c r="DN712" s="459"/>
      <c r="DO712" s="459"/>
      <c r="DP712" s="459"/>
      <c r="DQ712" s="459"/>
      <c r="DR712" s="459"/>
      <c r="DS712" s="459"/>
      <c r="DT712" s="459"/>
      <c r="DU712" s="459"/>
      <c r="DV712" s="468"/>
      <c r="DW712" s="468"/>
      <c r="DX712" s="459"/>
      <c r="DY712" s="459"/>
    </row>
    <row r="713" spans="1:129" s="128" customFormat="1" ht="54.95" customHeight="1" x14ac:dyDescent="0.25">
      <c r="A713" s="377"/>
      <c r="B713" s="175"/>
      <c r="C713" s="393"/>
      <c r="D713" s="168"/>
      <c r="E713" s="168"/>
      <c r="F713" s="168"/>
      <c r="G713" s="168"/>
      <c r="H713" s="168"/>
      <c r="I713" s="168"/>
      <c r="J713" s="168"/>
      <c r="K713" s="168"/>
      <c r="L713" s="168"/>
      <c r="M713" s="168"/>
      <c r="N713" s="168"/>
      <c r="O713" s="433"/>
      <c r="P713" s="122"/>
      <c r="Q713" s="156"/>
      <c r="R713" s="156"/>
      <c r="S713" s="156"/>
      <c r="T713" s="156"/>
      <c r="U713" s="156"/>
      <c r="V713" s="156"/>
      <c r="W713" s="156"/>
      <c r="X713" s="156"/>
      <c r="Y713" s="156"/>
      <c r="Z713" s="157"/>
      <c r="AA713" s="157"/>
      <c r="AB713" s="156"/>
      <c r="AC713" s="156"/>
      <c r="AD713" s="156"/>
      <c r="AE713" s="156"/>
      <c r="AF713" s="156"/>
      <c r="AG713" s="156"/>
      <c r="AH713" s="156"/>
      <c r="AI713" s="156"/>
      <c r="AJ713" s="156"/>
      <c r="AK713" s="156"/>
      <c r="AL713" s="156"/>
      <c r="AM713" s="158"/>
      <c r="AN713" s="156"/>
      <c r="AO713" s="156"/>
      <c r="AP713" s="156"/>
      <c r="AQ713" s="156"/>
      <c r="AR713" s="156"/>
      <c r="AS713" s="156"/>
      <c r="AT713" s="156"/>
      <c r="AU713" s="156"/>
      <c r="AV713" s="156"/>
      <c r="AW713" s="156"/>
      <c r="AX713" s="156"/>
      <c r="AY713" s="156"/>
      <c r="AZ713" s="156"/>
      <c r="BA713" s="153"/>
      <c r="BD713" s="153"/>
      <c r="BE713" s="147"/>
      <c r="BI713" s="153"/>
      <c r="BO713" s="153"/>
      <c r="BW713" s="153"/>
      <c r="CD713" s="146"/>
      <c r="CF713" s="147"/>
      <c r="CI713" s="146"/>
      <c r="CJ713" s="153"/>
      <c r="CV713" s="154"/>
      <c r="CX713" s="154"/>
      <c r="CZ713" s="154"/>
      <c r="DB713" s="154"/>
      <c r="DD713" s="154"/>
      <c r="DH713" s="474"/>
      <c r="DI713" s="459"/>
      <c r="DJ713" s="459"/>
      <c r="DK713" s="459"/>
      <c r="DL713" s="459"/>
      <c r="DM713" s="459"/>
      <c r="DN713" s="459"/>
      <c r="DO713" s="459"/>
      <c r="DP713" s="459"/>
      <c r="DQ713" s="459"/>
      <c r="DR713" s="459"/>
      <c r="DS713" s="459"/>
      <c r="DT713" s="459"/>
      <c r="DU713" s="459"/>
      <c r="DV713" s="468"/>
      <c r="DW713" s="468"/>
      <c r="DX713" s="459"/>
      <c r="DY713" s="459"/>
    </row>
    <row r="714" spans="1:129" s="128" customFormat="1" ht="54.95" customHeight="1" x14ac:dyDescent="0.25">
      <c r="A714" s="377"/>
      <c r="B714" s="175"/>
      <c r="C714" s="393"/>
      <c r="D714" s="168"/>
      <c r="E714" s="168"/>
      <c r="F714" s="168"/>
      <c r="G714" s="168"/>
      <c r="H714" s="168"/>
      <c r="I714" s="168"/>
      <c r="J714" s="168"/>
      <c r="K714" s="168"/>
      <c r="L714" s="168"/>
      <c r="M714" s="168"/>
      <c r="N714" s="168"/>
      <c r="O714" s="433"/>
      <c r="P714" s="122"/>
      <c r="Q714" s="156"/>
      <c r="R714" s="156"/>
      <c r="S714" s="156"/>
      <c r="T714" s="156"/>
      <c r="U714" s="156"/>
      <c r="V714" s="156"/>
      <c r="W714" s="156"/>
      <c r="X714" s="156"/>
      <c r="Y714" s="156"/>
      <c r="Z714" s="157"/>
      <c r="AA714" s="157"/>
      <c r="AB714" s="156"/>
      <c r="AC714" s="156"/>
      <c r="AD714" s="156"/>
      <c r="AE714" s="156"/>
      <c r="AF714" s="156"/>
      <c r="AG714" s="156"/>
      <c r="AH714" s="156"/>
      <c r="AI714" s="156"/>
      <c r="AJ714" s="156"/>
      <c r="AK714" s="156"/>
      <c r="AL714" s="156"/>
      <c r="AM714" s="158"/>
      <c r="AN714" s="156"/>
      <c r="AO714" s="156"/>
      <c r="AP714" s="156"/>
      <c r="AQ714" s="156"/>
      <c r="AR714" s="156"/>
      <c r="AS714" s="156"/>
      <c r="AT714" s="156"/>
      <c r="AU714" s="156"/>
      <c r="AV714" s="156"/>
      <c r="AW714" s="156"/>
      <c r="AX714" s="156"/>
      <c r="AY714" s="156"/>
      <c r="AZ714" s="156"/>
      <c r="BA714" s="153"/>
      <c r="BD714" s="153"/>
      <c r="BE714" s="147"/>
      <c r="BI714" s="153"/>
      <c r="BO714" s="153"/>
      <c r="BW714" s="153"/>
      <c r="CD714" s="146"/>
      <c r="CF714" s="147"/>
      <c r="CI714" s="146"/>
      <c r="CJ714" s="153"/>
      <c r="CV714" s="154"/>
      <c r="CX714" s="154"/>
      <c r="CZ714" s="154"/>
      <c r="DB714" s="154"/>
      <c r="DD714" s="154"/>
      <c r="DH714" s="474"/>
      <c r="DI714" s="459"/>
      <c r="DJ714" s="459"/>
      <c r="DK714" s="459"/>
      <c r="DL714" s="459"/>
      <c r="DM714" s="459"/>
      <c r="DN714" s="459"/>
      <c r="DO714" s="459"/>
      <c r="DP714" s="459"/>
      <c r="DQ714" s="459"/>
      <c r="DR714" s="459"/>
      <c r="DS714" s="459"/>
      <c r="DT714" s="459"/>
      <c r="DU714" s="459"/>
      <c r="DV714" s="468"/>
      <c r="DW714" s="468"/>
      <c r="DX714" s="459"/>
      <c r="DY714" s="459"/>
    </row>
    <row r="715" spans="1:129" s="128" customFormat="1" ht="54.95" customHeight="1" x14ac:dyDescent="0.25">
      <c r="A715" s="377"/>
      <c r="B715" s="175"/>
      <c r="C715" s="393"/>
      <c r="D715" s="168"/>
      <c r="E715" s="168"/>
      <c r="F715" s="168"/>
      <c r="G715" s="168"/>
      <c r="H715" s="168"/>
      <c r="I715" s="168"/>
      <c r="J715" s="168"/>
      <c r="K715" s="168"/>
      <c r="L715" s="168"/>
      <c r="M715" s="168"/>
      <c r="N715" s="168"/>
      <c r="O715" s="433"/>
      <c r="P715" s="122"/>
      <c r="Q715" s="156"/>
      <c r="R715" s="156"/>
      <c r="S715" s="156"/>
      <c r="T715" s="156"/>
      <c r="U715" s="156"/>
      <c r="V715" s="156"/>
      <c r="W715" s="156"/>
      <c r="X715" s="156"/>
      <c r="Y715" s="156"/>
      <c r="Z715" s="157"/>
      <c r="AA715" s="157"/>
      <c r="AB715" s="156"/>
      <c r="AC715" s="156"/>
      <c r="AD715" s="156"/>
      <c r="AE715" s="156"/>
      <c r="AF715" s="156"/>
      <c r="AG715" s="156"/>
      <c r="AH715" s="156"/>
      <c r="AI715" s="156"/>
      <c r="AJ715" s="156"/>
      <c r="AK715" s="156"/>
      <c r="AL715" s="156"/>
      <c r="AM715" s="158"/>
      <c r="AN715" s="156"/>
      <c r="AO715" s="156"/>
      <c r="AP715" s="156"/>
      <c r="AQ715" s="156"/>
      <c r="AR715" s="156"/>
      <c r="AS715" s="156"/>
      <c r="AT715" s="156"/>
      <c r="AU715" s="156"/>
      <c r="AV715" s="156"/>
      <c r="AW715" s="156"/>
      <c r="AX715" s="156"/>
      <c r="AY715" s="156"/>
      <c r="AZ715" s="156"/>
      <c r="BA715" s="153"/>
      <c r="BD715" s="153"/>
      <c r="BE715" s="147"/>
      <c r="BI715" s="153"/>
      <c r="BO715" s="153"/>
      <c r="BW715" s="153"/>
      <c r="CD715" s="146"/>
      <c r="CF715" s="147"/>
      <c r="CI715" s="146"/>
      <c r="CJ715" s="153"/>
      <c r="CV715" s="154"/>
      <c r="CX715" s="154"/>
      <c r="CZ715" s="154"/>
      <c r="DB715" s="154"/>
      <c r="DD715" s="154"/>
      <c r="DH715" s="474"/>
      <c r="DI715" s="459"/>
      <c r="DJ715" s="459"/>
      <c r="DK715" s="459"/>
      <c r="DL715" s="459"/>
      <c r="DM715" s="459"/>
      <c r="DN715" s="459"/>
      <c r="DO715" s="459"/>
      <c r="DP715" s="459"/>
      <c r="DQ715" s="459"/>
      <c r="DR715" s="459"/>
      <c r="DS715" s="459"/>
      <c r="DT715" s="459"/>
      <c r="DU715" s="459"/>
      <c r="DV715" s="468"/>
      <c r="DW715" s="468"/>
      <c r="DX715" s="459"/>
      <c r="DY715" s="459"/>
    </row>
    <row r="716" spans="1:129" s="128" customFormat="1" ht="54.95" customHeight="1" x14ac:dyDescent="0.25">
      <c r="A716" s="377"/>
      <c r="B716" s="175"/>
      <c r="C716" s="393"/>
      <c r="D716" s="168"/>
      <c r="E716" s="168"/>
      <c r="F716" s="168"/>
      <c r="G716" s="168"/>
      <c r="H716" s="168"/>
      <c r="I716" s="168"/>
      <c r="J716" s="168"/>
      <c r="K716" s="168"/>
      <c r="L716" s="168"/>
      <c r="M716" s="168"/>
      <c r="N716" s="168"/>
      <c r="O716" s="433"/>
      <c r="P716" s="122"/>
      <c r="Q716" s="156"/>
      <c r="R716" s="156"/>
      <c r="S716" s="156"/>
      <c r="T716" s="156"/>
      <c r="U716" s="156"/>
      <c r="V716" s="156"/>
      <c r="W716" s="156"/>
      <c r="X716" s="156"/>
      <c r="Y716" s="156"/>
      <c r="Z716" s="157"/>
      <c r="AA716" s="157"/>
      <c r="AB716" s="156"/>
      <c r="AC716" s="156"/>
      <c r="AD716" s="156"/>
      <c r="AE716" s="156"/>
      <c r="AF716" s="156"/>
      <c r="AG716" s="156"/>
      <c r="AH716" s="156"/>
      <c r="AI716" s="156"/>
      <c r="AJ716" s="156"/>
      <c r="AK716" s="156"/>
      <c r="AL716" s="156"/>
      <c r="AM716" s="158"/>
      <c r="AN716" s="156"/>
      <c r="AO716" s="156"/>
      <c r="AP716" s="156"/>
      <c r="AQ716" s="156"/>
      <c r="AR716" s="156"/>
      <c r="AS716" s="156"/>
      <c r="AT716" s="156"/>
      <c r="AU716" s="156"/>
      <c r="AV716" s="156"/>
      <c r="AW716" s="156"/>
      <c r="AX716" s="156"/>
      <c r="AY716" s="156"/>
      <c r="AZ716" s="156"/>
      <c r="BA716" s="153"/>
      <c r="BD716" s="153"/>
      <c r="BE716" s="147"/>
      <c r="BI716" s="153"/>
      <c r="BO716" s="153"/>
      <c r="BW716" s="153"/>
      <c r="CD716" s="146"/>
      <c r="CF716" s="147"/>
      <c r="CI716" s="146"/>
      <c r="CJ716" s="153"/>
      <c r="CV716" s="154"/>
      <c r="CX716" s="154"/>
      <c r="CZ716" s="154"/>
      <c r="DB716" s="154"/>
      <c r="DD716" s="154"/>
      <c r="DH716" s="474"/>
      <c r="DI716" s="459"/>
      <c r="DJ716" s="459"/>
      <c r="DK716" s="459"/>
      <c r="DL716" s="459"/>
      <c r="DM716" s="459"/>
      <c r="DN716" s="459"/>
      <c r="DO716" s="459"/>
      <c r="DP716" s="459"/>
      <c r="DQ716" s="459"/>
      <c r="DR716" s="459"/>
      <c r="DS716" s="459"/>
      <c r="DT716" s="459"/>
      <c r="DU716" s="459"/>
      <c r="DV716" s="468"/>
      <c r="DW716" s="468"/>
      <c r="DX716" s="459"/>
      <c r="DY716" s="459"/>
    </row>
    <row r="717" spans="1:129" s="128" customFormat="1" ht="54.95" customHeight="1" x14ac:dyDescent="0.25">
      <c r="A717" s="377"/>
      <c r="B717" s="175"/>
      <c r="C717" s="393"/>
      <c r="D717" s="168"/>
      <c r="E717" s="168"/>
      <c r="F717" s="168"/>
      <c r="G717" s="168"/>
      <c r="H717" s="168"/>
      <c r="I717" s="168"/>
      <c r="J717" s="168"/>
      <c r="K717" s="168"/>
      <c r="L717" s="168"/>
      <c r="M717" s="168"/>
      <c r="N717" s="168"/>
      <c r="O717" s="433"/>
      <c r="P717" s="122"/>
      <c r="Q717" s="156"/>
      <c r="R717" s="156"/>
      <c r="S717" s="156"/>
      <c r="T717" s="156"/>
      <c r="U717" s="156"/>
      <c r="V717" s="156"/>
      <c r="W717" s="156"/>
      <c r="X717" s="156"/>
      <c r="Y717" s="156"/>
      <c r="Z717" s="157"/>
      <c r="AA717" s="157"/>
      <c r="AB717" s="156"/>
      <c r="AC717" s="156"/>
      <c r="AD717" s="156"/>
      <c r="AE717" s="156"/>
      <c r="AF717" s="156"/>
      <c r="AG717" s="156"/>
      <c r="AH717" s="156"/>
      <c r="AI717" s="156"/>
      <c r="AJ717" s="156"/>
      <c r="AK717" s="156"/>
      <c r="AL717" s="156"/>
      <c r="AM717" s="158"/>
      <c r="AN717" s="156"/>
      <c r="AO717" s="156"/>
      <c r="AP717" s="156"/>
      <c r="AQ717" s="156"/>
      <c r="AR717" s="156"/>
      <c r="AS717" s="156"/>
      <c r="AT717" s="156"/>
      <c r="AU717" s="156"/>
      <c r="AV717" s="156"/>
      <c r="AW717" s="156"/>
      <c r="AX717" s="156"/>
      <c r="AY717" s="156"/>
      <c r="AZ717" s="156"/>
      <c r="BA717" s="153"/>
      <c r="BD717" s="153"/>
      <c r="BE717" s="147"/>
      <c r="BI717" s="153"/>
      <c r="BO717" s="153"/>
      <c r="BW717" s="153"/>
      <c r="CD717" s="146"/>
      <c r="CF717" s="147"/>
      <c r="CI717" s="146"/>
      <c r="CJ717" s="153"/>
      <c r="CV717" s="154"/>
      <c r="CX717" s="154"/>
      <c r="CZ717" s="154"/>
      <c r="DB717" s="154"/>
      <c r="DD717" s="154"/>
      <c r="DH717" s="474"/>
      <c r="DI717" s="459"/>
      <c r="DJ717" s="459"/>
      <c r="DK717" s="459"/>
      <c r="DL717" s="459"/>
      <c r="DM717" s="459"/>
      <c r="DN717" s="459"/>
      <c r="DO717" s="459"/>
      <c r="DP717" s="459"/>
      <c r="DQ717" s="459"/>
      <c r="DR717" s="459"/>
      <c r="DS717" s="459"/>
      <c r="DT717" s="459"/>
      <c r="DU717" s="459"/>
      <c r="DV717" s="468"/>
      <c r="DW717" s="468"/>
      <c r="DX717" s="459"/>
      <c r="DY717" s="459"/>
    </row>
    <row r="718" spans="1:129" s="128" customFormat="1" ht="54.95" customHeight="1" x14ac:dyDescent="0.25">
      <c r="A718" s="377"/>
      <c r="B718" s="175"/>
      <c r="C718" s="393"/>
      <c r="D718" s="168"/>
      <c r="E718" s="168"/>
      <c r="F718" s="168"/>
      <c r="G718" s="168"/>
      <c r="H718" s="168"/>
      <c r="I718" s="168"/>
      <c r="J718" s="168"/>
      <c r="K718" s="168"/>
      <c r="L718" s="168"/>
      <c r="M718" s="168"/>
      <c r="N718" s="168"/>
      <c r="O718" s="433"/>
      <c r="P718" s="122"/>
      <c r="Q718" s="156"/>
      <c r="R718" s="156"/>
      <c r="S718" s="156"/>
      <c r="T718" s="156"/>
      <c r="U718" s="156"/>
      <c r="V718" s="156"/>
      <c r="W718" s="156"/>
      <c r="X718" s="156"/>
      <c r="Y718" s="156"/>
      <c r="Z718" s="157"/>
      <c r="AA718" s="157"/>
      <c r="AB718" s="156"/>
      <c r="AC718" s="156"/>
      <c r="AD718" s="156"/>
      <c r="AE718" s="156"/>
      <c r="AF718" s="156"/>
      <c r="AG718" s="156"/>
      <c r="AH718" s="156"/>
      <c r="AI718" s="156"/>
      <c r="AJ718" s="156"/>
      <c r="AK718" s="156"/>
      <c r="AL718" s="156"/>
      <c r="AM718" s="158"/>
      <c r="AN718" s="156"/>
      <c r="AO718" s="156"/>
      <c r="AP718" s="156"/>
      <c r="AQ718" s="156"/>
      <c r="AR718" s="156"/>
      <c r="AS718" s="156"/>
      <c r="AT718" s="156"/>
      <c r="AU718" s="156"/>
      <c r="AV718" s="156"/>
      <c r="AW718" s="156"/>
      <c r="AX718" s="156"/>
      <c r="AY718" s="156"/>
      <c r="AZ718" s="156"/>
      <c r="BA718" s="153"/>
      <c r="BD718" s="153"/>
      <c r="BE718" s="147"/>
      <c r="BI718" s="153"/>
      <c r="BO718" s="153"/>
      <c r="BW718" s="153"/>
      <c r="CD718" s="146"/>
      <c r="CF718" s="147"/>
      <c r="CI718" s="146"/>
      <c r="CJ718" s="153"/>
      <c r="CV718" s="154"/>
      <c r="CX718" s="154"/>
      <c r="CZ718" s="154"/>
      <c r="DB718" s="154"/>
      <c r="DD718" s="154"/>
      <c r="DH718" s="474"/>
      <c r="DI718" s="459"/>
      <c r="DJ718" s="459"/>
      <c r="DK718" s="459"/>
      <c r="DL718" s="459"/>
      <c r="DM718" s="459"/>
      <c r="DN718" s="459"/>
      <c r="DO718" s="459"/>
      <c r="DP718" s="459"/>
      <c r="DQ718" s="459"/>
      <c r="DR718" s="459"/>
      <c r="DS718" s="459"/>
      <c r="DT718" s="459"/>
      <c r="DU718" s="459"/>
      <c r="DV718" s="468"/>
      <c r="DW718" s="468"/>
      <c r="DX718" s="459"/>
      <c r="DY718" s="459"/>
    </row>
    <row r="719" spans="1:129" s="128" customFormat="1" ht="54.95" customHeight="1" x14ac:dyDescent="0.25">
      <c r="A719" s="377"/>
      <c r="B719" s="175"/>
      <c r="C719" s="393"/>
      <c r="D719" s="168"/>
      <c r="E719" s="168"/>
      <c r="F719" s="168"/>
      <c r="G719" s="168"/>
      <c r="H719" s="168"/>
      <c r="I719" s="168"/>
      <c r="J719" s="168"/>
      <c r="K719" s="168"/>
      <c r="L719" s="168"/>
      <c r="M719" s="168"/>
      <c r="N719" s="168"/>
      <c r="O719" s="433"/>
      <c r="P719" s="122"/>
      <c r="Q719" s="156"/>
      <c r="R719" s="156"/>
      <c r="S719" s="156"/>
      <c r="T719" s="156"/>
      <c r="U719" s="156"/>
      <c r="V719" s="156"/>
      <c r="W719" s="156"/>
      <c r="X719" s="156"/>
      <c r="Y719" s="156"/>
      <c r="Z719" s="157"/>
      <c r="AA719" s="157"/>
      <c r="AB719" s="156"/>
      <c r="AC719" s="156"/>
      <c r="AD719" s="156"/>
      <c r="AE719" s="156"/>
      <c r="AF719" s="156"/>
      <c r="AG719" s="156"/>
      <c r="AH719" s="156"/>
      <c r="AI719" s="156"/>
      <c r="AJ719" s="156"/>
      <c r="AK719" s="156"/>
      <c r="AL719" s="156"/>
      <c r="AM719" s="158"/>
      <c r="AN719" s="156"/>
      <c r="AO719" s="156"/>
      <c r="AP719" s="156"/>
      <c r="AQ719" s="156"/>
      <c r="AR719" s="156"/>
      <c r="AS719" s="156"/>
      <c r="AT719" s="156"/>
      <c r="AU719" s="156"/>
      <c r="AV719" s="156"/>
      <c r="AW719" s="156"/>
      <c r="AX719" s="156"/>
      <c r="AY719" s="156"/>
      <c r="AZ719" s="156"/>
      <c r="BA719" s="153"/>
      <c r="BD719" s="153"/>
      <c r="BE719" s="147"/>
      <c r="BI719" s="153"/>
      <c r="BO719" s="153"/>
      <c r="BW719" s="153"/>
      <c r="CD719" s="146"/>
      <c r="CF719" s="147"/>
      <c r="CI719" s="146"/>
      <c r="CJ719" s="153"/>
      <c r="CV719" s="154"/>
      <c r="CX719" s="154"/>
      <c r="CZ719" s="154"/>
      <c r="DB719" s="154"/>
      <c r="DD719" s="154"/>
      <c r="DH719" s="474"/>
      <c r="DI719" s="459"/>
      <c r="DJ719" s="459"/>
      <c r="DK719" s="459"/>
      <c r="DL719" s="459"/>
      <c r="DM719" s="459"/>
      <c r="DN719" s="459"/>
      <c r="DO719" s="459"/>
      <c r="DP719" s="459"/>
      <c r="DQ719" s="459"/>
      <c r="DR719" s="459"/>
      <c r="DS719" s="459"/>
      <c r="DT719" s="459"/>
      <c r="DU719" s="459"/>
      <c r="DV719" s="468"/>
      <c r="DW719" s="468"/>
      <c r="DX719" s="459"/>
      <c r="DY719" s="459"/>
    </row>
    <row r="720" spans="1:129" s="128" customFormat="1" ht="54.95" customHeight="1" x14ac:dyDescent="0.25">
      <c r="A720" s="377"/>
      <c r="B720" s="175"/>
      <c r="C720" s="393"/>
      <c r="D720" s="168"/>
      <c r="E720" s="168"/>
      <c r="F720" s="168"/>
      <c r="G720" s="168"/>
      <c r="H720" s="168"/>
      <c r="I720" s="168"/>
      <c r="J720" s="168"/>
      <c r="K720" s="168"/>
      <c r="L720" s="168"/>
      <c r="M720" s="168"/>
      <c r="N720" s="168"/>
      <c r="O720" s="433"/>
      <c r="P720" s="122"/>
      <c r="Q720" s="156"/>
      <c r="R720" s="156"/>
      <c r="S720" s="156"/>
      <c r="T720" s="156"/>
      <c r="U720" s="156"/>
      <c r="V720" s="156"/>
      <c r="W720" s="156"/>
      <c r="X720" s="156"/>
      <c r="Y720" s="156"/>
      <c r="Z720" s="157"/>
      <c r="AA720" s="157"/>
      <c r="AB720" s="156"/>
      <c r="AC720" s="156"/>
      <c r="AD720" s="156"/>
      <c r="AE720" s="156"/>
      <c r="AF720" s="156"/>
      <c r="AG720" s="156"/>
      <c r="AH720" s="156"/>
      <c r="AI720" s="156"/>
      <c r="AJ720" s="156"/>
      <c r="AK720" s="156"/>
      <c r="AL720" s="156"/>
      <c r="AM720" s="158"/>
      <c r="AN720" s="156"/>
      <c r="AO720" s="156"/>
      <c r="AP720" s="156"/>
      <c r="AQ720" s="156"/>
      <c r="AR720" s="156"/>
      <c r="AS720" s="156"/>
      <c r="AT720" s="156"/>
      <c r="AU720" s="156"/>
      <c r="AV720" s="156"/>
      <c r="AW720" s="156"/>
      <c r="AX720" s="156"/>
      <c r="AY720" s="156"/>
      <c r="AZ720" s="156"/>
      <c r="BA720" s="153"/>
      <c r="BD720" s="153"/>
      <c r="BE720" s="147"/>
      <c r="BI720" s="153"/>
      <c r="BO720" s="153"/>
      <c r="BW720" s="153"/>
      <c r="CD720" s="146"/>
      <c r="CF720" s="147"/>
      <c r="CI720" s="146"/>
      <c r="CJ720" s="153"/>
      <c r="CV720" s="154"/>
      <c r="CX720" s="154"/>
      <c r="CZ720" s="154"/>
      <c r="DB720" s="154"/>
      <c r="DD720" s="154"/>
      <c r="DH720" s="474"/>
      <c r="DI720" s="459"/>
      <c r="DJ720" s="459"/>
      <c r="DK720" s="459"/>
      <c r="DL720" s="459"/>
      <c r="DM720" s="459"/>
      <c r="DN720" s="459"/>
      <c r="DO720" s="459"/>
      <c r="DP720" s="459"/>
      <c r="DQ720" s="459"/>
      <c r="DR720" s="459"/>
      <c r="DS720" s="459"/>
      <c r="DT720" s="459"/>
      <c r="DU720" s="459"/>
      <c r="DV720" s="468"/>
      <c r="DW720" s="468"/>
      <c r="DX720" s="459"/>
      <c r="DY720" s="459"/>
    </row>
    <row r="721" spans="1:129" s="128" customFormat="1" ht="54.95" customHeight="1" x14ac:dyDescent="0.25">
      <c r="A721" s="377"/>
      <c r="B721" s="175"/>
      <c r="C721" s="393"/>
      <c r="D721" s="168"/>
      <c r="E721" s="168"/>
      <c r="F721" s="168"/>
      <c r="G721" s="168"/>
      <c r="H721" s="168"/>
      <c r="I721" s="168"/>
      <c r="J721" s="168"/>
      <c r="K721" s="168"/>
      <c r="L721" s="168"/>
      <c r="M721" s="168"/>
      <c r="N721" s="168"/>
      <c r="O721" s="433"/>
      <c r="P721" s="122"/>
      <c r="Q721" s="156"/>
      <c r="R721" s="156"/>
      <c r="S721" s="156"/>
      <c r="T721" s="156"/>
      <c r="U721" s="156"/>
      <c r="V721" s="156"/>
      <c r="W721" s="156"/>
      <c r="X721" s="156"/>
      <c r="Y721" s="156"/>
      <c r="Z721" s="157"/>
      <c r="AA721" s="157"/>
      <c r="AB721" s="156"/>
      <c r="AC721" s="156"/>
      <c r="AD721" s="156"/>
      <c r="AE721" s="156"/>
      <c r="AF721" s="156"/>
      <c r="AG721" s="156"/>
      <c r="AH721" s="156"/>
      <c r="AI721" s="156"/>
      <c r="AJ721" s="156"/>
      <c r="AK721" s="156"/>
      <c r="AL721" s="156"/>
      <c r="AM721" s="158"/>
      <c r="AN721" s="156"/>
      <c r="AO721" s="156"/>
      <c r="AP721" s="156"/>
      <c r="AQ721" s="156"/>
      <c r="AR721" s="156"/>
      <c r="AS721" s="156"/>
      <c r="AT721" s="156"/>
      <c r="AU721" s="156"/>
      <c r="AV721" s="156"/>
      <c r="AW721" s="156"/>
      <c r="AX721" s="156"/>
      <c r="AY721" s="156"/>
      <c r="AZ721" s="156"/>
      <c r="BA721" s="153"/>
      <c r="BD721" s="153"/>
      <c r="BE721" s="147"/>
      <c r="BI721" s="153"/>
      <c r="BO721" s="153"/>
      <c r="BW721" s="153"/>
      <c r="CD721" s="146"/>
      <c r="CF721" s="147"/>
      <c r="CI721" s="146"/>
      <c r="CJ721" s="153"/>
      <c r="CV721" s="154"/>
      <c r="CX721" s="154"/>
      <c r="CZ721" s="154"/>
      <c r="DB721" s="154"/>
      <c r="DD721" s="154"/>
      <c r="DH721" s="474"/>
      <c r="DI721" s="459"/>
      <c r="DJ721" s="459"/>
      <c r="DK721" s="459"/>
      <c r="DL721" s="459"/>
      <c r="DM721" s="459"/>
      <c r="DN721" s="459"/>
      <c r="DO721" s="459"/>
      <c r="DP721" s="459"/>
      <c r="DQ721" s="459"/>
      <c r="DR721" s="459"/>
      <c r="DS721" s="459"/>
      <c r="DT721" s="459"/>
      <c r="DU721" s="459"/>
      <c r="DV721" s="468"/>
      <c r="DW721" s="468"/>
      <c r="DX721" s="459"/>
      <c r="DY721" s="459"/>
    </row>
    <row r="722" spans="1:129" s="128" customFormat="1" ht="54.95" customHeight="1" x14ac:dyDescent="0.25">
      <c r="A722" s="377"/>
      <c r="B722" s="175"/>
      <c r="C722" s="393"/>
      <c r="D722" s="168"/>
      <c r="E722" s="168"/>
      <c r="F722" s="168"/>
      <c r="G722" s="168"/>
      <c r="H722" s="168"/>
      <c r="I722" s="168"/>
      <c r="J722" s="168"/>
      <c r="K722" s="168"/>
      <c r="L722" s="168"/>
      <c r="M722" s="168"/>
      <c r="N722" s="168"/>
      <c r="O722" s="433"/>
      <c r="P722" s="122"/>
      <c r="Q722" s="156"/>
      <c r="R722" s="156"/>
      <c r="S722" s="156"/>
      <c r="T722" s="156"/>
      <c r="U722" s="156"/>
      <c r="V722" s="156"/>
      <c r="W722" s="156"/>
      <c r="X722" s="156"/>
      <c r="Y722" s="156"/>
      <c r="Z722" s="157"/>
      <c r="AA722" s="157"/>
      <c r="AB722" s="156"/>
      <c r="AC722" s="156"/>
      <c r="AD722" s="156"/>
      <c r="AE722" s="156"/>
      <c r="AF722" s="156"/>
      <c r="AG722" s="156"/>
      <c r="AH722" s="156"/>
      <c r="AI722" s="156"/>
      <c r="AJ722" s="156"/>
      <c r="AK722" s="156"/>
      <c r="AL722" s="156"/>
      <c r="AM722" s="158"/>
      <c r="AN722" s="156"/>
      <c r="AO722" s="156"/>
      <c r="AP722" s="156"/>
      <c r="AQ722" s="156"/>
      <c r="AR722" s="156"/>
      <c r="AS722" s="156"/>
      <c r="AT722" s="156"/>
      <c r="AU722" s="156"/>
      <c r="AV722" s="156"/>
      <c r="AW722" s="156"/>
      <c r="AX722" s="156"/>
      <c r="AY722" s="156"/>
      <c r="AZ722" s="156"/>
      <c r="BA722" s="153"/>
      <c r="BD722" s="153"/>
      <c r="BE722" s="147"/>
      <c r="BI722" s="153"/>
      <c r="BO722" s="153"/>
      <c r="BW722" s="153"/>
      <c r="CD722" s="146"/>
      <c r="CF722" s="147"/>
      <c r="CI722" s="146"/>
      <c r="CJ722" s="153"/>
      <c r="CV722" s="154"/>
      <c r="CX722" s="154"/>
      <c r="CZ722" s="154"/>
      <c r="DB722" s="154"/>
      <c r="DD722" s="154"/>
      <c r="DH722" s="474"/>
      <c r="DI722" s="459"/>
      <c r="DJ722" s="459"/>
      <c r="DK722" s="459"/>
      <c r="DL722" s="459"/>
      <c r="DM722" s="459"/>
      <c r="DN722" s="459"/>
      <c r="DO722" s="459"/>
      <c r="DP722" s="459"/>
      <c r="DQ722" s="459"/>
      <c r="DR722" s="459"/>
      <c r="DS722" s="459"/>
      <c r="DT722" s="459"/>
      <c r="DU722" s="459"/>
      <c r="DV722" s="468"/>
      <c r="DW722" s="468"/>
      <c r="DX722" s="459"/>
      <c r="DY722" s="459"/>
    </row>
    <row r="723" spans="1:129" s="128" customFormat="1" ht="54.95" customHeight="1" x14ac:dyDescent="0.25">
      <c r="A723" s="377"/>
      <c r="B723" s="175"/>
      <c r="C723" s="393"/>
      <c r="D723" s="168"/>
      <c r="E723" s="168"/>
      <c r="F723" s="168"/>
      <c r="G723" s="168"/>
      <c r="H723" s="168"/>
      <c r="I723" s="168"/>
      <c r="J723" s="168"/>
      <c r="K723" s="168"/>
      <c r="L723" s="168"/>
      <c r="M723" s="168"/>
      <c r="N723" s="168"/>
      <c r="O723" s="433"/>
      <c r="P723" s="122"/>
      <c r="Q723" s="156"/>
      <c r="R723" s="156"/>
      <c r="S723" s="156"/>
      <c r="T723" s="156"/>
      <c r="U723" s="156"/>
      <c r="V723" s="156"/>
      <c r="W723" s="156"/>
      <c r="X723" s="156"/>
      <c r="Y723" s="156"/>
      <c r="Z723" s="157"/>
      <c r="AA723" s="157"/>
      <c r="AB723" s="156"/>
      <c r="AC723" s="156"/>
      <c r="AD723" s="156"/>
      <c r="AE723" s="156"/>
      <c r="AF723" s="156"/>
      <c r="AG723" s="156"/>
      <c r="AH723" s="156"/>
      <c r="AI723" s="156"/>
      <c r="AJ723" s="156"/>
      <c r="AK723" s="156"/>
      <c r="AL723" s="156"/>
      <c r="AM723" s="158"/>
      <c r="AN723" s="156"/>
      <c r="AO723" s="156"/>
      <c r="AP723" s="156"/>
      <c r="AQ723" s="156"/>
      <c r="AR723" s="156"/>
      <c r="AS723" s="156"/>
      <c r="AT723" s="156"/>
      <c r="AU723" s="156"/>
      <c r="AV723" s="156"/>
      <c r="AW723" s="156"/>
      <c r="AX723" s="156"/>
      <c r="AY723" s="156"/>
      <c r="AZ723" s="156"/>
      <c r="BA723" s="153"/>
      <c r="BD723" s="153"/>
      <c r="BE723" s="147"/>
      <c r="BI723" s="153"/>
      <c r="BO723" s="153"/>
      <c r="BW723" s="153"/>
      <c r="CD723" s="146"/>
      <c r="CF723" s="147"/>
      <c r="CI723" s="146"/>
      <c r="CJ723" s="153"/>
      <c r="CV723" s="154"/>
      <c r="CX723" s="154"/>
      <c r="CZ723" s="154"/>
      <c r="DB723" s="154"/>
      <c r="DD723" s="154"/>
      <c r="DH723" s="474"/>
      <c r="DI723" s="459"/>
      <c r="DJ723" s="459"/>
      <c r="DK723" s="459"/>
      <c r="DL723" s="459"/>
      <c r="DM723" s="459"/>
      <c r="DN723" s="459"/>
      <c r="DO723" s="459"/>
      <c r="DP723" s="459"/>
      <c r="DQ723" s="459"/>
      <c r="DR723" s="459"/>
      <c r="DS723" s="459"/>
      <c r="DT723" s="459"/>
      <c r="DU723" s="459"/>
      <c r="DV723" s="468"/>
      <c r="DW723" s="468"/>
      <c r="DX723" s="459"/>
      <c r="DY723" s="459"/>
    </row>
    <row r="724" spans="1:129" s="128" customFormat="1" ht="54.95" customHeight="1" x14ac:dyDescent="0.25">
      <c r="A724" s="377"/>
      <c r="B724" s="175"/>
      <c r="C724" s="393"/>
      <c r="D724" s="168"/>
      <c r="E724" s="168"/>
      <c r="F724" s="168"/>
      <c r="G724" s="168"/>
      <c r="H724" s="168"/>
      <c r="I724" s="168"/>
      <c r="J724" s="168"/>
      <c r="K724" s="168"/>
      <c r="L724" s="168"/>
      <c r="M724" s="168"/>
      <c r="N724" s="168"/>
      <c r="O724" s="433"/>
      <c r="P724" s="122"/>
      <c r="Q724" s="156"/>
      <c r="R724" s="156"/>
      <c r="S724" s="156"/>
      <c r="T724" s="156"/>
      <c r="U724" s="156"/>
      <c r="V724" s="156"/>
      <c r="W724" s="156"/>
      <c r="X724" s="156"/>
      <c r="Y724" s="156"/>
      <c r="Z724" s="157"/>
      <c r="AA724" s="157"/>
      <c r="AB724" s="156"/>
      <c r="AC724" s="156"/>
      <c r="AD724" s="156"/>
      <c r="AE724" s="156"/>
      <c r="AF724" s="156"/>
      <c r="AG724" s="156"/>
      <c r="AH724" s="156"/>
      <c r="AI724" s="156"/>
      <c r="AJ724" s="156"/>
      <c r="AK724" s="156"/>
      <c r="AL724" s="156"/>
      <c r="AM724" s="158"/>
      <c r="AN724" s="156"/>
      <c r="AO724" s="156"/>
      <c r="AP724" s="156"/>
      <c r="AQ724" s="156"/>
      <c r="AR724" s="156"/>
      <c r="AS724" s="156"/>
      <c r="AT724" s="156"/>
      <c r="AU724" s="156"/>
      <c r="AV724" s="156"/>
      <c r="AW724" s="156"/>
      <c r="AX724" s="156"/>
      <c r="AY724" s="156"/>
      <c r="AZ724" s="156"/>
      <c r="BA724" s="153"/>
      <c r="BD724" s="153"/>
      <c r="BE724" s="147"/>
      <c r="BI724" s="153"/>
      <c r="BO724" s="153"/>
      <c r="BW724" s="153"/>
      <c r="CD724" s="146"/>
      <c r="CF724" s="147"/>
      <c r="CI724" s="146"/>
      <c r="CJ724" s="153"/>
      <c r="CV724" s="154"/>
      <c r="CX724" s="154"/>
      <c r="CZ724" s="154"/>
      <c r="DB724" s="154"/>
      <c r="DD724" s="154"/>
      <c r="DH724" s="474"/>
      <c r="DI724" s="459"/>
      <c r="DJ724" s="459"/>
      <c r="DK724" s="459"/>
      <c r="DL724" s="459"/>
      <c r="DM724" s="459"/>
      <c r="DN724" s="459"/>
      <c r="DO724" s="459"/>
      <c r="DP724" s="459"/>
      <c r="DQ724" s="459"/>
      <c r="DR724" s="459"/>
      <c r="DS724" s="459"/>
      <c r="DT724" s="459"/>
      <c r="DU724" s="459"/>
      <c r="DV724" s="468"/>
      <c r="DW724" s="468"/>
      <c r="DX724" s="459"/>
      <c r="DY724" s="459"/>
    </row>
    <row r="725" spans="1:129" s="128" customFormat="1" ht="54.95" customHeight="1" x14ac:dyDescent="0.25">
      <c r="A725" s="377"/>
      <c r="B725" s="175"/>
      <c r="C725" s="393"/>
      <c r="D725" s="168"/>
      <c r="E725" s="168"/>
      <c r="F725" s="168"/>
      <c r="G725" s="168"/>
      <c r="H725" s="168"/>
      <c r="I725" s="168"/>
      <c r="J725" s="168"/>
      <c r="K725" s="168"/>
      <c r="L725" s="168"/>
      <c r="M725" s="168"/>
      <c r="N725" s="168"/>
      <c r="O725" s="433"/>
      <c r="P725" s="122"/>
      <c r="Q725" s="156"/>
      <c r="R725" s="156"/>
      <c r="S725" s="156"/>
      <c r="T725" s="156"/>
      <c r="U725" s="156"/>
      <c r="V725" s="156"/>
      <c r="W725" s="156"/>
      <c r="X725" s="156"/>
      <c r="Y725" s="156"/>
      <c r="Z725" s="157"/>
      <c r="AA725" s="157"/>
      <c r="AB725" s="156"/>
      <c r="AC725" s="156"/>
      <c r="AD725" s="156"/>
      <c r="AE725" s="156"/>
      <c r="AF725" s="156"/>
      <c r="AG725" s="156"/>
      <c r="AH725" s="156"/>
      <c r="AI725" s="156"/>
      <c r="AJ725" s="156"/>
      <c r="AK725" s="156"/>
      <c r="AL725" s="156"/>
      <c r="AM725" s="158"/>
      <c r="AN725" s="156"/>
      <c r="AO725" s="156"/>
      <c r="AP725" s="156"/>
      <c r="AQ725" s="156"/>
      <c r="AR725" s="156"/>
      <c r="AS725" s="156"/>
      <c r="AT725" s="156"/>
      <c r="AU725" s="156"/>
      <c r="AV725" s="156"/>
      <c r="AW725" s="156"/>
      <c r="AX725" s="156"/>
      <c r="AY725" s="156"/>
      <c r="AZ725" s="156"/>
      <c r="BA725" s="153"/>
      <c r="BD725" s="153"/>
      <c r="BE725" s="147"/>
      <c r="BI725" s="153"/>
      <c r="BO725" s="153"/>
      <c r="BW725" s="153"/>
      <c r="CD725" s="146"/>
      <c r="CF725" s="147"/>
      <c r="CI725" s="146"/>
      <c r="CJ725" s="153"/>
      <c r="CV725" s="154"/>
      <c r="CX725" s="154"/>
      <c r="CZ725" s="154"/>
      <c r="DB725" s="154"/>
      <c r="DD725" s="154"/>
      <c r="DH725" s="474"/>
      <c r="DI725" s="459"/>
      <c r="DJ725" s="459"/>
      <c r="DK725" s="459"/>
      <c r="DL725" s="459"/>
      <c r="DM725" s="459"/>
      <c r="DN725" s="459"/>
      <c r="DO725" s="459"/>
      <c r="DP725" s="459"/>
      <c r="DQ725" s="459"/>
      <c r="DR725" s="459"/>
      <c r="DS725" s="459"/>
      <c r="DT725" s="459"/>
      <c r="DU725" s="459"/>
      <c r="DV725" s="468"/>
      <c r="DW725" s="468"/>
      <c r="DX725" s="459"/>
      <c r="DY725" s="459"/>
    </row>
    <row r="726" spans="1:129" s="128" customFormat="1" ht="54.95" customHeight="1" x14ac:dyDescent="0.25">
      <c r="A726" s="377"/>
      <c r="B726" s="175"/>
      <c r="C726" s="393"/>
      <c r="D726" s="168"/>
      <c r="E726" s="168"/>
      <c r="F726" s="168"/>
      <c r="G726" s="168"/>
      <c r="H726" s="168"/>
      <c r="I726" s="168"/>
      <c r="J726" s="168"/>
      <c r="K726" s="168"/>
      <c r="L726" s="168"/>
      <c r="M726" s="168"/>
      <c r="N726" s="168"/>
      <c r="O726" s="433"/>
      <c r="P726" s="122"/>
      <c r="Q726" s="156"/>
      <c r="R726" s="156"/>
      <c r="S726" s="156"/>
      <c r="T726" s="156"/>
      <c r="U726" s="156"/>
      <c r="V726" s="156"/>
      <c r="W726" s="156"/>
      <c r="X726" s="156"/>
      <c r="Y726" s="156"/>
      <c r="Z726" s="157"/>
      <c r="AA726" s="157"/>
      <c r="AB726" s="156"/>
      <c r="AC726" s="156"/>
      <c r="AD726" s="156"/>
      <c r="AE726" s="156"/>
      <c r="AF726" s="156"/>
      <c r="AG726" s="156"/>
      <c r="AH726" s="156"/>
      <c r="AI726" s="156"/>
      <c r="AJ726" s="156"/>
      <c r="AK726" s="156"/>
      <c r="AL726" s="156"/>
      <c r="AM726" s="158"/>
      <c r="AN726" s="156"/>
      <c r="AO726" s="156"/>
      <c r="AP726" s="156"/>
      <c r="AQ726" s="156"/>
      <c r="AR726" s="156"/>
      <c r="AS726" s="156"/>
      <c r="AT726" s="156"/>
      <c r="AU726" s="156"/>
      <c r="AV726" s="156"/>
      <c r="AW726" s="156"/>
      <c r="AX726" s="156"/>
      <c r="AY726" s="156"/>
      <c r="AZ726" s="156"/>
      <c r="BA726" s="153"/>
      <c r="BD726" s="153"/>
      <c r="BE726" s="147"/>
      <c r="BI726" s="153"/>
      <c r="BO726" s="153"/>
      <c r="BW726" s="153"/>
      <c r="CD726" s="146"/>
      <c r="CF726" s="147"/>
      <c r="CI726" s="146"/>
      <c r="CJ726" s="153"/>
      <c r="CV726" s="154"/>
      <c r="CX726" s="154"/>
      <c r="CZ726" s="154"/>
      <c r="DB726" s="154"/>
      <c r="DD726" s="154"/>
      <c r="DH726" s="474"/>
      <c r="DI726" s="459"/>
      <c r="DJ726" s="459"/>
      <c r="DK726" s="459"/>
      <c r="DL726" s="459"/>
      <c r="DM726" s="459"/>
      <c r="DN726" s="459"/>
      <c r="DO726" s="459"/>
      <c r="DP726" s="459"/>
      <c r="DQ726" s="459"/>
      <c r="DR726" s="459"/>
      <c r="DS726" s="459"/>
      <c r="DT726" s="459"/>
      <c r="DU726" s="459"/>
      <c r="DV726" s="468"/>
      <c r="DW726" s="468"/>
      <c r="DX726" s="459"/>
      <c r="DY726" s="459"/>
    </row>
    <row r="727" spans="1:129" s="128" customFormat="1" ht="54.95" customHeight="1" x14ac:dyDescent="0.25">
      <c r="A727" s="377"/>
      <c r="B727" s="175"/>
      <c r="C727" s="393"/>
      <c r="D727" s="168"/>
      <c r="E727" s="168"/>
      <c r="F727" s="168"/>
      <c r="G727" s="168"/>
      <c r="H727" s="168"/>
      <c r="I727" s="168"/>
      <c r="J727" s="168"/>
      <c r="K727" s="168"/>
      <c r="L727" s="168"/>
      <c r="M727" s="168"/>
      <c r="N727" s="168"/>
      <c r="O727" s="433"/>
      <c r="P727" s="122"/>
      <c r="Q727" s="156"/>
      <c r="R727" s="156"/>
      <c r="S727" s="156"/>
      <c r="T727" s="156"/>
      <c r="U727" s="156"/>
      <c r="V727" s="156"/>
      <c r="W727" s="156"/>
      <c r="X727" s="156"/>
      <c r="Y727" s="156"/>
      <c r="Z727" s="157"/>
      <c r="AA727" s="157"/>
      <c r="AB727" s="156"/>
      <c r="AC727" s="156"/>
      <c r="AD727" s="156"/>
      <c r="AE727" s="156"/>
      <c r="AF727" s="156"/>
      <c r="AG727" s="156"/>
      <c r="AH727" s="156"/>
      <c r="AI727" s="156"/>
      <c r="AJ727" s="156"/>
      <c r="AK727" s="156"/>
      <c r="AL727" s="156"/>
      <c r="AM727" s="158"/>
      <c r="AN727" s="156"/>
      <c r="AO727" s="156"/>
      <c r="AP727" s="156"/>
      <c r="AQ727" s="156"/>
      <c r="AR727" s="156"/>
      <c r="AS727" s="156"/>
      <c r="AT727" s="156"/>
      <c r="AU727" s="156"/>
      <c r="AV727" s="156"/>
      <c r="AW727" s="156"/>
      <c r="AX727" s="156"/>
      <c r="AY727" s="156"/>
      <c r="AZ727" s="156"/>
      <c r="BA727" s="153"/>
      <c r="BD727" s="153"/>
      <c r="BE727" s="147"/>
      <c r="BI727" s="153"/>
      <c r="BO727" s="153"/>
      <c r="BW727" s="153"/>
      <c r="CD727" s="146"/>
      <c r="CF727" s="147"/>
      <c r="CI727" s="146"/>
      <c r="CJ727" s="153"/>
      <c r="CV727" s="154"/>
      <c r="CX727" s="154"/>
      <c r="CZ727" s="154"/>
      <c r="DB727" s="154"/>
      <c r="DD727" s="154"/>
      <c r="DH727" s="474"/>
      <c r="DI727" s="459"/>
      <c r="DJ727" s="459"/>
      <c r="DK727" s="459"/>
      <c r="DL727" s="459"/>
      <c r="DM727" s="459"/>
      <c r="DN727" s="459"/>
      <c r="DO727" s="459"/>
      <c r="DP727" s="459"/>
      <c r="DQ727" s="459"/>
      <c r="DR727" s="459"/>
      <c r="DS727" s="459"/>
      <c r="DT727" s="459"/>
      <c r="DU727" s="459"/>
      <c r="DV727" s="468"/>
      <c r="DW727" s="468"/>
      <c r="DX727" s="459"/>
      <c r="DY727" s="459"/>
    </row>
    <row r="728" spans="1:129" s="128" customFormat="1" ht="54.95" customHeight="1" x14ac:dyDescent="0.25">
      <c r="A728" s="377"/>
      <c r="B728" s="175"/>
      <c r="C728" s="393"/>
      <c r="D728" s="168"/>
      <c r="E728" s="168"/>
      <c r="F728" s="168"/>
      <c r="G728" s="168"/>
      <c r="H728" s="168"/>
      <c r="I728" s="168"/>
      <c r="J728" s="168"/>
      <c r="K728" s="168"/>
      <c r="L728" s="168"/>
      <c r="M728" s="168"/>
      <c r="N728" s="168"/>
      <c r="O728" s="433"/>
      <c r="P728" s="122"/>
      <c r="Q728" s="156"/>
      <c r="R728" s="156"/>
      <c r="S728" s="156"/>
      <c r="T728" s="156"/>
      <c r="U728" s="156"/>
      <c r="V728" s="156"/>
      <c r="W728" s="156"/>
      <c r="X728" s="156"/>
      <c r="Y728" s="156"/>
      <c r="Z728" s="157"/>
      <c r="AA728" s="157"/>
      <c r="AB728" s="156"/>
      <c r="AC728" s="156"/>
      <c r="AD728" s="156"/>
      <c r="AE728" s="156"/>
      <c r="AF728" s="156"/>
      <c r="AG728" s="156"/>
      <c r="AH728" s="156"/>
      <c r="AI728" s="156"/>
      <c r="AJ728" s="156"/>
      <c r="AK728" s="156"/>
      <c r="AL728" s="156"/>
      <c r="AM728" s="158"/>
      <c r="AN728" s="156"/>
      <c r="AO728" s="156"/>
      <c r="AP728" s="156"/>
      <c r="AQ728" s="156"/>
      <c r="AR728" s="156"/>
      <c r="AS728" s="156"/>
      <c r="AT728" s="156"/>
      <c r="AU728" s="156"/>
      <c r="AV728" s="156"/>
      <c r="AW728" s="156"/>
      <c r="AX728" s="156"/>
      <c r="AY728" s="156"/>
      <c r="AZ728" s="156"/>
      <c r="BA728" s="153"/>
      <c r="BD728" s="153"/>
      <c r="BE728" s="147"/>
      <c r="BI728" s="153"/>
      <c r="BO728" s="153"/>
      <c r="BW728" s="153"/>
      <c r="CD728" s="146"/>
      <c r="CF728" s="147"/>
      <c r="CI728" s="146"/>
      <c r="CJ728" s="153"/>
      <c r="CV728" s="154"/>
      <c r="CX728" s="154"/>
      <c r="CZ728" s="154"/>
      <c r="DB728" s="154"/>
      <c r="DD728" s="154"/>
      <c r="DH728" s="474"/>
      <c r="DI728" s="459"/>
      <c r="DJ728" s="459"/>
      <c r="DK728" s="459"/>
      <c r="DL728" s="459"/>
      <c r="DM728" s="459"/>
      <c r="DN728" s="459"/>
      <c r="DO728" s="459"/>
      <c r="DP728" s="459"/>
      <c r="DQ728" s="459"/>
      <c r="DR728" s="459"/>
      <c r="DS728" s="459"/>
      <c r="DT728" s="459"/>
      <c r="DU728" s="459"/>
      <c r="DV728" s="468"/>
      <c r="DW728" s="468"/>
      <c r="DX728" s="459"/>
      <c r="DY728" s="459"/>
    </row>
    <row r="729" spans="1:129" s="128" customFormat="1" ht="54.95" customHeight="1" x14ac:dyDescent="0.25">
      <c r="A729" s="377"/>
      <c r="B729" s="175"/>
      <c r="C729" s="393"/>
      <c r="D729" s="168"/>
      <c r="E729" s="168"/>
      <c r="F729" s="168"/>
      <c r="G729" s="168"/>
      <c r="H729" s="168"/>
      <c r="I729" s="168"/>
      <c r="J729" s="168"/>
      <c r="K729" s="168"/>
      <c r="L729" s="168"/>
      <c r="M729" s="168"/>
      <c r="N729" s="168"/>
      <c r="O729" s="433"/>
      <c r="P729" s="122"/>
      <c r="Q729" s="156"/>
      <c r="R729" s="156"/>
      <c r="S729" s="156"/>
      <c r="T729" s="156"/>
      <c r="U729" s="156"/>
      <c r="V729" s="156"/>
      <c r="W729" s="156"/>
      <c r="X729" s="156"/>
      <c r="Y729" s="156"/>
      <c r="Z729" s="157"/>
      <c r="AA729" s="157"/>
      <c r="AB729" s="156"/>
      <c r="AC729" s="156"/>
      <c r="AD729" s="156"/>
      <c r="AE729" s="156"/>
      <c r="AF729" s="156"/>
      <c r="AG729" s="156"/>
      <c r="AH729" s="156"/>
      <c r="AI729" s="156"/>
      <c r="AJ729" s="156"/>
      <c r="AK729" s="156"/>
      <c r="AL729" s="156"/>
      <c r="AM729" s="158"/>
      <c r="AN729" s="156"/>
      <c r="AO729" s="156"/>
      <c r="AP729" s="156"/>
      <c r="AQ729" s="156"/>
      <c r="AR729" s="156"/>
      <c r="AS729" s="156"/>
      <c r="AT729" s="156"/>
      <c r="AU729" s="156"/>
      <c r="AV729" s="156"/>
      <c r="AW729" s="156"/>
      <c r="AX729" s="156"/>
      <c r="AY729" s="156"/>
      <c r="AZ729" s="156"/>
      <c r="BA729" s="153"/>
      <c r="BD729" s="153"/>
      <c r="BE729" s="147"/>
      <c r="BI729" s="153"/>
      <c r="BO729" s="153"/>
      <c r="BW729" s="153"/>
      <c r="CD729" s="146"/>
      <c r="CF729" s="147"/>
      <c r="CI729" s="146"/>
      <c r="CJ729" s="153"/>
      <c r="CV729" s="154"/>
      <c r="CX729" s="154"/>
      <c r="CZ729" s="154"/>
      <c r="DB729" s="154"/>
      <c r="DD729" s="154"/>
      <c r="DH729" s="474"/>
      <c r="DI729" s="459"/>
      <c r="DJ729" s="459"/>
      <c r="DK729" s="459"/>
      <c r="DL729" s="459"/>
      <c r="DM729" s="459"/>
      <c r="DN729" s="459"/>
      <c r="DO729" s="459"/>
      <c r="DP729" s="459"/>
      <c r="DQ729" s="459"/>
      <c r="DR729" s="459"/>
      <c r="DS729" s="459"/>
      <c r="DT729" s="459"/>
      <c r="DU729" s="459"/>
      <c r="DV729" s="468"/>
      <c r="DW729" s="468"/>
      <c r="DX729" s="459"/>
      <c r="DY729" s="459"/>
    </row>
    <row r="730" spans="1:129" s="128" customFormat="1" ht="54.95" customHeight="1" x14ac:dyDescent="0.25">
      <c r="A730" s="377"/>
      <c r="B730" s="175"/>
      <c r="C730" s="393"/>
      <c r="D730" s="168"/>
      <c r="E730" s="168"/>
      <c r="F730" s="168"/>
      <c r="G730" s="168"/>
      <c r="H730" s="168"/>
      <c r="I730" s="168"/>
      <c r="J730" s="168"/>
      <c r="K730" s="168"/>
      <c r="L730" s="168"/>
      <c r="M730" s="168"/>
      <c r="N730" s="168"/>
      <c r="O730" s="433"/>
      <c r="P730" s="122"/>
      <c r="Q730" s="156"/>
      <c r="R730" s="156"/>
      <c r="S730" s="156"/>
      <c r="T730" s="156"/>
      <c r="U730" s="156"/>
      <c r="V730" s="156"/>
      <c r="W730" s="156"/>
      <c r="X730" s="156"/>
      <c r="Y730" s="156"/>
      <c r="Z730" s="157"/>
      <c r="AA730" s="157"/>
      <c r="AB730" s="156"/>
      <c r="AC730" s="156"/>
      <c r="AD730" s="156"/>
      <c r="AE730" s="156"/>
      <c r="AF730" s="156"/>
      <c r="AG730" s="156"/>
      <c r="AH730" s="156"/>
      <c r="AI730" s="156"/>
      <c r="AJ730" s="156"/>
      <c r="AK730" s="156"/>
      <c r="AL730" s="156"/>
      <c r="AM730" s="158"/>
      <c r="AN730" s="156"/>
      <c r="AO730" s="156"/>
      <c r="AP730" s="156"/>
      <c r="AQ730" s="156"/>
      <c r="AR730" s="156"/>
      <c r="AS730" s="156"/>
      <c r="AT730" s="156"/>
      <c r="AU730" s="156"/>
      <c r="AV730" s="156"/>
      <c r="AW730" s="156"/>
      <c r="AX730" s="156"/>
      <c r="AY730" s="156"/>
      <c r="AZ730" s="156"/>
      <c r="BA730" s="153"/>
      <c r="BD730" s="153"/>
      <c r="BE730" s="147"/>
      <c r="BI730" s="153"/>
      <c r="BO730" s="153"/>
      <c r="BW730" s="153"/>
      <c r="CD730" s="146"/>
      <c r="CF730" s="147"/>
      <c r="CI730" s="146"/>
      <c r="CJ730" s="153"/>
      <c r="CV730" s="154"/>
      <c r="CX730" s="154"/>
      <c r="CZ730" s="154"/>
      <c r="DB730" s="154"/>
      <c r="DD730" s="154"/>
      <c r="DH730" s="474"/>
      <c r="DI730" s="459"/>
      <c r="DJ730" s="459"/>
      <c r="DK730" s="459"/>
      <c r="DL730" s="459"/>
      <c r="DM730" s="459"/>
      <c r="DN730" s="459"/>
      <c r="DO730" s="459"/>
      <c r="DP730" s="459"/>
      <c r="DQ730" s="459"/>
      <c r="DR730" s="459"/>
      <c r="DS730" s="459"/>
      <c r="DT730" s="459"/>
      <c r="DU730" s="459"/>
      <c r="DV730" s="468"/>
      <c r="DW730" s="468"/>
      <c r="DX730" s="459"/>
      <c r="DY730" s="459"/>
    </row>
    <row r="731" spans="1:129" s="128" customFormat="1" ht="54.95" customHeight="1" x14ac:dyDescent="0.25">
      <c r="A731" s="377"/>
      <c r="B731" s="175"/>
      <c r="C731" s="393"/>
      <c r="D731" s="168"/>
      <c r="E731" s="168"/>
      <c r="F731" s="168"/>
      <c r="G731" s="168"/>
      <c r="H731" s="168"/>
      <c r="I731" s="168"/>
      <c r="J731" s="168"/>
      <c r="K731" s="168"/>
      <c r="L731" s="168"/>
      <c r="M731" s="168"/>
      <c r="N731" s="168"/>
      <c r="O731" s="433"/>
      <c r="P731" s="122"/>
      <c r="Q731" s="156"/>
      <c r="R731" s="156"/>
      <c r="S731" s="156"/>
      <c r="T731" s="156"/>
      <c r="U731" s="156"/>
      <c r="V731" s="156"/>
      <c r="W731" s="156"/>
      <c r="X731" s="156"/>
      <c r="Y731" s="156"/>
      <c r="Z731" s="157"/>
      <c r="AA731" s="157"/>
      <c r="AB731" s="156"/>
      <c r="AC731" s="156"/>
      <c r="AD731" s="156"/>
      <c r="AE731" s="156"/>
      <c r="AF731" s="156"/>
      <c r="AG731" s="156"/>
      <c r="AH731" s="156"/>
      <c r="AI731" s="156"/>
      <c r="AJ731" s="156"/>
      <c r="AK731" s="156"/>
      <c r="AL731" s="156"/>
      <c r="AM731" s="158"/>
      <c r="AN731" s="156"/>
      <c r="AO731" s="156"/>
      <c r="AP731" s="156"/>
      <c r="AQ731" s="156"/>
      <c r="AR731" s="156"/>
      <c r="AS731" s="156"/>
      <c r="AT731" s="156"/>
      <c r="AU731" s="156"/>
      <c r="AV731" s="156"/>
      <c r="AW731" s="156"/>
      <c r="AX731" s="156"/>
      <c r="AY731" s="156"/>
      <c r="AZ731" s="156"/>
      <c r="BA731" s="153"/>
      <c r="BD731" s="153"/>
      <c r="BE731" s="147"/>
      <c r="BI731" s="153"/>
      <c r="BO731" s="153"/>
      <c r="BW731" s="153"/>
      <c r="CD731" s="146"/>
      <c r="CF731" s="147"/>
      <c r="CI731" s="146"/>
      <c r="CJ731" s="153"/>
      <c r="CV731" s="154"/>
      <c r="CX731" s="154"/>
      <c r="CZ731" s="154"/>
      <c r="DB731" s="154"/>
      <c r="DD731" s="154"/>
      <c r="DH731" s="474"/>
      <c r="DI731" s="459"/>
      <c r="DJ731" s="459"/>
      <c r="DK731" s="459"/>
      <c r="DL731" s="459"/>
      <c r="DM731" s="459"/>
      <c r="DN731" s="459"/>
      <c r="DO731" s="459"/>
      <c r="DP731" s="459"/>
      <c r="DQ731" s="459"/>
      <c r="DR731" s="459"/>
      <c r="DS731" s="459"/>
      <c r="DT731" s="459"/>
      <c r="DU731" s="459"/>
      <c r="DV731" s="468"/>
      <c r="DW731" s="468"/>
      <c r="DX731" s="459"/>
      <c r="DY731" s="459"/>
    </row>
    <row r="732" spans="1:129" s="128" customFormat="1" ht="54.95" customHeight="1" x14ac:dyDescent="0.25">
      <c r="A732" s="377"/>
      <c r="B732" s="175"/>
      <c r="C732" s="393"/>
      <c r="D732" s="168"/>
      <c r="E732" s="168"/>
      <c r="F732" s="168"/>
      <c r="G732" s="168"/>
      <c r="H732" s="168"/>
      <c r="I732" s="168"/>
      <c r="J732" s="168"/>
      <c r="K732" s="168"/>
      <c r="L732" s="168"/>
      <c r="M732" s="168"/>
      <c r="N732" s="168"/>
      <c r="O732" s="433"/>
      <c r="P732" s="122"/>
      <c r="Q732" s="156"/>
      <c r="R732" s="156"/>
      <c r="S732" s="156"/>
      <c r="T732" s="156"/>
      <c r="U732" s="156"/>
      <c r="V732" s="156"/>
      <c r="W732" s="156"/>
      <c r="X732" s="156"/>
      <c r="Y732" s="156"/>
      <c r="Z732" s="157"/>
      <c r="AA732" s="157"/>
      <c r="AB732" s="156"/>
      <c r="AC732" s="156"/>
      <c r="AD732" s="156"/>
      <c r="AE732" s="156"/>
      <c r="AF732" s="156"/>
      <c r="AG732" s="156"/>
      <c r="AH732" s="156"/>
      <c r="AI732" s="156"/>
      <c r="AJ732" s="156"/>
      <c r="AK732" s="156"/>
      <c r="AL732" s="156"/>
      <c r="AM732" s="158"/>
      <c r="AN732" s="156"/>
      <c r="AO732" s="156"/>
      <c r="AP732" s="156"/>
      <c r="AQ732" s="156"/>
      <c r="AR732" s="156"/>
      <c r="AS732" s="156"/>
      <c r="AT732" s="156"/>
      <c r="AU732" s="156"/>
      <c r="AV732" s="156"/>
      <c r="AW732" s="156"/>
      <c r="AX732" s="156"/>
      <c r="AY732" s="156"/>
      <c r="AZ732" s="156"/>
      <c r="BA732" s="153"/>
      <c r="BD732" s="153"/>
      <c r="BE732" s="147"/>
      <c r="BI732" s="153"/>
      <c r="BO732" s="153"/>
      <c r="BW732" s="153"/>
      <c r="CD732" s="146"/>
      <c r="CF732" s="147"/>
      <c r="CI732" s="146"/>
      <c r="CJ732" s="153"/>
      <c r="CV732" s="154"/>
      <c r="CX732" s="154"/>
      <c r="CZ732" s="154"/>
      <c r="DB732" s="154"/>
      <c r="DD732" s="154"/>
      <c r="DH732" s="474"/>
      <c r="DI732" s="459"/>
      <c r="DJ732" s="459"/>
      <c r="DK732" s="459"/>
      <c r="DL732" s="459"/>
      <c r="DM732" s="459"/>
      <c r="DN732" s="459"/>
      <c r="DO732" s="459"/>
      <c r="DP732" s="459"/>
      <c r="DQ732" s="459"/>
      <c r="DR732" s="459"/>
      <c r="DS732" s="459"/>
      <c r="DT732" s="459"/>
      <c r="DU732" s="459"/>
      <c r="DV732" s="468"/>
      <c r="DW732" s="468"/>
      <c r="DX732" s="459"/>
      <c r="DY732" s="459"/>
    </row>
    <row r="733" spans="1:129" s="128" customFormat="1" ht="54.95" customHeight="1" x14ac:dyDescent="0.25">
      <c r="A733" s="377"/>
      <c r="B733" s="175"/>
      <c r="C733" s="393"/>
      <c r="D733" s="168"/>
      <c r="E733" s="168"/>
      <c r="F733" s="168"/>
      <c r="G733" s="168"/>
      <c r="H733" s="168"/>
      <c r="I733" s="168"/>
      <c r="J733" s="168"/>
      <c r="K733" s="168"/>
      <c r="L733" s="168"/>
      <c r="M733" s="168"/>
      <c r="N733" s="168"/>
      <c r="O733" s="433"/>
      <c r="P733" s="122"/>
      <c r="Q733" s="156"/>
      <c r="R733" s="156"/>
      <c r="S733" s="156"/>
      <c r="T733" s="156"/>
      <c r="U733" s="156"/>
      <c r="V733" s="156"/>
      <c r="W733" s="156"/>
      <c r="X733" s="156"/>
      <c r="Y733" s="156"/>
      <c r="Z733" s="157"/>
      <c r="AA733" s="157"/>
      <c r="AB733" s="156"/>
      <c r="AC733" s="156"/>
      <c r="AD733" s="156"/>
      <c r="AE733" s="156"/>
      <c r="AF733" s="156"/>
      <c r="AG733" s="156"/>
      <c r="AH733" s="156"/>
      <c r="AI733" s="156"/>
      <c r="AJ733" s="156"/>
      <c r="AK733" s="156"/>
      <c r="AL733" s="156"/>
      <c r="AM733" s="158"/>
      <c r="AN733" s="156"/>
      <c r="AO733" s="156"/>
      <c r="AP733" s="156"/>
      <c r="AQ733" s="156"/>
      <c r="AR733" s="156"/>
      <c r="AS733" s="156"/>
      <c r="AT733" s="156"/>
      <c r="AU733" s="156"/>
      <c r="AV733" s="156"/>
      <c r="AW733" s="156"/>
      <c r="AX733" s="156"/>
      <c r="AY733" s="156"/>
      <c r="AZ733" s="156"/>
      <c r="BA733" s="153"/>
      <c r="BD733" s="153"/>
      <c r="BE733" s="147"/>
      <c r="BI733" s="153"/>
      <c r="BO733" s="153"/>
      <c r="BW733" s="153"/>
      <c r="CD733" s="146"/>
      <c r="CF733" s="147"/>
      <c r="CI733" s="146"/>
      <c r="CJ733" s="153"/>
      <c r="CV733" s="154"/>
      <c r="CX733" s="154"/>
      <c r="CZ733" s="154"/>
      <c r="DB733" s="154"/>
      <c r="DD733" s="154"/>
      <c r="DH733" s="474"/>
      <c r="DI733" s="459"/>
      <c r="DJ733" s="459"/>
      <c r="DK733" s="459"/>
      <c r="DL733" s="459"/>
      <c r="DM733" s="459"/>
      <c r="DN733" s="459"/>
      <c r="DO733" s="459"/>
      <c r="DP733" s="459"/>
      <c r="DQ733" s="459"/>
      <c r="DR733" s="459"/>
      <c r="DS733" s="459"/>
      <c r="DT733" s="459"/>
      <c r="DU733" s="459"/>
      <c r="DV733" s="468"/>
      <c r="DW733" s="468"/>
      <c r="DX733" s="459"/>
      <c r="DY733" s="459"/>
    </row>
    <row r="734" spans="1:129" s="128" customFormat="1" ht="54.95" customHeight="1" x14ac:dyDescent="0.25">
      <c r="A734" s="377"/>
      <c r="B734" s="175"/>
      <c r="C734" s="393"/>
      <c r="D734" s="168"/>
      <c r="E734" s="168"/>
      <c r="F734" s="168"/>
      <c r="G734" s="168"/>
      <c r="H734" s="168"/>
      <c r="I734" s="168"/>
      <c r="J734" s="168"/>
      <c r="K734" s="168"/>
      <c r="L734" s="168"/>
      <c r="M734" s="168"/>
      <c r="N734" s="168"/>
      <c r="O734" s="433"/>
      <c r="P734" s="122"/>
      <c r="Q734" s="156"/>
      <c r="R734" s="156"/>
      <c r="S734" s="156"/>
      <c r="T734" s="156"/>
      <c r="U734" s="156"/>
      <c r="V734" s="156"/>
      <c r="W734" s="156"/>
      <c r="X734" s="156"/>
      <c r="Y734" s="156"/>
      <c r="Z734" s="157"/>
      <c r="AA734" s="157"/>
      <c r="AB734" s="156"/>
      <c r="AC734" s="156"/>
      <c r="AD734" s="156"/>
      <c r="AE734" s="156"/>
      <c r="AF734" s="156"/>
      <c r="AG734" s="156"/>
      <c r="AH734" s="156"/>
      <c r="AI734" s="156"/>
      <c r="AJ734" s="156"/>
      <c r="AK734" s="156"/>
      <c r="AL734" s="156"/>
      <c r="AM734" s="158"/>
      <c r="AN734" s="156"/>
      <c r="AO734" s="156"/>
      <c r="AP734" s="156"/>
      <c r="AQ734" s="156"/>
      <c r="AR734" s="156"/>
      <c r="AS734" s="156"/>
      <c r="AT734" s="156"/>
      <c r="AU734" s="156"/>
      <c r="AV734" s="156"/>
      <c r="AW734" s="156"/>
      <c r="AX734" s="156"/>
      <c r="AY734" s="156"/>
      <c r="AZ734" s="156"/>
      <c r="BA734" s="153"/>
      <c r="BD734" s="153"/>
      <c r="BE734" s="147"/>
      <c r="BI734" s="153"/>
      <c r="BO734" s="153"/>
      <c r="BW734" s="153"/>
      <c r="CD734" s="146"/>
      <c r="CF734" s="147"/>
      <c r="CI734" s="146"/>
      <c r="CJ734" s="153"/>
      <c r="CV734" s="154"/>
      <c r="CX734" s="154"/>
      <c r="CZ734" s="154"/>
      <c r="DB734" s="154"/>
      <c r="DD734" s="154"/>
      <c r="DH734" s="474"/>
      <c r="DI734" s="459"/>
      <c r="DJ734" s="459"/>
      <c r="DK734" s="459"/>
      <c r="DL734" s="459"/>
      <c r="DM734" s="459"/>
      <c r="DN734" s="459"/>
      <c r="DO734" s="459"/>
      <c r="DP734" s="459"/>
      <c r="DQ734" s="459"/>
      <c r="DR734" s="459"/>
      <c r="DS734" s="459"/>
      <c r="DT734" s="459"/>
      <c r="DU734" s="459"/>
      <c r="DV734" s="468"/>
      <c r="DW734" s="468"/>
      <c r="DX734" s="459"/>
      <c r="DY734" s="459"/>
    </row>
    <row r="735" spans="1:129" s="128" customFormat="1" ht="54.95" customHeight="1" x14ac:dyDescent="0.25">
      <c r="A735" s="377"/>
      <c r="B735" s="175"/>
      <c r="C735" s="393"/>
      <c r="D735" s="168"/>
      <c r="E735" s="168"/>
      <c r="F735" s="168"/>
      <c r="G735" s="168"/>
      <c r="H735" s="168"/>
      <c r="I735" s="168"/>
      <c r="J735" s="168"/>
      <c r="K735" s="168"/>
      <c r="L735" s="168"/>
      <c r="M735" s="168"/>
      <c r="N735" s="168"/>
      <c r="O735" s="433"/>
      <c r="P735" s="122"/>
      <c r="Q735" s="156"/>
      <c r="R735" s="156"/>
      <c r="S735" s="156"/>
      <c r="T735" s="156"/>
      <c r="U735" s="156"/>
      <c r="V735" s="156"/>
      <c r="W735" s="156"/>
      <c r="X735" s="156"/>
      <c r="Y735" s="156"/>
      <c r="Z735" s="157"/>
      <c r="AA735" s="157"/>
      <c r="AB735" s="156"/>
      <c r="AC735" s="156"/>
      <c r="AD735" s="156"/>
      <c r="AE735" s="156"/>
      <c r="AF735" s="156"/>
      <c r="AG735" s="156"/>
      <c r="AH735" s="156"/>
      <c r="AI735" s="156"/>
      <c r="AJ735" s="156"/>
      <c r="AK735" s="156"/>
      <c r="AL735" s="156"/>
      <c r="AM735" s="158"/>
      <c r="AN735" s="156"/>
      <c r="AO735" s="156"/>
      <c r="AP735" s="156"/>
      <c r="AQ735" s="156"/>
      <c r="AR735" s="156"/>
      <c r="AS735" s="156"/>
      <c r="AT735" s="156"/>
      <c r="AU735" s="156"/>
      <c r="AV735" s="156"/>
      <c r="AW735" s="156"/>
      <c r="AX735" s="156"/>
      <c r="AY735" s="156"/>
      <c r="AZ735" s="156"/>
      <c r="BA735" s="153"/>
      <c r="BD735" s="153"/>
      <c r="BE735" s="147"/>
      <c r="BI735" s="153"/>
      <c r="BO735" s="153"/>
      <c r="BW735" s="153"/>
      <c r="CD735" s="146"/>
      <c r="CF735" s="147"/>
      <c r="CI735" s="146"/>
      <c r="CJ735" s="153"/>
      <c r="CV735" s="154"/>
      <c r="CX735" s="154"/>
      <c r="CZ735" s="154"/>
      <c r="DB735" s="154"/>
      <c r="DD735" s="154"/>
      <c r="DH735" s="474"/>
      <c r="DI735" s="459"/>
      <c r="DJ735" s="459"/>
      <c r="DK735" s="459"/>
      <c r="DL735" s="459"/>
      <c r="DM735" s="459"/>
      <c r="DN735" s="459"/>
      <c r="DO735" s="459"/>
      <c r="DP735" s="459"/>
      <c r="DQ735" s="459"/>
      <c r="DR735" s="459"/>
      <c r="DS735" s="459"/>
      <c r="DT735" s="459"/>
      <c r="DU735" s="459"/>
      <c r="DV735" s="468"/>
      <c r="DW735" s="468"/>
      <c r="DX735" s="459"/>
      <c r="DY735" s="459"/>
    </row>
    <row r="736" spans="1:129" s="128" customFormat="1" ht="54.95" customHeight="1" x14ac:dyDescent="0.25">
      <c r="A736" s="377"/>
      <c r="B736" s="175"/>
      <c r="C736" s="393"/>
      <c r="D736" s="168"/>
      <c r="E736" s="168"/>
      <c r="F736" s="168"/>
      <c r="G736" s="168"/>
      <c r="H736" s="168"/>
      <c r="I736" s="168"/>
      <c r="J736" s="168"/>
      <c r="K736" s="168"/>
      <c r="L736" s="168"/>
      <c r="M736" s="168"/>
      <c r="N736" s="168"/>
      <c r="O736" s="433"/>
      <c r="P736" s="122"/>
      <c r="Q736" s="156"/>
      <c r="R736" s="156"/>
      <c r="S736" s="156"/>
      <c r="T736" s="156"/>
      <c r="U736" s="156"/>
      <c r="V736" s="156"/>
      <c r="W736" s="156"/>
      <c r="X736" s="156"/>
      <c r="Y736" s="156"/>
      <c r="Z736" s="157"/>
      <c r="AA736" s="157"/>
      <c r="AB736" s="156"/>
      <c r="AC736" s="156"/>
      <c r="AD736" s="156"/>
      <c r="AE736" s="156"/>
      <c r="AF736" s="156"/>
      <c r="AG736" s="156"/>
      <c r="AH736" s="156"/>
      <c r="AI736" s="156"/>
      <c r="AJ736" s="156"/>
      <c r="AK736" s="156"/>
      <c r="AL736" s="156"/>
      <c r="AM736" s="158"/>
      <c r="AN736" s="156"/>
      <c r="AO736" s="156"/>
      <c r="AP736" s="156"/>
      <c r="AQ736" s="156"/>
      <c r="AR736" s="156"/>
      <c r="AS736" s="156"/>
      <c r="AT736" s="156"/>
      <c r="AU736" s="156"/>
      <c r="AV736" s="156"/>
      <c r="AW736" s="156"/>
      <c r="AX736" s="156"/>
      <c r="AY736" s="156"/>
      <c r="AZ736" s="156"/>
      <c r="BA736" s="153"/>
      <c r="BD736" s="153"/>
      <c r="BE736" s="147"/>
      <c r="BI736" s="153"/>
      <c r="BO736" s="153"/>
      <c r="BW736" s="153"/>
      <c r="CD736" s="146"/>
      <c r="CF736" s="147"/>
      <c r="CI736" s="146"/>
      <c r="CJ736" s="153"/>
      <c r="CV736" s="154"/>
      <c r="CX736" s="154"/>
      <c r="CZ736" s="154"/>
      <c r="DB736" s="154"/>
      <c r="DD736" s="154"/>
      <c r="DH736" s="474"/>
      <c r="DI736" s="459"/>
      <c r="DJ736" s="459"/>
      <c r="DK736" s="459"/>
      <c r="DL736" s="459"/>
      <c r="DM736" s="459"/>
      <c r="DN736" s="459"/>
      <c r="DO736" s="459"/>
      <c r="DP736" s="459"/>
      <c r="DQ736" s="459"/>
      <c r="DR736" s="459"/>
      <c r="DS736" s="459"/>
      <c r="DT736" s="459"/>
      <c r="DU736" s="459"/>
      <c r="DV736" s="468"/>
      <c r="DW736" s="468"/>
      <c r="DX736" s="459"/>
      <c r="DY736" s="459"/>
    </row>
    <row r="737" spans="1:129" s="128" customFormat="1" ht="54.95" customHeight="1" x14ac:dyDescent="0.25">
      <c r="A737" s="377"/>
      <c r="B737" s="175"/>
      <c r="C737" s="393"/>
      <c r="D737" s="168"/>
      <c r="E737" s="168"/>
      <c r="F737" s="168"/>
      <c r="G737" s="168"/>
      <c r="H737" s="168"/>
      <c r="I737" s="168"/>
      <c r="J737" s="168"/>
      <c r="K737" s="168"/>
      <c r="L737" s="168"/>
      <c r="M737" s="168"/>
      <c r="N737" s="168"/>
      <c r="O737" s="433"/>
      <c r="P737" s="122"/>
      <c r="Q737" s="156"/>
      <c r="R737" s="156"/>
      <c r="S737" s="156"/>
      <c r="T737" s="156"/>
      <c r="U737" s="156"/>
      <c r="V737" s="156"/>
      <c r="W737" s="156"/>
      <c r="X737" s="156"/>
      <c r="Y737" s="156"/>
      <c r="Z737" s="157"/>
      <c r="AA737" s="157"/>
      <c r="AB737" s="156"/>
      <c r="AC737" s="156"/>
      <c r="AD737" s="156"/>
      <c r="AE737" s="156"/>
      <c r="AF737" s="156"/>
      <c r="AG737" s="156"/>
      <c r="AH737" s="156"/>
      <c r="AI737" s="156"/>
      <c r="AJ737" s="156"/>
      <c r="AK737" s="156"/>
      <c r="AL737" s="156"/>
      <c r="AM737" s="158"/>
      <c r="AN737" s="156"/>
      <c r="AO737" s="156"/>
      <c r="AP737" s="156"/>
      <c r="AQ737" s="156"/>
      <c r="AR737" s="156"/>
      <c r="AS737" s="156"/>
      <c r="AT737" s="156"/>
      <c r="AU737" s="156"/>
      <c r="AV737" s="156"/>
      <c r="AW737" s="156"/>
      <c r="AX737" s="156"/>
      <c r="AY737" s="156"/>
      <c r="AZ737" s="156"/>
      <c r="BA737" s="153"/>
      <c r="BD737" s="153"/>
      <c r="BE737" s="147"/>
      <c r="BI737" s="153"/>
      <c r="BO737" s="153"/>
      <c r="BW737" s="153"/>
      <c r="CD737" s="146"/>
      <c r="CF737" s="147"/>
      <c r="CI737" s="146"/>
      <c r="CJ737" s="153"/>
      <c r="CV737" s="154"/>
      <c r="CX737" s="154"/>
      <c r="CZ737" s="154"/>
      <c r="DB737" s="154"/>
      <c r="DD737" s="154"/>
      <c r="DH737" s="474"/>
      <c r="DI737" s="459"/>
      <c r="DJ737" s="459"/>
      <c r="DK737" s="459"/>
      <c r="DL737" s="459"/>
      <c r="DM737" s="459"/>
      <c r="DN737" s="459"/>
      <c r="DO737" s="459"/>
      <c r="DP737" s="459"/>
      <c r="DQ737" s="459"/>
      <c r="DR737" s="459"/>
      <c r="DS737" s="459"/>
      <c r="DT737" s="459"/>
      <c r="DU737" s="459"/>
      <c r="DV737" s="468"/>
      <c r="DW737" s="468"/>
      <c r="DX737" s="459"/>
      <c r="DY737" s="459"/>
    </row>
    <row r="738" spans="1:129" s="128" customFormat="1" ht="54.95" customHeight="1" x14ac:dyDescent="0.25">
      <c r="A738" s="377"/>
      <c r="B738" s="175"/>
      <c r="C738" s="393"/>
      <c r="D738" s="168"/>
      <c r="E738" s="168"/>
      <c r="F738" s="168"/>
      <c r="G738" s="168"/>
      <c r="H738" s="168"/>
      <c r="I738" s="168"/>
      <c r="J738" s="168"/>
      <c r="K738" s="168"/>
      <c r="L738" s="168"/>
      <c r="M738" s="168"/>
      <c r="N738" s="168"/>
      <c r="O738" s="433"/>
      <c r="P738" s="122"/>
      <c r="Q738" s="156"/>
      <c r="R738" s="156"/>
      <c r="S738" s="156"/>
      <c r="T738" s="156"/>
      <c r="U738" s="156"/>
      <c r="V738" s="156"/>
      <c r="W738" s="156"/>
      <c r="X738" s="156"/>
      <c r="Y738" s="156"/>
      <c r="Z738" s="157"/>
      <c r="AA738" s="157"/>
      <c r="AB738" s="156"/>
      <c r="AC738" s="156"/>
      <c r="AD738" s="156"/>
      <c r="AE738" s="156"/>
      <c r="AF738" s="156"/>
      <c r="AG738" s="156"/>
      <c r="AH738" s="156"/>
      <c r="AI738" s="156"/>
      <c r="AJ738" s="156"/>
      <c r="AK738" s="156"/>
      <c r="AL738" s="156"/>
      <c r="AM738" s="158"/>
      <c r="AN738" s="156"/>
      <c r="AO738" s="156"/>
      <c r="AP738" s="156"/>
      <c r="AQ738" s="156"/>
      <c r="AR738" s="156"/>
      <c r="AS738" s="156"/>
      <c r="AT738" s="156"/>
      <c r="AU738" s="156"/>
      <c r="AV738" s="156"/>
      <c r="AW738" s="156"/>
      <c r="AX738" s="156"/>
      <c r="AY738" s="156"/>
      <c r="AZ738" s="156"/>
      <c r="BA738" s="153"/>
      <c r="BD738" s="153"/>
      <c r="BE738" s="147"/>
      <c r="BI738" s="153"/>
      <c r="BO738" s="153"/>
      <c r="BW738" s="153"/>
      <c r="CD738" s="146"/>
      <c r="CF738" s="147"/>
      <c r="CI738" s="146"/>
      <c r="CJ738" s="153"/>
      <c r="CV738" s="154"/>
      <c r="CX738" s="154"/>
      <c r="CZ738" s="154"/>
      <c r="DB738" s="154"/>
      <c r="DD738" s="154"/>
      <c r="DH738" s="474"/>
      <c r="DI738" s="459"/>
      <c r="DJ738" s="459"/>
      <c r="DK738" s="459"/>
      <c r="DL738" s="459"/>
      <c r="DM738" s="459"/>
      <c r="DN738" s="459"/>
      <c r="DO738" s="459"/>
      <c r="DP738" s="459"/>
      <c r="DQ738" s="459"/>
      <c r="DR738" s="459"/>
      <c r="DS738" s="459"/>
      <c r="DT738" s="459"/>
      <c r="DU738" s="459"/>
      <c r="DV738" s="468"/>
      <c r="DW738" s="468"/>
      <c r="DX738" s="459"/>
      <c r="DY738" s="459"/>
    </row>
    <row r="739" spans="1:129" s="128" customFormat="1" ht="54.95" customHeight="1" x14ac:dyDescent="0.25">
      <c r="A739" s="377"/>
      <c r="B739" s="175"/>
      <c r="C739" s="393"/>
      <c r="D739" s="168"/>
      <c r="E739" s="168"/>
      <c r="F739" s="168"/>
      <c r="G739" s="168"/>
      <c r="H739" s="168"/>
      <c r="I739" s="168"/>
      <c r="J739" s="168"/>
      <c r="K739" s="168"/>
      <c r="L739" s="168"/>
      <c r="M739" s="168"/>
      <c r="N739" s="168"/>
      <c r="O739" s="433"/>
      <c r="P739" s="122"/>
      <c r="Q739" s="156"/>
      <c r="R739" s="156"/>
      <c r="S739" s="156"/>
      <c r="T739" s="156"/>
      <c r="U739" s="156"/>
      <c r="V739" s="156"/>
      <c r="W739" s="156"/>
      <c r="X739" s="156"/>
      <c r="Y739" s="156"/>
      <c r="Z739" s="157"/>
      <c r="AA739" s="157"/>
      <c r="AB739" s="156"/>
      <c r="AC739" s="156"/>
      <c r="AD739" s="156"/>
      <c r="AE739" s="156"/>
      <c r="AF739" s="156"/>
      <c r="AG739" s="156"/>
      <c r="AH739" s="156"/>
      <c r="AI739" s="156"/>
      <c r="AJ739" s="156"/>
      <c r="AK739" s="156"/>
      <c r="AL739" s="156"/>
      <c r="AM739" s="158"/>
      <c r="AN739" s="156"/>
      <c r="AO739" s="156"/>
      <c r="AP739" s="156"/>
      <c r="AQ739" s="156"/>
      <c r="AR739" s="156"/>
      <c r="AS739" s="156"/>
      <c r="AT739" s="156"/>
      <c r="AU739" s="156"/>
      <c r="AV739" s="156"/>
      <c r="AW739" s="156"/>
      <c r="AX739" s="156"/>
      <c r="AY739" s="156"/>
      <c r="AZ739" s="156"/>
      <c r="BA739" s="153"/>
      <c r="BD739" s="153"/>
      <c r="BE739" s="147"/>
      <c r="BI739" s="153"/>
      <c r="BO739" s="153"/>
      <c r="BW739" s="153"/>
      <c r="CD739" s="146"/>
      <c r="CF739" s="147"/>
      <c r="CI739" s="146"/>
      <c r="CJ739" s="153"/>
      <c r="CV739" s="154"/>
      <c r="CX739" s="154"/>
      <c r="CZ739" s="154"/>
      <c r="DB739" s="154"/>
      <c r="DD739" s="154"/>
      <c r="DH739" s="474"/>
      <c r="DI739" s="459"/>
      <c r="DJ739" s="459"/>
      <c r="DK739" s="459"/>
      <c r="DL739" s="459"/>
      <c r="DM739" s="459"/>
      <c r="DN739" s="459"/>
      <c r="DO739" s="459"/>
      <c r="DP739" s="459"/>
      <c r="DQ739" s="459"/>
      <c r="DR739" s="459"/>
      <c r="DS739" s="459"/>
      <c r="DT739" s="459"/>
      <c r="DU739" s="459"/>
      <c r="DV739" s="468"/>
      <c r="DW739" s="468"/>
      <c r="DX739" s="459"/>
      <c r="DY739" s="459"/>
    </row>
    <row r="740" spans="1:129" s="128" customFormat="1" ht="54.95" customHeight="1" x14ac:dyDescent="0.25">
      <c r="A740" s="377"/>
      <c r="B740" s="175"/>
      <c r="C740" s="393"/>
      <c r="D740" s="168"/>
      <c r="E740" s="168"/>
      <c r="F740" s="168"/>
      <c r="G740" s="168"/>
      <c r="H740" s="168"/>
      <c r="I740" s="168"/>
      <c r="J740" s="168"/>
      <c r="K740" s="168"/>
      <c r="L740" s="168"/>
      <c r="M740" s="168"/>
      <c r="N740" s="168"/>
      <c r="O740" s="433"/>
      <c r="P740" s="122"/>
      <c r="Q740" s="156"/>
      <c r="R740" s="156"/>
      <c r="S740" s="156"/>
      <c r="T740" s="156"/>
      <c r="U740" s="156"/>
      <c r="V740" s="156"/>
      <c r="W740" s="156"/>
      <c r="X740" s="156"/>
      <c r="Y740" s="156"/>
      <c r="Z740" s="157"/>
      <c r="AA740" s="157"/>
      <c r="AB740" s="156"/>
      <c r="AC740" s="156"/>
      <c r="AD740" s="156"/>
      <c r="AE740" s="156"/>
      <c r="AF740" s="156"/>
      <c r="AG740" s="156"/>
      <c r="AH740" s="156"/>
      <c r="AI740" s="156"/>
      <c r="AJ740" s="156"/>
      <c r="AK740" s="156"/>
      <c r="AL740" s="156"/>
      <c r="AM740" s="158"/>
      <c r="AN740" s="156"/>
      <c r="AO740" s="156"/>
      <c r="AP740" s="156"/>
      <c r="AQ740" s="156"/>
      <c r="AR740" s="156"/>
      <c r="AS740" s="156"/>
      <c r="AT740" s="156"/>
      <c r="AU740" s="156"/>
      <c r="AV740" s="156"/>
      <c r="AW740" s="156"/>
      <c r="AX740" s="156"/>
      <c r="AY740" s="156"/>
      <c r="AZ740" s="156"/>
      <c r="BA740" s="153"/>
      <c r="BD740" s="153"/>
      <c r="BE740" s="147"/>
      <c r="BI740" s="153"/>
      <c r="BO740" s="153"/>
      <c r="BW740" s="153"/>
      <c r="CD740" s="146"/>
      <c r="CF740" s="147"/>
      <c r="CI740" s="146"/>
      <c r="CJ740" s="153"/>
      <c r="CV740" s="154"/>
      <c r="CX740" s="154"/>
      <c r="CZ740" s="154"/>
      <c r="DB740" s="154"/>
      <c r="DD740" s="154"/>
      <c r="DH740" s="474"/>
      <c r="DI740" s="459"/>
      <c r="DJ740" s="459"/>
      <c r="DK740" s="459"/>
      <c r="DL740" s="459"/>
      <c r="DM740" s="459"/>
      <c r="DN740" s="459"/>
      <c r="DO740" s="459"/>
      <c r="DP740" s="459"/>
      <c r="DQ740" s="459"/>
      <c r="DR740" s="459"/>
      <c r="DS740" s="459"/>
      <c r="DT740" s="459"/>
      <c r="DU740" s="459"/>
      <c r="DV740" s="468"/>
      <c r="DW740" s="468"/>
      <c r="DX740" s="459"/>
      <c r="DY740" s="459"/>
    </row>
    <row r="741" spans="1:129" s="128" customFormat="1" ht="54.95" customHeight="1" x14ac:dyDescent="0.25">
      <c r="A741" s="377"/>
      <c r="B741" s="175"/>
      <c r="C741" s="393"/>
      <c r="D741" s="168"/>
      <c r="E741" s="168"/>
      <c r="F741" s="168"/>
      <c r="G741" s="168"/>
      <c r="H741" s="168"/>
      <c r="I741" s="168"/>
      <c r="J741" s="168"/>
      <c r="K741" s="168"/>
      <c r="L741" s="168"/>
      <c r="M741" s="168"/>
      <c r="N741" s="168"/>
      <c r="O741" s="433"/>
      <c r="P741" s="122"/>
      <c r="Q741" s="156"/>
      <c r="R741" s="156"/>
      <c r="S741" s="156"/>
      <c r="T741" s="156"/>
      <c r="U741" s="156"/>
      <c r="V741" s="156"/>
      <c r="W741" s="156"/>
      <c r="X741" s="156"/>
      <c r="Y741" s="156"/>
      <c r="Z741" s="157"/>
      <c r="AA741" s="157"/>
      <c r="AB741" s="156"/>
      <c r="AC741" s="156"/>
      <c r="AD741" s="156"/>
      <c r="AE741" s="156"/>
      <c r="AF741" s="156"/>
      <c r="AG741" s="156"/>
      <c r="AH741" s="156"/>
      <c r="AI741" s="156"/>
      <c r="AJ741" s="156"/>
      <c r="AK741" s="156"/>
      <c r="AL741" s="156"/>
      <c r="AM741" s="158"/>
      <c r="AN741" s="156"/>
      <c r="AO741" s="156"/>
      <c r="AP741" s="156"/>
      <c r="AQ741" s="156"/>
      <c r="AR741" s="156"/>
      <c r="AS741" s="156"/>
      <c r="AT741" s="156"/>
      <c r="AU741" s="156"/>
      <c r="AV741" s="156"/>
      <c r="AW741" s="156"/>
      <c r="AX741" s="156"/>
      <c r="AY741" s="156"/>
      <c r="AZ741" s="156"/>
      <c r="BA741" s="153"/>
      <c r="BD741" s="153"/>
      <c r="BE741" s="147"/>
      <c r="BI741" s="153"/>
      <c r="BO741" s="153"/>
      <c r="BW741" s="153"/>
      <c r="CD741" s="146"/>
      <c r="CF741" s="147"/>
      <c r="CI741" s="146"/>
      <c r="CJ741" s="153"/>
      <c r="CV741" s="154"/>
      <c r="CX741" s="154"/>
      <c r="CZ741" s="154"/>
      <c r="DB741" s="154"/>
      <c r="DD741" s="154"/>
      <c r="DH741" s="474"/>
      <c r="DI741" s="459"/>
      <c r="DJ741" s="459"/>
      <c r="DK741" s="459"/>
      <c r="DL741" s="459"/>
      <c r="DM741" s="459"/>
      <c r="DN741" s="459"/>
      <c r="DO741" s="459"/>
      <c r="DP741" s="459"/>
      <c r="DQ741" s="459"/>
      <c r="DR741" s="459"/>
      <c r="DS741" s="459"/>
      <c r="DT741" s="459"/>
      <c r="DU741" s="459"/>
      <c r="DV741" s="468"/>
      <c r="DW741" s="468"/>
      <c r="DX741" s="459"/>
      <c r="DY741" s="459"/>
    </row>
    <row r="742" spans="1:129" s="128" customFormat="1" ht="54.95" customHeight="1" x14ac:dyDescent="0.25">
      <c r="A742" s="377"/>
      <c r="B742" s="175"/>
      <c r="C742" s="393"/>
      <c r="D742" s="168"/>
      <c r="E742" s="168"/>
      <c r="F742" s="168"/>
      <c r="G742" s="168"/>
      <c r="H742" s="168"/>
      <c r="I742" s="168"/>
      <c r="J742" s="168"/>
      <c r="K742" s="168"/>
      <c r="L742" s="168"/>
      <c r="M742" s="168"/>
      <c r="N742" s="168"/>
      <c r="O742" s="433"/>
      <c r="P742" s="122"/>
      <c r="Q742" s="156"/>
      <c r="R742" s="156"/>
      <c r="S742" s="156"/>
      <c r="T742" s="156"/>
      <c r="U742" s="156"/>
      <c r="V742" s="156"/>
      <c r="W742" s="156"/>
      <c r="X742" s="156"/>
      <c r="Y742" s="156"/>
      <c r="Z742" s="157"/>
      <c r="AA742" s="157"/>
      <c r="AB742" s="156"/>
      <c r="AC742" s="156"/>
      <c r="AD742" s="156"/>
      <c r="AE742" s="156"/>
      <c r="AF742" s="156"/>
      <c r="AG742" s="156"/>
      <c r="AH742" s="156"/>
      <c r="AI742" s="156"/>
      <c r="AJ742" s="156"/>
      <c r="AK742" s="156"/>
      <c r="AL742" s="156"/>
      <c r="AM742" s="158"/>
      <c r="AN742" s="156"/>
      <c r="AO742" s="156"/>
      <c r="AP742" s="156"/>
      <c r="AQ742" s="156"/>
      <c r="AR742" s="156"/>
      <c r="AS742" s="156"/>
      <c r="AT742" s="156"/>
      <c r="AU742" s="156"/>
      <c r="AV742" s="156"/>
      <c r="AW742" s="156"/>
      <c r="AX742" s="156"/>
      <c r="AY742" s="156"/>
      <c r="AZ742" s="156"/>
      <c r="BA742" s="153"/>
      <c r="BD742" s="153"/>
      <c r="BE742" s="147"/>
      <c r="BI742" s="153"/>
      <c r="BO742" s="153"/>
      <c r="BW742" s="153"/>
      <c r="CD742" s="146"/>
      <c r="CF742" s="147"/>
      <c r="CI742" s="146"/>
      <c r="CJ742" s="153"/>
      <c r="CV742" s="154"/>
      <c r="CX742" s="154"/>
      <c r="CZ742" s="154"/>
      <c r="DB742" s="154"/>
      <c r="DD742" s="154"/>
      <c r="DH742" s="474"/>
      <c r="DI742" s="459"/>
      <c r="DJ742" s="459"/>
      <c r="DK742" s="459"/>
      <c r="DL742" s="459"/>
      <c r="DM742" s="459"/>
      <c r="DN742" s="459"/>
      <c r="DO742" s="459"/>
      <c r="DP742" s="459"/>
      <c r="DQ742" s="459"/>
      <c r="DR742" s="459"/>
      <c r="DS742" s="459"/>
      <c r="DT742" s="459"/>
      <c r="DU742" s="459"/>
      <c r="DV742" s="468"/>
      <c r="DW742" s="468"/>
      <c r="DX742" s="459"/>
      <c r="DY742" s="459"/>
    </row>
    <row r="743" spans="1:129" s="128" customFormat="1" ht="54.95" customHeight="1" x14ac:dyDescent="0.25">
      <c r="A743" s="377"/>
      <c r="B743" s="175"/>
      <c r="C743" s="393"/>
      <c r="D743" s="168"/>
      <c r="E743" s="168"/>
      <c r="F743" s="168"/>
      <c r="G743" s="168"/>
      <c r="H743" s="168"/>
      <c r="I743" s="168"/>
      <c r="J743" s="168"/>
      <c r="K743" s="168"/>
      <c r="L743" s="168"/>
      <c r="M743" s="168"/>
      <c r="N743" s="168"/>
      <c r="O743" s="433"/>
      <c r="P743" s="122"/>
      <c r="Q743" s="156"/>
      <c r="R743" s="156"/>
      <c r="S743" s="156"/>
      <c r="T743" s="156"/>
      <c r="U743" s="156"/>
      <c r="V743" s="156"/>
      <c r="W743" s="156"/>
      <c r="X743" s="156"/>
      <c r="Y743" s="156"/>
      <c r="Z743" s="157"/>
      <c r="AA743" s="157"/>
      <c r="AB743" s="156"/>
      <c r="AC743" s="156"/>
      <c r="AD743" s="156"/>
      <c r="AE743" s="156"/>
      <c r="AF743" s="156"/>
      <c r="AG743" s="156"/>
      <c r="AH743" s="156"/>
      <c r="AI743" s="156"/>
      <c r="AJ743" s="156"/>
      <c r="AK743" s="156"/>
      <c r="AL743" s="156"/>
      <c r="AM743" s="158"/>
      <c r="AN743" s="156"/>
      <c r="AO743" s="156"/>
      <c r="AP743" s="156"/>
      <c r="AQ743" s="156"/>
      <c r="AR743" s="156"/>
      <c r="AS743" s="156"/>
      <c r="AT743" s="156"/>
      <c r="AU743" s="156"/>
      <c r="AV743" s="156"/>
      <c r="AW743" s="156"/>
      <c r="AX743" s="156"/>
      <c r="AY743" s="156"/>
      <c r="AZ743" s="156"/>
      <c r="BA743" s="153"/>
      <c r="BD743" s="153"/>
      <c r="BE743" s="147"/>
      <c r="BI743" s="153"/>
      <c r="BO743" s="153"/>
      <c r="BW743" s="153"/>
      <c r="CD743" s="146"/>
      <c r="CF743" s="147"/>
      <c r="CI743" s="146"/>
      <c r="CJ743" s="153"/>
      <c r="CV743" s="154"/>
      <c r="CX743" s="154"/>
      <c r="CZ743" s="154"/>
      <c r="DB743" s="154"/>
      <c r="DD743" s="154"/>
      <c r="DH743" s="474"/>
      <c r="DI743" s="459"/>
      <c r="DJ743" s="459"/>
      <c r="DK743" s="459"/>
      <c r="DL743" s="459"/>
      <c r="DM743" s="459"/>
      <c r="DN743" s="459"/>
      <c r="DO743" s="459"/>
      <c r="DP743" s="459"/>
      <c r="DQ743" s="459"/>
      <c r="DR743" s="459"/>
      <c r="DS743" s="459"/>
      <c r="DT743" s="459"/>
      <c r="DU743" s="459"/>
      <c r="DV743" s="468"/>
      <c r="DW743" s="468"/>
      <c r="DX743" s="459"/>
      <c r="DY743" s="459"/>
    </row>
    <row r="744" spans="1:129" s="128" customFormat="1" ht="54.95" customHeight="1" x14ac:dyDescent="0.25">
      <c r="A744" s="377"/>
      <c r="B744" s="175"/>
      <c r="C744" s="393"/>
      <c r="D744" s="168"/>
      <c r="E744" s="168"/>
      <c r="F744" s="168"/>
      <c r="G744" s="168"/>
      <c r="H744" s="168"/>
      <c r="I744" s="168"/>
      <c r="J744" s="168"/>
      <c r="K744" s="168"/>
      <c r="L744" s="168"/>
      <c r="M744" s="168"/>
      <c r="N744" s="168"/>
      <c r="O744" s="433"/>
      <c r="P744" s="122"/>
      <c r="Q744" s="156"/>
      <c r="R744" s="156"/>
      <c r="S744" s="156"/>
      <c r="T744" s="156"/>
      <c r="U744" s="156"/>
      <c r="V744" s="156"/>
      <c r="W744" s="156"/>
      <c r="X744" s="156"/>
      <c r="Y744" s="156"/>
      <c r="Z744" s="157"/>
      <c r="AA744" s="157"/>
      <c r="AB744" s="156"/>
      <c r="AC744" s="156"/>
      <c r="AD744" s="156"/>
      <c r="AE744" s="156"/>
      <c r="AF744" s="156"/>
      <c r="AG744" s="156"/>
      <c r="AH744" s="156"/>
      <c r="AI744" s="156"/>
      <c r="AJ744" s="156"/>
      <c r="AK744" s="156"/>
      <c r="AL744" s="156"/>
      <c r="AM744" s="158"/>
      <c r="AN744" s="156"/>
      <c r="AO744" s="156"/>
      <c r="AP744" s="156"/>
      <c r="AQ744" s="156"/>
      <c r="AR744" s="156"/>
      <c r="AS744" s="156"/>
      <c r="AT744" s="156"/>
      <c r="AU744" s="156"/>
      <c r="AV744" s="156"/>
      <c r="AW744" s="156"/>
      <c r="AX744" s="156"/>
      <c r="AY744" s="156"/>
      <c r="AZ744" s="156"/>
      <c r="BA744" s="153"/>
      <c r="BD744" s="153"/>
      <c r="BE744" s="147"/>
      <c r="BI744" s="153"/>
      <c r="BO744" s="153"/>
      <c r="BW744" s="153"/>
      <c r="CD744" s="146"/>
      <c r="CF744" s="147"/>
      <c r="CI744" s="146"/>
      <c r="CJ744" s="153"/>
      <c r="CV744" s="154"/>
      <c r="CX744" s="154"/>
      <c r="CZ744" s="154"/>
      <c r="DB744" s="154"/>
      <c r="DD744" s="154"/>
      <c r="DH744" s="474"/>
      <c r="DI744" s="459"/>
      <c r="DJ744" s="459"/>
      <c r="DK744" s="459"/>
      <c r="DL744" s="459"/>
      <c r="DM744" s="459"/>
      <c r="DN744" s="459"/>
      <c r="DO744" s="459"/>
      <c r="DP744" s="459"/>
      <c r="DQ744" s="459"/>
      <c r="DR744" s="459"/>
      <c r="DS744" s="459"/>
      <c r="DT744" s="459"/>
      <c r="DU744" s="459"/>
      <c r="DV744" s="468"/>
      <c r="DW744" s="468"/>
      <c r="DX744" s="459"/>
      <c r="DY744" s="459"/>
    </row>
    <row r="745" spans="1:129" s="128" customFormat="1" ht="54.95" customHeight="1" x14ac:dyDescent="0.25">
      <c r="A745" s="377"/>
      <c r="B745" s="175"/>
      <c r="C745" s="393"/>
      <c r="D745" s="168"/>
      <c r="E745" s="168"/>
      <c r="F745" s="168"/>
      <c r="G745" s="168"/>
      <c r="H745" s="168"/>
      <c r="I745" s="168"/>
      <c r="J745" s="168"/>
      <c r="K745" s="168"/>
      <c r="L745" s="168"/>
      <c r="M745" s="168"/>
      <c r="N745" s="168"/>
      <c r="O745" s="433"/>
      <c r="P745" s="122"/>
      <c r="Q745" s="156"/>
      <c r="R745" s="156"/>
      <c r="S745" s="156"/>
      <c r="T745" s="156"/>
      <c r="U745" s="156"/>
      <c r="V745" s="156"/>
      <c r="W745" s="156"/>
      <c r="X745" s="156"/>
      <c r="Y745" s="156"/>
      <c r="Z745" s="157"/>
      <c r="AA745" s="157"/>
      <c r="AB745" s="156"/>
      <c r="AC745" s="156"/>
      <c r="AD745" s="156"/>
      <c r="AE745" s="156"/>
      <c r="AF745" s="156"/>
      <c r="AG745" s="156"/>
      <c r="AH745" s="156"/>
      <c r="AI745" s="156"/>
      <c r="AJ745" s="156"/>
      <c r="AK745" s="156"/>
      <c r="AL745" s="156"/>
      <c r="AM745" s="158"/>
      <c r="AN745" s="156"/>
      <c r="AO745" s="156"/>
      <c r="AP745" s="156"/>
      <c r="AQ745" s="156"/>
      <c r="AR745" s="156"/>
      <c r="AS745" s="156"/>
      <c r="AT745" s="156"/>
      <c r="AU745" s="156"/>
      <c r="AV745" s="156"/>
      <c r="AW745" s="156"/>
      <c r="AX745" s="156"/>
      <c r="AY745" s="156"/>
      <c r="AZ745" s="156"/>
      <c r="BA745" s="153"/>
      <c r="BD745" s="153"/>
      <c r="BE745" s="147"/>
      <c r="BI745" s="153"/>
      <c r="BO745" s="153"/>
      <c r="BW745" s="153"/>
      <c r="CD745" s="146"/>
      <c r="CF745" s="147"/>
      <c r="CI745" s="146"/>
      <c r="CJ745" s="153"/>
      <c r="CV745" s="154"/>
      <c r="CX745" s="154"/>
      <c r="CZ745" s="154"/>
      <c r="DB745" s="154"/>
      <c r="DD745" s="154"/>
      <c r="DH745" s="474"/>
      <c r="DI745" s="459"/>
      <c r="DJ745" s="459"/>
      <c r="DK745" s="459"/>
      <c r="DL745" s="459"/>
      <c r="DM745" s="459"/>
      <c r="DN745" s="459"/>
      <c r="DO745" s="459"/>
      <c r="DP745" s="459"/>
      <c r="DQ745" s="459"/>
      <c r="DR745" s="459"/>
      <c r="DS745" s="459"/>
      <c r="DT745" s="459"/>
      <c r="DU745" s="459"/>
      <c r="DV745" s="468"/>
      <c r="DW745" s="468"/>
      <c r="DX745" s="459"/>
      <c r="DY745" s="459"/>
    </row>
    <row r="746" spans="1:129" s="128" customFormat="1" ht="54.95" customHeight="1" x14ac:dyDescent="0.25">
      <c r="A746" s="377"/>
      <c r="B746" s="175"/>
      <c r="C746" s="393"/>
      <c r="D746" s="168"/>
      <c r="E746" s="168"/>
      <c r="F746" s="168"/>
      <c r="G746" s="168"/>
      <c r="H746" s="168"/>
      <c r="I746" s="168"/>
      <c r="J746" s="168"/>
      <c r="K746" s="168"/>
      <c r="L746" s="168"/>
      <c r="M746" s="168"/>
      <c r="N746" s="168"/>
      <c r="O746" s="433"/>
      <c r="P746" s="122"/>
      <c r="Q746" s="156"/>
      <c r="R746" s="156"/>
      <c r="S746" s="156"/>
      <c r="T746" s="156"/>
      <c r="U746" s="156"/>
      <c r="V746" s="156"/>
      <c r="W746" s="156"/>
      <c r="X746" s="156"/>
      <c r="Y746" s="156"/>
      <c r="Z746" s="157"/>
      <c r="AA746" s="157"/>
      <c r="AB746" s="156"/>
      <c r="AC746" s="156"/>
      <c r="AD746" s="156"/>
      <c r="AE746" s="156"/>
      <c r="AF746" s="156"/>
      <c r="AG746" s="156"/>
      <c r="AH746" s="156"/>
      <c r="AI746" s="156"/>
      <c r="AJ746" s="156"/>
      <c r="AK746" s="156"/>
      <c r="AL746" s="156"/>
      <c r="AM746" s="158"/>
      <c r="AN746" s="156"/>
      <c r="AO746" s="156"/>
      <c r="AP746" s="156"/>
      <c r="AQ746" s="156"/>
      <c r="AR746" s="156"/>
      <c r="AS746" s="156"/>
      <c r="AT746" s="156"/>
      <c r="AU746" s="156"/>
      <c r="AV746" s="156"/>
      <c r="AW746" s="156"/>
      <c r="AX746" s="156"/>
      <c r="AY746" s="156"/>
      <c r="AZ746" s="156"/>
      <c r="BA746" s="153"/>
      <c r="BD746" s="153"/>
      <c r="BE746" s="147"/>
      <c r="BI746" s="153"/>
      <c r="BO746" s="153"/>
      <c r="BW746" s="153"/>
      <c r="CD746" s="146"/>
      <c r="CF746" s="147"/>
      <c r="CI746" s="146"/>
      <c r="CJ746" s="153"/>
      <c r="CV746" s="154"/>
      <c r="CX746" s="154"/>
      <c r="CZ746" s="154"/>
      <c r="DB746" s="154"/>
      <c r="DD746" s="154"/>
      <c r="DH746" s="474"/>
      <c r="DI746" s="459"/>
      <c r="DJ746" s="459"/>
      <c r="DK746" s="459"/>
      <c r="DL746" s="459"/>
      <c r="DM746" s="459"/>
      <c r="DN746" s="459"/>
      <c r="DO746" s="459"/>
      <c r="DP746" s="459"/>
      <c r="DQ746" s="459"/>
      <c r="DR746" s="459"/>
      <c r="DS746" s="459"/>
      <c r="DT746" s="459"/>
      <c r="DU746" s="459"/>
      <c r="DV746" s="468"/>
      <c r="DW746" s="468"/>
      <c r="DX746" s="459"/>
      <c r="DY746" s="459"/>
    </row>
    <row r="747" spans="1:129" s="128" customFormat="1" ht="54.95" customHeight="1" x14ac:dyDescent="0.25">
      <c r="A747" s="377"/>
      <c r="B747" s="175"/>
      <c r="C747" s="393"/>
      <c r="D747" s="168"/>
      <c r="E747" s="168"/>
      <c r="F747" s="168"/>
      <c r="G747" s="168"/>
      <c r="H747" s="168"/>
      <c r="I747" s="168"/>
      <c r="J747" s="168"/>
      <c r="K747" s="168"/>
      <c r="L747" s="168"/>
      <c r="M747" s="168"/>
      <c r="N747" s="168"/>
      <c r="O747" s="433"/>
      <c r="P747" s="122"/>
      <c r="Q747" s="156"/>
      <c r="R747" s="156"/>
      <c r="S747" s="156"/>
      <c r="T747" s="156"/>
      <c r="U747" s="156"/>
      <c r="V747" s="156"/>
      <c r="W747" s="156"/>
      <c r="X747" s="156"/>
      <c r="Y747" s="156"/>
      <c r="Z747" s="157"/>
      <c r="AA747" s="157"/>
      <c r="AB747" s="156"/>
      <c r="AC747" s="156"/>
      <c r="AD747" s="156"/>
      <c r="AE747" s="156"/>
      <c r="AF747" s="156"/>
      <c r="AG747" s="156"/>
      <c r="AH747" s="156"/>
      <c r="AI747" s="156"/>
      <c r="AJ747" s="156"/>
      <c r="AK747" s="156"/>
      <c r="AL747" s="156"/>
      <c r="AM747" s="158"/>
      <c r="AN747" s="156"/>
      <c r="AO747" s="156"/>
      <c r="AP747" s="156"/>
      <c r="AQ747" s="156"/>
      <c r="AR747" s="156"/>
      <c r="AS747" s="156"/>
      <c r="AT747" s="156"/>
      <c r="AU747" s="156"/>
      <c r="AV747" s="156"/>
      <c r="AW747" s="156"/>
      <c r="AX747" s="156"/>
      <c r="AY747" s="156"/>
      <c r="AZ747" s="156"/>
      <c r="BA747" s="153"/>
      <c r="BD747" s="153"/>
      <c r="BE747" s="147"/>
      <c r="BI747" s="153"/>
      <c r="BO747" s="153"/>
      <c r="BW747" s="153"/>
      <c r="CD747" s="146"/>
      <c r="CF747" s="147"/>
      <c r="CI747" s="146"/>
      <c r="CJ747" s="153"/>
      <c r="CV747" s="154"/>
      <c r="CX747" s="154"/>
      <c r="CZ747" s="154"/>
      <c r="DB747" s="154"/>
      <c r="DD747" s="154"/>
      <c r="DH747" s="474"/>
      <c r="DI747" s="459"/>
      <c r="DJ747" s="459"/>
      <c r="DK747" s="459"/>
      <c r="DL747" s="459"/>
      <c r="DM747" s="459"/>
      <c r="DN747" s="459"/>
      <c r="DO747" s="459"/>
      <c r="DP747" s="459"/>
      <c r="DQ747" s="459"/>
      <c r="DR747" s="459"/>
      <c r="DS747" s="459"/>
      <c r="DT747" s="459"/>
      <c r="DU747" s="459"/>
      <c r="DV747" s="468"/>
      <c r="DW747" s="468"/>
      <c r="DX747" s="459"/>
      <c r="DY747" s="459"/>
    </row>
    <row r="748" spans="1:129" s="128" customFormat="1" ht="54.95" customHeight="1" x14ac:dyDescent="0.25">
      <c r="A748" s="377"/>
      <c r="B748" s="175"/>
      <c r="C748" s="393"/>
      <c r="D748" s="168"/>
      <c r="E748" s="168"/>
      <c r="F748" s="168"/>
      <c r="G748" s="168"/>
      <c r="H748" s="168"/>
      <c r="I748" s="168"/>
      <c r="J748" s="168"/>
      <c r="K748" s="168"/>
      <c r="L748" s="168"/>
      <c r="M748" s="168"/>
      <c r="N748" s="168"/>
      <c r="O748" s="433"/>
      <c r="P748" s="122"/>
      <c r="Q748" s="156"/>
      <c r="R748" s="156"/>
      <c r="S748" s="156"/>
      <c r="T748" s="156"/>
      <c r="U748" s="156"/>
      <c r="V748" s="156"/>
      <c r="W748" s="156"/>
      <c r="X748" s="156"/>
      <c r="Y748" s="156"/>
      <c r="Z748" s="157"/>
      <c r="AA748" s="157"/>
      <c r="AB748" s="156"/>
      <c r="AC748" s="156"/>
      <c r="AD748" s="156"/>
      <c r="AE748" s="156"/>
      <c r="AF748" s="156"/>
      <c r="AG748" s="156"/>
      <c r="AH748" s="156"/>
      <c r="AI748" s="156"/>
      <c r="AJ748" s="156"/>
      <c r="AK748" s="156"/>
      <c r="AL748" s="156"/>
      <c r="AM748" s="158"/>
      <c r="AN748" s="156"/>
      <c r="AO748" s="156"/>
      <c r="AP748" s="156"/>
      <c r="AQ748" s="156"/>
      <c r="AR748" s="156"/>
      <c r="AS748" s="156"/>
      <c r="AT748" s="156"/>
      <c r="AU748" s="156"/>
      <c r="AV748" s="156"/>
      <c r="AW748" s="156"/>
      <c r="AX748" s="156"/>
      <c r="AY748" s="156"/>
      <c r="AZ748" s="156"/>
      <c r="BA748" s="153"/>
      <c r="BD748" s="153"/>
      <c r="BE748" s="147"/>
      <c r="BI748" s="153"/>
      <c r="BO748" s="153"/>
      <c r="BW748" s="153"/>
      <c r="CD748" s="146"/>
      <c r="CF748" s="147"/>
      <c r="CI748" s="146"/>
      <c r="CJ748" s="153"/>
      <c r="CV748" s="154"/>
      <c r="CX748" s="154"/>
      <c r="CZ748" s="154"/>
      <c r="DB748" s="154"/>
      <c r="DD748" s="154"/>
      <c r="DH748" s="474"/>
      <c r="DI748" s="459"/>
      <c r="DJ748" s="459"/>
      <c r="DK748" s="459"/>
      <c r="DL748" s="459"/>
      <c r="DM748" s="459"/>
      <c r="DN748" s="459"/>
      <c r="DO748" s="459"/>
      <c r="DP748" s="459"/>
      <c r="DQ748" s="459"/>
      <c r="DR748" s="459"/>
      <c r="DS748" s="459"/>
      <c r="DT748" s="459"/>
      <c r="DU748" s="459"/>
      <c r="DV748" s="468"/>
      <c r="DW748" s="468"/>
      <c r="DX748" s="459"/>
      <c r="DY748" s="459"/>
    </row>
    <row r="749" spans="1:129" s="128" customFormat="1" ht="54.95" customHeight="1" x14ac:dyDescent="0.25">
      <c r="A749" s="377"/>
      <c r="B749" s="175"/>
      <c r="C749" s="393"/>
      <c r="D749" s="168"/>
      <c r="E749" s="168"/>
      <c r="F749" s="168"/>
      <c r="G749" s="168"/>
      <c r="H749" s="168"/>
      <c r="I749" s="168"/>
      <c r="J749" s="168"/>
      <c r="K749" s="168"/>
      <c r="L749" s="168"/>
      <c r="M749" s="168"/>
      <c r="N749" s="168"/>
      <c r="O749" s="433"/>
      <c r="P749" s="122"/>
      <c r="Q749" s="156"/>
      <c r="R749" s="156"/>
      <c r="S749" s="156"/>
      <c r="T749" s="156"/>
      <c r="U749" s="156"/>
      <c r="V749" s="156"/>
      <c r="W749" s="156"/>
      <c r="X749" s="156"/>
      <c r="Y749" s="156"/>
      <c r="Z749" s="157"/>
      <c r="AA749" s="157"/>
      <c r="AB749" s="156"/>
      <c r="AC749" s="156"/>
      <c r="AD749" s="156"/>
      <c r="AE749" s="156"/>
      <c r="AF749" s="156"/>
      <c r="AG749" s="156"/>
      <c r="AH749" s="156"/>
      <c r="AI749" s="156"/>
      <c r="AJ749" s="156"/>
      <c r="AK749" s="156"/>
      <c r="AL749" s="156"/>
      <c r="AM749" s="158"/>
      <c r="AN749" s="156"/>
      <c r="AO749" s="156"/>
      <c r="AP749" s="156"/>
      <c r="AQ749" s="156"/>
      <c r="AR749" s="156"/>
      <c r="AS749" s="156"/>
      <c r="AT749" s="156"/>
      <c r="AU749" s="156"/>
      <c r="AV749" s="156"/>
      <c r="AW749" s="156"/>
      <c r="AX749" s="156"/>
      <c r="AY749" s="156"/>
      <c r="AZ749" s="156"/>
      <c r="BA749" s="153"/>
      <c r="BD749" s="153"/>
      <c r="BE749" s="147"/>
      <c r="BI749" s="153"/>
      <c r="BO749" s="153"/>
      <c r="BW749" s="153"/>
      <c r="CD749" s="146"/>
      <c r="CF749" s="147"/>
      <c r="CI749" s="146"/>
      <c r="CJ749" s="153"/>
      <c r="CV749" s="154"/>
      <c r="CX749" s="154"/>
      <c r="CZ749" s="154"/>
      <c r="DB749" s="154"/>
      <c r="DD749" s="154"/>
      <c r="DH749" s="474"/>
      <c r="DI749" s="459"/>
      <c r="DJ749" s="459"/>
      <c r="DK749" s="459"/>
      <c r="DL749" s="459"/>
      <c r="DM749" s="459"/>
      <c r="DN749" s="459"/>
      <c r="DO749" s="459"/>
      <c r="DP749" s="459"/>
      <c r="DQ749" s="459"/>
      <c r="DR749" s="459"/>
      <c r="DS749" s="459"/>
      <c r="DT749" s="459"/>
      <c r="DU749" s="459"/>
      <c r="DV749" s="468"/>
      <c r="DW749" s="468"/>
      <c r="DX749" s="459"/>
      <c r="DY749" s="459"/>
    </row>
    <row r="750" spans="1:129" s="128" customFormat="1" ht="54.95" customHeight="1" x14ac:dyDescent="0.25">
      <c r="A750" s="377"/>
      <c r="B750" s="175"/>
      <c r="C750" s="393"/>
      <c r="D750" s="168"/>
      <c r="E750" s="168"/>
      <c r="F750" s="168"/>
      <c r="G750" s="168"/>
      <c r="H750" s="168"/>
      <c r="I750" s="168"/>
      <c r="J750" s="168"/>
      <c r="K750" s="168"/>
      <c r="L750" s="168"/>
      <c r="M750" s="168"/>
      <c r="N750" s="168"/>
      <c r="O750" s="433"/>
      <c r="P750" s="122"/>
      <c r="Q750" s="156"/>
      <c r="R750" s="156"/>
      <c r="S750" s="156"/>
      <c r="T750" s="156"/>
      <c r="U750" s="156"/>
      <c r="V750" s="156"/>
      <c r="W750" s="156"/>
      <c r="X750" s="156"/>
      <c r="Y750" s="156"/>
      <c r="Z750" s="157"/>
      <c r="AA750" s="157"/>
      <c r="AB750" s="156"/>
      <c r="AC750" s="156"/>
      <c r="AD750" s="156"/>
      <c r="AE750" s="156"/>
      <c r="AF750" s="156"/>
      <c r="AG750" s="156"/>
      <c r="AH750" s="156"/>
      <c r="AI750" s="156"/>
      <c r="AJ750" s="156"/>
      <c r="AK750" s="156"/>
      <c r="AL750" s="156"/>
      <c r="AM750" s="158"/>
      <c r="AN750" s="156"/>
      <c r="AO750" s="156"/>
      <c r="AP750" s="156"/>
      <c r="AQ750" s="156"/>
      <c r="AR750" s="156"/>
      <c r="AS750" s="156"/>
      <c r="AT750" s="156"/>
      <c r="AU750" s="156"/>
      <c r="AV750" s="156"/>
      <c r="AW750" s="156"/>
      <c r="AX750" s="156"/>
      <c r="AY750" s="156"/>
      <c r="AZ750" s="156"/>
      <c r="BA750" s="153"/>
      <c r="BD750" s="153"/>
      <c r="BE750" s="147"/>
      <c r="BI750" s="153"/>
      <c r="BO750" s="153"/>
      <c r="BW750" s="153"/>
      <c r="CD750" s="146"/>
      <c r="CF750" s="147"/>
      <c r="CI750" s="146"/>
      <c r="CJ750" s="153"/>
      <c r="CV750" s="154"/>
      <c r="CX750" s="154"/>
      <c r="CZ750" s="154"/>
      <c r="DB750" s="154"/>
      <c r="DD750" s="154"/>
      <c r="DH750" s="474"/>
      <c r="DI750" s="459"/>
      <c r="DJ750" s="459"/>
      <c r="DK750" s="459"/>
      <c r="DL750" s="459"/>
      <c r="DM750" s="459"/>
      <c r="DN750" s="459"/>
      <c r="DO750" s="459"/>
      <c r="DP750" s="459"/>
      <c r="DQ750" s="459"/>
      <c r="DR750" s="459"/>
      <c r="DS750" s="459"/>
      <c r="DT750" s="459"/>
      <c r="DU750" s="459"/>
      <c r="DV750" s="468"/>
      <c r="DW750" s="468"/>
      <c r="DX750" s="459"/>
      <c r="DY750" s="459"/>
    </row>
    <row r="751" spans="1:129" s="128" customFormat="1" ht="54.95" customHeight="1" x14ac:dyDescent="0.25">
      <c r="A751" s="377"/>
      <c r="B751" s="175"/>
      <c r="C751" s="393"/>
      <c r="D751" s="168"/>
      <c r="E751" s="168"/>
      <c r="F751" s="168"/>
      <c r="G751" s="168"/>
      <c r="H751" s="168"/>
      <c r="I751" s="168"/>
      <c r="J751" s="168"/>
      <c r="K751" s="168"/>
      <c r="L751" s="168"/>
      <c r="M751" s="168"/>
      <c r="N751" s="168"/>
      <c r="O751" s="433"/>
      <c r="P751" s="122"/>
      <c r="Q751" s="156"/>
      <c r="R751" s="156"/>
      <c r="S751" s="156"/>
      <c r="T751" s="156"/>
      <c r="U751" s="156"/>
      <c r="V751" s="156"/>
      <c r="W751" s="156"/>
      <c r="X751" s="156"/>
      <c r="Y751" s="156"/>
      <c r="Z751" s="157"/>
      <c r="AA751" s="157"/>
      <c r="AB751" s="156"/>
      <c r="AC751" s="156"/>
      <c r="AD751" s="156"/>
      <c r="AE751" s="156"/>
      <c r="AF751" s="156"/>
      <c r="AG751" s="156"/>
      <c r="AH751" s="156"/>
      <c r="AI751" s="156"/>
      <c r="AJ751" s="156"/>
      <c r="AK751" s="156"/>
      <c r="AL751" s="156"/>
      <c r="AM751" s="158"/>
      <c r="AN751" s="156"/>
      <c r="AO751" s="156"/>
      <c r="AP751" s="156"/>
      <c r="AQ751" s="156"/>
      <c r="AR751" s="156"/>
      <c r="AS751" s="156"/>
      <c r="AT751" s="156"/>
      <c r="AU751" s="156"/>
      <c r="AV751" s="156"/>
      <c r="AW751" s="156"/>
      <c r="AX751" s="156"/>
      <c r="AY751" s="156"/>
      <c r="AZ751" s="156"/>
      <c r="BA751" s="153"/>
      <c r="BD751" s="153"/>
      <c r="BE751" s="147"/>
      <c r="BI751" s="153"/>
      <c r="BO751" s="153"/>
      <c r="BW751" s="153"/>
      <c r="CD751" s="146"/>
      <c r="CF751" s="147"/>
      <c r="CI751" s="146"/>
      <c r="CJ751" s="153"/>
      <c r="CV751" s="154"/>
      <c r="CX751" s="154"/>
      <c r="CZ751" s="154"/>
      <c r="DB751" s="154"/>
      <c r="DD751" s="154"/>
      <c r="DH751" s="474"/>
      <c r="DI751" s="459"/>
      <c r="DJ751" s="459"/>
      <c r="DK751" s="459"/>
      <c r="DL751" s="459"/>
      <c r="DM751" s="459"/>
      <c r="DN751" s="459"/>
      <c r="DO751" s="459"/>
      <c r="DP751" s="459"/>
      <c r="DQ751" s="459"/>
      <c r="DR751" s="459"/>
      <c r="DS751" s="459"/>
      <c r="DT751" s="459"/>
      <c r="DU751" s="459"/>
      <c r="DV751" s="468"/>
      <c r="DW751" s="468"/>
      <c r="DX751" s="459"/>
      <c r="DY751" s="459"/>
    </row>
    <row r="752" spans="1:129" s="128" customFormat="1" ht="54.95" customHeight="1" x14ac:dyDescent="0.25">
      <c r="A752" s="377"/>
      <c r="B752" s="175"/>
      <c r="C752" s="393"/>
      <c r="D752" s="168"/>
      <c r="E752" s="168"/>
      <c r="F752" s="168"/>
      <c r="G752" s="168"/>
      <c r="H752" s="168"/>
      <c r="I752" s="168"/>
      <c r="J752" s="168"/>
      <c r="K752" s="168"/>
      <c r="L752" s="168"/>
      <c r="M752" s="168"/>
      <c r="N752" s="168"/>
      <c r="O752" s="433"/>
      <c r="P752" s="122"/>
      <c r="Q752" s="156"/>
      <c r="R752" s="156"/>
      <c r="S752" s="156"/>
      <c r="T752" s="156"/>
      <c r="U752" s="156"/>
      <c r="V752" s="156"/>
      <c r="W752" s="156"/>
      <c r="X752" s="156"/>
      <c r="Y752" s="156"/>
      <c r="Z752" s="157"/>
      <c r="AA752" s="157"/>
      <c r="AB752" s="156"/>
      <c r="AC752" s="156"/>
      <c r="AD752" s="156"/>
      <c r="AE752" s="156"/>
      <c r="AF752" s="156"/>
      <c r="AG752" s="156"/>
      <c r="AH752" s="156"/>
      <c r="AI752" s="156"/>
      <c r="AJ752" s="156"/>
      <c r="AK752" s="156"/>
      <c r="AL752" s="156"/>
      <c r="AM752" s="158"/>
      <c r="AN752" s="156"/>
      <c r="AO752" s="156"/>
      <c r="AP752" s="156"/>
      <c r="AQ752" s="156"/>
      <c r="AR752" s="156"/>
      <c r="AS752" s="156"/>
      <c r="AT752" s="156"/>
      <c r="AU752" s="156"/>
      <c r="AV752" s="156"/>
      <c r="AW752" s="156"/>
      <c r="AX752" s="156"/>
      <c r="AY752" s="156"/>
      <c r="AZ752" s="156"/>
      <c r="BA752" s="153"/>
      <c r="BD752" s="153"/>
      <c r="BE752" s="147"/>
      <c r="BI752" s="153"/>
      <c r="BO752" s="153"/>
      <c r="BW752" s="153"/>
      <c r="CD752" s="146"/>
      <c r="CF752" s="147"/>
      <c r="CI752" s="146"/>
      <c r="CJ752" s="153"/>
      <c r="CV752" s="154"/>
      <c r="CX752" s="154"/>
      <c r="CZ752" s="154"/>
      <c r="DB752" s="154"/>
      <c r="DD752" s="154"/>
      <c r="DH752" s="474"/>
      <c r="DI752" s="459"/>
      <c r="DJ752" s="459"/>
      <c r="DK752" s="459"/>
      <c r="DL752" s="459"/>
      <c r="DM752" s="459"/>
      <c r="DN752" s="459"/>
      <c r="DO752" s="459"/>
      <c r="DP752" s="459"/>
      <c r="DQ752" s="459"/>
      <c r="DR752" s="459"/>
      <c r="DS752" s="459"/>
      <c r="DT752" s="459"/>
      <c r="DU752" s="459"/>
      <c r="DV752" s="468"/>
      <c r="DW752" s="468"/>
      <c r="DX752" s="459"/>
      <c r="DY752" s="459"/>
    </row>
    <row r="753" spans="1:129" s="128" customFormat="1" ht="54.95" customHeight="1" x14ac:dyDescent="0.25">
      <c r="A753" s="377"/>
      <c r="B753" s="175"/>
      <c r="C753" s="393"/>
      <c r="D753" s="168"/>
      <c r="E753" s="168"/>
      <c r="F753" s="168"/>
      <c r="G753" s="168"/>
      <c r="H753" s="168"/>
      <c r="I753" s="168"/>
      <c r="J753" s="168"/>
      <c r="K753" s="168"/>
      <c r="L753" s="168"/>
      <c r="M753" s="168"/>
      <c r="N753" s="168"/>
      <c r="O753" s="433"/>
      <c r="P753" s="122"/>
      <c r="Q753" s="156"/>
      <c r="R753" s="156"/>
      <c r="S753" s="156"/>
      <c r="T753" s="156"/>
      <c r="U753" s="156"/>
      <c r="V753" s="156"/>
      <c r="W753" s="156"/>
      <c r="X753" s="156"/>
      <c r="Y753" s="156"/>
      <c r="Z753" s="157"/>
      <c r="AA753" s="157"/>
      <c r="AB753" s="156"/>
      <c r="AC753" s="156"/>
      <c r="AD753" s="156"/>
      <c r="AE753" s="156"/>
      <c r="AF753" s="156"/>
      <c r="AG753" s="156"/>
      <c r="AH753" s="156"/>
      <c r="AI753" s="156"/>
      <c r="AJ753" s="156"/>
      <c r="AK753" s="156"/>
      <c r="AL753" s="156"/>
      <c r="AM753" s="158"/>
      <c r="AN753" s="156"/>
      <c r="AO753" s="156"/>
      <c r="AP753" s="156"/>
      <c r="AQ753" s="156"/>
      <c r="AR753" s="156"/>
      <c r="AS753" s="156"/>
      <c r="AT753" s="156"/>
      <c r="AU753" s="156"/>
      <c r="AV753" s="156"/>
      <c r="AW753" s="156"/>
      <c r="AX753" s="156"/>
      <c r="AY753" s="156"/>
      <c r="AZ753" s="156"/>
      <c r="BA753" s="153"/>
      <c r="BD753" s="153"/>
      <c r="BE753" s="147"/>
      <c r="BI753" s="153"/>
      <c r="BO753" s="153"/>
      <c r="BW753" s="153"/>
      <c r="CD753" s="146"/>
      <c r="CF753" s="147"/>
      <c r="CI753" s="146"/>
      <c r="CJ753" s="153"/>
      <c r="CV753" s="154"/>
      <c r="CX753" s="154"/>
      <c r="CZ753" s="154"/>
      <c r="DB753" s="154"/>
      <c r="DD753" s="154"/>
      <c r="DH753" s="474"/>
      <c r="DI753" s="459"/>
      <c r="DJ753" s="459"/>
      <c r="DK753" s="459"/>
      <c r="DL753" s="459"/>
      <c r="DM753" s="459"/>
      <c r="DN753" s="459"/>
      <c r="DO753" s="459"/>
      <c r="DP753" s="459"/>
      <c r="DQ753" s="459"/>
      <c r="DR753" s="459"/>
      <c r="DS753" s="459"/>
      <c r="DT753" s="459"/>
      <c r="DU753" s="459"/>
      <c r="DV753" s="468"/>
      <c r="DW753" s="468"/>
      <c r="DX753" s="459"/>
      <c r="DY753" s="459"/>
    </row>
    <row r="754" spans="1:129" s="128" customFormat="1" ht="54.95" customHeight="1" x14ac:dyDescent="0.25">
      <c r="A754" s="377"/>
      <c r="B754" s="175"/>
      <c r="C754" s="393"/>
      <c r="D754" s="168"/>
      <c r="E754" s="168"/>
      <c r="F754" s="168"/>
      <c r="G754" s="168"/>
      <c r="H754" s="168"/>
      <c r="I754" s="168"/>
      <c r="J754" s="168"/>
      <c r="K754" s="168"/>
      <c r="L754" s="168"/>
      <c r="M754" s="168"/>
      <c r="N754" s="168"/>
      <c r="O754" s="433"/>
      <c r="P754" s="122"/>
      <c r="Q754" s="156"/>
      <c r="R754" s="156"/>
      <c r="S754" s="156"/>
      <c r="T754" s="156"/>
      <c r="U754" s="156"/>
      <c r="V754" s="156"/>
      <c r="W754" s="156"/>
      <c r="X754" s="156"/>
      <c r="Y754" s="156"/>
      <c r="Z754" s="157"/>
      <c r="AA754" s="157"/>
      <c r="AB754" s="156"/>
      <c r="AC754" s="156"/>
      <c r="AD754" s="156"/>
      <c r="AE754" s="156"/>
      <c r="AF754" s="156"/>
      <c r="AG754" s="156"/>
      <c r="AH754" s="156"/>
      <c r="AI754" s="156"/>
      <c r="AJ754" s="156"/>
      <c r="AK754" s="156"/>
      <c r="AL754" s="156"/>
      <c r="AM754" s="158"/>
      <c r="AN754" s="156"/>
      <c r="AO754" s="156"/>
      <c r="AP754" s="156"/>
      <c r="AQ754" s="156"/>
      <c r="AR754" s="156"/>
      <c r="AS754" s="156"/>
      <c r="AT754" s="156"/>
      <c r="AU754" s="156"/>
      <c r="AV754" s="156"/>
      <c r="AW754" s="156"/>
      <c r="AX754" s="156"/>
      <c r="AY754" s="156"/>
      <c r="AZ754" s="156"/>
      <c r="BA754" s="153"/>
      <c r="BD754" s="153"/>
      <c r="BE754" s="147"/>
      <c r="BI754" s="153"/>
      <c r="BO754" s="153"/>
      <c r="BW754" s="153"/>
      <c r="CD754" s="146"/>
      <c r="CF754" s="147"/>
      <c r="CI754" s="146"/>
      <c r="CJ754" s="153"/>
      <c r="CV754" s="154"/>
      <c r="CX754" s="154"/>
      <c r="CZ754" s="154"/>
      <c r="DB754" s="154"/>
      <c r="DD754" s="154"/>
      <c r="DH754" s="474"/>
      <c r="DI754" s="459"/>
      <c r="DJ754" s="459"/>
      <c r="DK754" s="459"/>
      <c r="DL754" s="459"/>
      <c r="DM754" s="459"/>
      <c r="DN754" s="459"/>
      <c r="DO754" s="459"/>
      <c r="DP754" s="459"/>
      <c r="DQ754" s="459"/>
      <c r="DR754" s="459"/>
      <c r="DS754" s="459"/>
      <c r="DT754" s="459"/>
      <c r="DU754" s="459"/>
      <c r="DV754" s="468"/>
      <c r="DW754" s="468"/>
      <c r="DX754" s="459"/>
      <c r="DY754" s="459"/>
    </row>
    <row r="755" spans="1:129" s="128" customFormat="1" ht="54.95" customHeight="1" x14ac:dyDescent="0.25">
      <c r="A755" s="377"/>
      <c r="B755" s="175"/>
      <c r="C755" s="393"/>
      <c r="D755" s="168"/>
      <c r="E755" s="168"/>
      <c r="F755" s="168"/>
      <c r="G755" s="168"/>
      <c r="H755" s="168"/>
      <c r="I755" s="168"/>
      <c r="J755" s="168"/>
      <c r="K755" s="168"/>
      <c r="L755" s="168"/>
      <c r="M755" s="168"/>
      <c r="N755" s="168"/>
      <c r="O755" s="433"/>
      <c r="P755" s="122"/>
      <c r="Q755" s="156"/>
      <c r="R755" s="156"/>
      <c r="S755" s="156"/>
      <c r="T755" s="156"/>
      <c r="U755" s="156"/>
      <c r="V755" s="156"/>
      <c r="W755" s="156"/>
      <c r="X755" s="156"/>
      <c r="Y755" s="156"/>
      <c r="Z755" s="157"/>
      <c r="AA755" s="157"/>
      <c r="AB755" s="156"/>
      <c r="AC755" s="156"/>
      <c r="AD755" s="156"/>
      <c r="AE755" s="156"/>
      <c r="AF755" s="156"/>
      <c r="AG755" s="156"/>
      <c r="AH755" s="156"/>
      <c r="AI755" s="156"/>
      <c r="AJ755" s="156"/>
      <c r="AK755" s="156"/>
      <c r="AL755" s="156"/>
      <c r="AM755" s="158"/>
      <c r="AN755" s="156"/>
      <c r="AO755" s="156"/>
      <c r="AP755" s="156"/>
      <c r="AQ755" s="156"/>
      <c r="AR755" s="156"/>
      <c r="AS755" s="156"/>
      <c r="AT755" s="156"/>
      <c r="AU755" s="156"/>
      <c r="AV755" s="156"/>
      <c r="AW755" s="156"/>
      <c r="AX755" s="156"/>
      <c r="AY755" s="156"/>
      <c r="AZ755" s="156"/>
      <c r="BA755" s="153"/>
      <c r="BD755" s="153"/>
      <c r="BE755" s="147"/>
      <c r="BI755" s="153"/>
      <c r="BO755" s="153"/>
      <c r="BW755" s="153"/>
      <c r="CD755" s="146"/>
      <c r="CF755" s="147"/>
      <c r="CI755" s="146"/>
      <c r="CJ755" s="153"/>
      <c r="CV755" s="154"/>
      <c r="CX755" s="154"/>
      <c r="CZ755" s="154"/>
      <c r="DB755" s="154"/>
      <c r="DD755" s="154"/>
      <c r="DH755" s="474"/>
      <c r="DI755" s="459"/>
      <c r="DJ755" s="459"/>
      <c r="DK755" s="459"/>
      <c r="DL755" s="459"/>
      <c r="DM755" s="459"/>
      <c r="DN755" s="459"/>
      <c r="DO755" s="459"/>
      <c r="DP755" s="459"/>
      <c r="DQ755" s="459"/>
      <c r="DR755" s="459"/>
      <c r="DS755" s="459"/>
      <c r="DT755" s="459"/>
      <c r="DU755" s="459"/>
      <c r="DV755" s="468"/>
      <c r="DW755" s="468"/>
      <c r="DX755" s="459"/>
      <c r="DY755" s="459"/>
    </row>
    <row r="756" spans="1:129" s="128" customFormat="1" ht="54.95" customHeight="1" x14ac:dyDescent="0.25">
      <c r="A756" s="377"/>
      <c r="B756" s="175"/>
      <c r="C756" s="393"/>
      <c r="D756" s="168"/>
      <c r="E756" s="168"/>
      <c r="F756" s="168"/>
      <c r="G756" s="168"/>
      <c r="H756" s="168"/>
      <c r="I756" s="168"/>
      <c r="J756" s="168"/>
      <c r="K756" s="168"/>
      <c r="L756" s="168"/>
      <c r="M756" s="168"/>
      <c r="N756" s="168"/>
      <c r="O756" s="433"/>
      <c r="P756" s="122"/>
      <c r="Q756" s="156"/>
      <c r="R756" s="156"/>
      <c r="S756" s="156"/>
      <c r="T756" s="156"/>
      <c r="U756" s="156"/>
      <c r="V756" s="156"/>
      <c r="W756" s="156"/>
      <c r="X756" s="156"/>
      <c r="Y756" s="156"/>
      <c r="Z756" s="157"/>
      <c r="AA756" s="157"/>
      <c r="AB756" s="156"/>
      <c r="AC756" s="156"/>
      <c r="AD756" s="156"/>
      <c r="AE756" s="156"/>
      <c r="AF756" s="156"/>
      <c r="AG756" s="156"/>
      <c r="AH756" s="156"/>
      <c r="AI756" s="156"/>
      <c r="AJ756" s="156"/>
      <c r="AK756" s="156"/>
      <c r="AL756" s="156"/>
      <c r="AM756" s="158"/>
      <c r="AN756" s="156"/>
      <c r="AO756" s="156"/>
      <c r="AP756" s="156"/>
      <c r="AQ756" s="156"/>
      <c r="AR756" s="156"/>
      <c r="AS756" s="156"/>
      <c r="AT756" s="156"/>
      <c r="AU756" s="156"/>
      <c r="AV756" s="156"/>
      <c r="AW756" s="156"/>
      <c r="AX756" s="156"/>
      <c r="AY756" s="156"/>
      <c r="AZ756" s="156"/>
      <c r="BA756" s="153"/>
      <c r="BD756" s="153"/>
      <c r="BE756" s="147"/>
      <c r="BI756" s="153"/>
      <c r="BO756" s="153"/>
      <c r="BW756" s="153"/>
      <c r="CD756" s="146"/>
      <c r="CF756" s="147"/>
      <c r="CI756" s="146"/>
      <c r="CJ756" s="153"/>
      <c r="CV756" s="154"/>
      <c r="CX756" s="154"/>
      <c r="CZ756" s="154"/>
      <c r="DB756" s="154"/>
      <c r="DD756" s="154"/>
      <c r="DH756" s="474"/>
      <c r="DI756" s="459"/>
      <c r="DJ756" s="459"/>
      <c r="DK756" s="459"/>
      <c r="DL756" s="459"/>
      <c r="DM756" s="459"/>
      <c r="DN756" s="459"/>
      <c r="DO756" s="459"/>
      <c r="DP756" s="459"/>
      <c r="DQ756" s="459"/>
      <c r="DR756" s="459"/>
      <c r="DS756" s="459"/>
      <c r="DT756" s="459"/>
      <c r="DU756" s="459"/>
      <c r="DV756" s="468"/>
      <c r="DW756" s="468"/>
      <c r="DX756" s="459"/>
      <c r="DY756" s="459"/>
    </row>
    <row r="757" spans="1:129" s="128" customFormat="1" ht="54.95" customHeight="1" x14ac:dyDescent="0.25">
      <c r="A757" s="377"/>
      <c r="B757" s="175"/>
      <c r="C757" s="393"/>
      <c r="D757" s="168"/>
      <c r="E757" s="168"/>
      <c r="F757" s="168"/>
      <c r="G757" s="168"/>
      <c r="H757" s="168"/>
      <c r="I757" s="168"/>
      <c r="J757" s="168"/>
      <c r="K757" s="168"/>
      <c r="L757" s="168"/>
      <c r="M757" s="168"/>
      <c r="N757" s="168"/>
      <c r="O757" s="433"/>
      <c r="P757" s="122"/>
      <c r="Q757" s="156"/>
      <c r="R757" s="156"/>
      <c r="S757" s="156"/>
      <c r="T757" s="156"/>
      <c r="U757" s="156"/>
      <c r="V757" s="156"/>
      <c r="W757" s="156"/>
      <c r="X757" s="156"/>
      <c r="Y757" s="156"/>
      <c r="Z757" s="157"/>
      <c r="AA757" s="157"/>
      <c r="AB757" s="156"/>
      <c r="AC757" s="156"/>
      <c r="AD757" s="156"/>
      <c r="AE757" s="156"/>
      <c r="AF757" s="156"/>
      <c r="AG757" s="156"/>
      <c r="AH757" s="156"/>
      <c r="AI757" s="156"/>
      <c r="AJ757" s="156"/>
      <c r="AK757" s="156"/>
      <c r="AL757" s="156"/>
      <c r="AM757" s="158"/>
      <c r="AN757" s="156"/>
      <c r="AO757" s="156"/>
      <c r="AP757" s="156"/>
      <c r="AQ757" s="156"/>
      <c r="AR757" s="156"/>
      <c r="AS757" s="156"/>
      <c r="AT757" s="156"/>
      <c r="AU757" s="156"/>
      <c r="AV757" s="156"/>
      <c r="AW757" s="156"/>
      <c r="AX757" s="156"/>
      <c r="AY757" s="156"/>
      <c r="AZ757" s="156"/>
      <c r="BA757" s="153"/>
      <c r="BD757" s="153"/>
      <c r="BE757" s="147"/>
      <c r="BI757" s="153"/>
      <c r="BO757" s="153"/>
      <c r="BW757" s="153"/>
      <c r="CD757" s="146"/>
      <c r="CF757" s="147"/>
      <c r="CI757" s="146"/>
      <c r="CJ757" s="153"/>
      <c r="CV757" s="154"/>
      <c r="CX757" s="154"/>
      <c r="CZ757" s="154"/>
      <c r="DB757" s="154"/>
      <c r="DD757" s="154"/>
      <c r="DH757" s="474"/>
      <c r="DI757" s="459"/>
      <c r="DJ757" s="459"/>
      <c r="DK757" s="459"/>
      <c r="DL757" s="459"/>
      <c r="DM757" s="459"/>
      <c r="DN757" s="459"/>
      <c r="DO757" s="459"/>
      <c r="DP757" s="459"/>
      <c r="DQ757" s="459"/>
      <c r="DR757" s="459"/>
      <c r="DS757" s="459"/>
      <c r="DT757" s="459"/>
      <c r="DU757" s="459"/>
      <c r="DV757" s="468"/>
      <c r="DW757" s="468"/>
      <c r="DX757" s="459"/>
      <c r="DY757" s="459"/>
    </row>
    <row r="758" spans="1:129" s="128" customFormat="1" ht="54.95" customHeight="1" x14ac:dyDescent="0.25">
      <c r="A758" s="377"/>
      <c r="B758" s="175"/>
      <c r="C758" s="393"/>
      <c r="D758" s="168"/>
      <c r="E758" s="168"/>
      <c r="F758" s="168"/>
      <c r="G758" s="168"/>
      <c r="H758" s="168"/>
      <c r="I758" s="168"/>
      <c r="J758" s="168"/>
      <c r="K758" s="168"/>
      <c r="L758" s="168"/>
      <c r="M758" s="168"/>
      <c r="N758" s="168"/>
      <c r="O758" s="433"/>
      <c r="P758" s="122"/>
      <c r="Q758" s="156"/>
      <c r="R758" s="156"/>
      <c r="S758" s="156"/>
      <c r="T758" s="156"/>
      <c r="U758" s="156"/>
      <c r="V758" s="156"/>
      <c r="W758" s="156"/>
      <c r="X758" s="156"/>
      <c r="Y758" s="156"/>
      <c r="Z758" s="157"/>
      <c r="AA758" s="157"/>
      <c r="AB758" s="156"/>
      <c r="AC758" s="156"/>
      <c r="AD758" s="156"/>
      <c r="AE758" s="156"/>
      <c r="AF758" s="156"/>
      <c r="AG758" s="156"/>
      <c r="AH758" s="156"/>
      <c r="AI758" s="156"/>
      <c r="AJ758" s="156"/>
      <c r="AK758" s="156"/>
      <c r="AL758" s="156"/>
      <c r="AM758" s="158"/>
      <c r="AN758" s="156"/>
      <c r="AO758" s="156"/>
      <c r="AP758" s="156"/>
      <c r="AQ758" s="156"/>
      <c r="AR758" s="156"/>
      <c r="AS758" s="156"/>
      <c r="AT758" s="156"/>
      <c r="AU758" s="156"/>
      <c r="AV758" s="156"/>
      <c r="AW758" s="156"/>
      <c r="AX758" s="156"/>
      <c r="AY758" s="156"/>
      <c r="AZ758" s="156"/>
      <c r="BA758" s="153"/>
      <c r="BD758" s="153"/>
      <c r="BE758" s="147"/>
      <c r="BI758" s="153"/>
      <c r="BO758" s="153"/>
      <c r="BW758" s="153"/>
      <c r="CD758" s="146"/>
      <c r="CF758" s="147"/>
      <c r="CI758" s="146"/>
      <c r="CJ758" s="153"/>
      <c r="CV758" s="154"/>
      <c r="CX758" s="154"/>
      <c r="CZ758" s="154"/>
      <c r="DB758" s="154"/>
      <c r="DD758" s="154"/>
      <c r="DH758" s="474"/>
      <c r="DI758" s="459"/>
      <c r="DJ758" s="459"/>
      <c r="DK758" s="459"/>
      <c r="DL758" s="459"/>
      <c r="DM758" s="459"/>
      <c r="DN758" s="459"/>
      <c r="DO758" s="459"/>
      <c r="DP758" s="459"/>
      <c r="DQ758" s="459"/>
      <c r="DR758" s="459"/>
      <c r="DS758" s="459"/>
      <c r="DT758" s="459"/>
      <c r="DU758" s="459"/>
      <c r="DV758" s="468"/>
      <c r="DW758" s="468"/>
      <c r="DX758" s="459"/>
      <c r="DY758" s="459"/>
    </row>
    <row r="759" spans="1:129" s="128" customFormat="1" ht="54.95" customHeight="1" x14ac:dyDescent="0.25">
      <c r="A759" s="377"/>
      <c r="B759" s="175"/>
      <c r="C759" s="393"/>
      <c r="D759" s="168"/>
      <c r="E759" s="168"/>
      <c r="F759" s="168"/>
      <c r="G759" s="168"/>
      <c r="H759" s="168"/>
      <c r="I759" s="168"/>
      <c r="J759" s="168"/>
      <c r="K759" s="168"/>
      <c r="L759" s="168"/>
      <c r="M759" s="168"/>
      <c r="N759" s="168"/>
      <c r="O759" s="433"/>
      <c r="P759" s="122"/>
      <c r="Q759" s="156"/>
      <c r="R759" s="156"/>
      <c r="S759" s="156"/>
      <c r="T759" s="156"/>
      <c r="U759" s="156"/>
      <c r="V759" s="156"/>
      <c r="W759" s="156"/>
      <c r="X759" s="156"/>
      <c r="Y759" s="156"/>
      <c r="Z759" s="157"/>
      <c r="AA759" s="157"/>
      <c r="AB759" s="156"/>
      <c r="AC759" s="156"/>
      <c r="AD759" s="156"/>
      <c r="AE759" s="156"/>
      <c r="AF759" s="156"/>
      <c r="AG759" s="156"/>
      <c r="AH759" s="156"/>
      <c r="AI759" s="156"/>
      <c r="AJ759" s="156"/>
      <c r="AK759" s="156"/>
      <c r="AL759" s="156"/>
      <c r="AM759" s="158"/>
      <c r="AN759" s="156"/>
      <c r="AO759" s="156"/>
      <c r="AP759" s="156"/>
      <c r="AQ759" s="156"/>
      <c r="AR759" s="156"/>
      <c r="AS759" s="156"/>
      <c r="AT759" s="156"/>
      <c r="AU759" s="156"/>
      <c r="AV759" s="156"/>
      <c r="AW759" s="156"/>
      <c r="AX759" s="156"/>
      <c r="AY759" s="156"/>
      <c r="AZ759" s="156"/>
      <c r="BA759" s="153"/>
      <c r="BD759" s="153"/>
      <c r="BE759" s="147"/>
      <c r="BI759" s="153"/>
      <c r="BO759" s="153"/>
      <c r="BW759" s="153"/>
      <c r="CD759" s="146"/>
      <c r="CF759" s="147"/>
      <c r="CI759" s="146"/>
      <c r="CJ759" s="153"/>
      <c r="CV759" s="154"/>
      <c r="CX759" s="154"/>
      <c r="CZ759" s="154"/>
      <c r="DB759" s="154"/>
      <c r="DD759" s="154"/>
      <c r="DH759" s="474"/>
      <c r="DI759" s="459"/>
      <c r="DJ759" s="459"/>
      <c r="DK759" s="459"/>
      <c r="DL759" s="459"/>
      <c r="DM759" s="459"/>
      <c r="DN759" s="459"/>
      <c r="DO759" s="459"/>
      <c r="DP759" s="459"/>
      <c r="DQ759" s="459"/>
      <c r="DR759" s="459"/>
      <c r="DS759" s="459"/>
      <c r="DT759" s="459"/>
      <c r="DU759" s="459"/>
      <c r="DV759" s="468"/>
      <c r="DW759" s="468"/>
      <c r="DX759" s="459"/>
      <c r="DY759" s="459"/>
    </row>
    <row r="760" spans="1:129" s="128" customFormat="1" ht="54.95" customHeight="1" x14ac:dyDescent="0.25">
      <c r="A760" s="377"/>
      <c r="B760" s="175"/>
      <c r="C760" s="393"/>
      <c r="D760" s="168"/>
      <c r="E760" s="168"/>
      <c r="F760" s="168"/>
      <c r="G760" s="168"/>
      <c r="H760" s="168"/>
      <c r="I760" s="168"/>
      <c r="J760" s="168"/>
      <c r="K760" s="168"/>
      <c r="L760" s="168"/>
      <c r="M760" s="168"/>
      <c r="N760" s="168"/>
      <c r="O760" s="433"/>
      <c r="P760" s="122"/>
      <c r="Q760" s="156"/>
      <c r="R760" s="156"/>
      <c r="S760" s="156"/>
      <c r="T760" s="156"/>
      <c r="U760" s="156"/>
      <c r="V760" s="156"/>
      <c r="W760" s="156"/>
      <c r="X760" s="156"/>
      <c r="Y760" s="156"/>
      <c r="Z760" s="157"/>
      <c r="AA760" s="157"/>
      <c r="AB760" s="156"/>
      <c r="AC760" s="156"/>
      <c r="AD760" s="156"/>
      <c r="AE760" s="156"/>
      <c r="AF760" s="156"/>
      <c r="AG760" s="156"/>
      <c r="AH760" s="156"/>
      <c r="AI760" s="156"/>
      <c r="AJ760" s="156"/>
      <c r="AK760" s="156"/>
      <c r="AL760" s="156"/>
      <c r="AM760" s="158"/>
      <c r="AN760" s="156"/>
      <c r="AO760" s="156"/>
      <c r="AP760" s="156"/>
      <c r="AQ760" s="156"/>
      <c r="AR760" s="156"/>
      <c r="AS760" s="156"/>
      <c r="AT760" s="156"/>
      <c r="AU760" s="156"/>
      <c r="AV760" s="156"/>
      <c r="AW760" s="156"/>
      <c r="AX760" s="156"/>
      <c r="AY760" s="156"/>
      <c r="AZ760" s="156"/>
      <c r="BA760" s="153"/>
      <c r="BD760" s="153"/>
      <c r="BE760" s="147"/>
      <c r="BI760" s="153"/>
      <c r="BO760" s="153"/>
      <c r="BW760" s="153"/>
      <c r="CD760" s="146"/>
      <c r="CF760" s="147"/>
      <c r="CI760" s="146"/>
      <c r="CJ760" s="153"/>
      <c r="CV760" s="154"/>
      <c r="CX760" s="154"/>
      <c r="CZ760" s="154"/>
      <c r="DB760" s="154"/>
      <c r="DD760" s="154"/>
      <c r="DH760" s="474"/>
      <c r="DI760" s="459"/>
      <c r="DJ760" s="459"/>
      <c r="DK760" s="459"/>
      <c r="DL760" s="459"/>
      <c r="DM760" s="459"/>
      <c r="DN760" s="459"/>
      <c r="DO760" s="459"/>
      <c r="DP760" s="459"/>
      <c r="DQ760" s="459"/>
      <c r="DR760" s="459"/>
      <c r="DS760" s="459"/>
      <c r="DT760" s="459"/>
      <c r="DU760" s="459"/>
      <c r="DV760" s="468"/>
      <c r="DW760" s="468"/>
      <c r="DX760" s="459"/>
      <c r="DY760" s="459"/>
    </row>
    <row r="761" spans="1:129" s="128" customFormat="1" ht="54.95" customHeight="1" x14ac:dyDescent="0.25">
      <c r="A761" s="377"/>
      <c r="B761" s="175"/>
      <c r="C761" s="393"/>
      <c r="D761" s="168"/>
      <c r="E761" s="168"/>
      <c r="F761" s="168"/>
      <c r="G761" s="168"/>
      <c r="H761" s="168"/>
      <c r="I761" s="168"/>
      <c r="J761" s="168"/>
      <c r="K761" s="168"/>
      <c r="L761" s="168"/>
      <c r="M761" s="168"/>
      <c r="N761" s="168"/>
      <c r="O761" s="433"/>
      <c r="P761" s="122"/>
      <c r="Q761" s="156"/>
      <c r="R761" s="156"/>
      <c r="S761" s="156"/>
      <c r="T761" s="156"/>
      <c r="U761" s="156"/>
      <c r="V761" s="156"/>
      <c r="W761" s="156"/>
      <c r="X761" s="156"/>
      <c r="Y761" s="156"/>
      <c r="Z761" s="157"/>
      <c r="AA761" s="157"/>
      <c r="AB761" s="156"/>
      <c r="AC761" s="156"/>
      <c r="AD761" s="156"/>
      <c r="AE761" s="156"/>
      <c r="AF761" s="156"/>
      <c r="AG761" s="156"/>
      <c r="AH761" s="156"/>
      <c r="AI761" s="156"/>
      <c r="AJ761" s="156"/>
      <c r="AK761" s="156"/>
      <c r="AL761" s="156"/>
      <c r="AM761" s="158"/>
      <c r="AN761" s="156"/>
      <c r="AO761" s="156"/>
      <c r="AP761" s="156"/>
      <c r="AQ761" s="156"/>
      <c r="AR761" s="156"/>
      <c r="AS761" s="156"/>
      <c r="AT761" s="156"/>
      <c r="AU761" s="156"/>
      <c r="AV761" s="156"/>
      <c r="AW761" s="156"/>
      <c r="AX761" s="156"/>
      <c r="AY761" s="156"/>
      <c r="AZ761" s="156"/>
      <c r="BA761" s="153"/>
      <c r="BD761" s="153"/>
      <c r="BE761" s="147"/>
      <c r="BI761" s="153"/>
      <c r="BO761" s="153"/>
      <c r="BW761" s="153"/>
      <c r="CD761" s="146"/>
      <c r="CF761" s="147"/>
      <c r="CI761" s="146"/>
      <c r="CJ761" s="153"/>
      <c r="CV761" s="154"/>
      <c r="CX761" s="154"/>
      <c r="CZ761" s="154"/>
      <c r="DB761" s="154"/>
      <c r="DD761" s="154"/>
      <c r="DH761" s="474"/>
      <c r="DI761" s="459"/>
      <c r="DJ761" s="459"/>
      <c r="DK761" s="459"/>
      <c r="DL761" s="459"/>
      <c r="DM761" s="459"/>
      <c r="DN761" s="459"/>
      <c r="DO761" s="459"/>
      <c r="DP761" s="459"/>
      <c r="DQ761" s="459"/>
      <c r="DR761" s="459"/>
      <c r="DS761" s="459"/>
      <c r="DT761" s="459"/>
      <c r="DU761" s="459"/>
      <c r="DV761" s="468"/>
      <c r="DW761" s="468"/>
      <c r="DX761" s="459"/>
      <c r="DY761" s="459"/>
    </row>
    <row r="762" spans="1:129" s="128" customFormat="1" ht="54.95" customHeight="1" x14ac:dyDescent="0.25">
      <c r="A762" s="377"/>
      <c r="B762" s="175"/>
      <c r="C762" s="393"/>
      <c r="D762" s="168"/>
      <c r="E762" s="168"/>
      <c r="F762" s="168"/>
      <c r="G762" s="168"/>
      <c r="H762" s="168"/>
      <c r="I762" s="168"/>
      <c r="J762" s="168"/>
      <c r="K762" s="168"/>
      <c r="L762" s="168"/>
      <c r="M762" s="168"/>
      <c r="N762" s="168"/>
      <c r="O762" s="433"/>
      <c r="P762" s="122"/>
      <c r="Q762" s="156"/>
      <c r="R762" s="156"/>
      <c r="S762" s="156"/>
      <c r="T762" s="156"/>
      <c r="U762" s="156"/>
      <c r="V762" s="156"/>
      <c r="W762" s="156"/>
      <c r="X762" s="156"/>
      <c r="Y762" s="156"/>
      <c r="Z762" s="157"/>
      <c r="AA762" s="157"/>
      <c r="AB762" s="156"/>
      <c r="AC762" s="156"/>
      <c r="AD762" s="156"/>
      <c r="AE762" s="156"/>
      <c r="AF762" s="156"/>
      <c r="AG762" s="156"/>
      <c r="AH762" s="156"/>
      <c r="AI762" s="156"/>
      <c r="AJ762" s="156"/>
      <c r="AK762" s="156"/>
      <c r="AL762" s="156"/>
      <c r="AM762" s="158"/>
      <c r="AN762" s="156"/>
      <c r="AO762" s="156"/>
      <c r="AP762" s="156"/>
      <c r="AQ762" s="156"/>
      <c r="AR762" s="156"/>
      <c r="AS762" s="156"/>
      <c r="AT762" s="156"/>
      <c r="AU762" s="156"/>
      <c r="AV762" s="156"/>
      <c r="AW762" s="156"/>
      <c r="AX762" s="156"/>
      <c r="AY762" s="156"/>
      <c r="AZ762" s="156"/>
      <c r="BA762" s="153"/>
      <c r="BD762" s="153"/>
      <c r="BE762" s="147"/>
      <c r="BI762" s="153"/>
      <c r="BO762" s="153"/>
      <c r="BW762" s="153"/>
      <c r="CD762" s="146"/>
      <c r="CF762" s="147"/>
      <c r="CI762" s="146"/>
      <c r="CJ762" s="153"/>
      <c r="CV762" s="154"/>
      <c r="CX762" s="154"/>
      <c r="CZ762" s="154"/>
      <c r="DB762" s="154"/>
      <c r="DD762" s="154"/>
      <c r="DH762" s="474"/>
      <c r="DI762" s="459"/>
      <c r="DJ762" s="459"/>
      <c r="DK762" s="459"/>
      <c r="DL762" s="459"/>
      <c r="DM762" s="459"/>
      <c r="DN762" s="459"/>
      <c r="DO762" s="459"/>
      <c r="DP762" s="459"/>
      <c r="DQ762" s="459"/>
      <c r="DR762" s="459"/>
      <c r="DS762" s="459"/>
      <c r="DT762" s="459"/>
      <c r="DU762" s="459"/>
      <c r="DV762" s="468"/>
      <c r="DW762" s="468"/>
      <c r="DX762" s="459"/>
      <c r="DY762" s="459"/>
    </row>
    <row r="763" spans="1:129" s="128" customFormat="1" ht="54.95" customHeight="1" x14ac:dyDescent="0.25">
      <c r="A763" s="377"/>
      <c r="B763" s="175"/>
      <c r="C763" s="393"/>
      <c r="D763" s="168"/>
      <c r="E763" s="168"/>
      <c r="F763" s="168"/>
      <c r="G763" s="168"/>
      <c r="H763" s="168"/>
      <c r="I763" s="168"/>
      <c r="J763" s="168"/>
      <c r="K763" s="168"/>
      <c r="L763" s="168"/>
      <c r="M763" s="168"/>
      <c r="N763" s="168"/>
      <c r="O763" s="433"/>
      <c r="P763" s="122"/>
      <c r="Q763" s="156"/>
      <c r="R763" s="156"/>
      <c r="S763" s="156"/>
      <c r="T763" s="156"/>
      <c r="U763" s="156"/>
      <c r="V763" s="156"/>
      <c r="W763" s="156"/>
      <c r="X763" s="156"/>
      <c r="Y763" s="156"/>
      <c r="Z763" s="157"/>
      <c r="AA763" s="157"/>
      <c r="AB763" s="156"/>
      <c r="AC763" s="156"/>
      <c r="AD763" s="156"/>
      <c r="AE763" s="156"/>
      <c r="AF763" s="156"/>
      <c r="AG763" s="156"/>
      <c r="AH763" s="156"/>
      <c r="AI763" s="156"/>
      <c r="AJ763" s="156"/>
      <c r="AK763" s="156"/>
      <c r="AL763" s="156"/>
      <c r="AM763" s="158"/>
      <c r="AN763" s="156"/>
      <c r="AO763" s="156"/>
      <c r="AP763" s="156"/>
      <c r="AQ763" s="156"/>
      <c r="AR763" s="156"/>
      <c r="AS763" s="156"/>
      <c r="AT763" s="156"/>
      <c r="AU763" s="156"/>
      <c r="AV763" s="156"/>
      <c r="AW763" s="156"/>
      <c r="AX763" s="156"/>
      <c r="AY763" s="156"/>
      <c r="AZ763" s="156"/>
      <c r="BA763" s="153"/>
      <c r="BD763" s="153"/>
      <c r="BE763" s="147"/>
      <c r="BI763" s="153"/>
      <c r="BO763" s="153"/>
      <c r="BW763" s="153"/>
      <c r="CD763" s="146"/>
      <c r="CF763" s="147"/>
      <c r="CI763" s="146"/>
      <c r="CJ763" s="153"/>
      <c r="CV763" s="154"/>
      <c r="CX763" s="154"/>
      <c r="CZ763" s="154"/>
      <c r="DB763" s="154"/>
      <c r="DD763" s="154"/>
      <c r="DH763" s="474"/>
      <c r="DI763" s="459"/>
      <c r="DJ763" s="459"/>
      <c r="DK763" s="459"/>
      <c r="DL763" s="459"/>
      <c r="DM763" s="459"/>
      <c r="DN763" s="459"/>
      <c r="DO763" s="459"/>
      <c r="DP763" s="459"/>
      <c r="DQ763" s="459"/>
      <c r="DR763" s="459"/>
      <c r="DS763" s="459"/>
      <c r="DT763" s="459"/>
      <c r="DU763" s="459"/>
      <c r="DV763" s="468"/>
      <c r="DW763" s="468"/>
      <c r="DX763" s="459"/>
      <c r="DY763" s="459"/>
    </row>
    <row r="764" spans="1:129" s="128" customFormat="1" ht="54.95" customHeight="1" x14ac:dyDescent="0.25">
      <c r="A764" s="377"/>
      <c r="B764" s="175"/>
      <c r="C764" s="393"/>
      <c r="D764" s="168"/>
      <c r="E764" s="168"/>
      <c r="F764" s="168"/>
      <c r="G764" s="168"/>
      <c r="H764" s="168"/>
      <c r="I764" s="168"/>
      <c r="J764" s="168"/>
      <c r="K764" s="168"/>
      <c r="L764" s="168"/>
      <c r="M764" s="168"/>
      <c r="N764" s="168"/>
      <c r="O764" s="433"/>
      <c r="P764" s="122"/>
      <c r="Q764" s="156"/>
      <c r="R764" s="156"/>
      <c r="S764" s="156"/>
      <c r="T764" s="156"/>
      <c r="U764" s="156"/>
      <c r="V764" s="156"/>
      <c r="W764" s="156"/>
      <c r="X764" s="156"/>
      <c r="Y764" s="156"/>
      <c r="Z764" s="157"/>
      <c r="AA764" s="157"/>
      <c r="AB764" s="156"/>
      <c r="AC764" s="156"/>
      <c r="AD764" s="156"/>
      <c r="AE764" s="156"/>
      <c r="AF764" s="156"/>
      <c r="AG764" s="156"/>
      <c r="AH764" s="156"/>
      <c r="AI764" s="156"/>
      <c r="AJ764" s="156"/>
      <c r="AK764" s="156"/>
      <c r="AL764" s="156"/>
      <c r="AM764" s="158"/>
      <c r="AN764" s="156"/>
      <c r="AO764" s="156"/>
      <c r="AP764" s="156"/>
      <c r="AQ764" s="156"/>
      <c r="AR764" s="156"/>
      <c r="AS764" s="156"/>
      <c r="AT764" s="156"/>
      <c r="AU764" s="156"/>
      <c r="AV764" s="156"/>
      <c r="AW764" s="156"/>
      <c r="AX764" s="156"/>
      <c r="AY764" s="156"/>
      <c r="AZ764" s="156"/>
      <c r="BA764" s="153"/>
      <c r="BD764" s="153"/>
      <c r="BE764" s="147"/>
      <c r="BI764" s="153"/>
      <c r="BO764" s="153"/>
      <c r="BW764" s="153"/>
      <c r="CD764" s="146"/>
      <c r="CF764" s="147"/>
      <c r="CI764" s="146"/>
      <c r="CJ764" s="153"/>
      <c r="CV764" s="154"/>
      <c r="CX764" s="154"/>
      <c r="CZ764" s="154"/>
      <c r="DB764" s="154"/>
      <c r="DD764" s="154"/>
      <c r="DH764" s="474"/>
      <c r="DI764" s="459"/>
      <c r="DJ764" s="459"/>
      <c r="DK764" s="459"/>
      <c r="DL764" s="459"/>
      <c r="DM764" s="459"/>
      <c r="DN764" s="459"/>
      <c r="DO764" s="459"/>
      <c r="DP764" s="459"/>
      <c r="DQ764" s="459"/>
      <c r="DR764" s="459"/>
      <c r="DS764" s="459"/>
      <c r="DT764" s="459"/>
      <c r="DU764" s="459"/>
      <c r="DV764" s="468"/>
      <c r="DW764" s="468"/>
      <c r="DX764" s="459"/>
      <c r="DY764" s="459"/>
    </row>
    <row r="765" spans="1:129" s="128" customFormat="1" ht="54.95" customHeight="1" x14ac:dyDescent="0.25">
      <c r="A765" s="377"/>
      <c r="B765" s="175"/>
      <c r="C765" s="393"/>
      <c r="D765" s="168"/>
      <c r="E765" s="168"/>
      <c r="F765" s="168"/>
      <c r="G765" s="168"/>
      <c r="H765" s="168"/>
      <c r="I765" s="168"/>
      <c r="J765" s="168"/>
      <c r="K765" s="168"/>
      <c r="L765" s="168"/>
      <c r="M765" s="168"/>
      <c r="N765" s="168"/>
      <c r="O765" s="433"/>
      <c r="P765" s="122"/>
      <c r="Q765" s="156"/>
      <c r="R765" s="156"/>
      <c r="S765" s="156"/>
      <c r="T765" s="156"/>
      <c r="U765" s="156"/>
      <c r="V765" s="156"/>
      <c r="W765" s="156"/>
      <c r="X765" s="156"/>
      <c r="Y765" s="156"/>
      <c r="Z765" s="157"/>
      <c r="AA765" s="157"/>
      <c r="AB765" s="156"/>
      <c r="AC765" s="156"/>
      <c r="AD765" s="156"/>
      <c r="AE765" s="156"/>
      <c r="AF765" s="156"/>
      <c r="AG765" s="156"/>
      <c r="AH765" s="156"/>
      <c r="AI765" s="156"/>
      <c r="AJ765" s="156"/>
      <c r="AK765" s="156"/>
      <c r="AL765" s="156"/>
      <c r="AM765" s="158"/>
      <c r="AN765" s="156"/>
      <c r="AO765" s="156"/>
      <c r="AP765" s="156"/>
      <c r="AQ765" s="156"/>
      <c r="AR765" s="156"/>
      <c r="AS765" s="156"/>
      <c r="AT765" s="156"/>
      <c r="AU765" s="156"/>
      <c r="AV765" s="156"/>
      <c r="AW765" s="156"/>
      <c r="AX765" s="156"/>
      <c r="AY765" s="156"/>
      <c r="AZ765" s="156"/>
      <c r="BA765" s="153"/>
      <c r="BD765" s="153"/>
      <c r="BE765" s="147"/>
      <c r="BI765" s="153"/>
      <c r="BO765" s="153"/>
      <c r="BW765" s="153"/>
      <c r="CD765" s="146"/>
      <c r="CF765" s="147"/>
      <c r="CI765" s="146"/>
      <c r="CJ765" s="153"/>
      <c r="CV765" s="154"/>
      <c r="CX765" s="154"/>
      <c r="CZ765" s="154"/>
      <c r="DB765" s="154"/>
      <c r="DD765" s="154"/>
      <c r="DH765" s="474"/>
      <c r="DI765" s="459"/>
      <c r="DJ765" s="459"/>
      <c r="DK765" s="459"/>
      <c r="DL765" s="459"/>
      <c r="DM765" s="459"/>
      <c r="DN765" s="459"/>
      <c r="DO765" s="459"/>
      <c r="DP765" s="459"/>
      <c r="DQ765" s="459"/>
      <c r="DR765" s="459"/>
      <c r="DS765" s="459"/>
      <c r="DT765" s="459"/>
      <c r="DU765" s="459"/>
      <c r="DV765" s="468"/>
      <c r="DW765" s="468"/>
      <c r="DX765" s="459"/>
      <c r="DY765" s="459"/>
    </row>
    <row r="766" spans="1:129" s="128" customFormat="1" ht="54.95" customHeight="1" x14ac:dyDescent="0.25">
      <c r="A766" s="377"/>
      <c r="B766" s="175"/>
      <c r="C766" s="393"/>
      <c r="D766" s="168"/>
      <c r="E766" s="168"/>
      <c r="F766" s="168"/>
      <c r="G766" s="168"/>
      <c r="H766" s="168"/>
      <c r="I766" s="168"/>
      <c r="J766" s="168"/>
      <c r="K766" s="168"/>
      <c r="L766" s="168"/>
      <c r="M766" s="168"/>
      <c r="N766" s="168"/>
      <c r="O766" s="433"/>
      <c r="P766" s="122"/>
      <c r="Q766" s="156"/>
      <c r="R766" s="156"/>
      <c r="S766" s="156"/>
      <c r="T766" s="156"/>
      <c r="U766" s="156"/>
      <c r="V766" s="156"/>
      <c r="W766" s="156"/>
      <c r="X766" s="156"/>
      <c r="Y766" s="156"/>
      <c r="Z766" s="157"/>
      <c r="AA766" s="157"/>
      <c r="AB766" s="156"/>
      <c r="AC766" s="156"/>
      <c r="AD766" s="156"/>
      <c r="AE766" s="156"/>
      <c r="AF766" s="156"/>
      <c r="AG766" s="156"/>
      <c r="AH766" s="156"/>
      <c r="AI766" s="156"/>
      <c r="AJ766" s="156"/>
      <c r="AK766" s="156"/>
      <c r="AL766" s="156"/>
      <c r="AM766" s="158"/>
      <c r="AN766" s="156"/>
      <c r="AO766" s="156"/>
      <c r="AP766" s="156"/>
      <c r="AQ766" s="156"/>
      <c r="AR766" s="156"/>
      <c r="AS766" s="156"/>
      <c r="AT766" s="156"/>
      <c r="AU766" s="156"/>
      <c r="AV766" s="156"/>
      <c r="AW766" s="156"/>
      <c r="AX766" s="156"/>
      <c r="AY766" s="156"/>
      <c r="AZ766" s="156"/>
      <c r="BA766" s="153"/>
      <c r="BD766" s="153"/>
      <c r="BE766" s="147"/>
      <c r="BI766" s="153"/>
      <c r="BO766" s="153"/>
      <c r="BW766" s="153"/>
      <c r="CD766" s="146"/>
      <c r="CF766" s="147"/>
      <c r="CI766" s="146"/>
      <c r="CJ766" s="153"/>
      <c r="CV766" s="154"/>
      <c r="CX766" s="154"/>
      <c r="CZ766" s="154"/>
      <c r="DB766" s="154"/>
      <c r="DD766" s="154"/>
      <c r="DH766" s="474"/>
      <c r="DI766" s="459"/>
      <c r="DJ766" s="459"/>
      <c r="DK766" s="459"/>
      <c r="DL766" s="459"/>
      <c r="DM766" s="459"/>
      <c r="DN766" s="459"/>
      <c r="DO766" s="459"/>
      <c r="DP766" s="459"/>
      <c r="DQ766" s="459"/>
      <c r="DR766" s="459"/>
      <c r="DS766" s="459"/>
      <c r="DT766" s="459"/>
      <c r="DU766" s="459"/>
      <c r="DV766" s="468"/>
      <c r="DW766" s="468"/>
      <c r="DX766" s="459"/>
      <c r="DY766" s="459"/>
    </row>
    <row r="767" spans="1:129" s="128" customFormat="1" ht="54.95" customHeight="1" x14ac:dyDescent="0.25">
      <c r="A767" s="377"/>
      <c r="B767" s="175"/>
      <c r="C767" s="393"/>
      <c r="D767" s="168"/>
      <c r="E767" s="168"/>
      <c r="F767" s="168"/>
      <c r="G767" s="168"/>
      <c r="H767" s="168"/>
      <c r="I767" s="168"/>
      <c r="J767" s="168"/>
      <c r="K767" s="168"/>
      <c r="L767" s="168"/>
      <c r="M767" s="168"/>
      <c r="N767" s="168"/>
      <c r="O767" s="433"/>
      <c r="P767" s="122"/>
      <c r="Q767" s="156"/>
      <c r="R767" s="156"/>
      <c r="S767" s="156"/>
      <c r="T767" s="156"/>
      <c r="U767" s="156"/>
      <c r="V767" s="156"/>
      <c r="W767" s="156"/>
      <c r="X767" s="156"/>
      <c r="Y767" s="156"/>
      <c r="Z767" s="157"/>
      <c r="AA767" s="157"/>
      <c r="AB767" s="156"/>
      <c r="AC767" s="156"/>
      <c r="AD767" s="156"/>
      <c r="AE767" s="156"/>
      <c r="AF767" s="156"/>
      <c r="AG767" s="156"/>
      <c r="AH767" s="156"/>
      <c r="AI767" s="156"/>
      <c r="AJ767" s="156"/>
      <c r="AK767" s="156"/>
      <c r="AL767" s="156"/>
      <c r="AM767" s="158"/>
      <c r="AN767" s="156"/>
      <c r="AO767" s="156"/>
      <c r="AP767" s="156"/>
      <c r="AQ767" s="156"/>
      <c r="AR767" s="156"/>
      <c r="AS767" s="156"/>
      <c r="AT767" s="156"/>
      <c r="AU767" s="156"/>
      <c r="AV767" s="156"/>
      <c r="AW767" s="156"/>
      <c r="AX767" s="156"/>
      <c r="AY767" s="156"/>
      <c r="AZ767" s="156"/>
      <c r="BA767" s="153"/>
      <c r="BD767" s="153"/>
      <c r="BE767" s="147"/>
      <c r="BI767" s="153"/>
      <c r="BO767" s="153"/>
      <c r="BW767" s="153"/>
      <c r="CD767" s="146"/>
      <c r="CF767" s="147"/>
      <c r="CI767" s="146"/>
      <c r="CJ767" s="153"/>
      <c r="CV767" s="154"/>
      <c r="CX767" s="154"/>
      <c r="CZ767" s="154"/>
      <c r="DB767" s="154"/>
      <c r="DD767" s="154"/>
      <c r="DH767" s="474"/>
      <c r="DI767" s="459"/>
      <c r="DJ767" s="459"/>
      <c r="DK767" s="459"/>
      <c r="DL767" s="459"/>
      <c r="DM767" s="459"/>
      <c r="DN767" s="459"/>
      <c r="DO767" s="459"/>
      <c r="DP767" s="459"/>
      <c r="DQ767" s="459"/>
      <c r="DR767" s="459"/>
      <c r="DS767" s="459"/>
      <c r="DT767" s="459"/>
      <c r="DU767" s="459"/>
      <c r="DV767" s="468"/>
      <c r="DW767" s="468"/>
      <c r="DX767" s="459"/>
      <c r="DY767" s="459"/>
    </row>
    <row r="768" spans="1:129" s="128" customFormat="1" ht="54.95" customHeight="1" x14ac:dyDescent="0.25">
      <c r="A768" s="377"/>
      <c r="B768" s="175"/>
      <c r="C768" s="393"/>
      <c r="D768" s="168"/>
      <c r="E768" s="168"/>
      <c r="F768" s="168"/>
      <c r="G768" s="168"/>
      <c r="H768" s="168"/>
      <c r="I768" s="168"/>
      <c r="J768" s="168"/>
      <c r="K768" s="168"/>
      <c r="L768" s="168"/>
      <c r="M768" s="168"/>
      <c r="N768" s="168"/>
      <c r="O768" s="433"/>
      <c r="P768" s="122"/>
      <c r="Q768" s="156"/>
      <c r="R768" s="156"/>
      <c r="S768" s="156"/>
      <c r="T768" s="156"/>
      <c r="U768" s="156"/>
      <c r="V768" s="156"/>
      <c r="W768" s="156"/>
      <c r="X768" s="156"/>
      <c r="Y768" s="156"/>
      <c r="Z768" s="157"/>
      <c r="AA768" s="157"/>
      <c r="AB768" s="156"/>
      <c r="AC768" s="156"/>
      <c r="AD768" s="156"/>
      <c r="AE768" s="156"/>
      <c r="AF768" s="156"/>
      <c r="AG768" s="156"/>
      <c r="AH768" s="156"/>
      <c r="AI768" s="156"/>
      <c r="AJ768" s="156"/>
      <c r="AK768" s="156"/>
      <c r="AL768" s="156"/>
      <c r="AM768" s="158"/>
      <c r="AN768" s="156"/>
      <c r="AO768" s="156"/>
      <c r="AP768" s="156"/>
      <c r="AQ768" s="156"/>
      <c r="AR768" s="156"/>
      <c r="AS768" s="156"/>
      <c r="AT768" s="156"/>
      <c r="AU768" s="156"/>
      <c r="AV768" s="156"/>
      <c r="AW768" s="156"/>
      <c r="AX768" s="156"/>
      <c r="AY768" s="156"/>
      <c r="AZ768" s="156"/>
      <c r="BA768" s="153"/>
      <c r="BD768" s="153"/>
      <c r="BE768" s="147"/>
      <c r="BI768" s="153"/>
      <c r="BO768" s="153"/>
      <c r="BW768" s="153"/>
      <c r="CD768" s="146"/>
      <c r="CF768" s="147"/>
      <c r="CI768" s="146"/>
      <c r="CJ768" s="153"/>
      <c r="CV768" s="154"/>
      <c r="CX768" s="154"/>
      <c r="CZ768" s="154"/>
      <c r="DB768" s="154"/>
      <c r="DD768" s="154"/>
      <c r="DH768" s="474"/>
      <c r="DI768" s="459"/>
      <c r="DJ768" s="459"/>
      <c r="DK768" s="459"/>
      <c r="DL768" s="459"/>
      <c r="DM768" s="459"/>
      <c r="DN768" s="459"/>
      <c r="DO768" s="459"/>
      <c r="DP768" s="459"/>
      <c r="DQ768" s="459"/>
      <c r="DR768" s="459"/>
      <c r="DS768" s="459"/>
      <c r="DT768" s="459"/>
      <c r="DU768" s="459"/>
      <c r="DV768" s="468"/>
      <c r="DW768" s="468"/>
      <c r="DX768" s="459"/>
      <c r="DY768" s="459"/>
    </row>
    <row r="769" spans="1:129" s="128" customFormat="1" ht="54.95" customHeight="1" x14ac:dyDescent="0.25">
      <c r="A769" s="377"/>
      <c r="B769" s="175"/>
      <c r="C769" s="393"/>
      <c r="D769" s="168"/>
      <c r="E769" s="168"/>
      <c r="F769" s="168"/>
      <c r="G769" s="168"/>
      <c r="H769" s="168"/>
      <c r="I769" s="168"/>
      <c r="J769" s="168"/>
      <c r="K769" s="168"/>
      <c r="L769" s="168"/>
      <c r="M769" s="168"/>
      <c r="N769" s="168"/>
      <c r="O769" s="433"/>
      <c r="P769" s="122"/>
      <c r="Q769" s="156"/>
      <c r="R769" s="156"/>
      <c r="S769" s="156"/>
      <c r="T769" s="156"/>
      <c r="U769" s="156"/>
      <c r="V769" s="156"/>
      <c r="W769" s="156"/>
      <c r="X769" s="156"/>
      <c r="Y769" s="156"/>
      <c r="Z769" s="157"/>
      <c r="AA769" s="157"/>
      <c r="AB769" s="156"/>
      <c r="AC769" s="156"/>
      <c r="AD769" s="156"/>
      <c r="AE769" s="156"/>
      <c r="AF769" s="156"/>
      <c r="AG769" s="156"/>
      <c r="AH769" s="156"/>
      <c r="AI769" s="156"/>
      <c r="AJ769" s="156"/>
      <c r="AK769" s="156"/>
      <c r="AL769" s="156"/>
      <c r="AM769" s="158"/>
      <c r="AN769" s="156"/>
      <c r="AO769" s="156"/>
      <c r="AP769" s="156"/>
      <c r="AQ769" s="156"/>
      <c r="AR769" s="156"/>
      <c r="AS769" s="156"/>
      <c r="AT769" s="156"/>
      <c r="AU769" s="156"/>
      <c r="AV769" s="156"/>
      <c r="AW769" s="156"/>
      <c r="AX769" s="156"/>
      <c r="AY769" s="156"/>
      <c r="AZ769" s="156"/>
      <c r="BA769" s="153"/>
      <c r="BD769" s="153"/>
      <c r="BE769" s="147"/>
      <c r="BI769" s="153"/>
      <c r="BO769" s="153"/>
      <c r="BW769" s="153"/>
      <c r="CD769" s="146"/>
      <c r="CF769" s="147"/>
      <c r="CI769" s="146"/>
      <c r="CJ769" s="153"/>
      <c r="CV769" s="154"/>
      <c r="CX769" s="154"/>
      <c r="CZ769" s="154"/>
      <c r="DB769" s="154"/>
      <c r="DD769" s="154"/>
      <c r="DH769" s="474"/>
      <c r="DI769" s="459"/>
      <c r="DJ769" s="459"/>
      <c r="DK769" s="459"/>
      <c r="DL769" s="459"/>
      <c r="DM769" s="459"/>
      <c r="DN769" s="459"/>
      <c r="DO769" s="459"/>
      <c r="DP769" s="459"/>
      <c r="DQ769" s="459"/>
      <c r="DR769" s="459"/>
      <c r="DS769" s="459"/>
      <c r="DT769" s="459"/>
      <c r="DU769" s="459"/>
      <c r="DV769" s="468"/>
      <c r="DW769" s="468"/>
      <c r="DX769" s="459"/>
      <c r="DY769" s="459"/>
    </row>
    <row r="770" spans="1:129" s="128" customFormat="1" ht="54.95" customHeight="1" x14ac:dyDescent="0.25">
      <c r="A770" s="377"/>
      <c r="B770" s="175"/>
      <c r="C770" s="393"/>
      <c r="D770" s="168"/>
      <c r="E770" s="168"/>
      <c r="F770" s="168"/>
      <c r="G770" s="168"/>
      <c r="H770" s="168"/>
      <c r="I770" s="168"/>
      <c r="J770" s="168"/>
      <c r="K770" s="168"/>
      <c r="L770" s="168"/>
      <c r="M770" s="168"/>
      <c r="N770" s="168"/>
      <c r="O770" s="433"/>
      <c r="P770" s="122"/>
      <c r="Q770" s="156"/>
      <c r="R770" s="156"/>
      <c r="S770" s="156"/>
      <c r="T770" s="156"/>
      <c r="U770" s="156"/>
      <c r="V770" s="156"/>
      <c r="W770" s="156"/>
      <c r="X770" s="156"/>
      <c r="Y770" s="156"/>
      <c r="Z770" s="157"/>
      <c r="AA770" s="157"/>
      <c r="AB770" s="156"/>
      <c r="AC770" s="156"/>
      <c r="AD770" s="156"/>
      <c r="AE770" s="156"/>
      <c r="AF770" s="156"/>
      <c r="AG770" s="156"/>
      <c r="AH770" s="156"/>
      <c r="AI770" s="156"/>
      <c r="AJ770" s="156"/>
      <c r="AK770" s="156"/>
      <c r="AL770" s="156"/>
      <c r="AM770" s="158"/>
      <c r="AN770" s="156"/>
      <c r="AO770" s="156"/>
      <c r="AP770" s="156"/>
      <c r="AQ770" s="156"/>
      <c r="AR770" s="156"/>
      <c r="AS770" s="156"/>
      <c r="AT770" s="156"/>
      <c r="AU770" s="156"/>
      <c r="AV770" s="156"/>
      <c r="AW770" s="156"/>
      <c r="AX770" s="156"/>
      <c r="AY770" s="156"/>
      <c r="AZ770" s="156"/>
      <c r="BA770" s="153"/>
      <c r="BD770" s="153"/>
      <c r="BE770" s="147"/>
      <c r="BI770" s="153"/>
      <c r="BO770" s="153"/>
      <c r="BW770" s="153"/>
      <c r="CD770" s="146"/>
      <c r="CF770" s="147"/>
      <c r="CI770" s="146"/>
      <c r="CJ770" s="153"/>
      <c r="CV770" s="154"/>
      <c r="CX770" s="154"/>
      <c r="CZ770" s="154"/>
      <c r="DB770" s="154"/>
      <c r="DD770" s="154"/>
      <c r="DH770" s="474"/>
      <c r="DI770" s="459"/>
      <c r="DJ770" s="459"/>
      <c r="DK770" s="459"/>
      <c r="DL770" s="459"/>
      <c r="DM770" s="459"/>
      <c r="DN770" s="459"/>
      <c r="DO770" s="459"/>
      <c r="DP770" s="459"/>
      <c r="DQ770" s="459"/>
      <c r="DR770" s="459"/>
      <c r="DS770" s="459"/>
      <c r="DT770" s="459"/>
      <c r="DU770" s="459"/>
      <c r="DV770" s="468"/>
      <c r="DW770" s="468"/>
      <c r="DX770" s="459"/>
      <c r="DY770" s="459"/>
    </row>
    <row r="771" spans="1:129" s="128" customFormat="1" ht="54.95" customHeight="1" x14ac:dyDescent="0.25">
      <c r="A771" s="377"/>
      <c r="B771" s="175"/>
      <c r="C771" s="393"/>
      <c r="D771" s="168"/>
      <c r="E771" s="168"/>
      <c r="F771" s="168"/>
      <c r="G771" s="168"/>
      <c r="H771" s="168"/>
      <c r="I771" s="168"/>
      <c r="J771" s="168"/>
      <c r="K771" s="168"/>
      <c r="L771" s="168"/>
      <c r="M771" s="168"/>
      <c r="N771" s="168"/>
      <c r="O771" s="433"/>
      <c r="P771" s="122"/>
      <c r="Q771" s="156"/>
      <c r="R771" s="156"/>
      <c r="S771" s="156"/>
      <c r="T771" s="156"/>
      <c r="U771" s="156"/>
      <c r="V771" s="156"/>
      <c r="W771" s="156"/>
      <c r="X771" s="156"/>
      <c r="Y771" s="156"/>
      <c r="Z771" s="157"/>
      <c r="AA771" s="157"/>
      <c r="AB771" s="156"/>
      <c r="AC771" s="156"/>
      <c r="AD771" s="156"/>
      <c r="AE771" s="156"/>
      <c r="AF771" s="156"/>
      <c r="AG771" s="156"/>
      <c r="AH771" s="156"/>
      <c r="AI771" s="156"/>
      <c r="AJ771" s="156"/>
      <c r="AK771" s="156"/>
      <c r="AL771" s="156"/>
      <c r="AM771" s="158"/>
      <c r="AN771" s="156"/>
      <c r="AO771" s="156"/>
      <c r="AP771" s="156"/>
      <c r="AQ771" s="156"/>
      <c r="AR771" s="156"/>
      <c r="AS771" s="156"/>
      <c r="AT771" s="156"/>
      <c r="AU771" s="156"/>
      <c r="AV771" s="156"/>
      <c r="AW771" s="156"/>
      <c r="AX771" s="156"/>
      <c r="AY771" s="156"/>
      <c r="AZ771" s="156"/>
      <c r="BA771" s="153"/>
      <c r="BD771" s="153"/>
      <c r="BE771" s="147"/>
      <c r="BI771" s="153"/>
      <c r="BO771" s="153"/>
      <c r="BW771" s="153"/>
      <c r="CD771" s="146"/>
      <c r="CF771" s="147"/>
      <c r="CI771" s="146"/>
      <c r="CJ771" s="153"/>
      <c r="CV771" s="154"/>
      <c r="CX771" s="154"/>
      <c r="CZ771" s="154"/>
      <c r="DB771" s="154"/>
      <c r="DD771" s="154"/>
      <c r="DH771" s="474"/>
      <c r="DI771" s="459"/>
      <c r="DJ771" s="459"/>
      <c r="DK771" s="459"/>
      <c r="DL771" s="459"/>
      <c r="DM771" s="459"/>
      <c r="DN771" s="459"/>
      <c r="DO771" s="459"/>
      <c r="DP771" s="459"/>
      <c r="DQ771" s="459"/>
      <c r="DR771" s="459"/>
      <c r="DS771" s="459"/>
      <c r="DT771" s="459"/>
      <c r="DU771" s="459"/>
      <c r="DV771" s="468"/>
      <c r="DW771" s="468"/>
      <c r="DX771" s="459"/>
      <c r="DY771" s="459"/>
    </row>
    <row r="772" spans="1:129" s="128" customFormat="1" ht="54.95" customHeight="1" x14ac:dyDescent="0.25">
      <c r="A772" s="377"/>
      <c r="B772" s="175"/>
      <c r="C772" s="393"/>
      <c r="D772" s="168"/>
      <c r="E772" s="168"/>
      <c r="F772" s="168"/>
      <c r="G772" s="168"/>
      <c r="H772" s="168"/>
      <c r="I772" s="168"/>
      <c r="J772" s="168"/>
      <c r="K772" s="168"/>
      <c r="L772" s="168"/>
      <c r="M772" s="168"/>
      <c r="N772" s="168"/>
      <c r="O772" s="433"/>
      <c r="P772" s="122"/>
      <c r="Q772" s="156"/>
      <c r="R772" s="156"/>
      <c r="S772" s="156"/>
      <c r="T772" s="156"/>
      <c r="U772" s="156"/>
      <c r="V772" s="156"/>
      <c r="W772" s="156"/>
      <c r="X772" s="156"/>
      <c r="Y772" s="156"/>
      <c r="Z772" s="157"/>
      <c r="AA772" s="157"/>
      <c r="AB772" s="156"/>
      <c r="AC772" s="156"/>
      <c r="AD772" s="156"/>
      <c r="AE772" s="156"/>
      <c r="AF772" s="156"/>
      <c r="AG772" s="156"/>
      <c r="AH772" s="156"/>
      <c r="AI772" s="156"/>
      <c r="AJ772" s="156"/>
      <c r="AK772" s="156"/>
      <c r="AL772" s="156"/>
      <c r="AM772" s="158"/>
      <c r="AN772" s="156"/>
      <c r="AO772" s="156"/>
      <c r="AP772" s="156"/>
      <c r="AQ772" s="156"/>
      <c r="AR772" s="156"/>
      <c r="AS772" s="156"/>
      <c r="AT772" s="156"/>
      <c r="AU772" s="156"/>
      <c r="AV772" s="156"/>
      <c r="AW772" s="156"/>
      <c r="AX772" s="156"/>
      <c r="AY772" s="156"/>
      <c r="AZ772" s="156"/>
      <c r="BA772" s="153"/>
      <c r="BD772" s="153"/>
      <c r="BE772" s="147"/>
      <c r="BI772" s="153"/>
      <c r="BO772" s="153"/>
      <c r="BW772" s="153"/>
      <c r="CD772" s="146"/>
      <c r="CF772" s="147"/>
      <c r="CI772" s="146"/>
      <c r="CJ772" s="153"/>
      <c r="CV772" s="154"/>
      <c r="CX772" s="154"/>
      <c r="CZ772" s="154"/>
      <c r="DB772" s="154"/>
      <c r="DD772" s="154"/>
      <c r="DH772" s="474"/>
      <c r="DI772" s="459"/>
      <c r="DJ772" s="459"/>
      <c r="DK772" s="459"/>
      <c r="DL772" s="459"/>
      <c r="DM772" s="459"/>
      <c r="DN772" s="459"/>
      <c r="DO772" s="459"/>
      <c r="DP772" s="459"/>
      <c r="DQ772" s="459"/>
      <c r="DR772" s="459"/>
      <c r="DS772" s="459"/>
      <c r="DT772" s="459"/>
      <c r="DU772" s="459"/>
      <c r="DV772" s="468"/>
      <c r="DW772" s="468"/>
      <c r="DX772" s="459"/>
      <c r="DY772" s="459"/>
    </row>
    <row r="773" spans="1:129" s="128" customFormat="1" ht="54.95" customHeight="1" x14ac:dyDescent="0.25">
      <c r="A773" s="377"/>
      <c r="B773" s="175"/>
      <c r="C773" s="393"/>
      <c r="D773" s="168"/>
      <c r="E773" s="168"/>
      <c r="F773" s="168"/>
      <c r="G773" s="168"/>
      <c r="H773" s="168"/>
      <c r="I773" s="168"/>
      <c r="J773" s="168"/>
      <c r="K773" s="168"/>
      <c r="L773" s="168"/>
      <c r="M773" s="168"/>
      <c r="N773" s="168"/>
      <c r="O773" s="433"/>
      <c r="P773" s="122"/>
      <c r="Q773" s="156"/>
      <c r="R773" s="156"/>
      <c r="S773" s="156"/>
      <c r="T773" s="156"/>
      <c r="U773" s="156"/>
      <c r="V773" s="156"/>
      <c r="W773" s="156"/>
      <c r="X773" s="156"/>
      <c r="Y773" s="156"/>
      <c r="Z773" s="157"/>
      <c r="AA773" s="157"/>
      <c r="AB773" s="156"/>
      <c r="AC773" s="156"/>
      <c r="AD773" s="156"/>
      <c r="AE773" s="156"/>
      <c r="AF773" s="156"/>
      <c r="AG773" s="156"/>
      <c r="AH773" s="156"/>
      <c r="AI773" s="156"/>
      <c r="AJ773" s="156"/>
      <c r="AK773" s="156"/>
      <c r="AL773" s="156"/>
      <c r="AM773" s="158"/>
      <c r="AN773" s="156"/>
      <c r="AO773" s="156"/>
      <c r="AP773" s="156"/>
      <c r="AQ773" s="156"/>
      <c r="AR773" s="156"/>
      <c r="AS773" s="156"/>
      <c r="AT773" s="156"/>
      <c r="AU773" s="156"/>
      <c r="AV773" s="156"/>
      <c r="AW773" s="156"/>
      <c r="AX773" s="156"/>
      <c r="AY773" s="156"/>
      <c r="AZ773" s="156"/>
      <c r="BA773" s="153"/>
      <c r="BD773" s="153"/>
      <c r="BE773" s="147"/>
      <c r="BI773" s="153"/>
      <c r="BO773" s="153"/>
      <c r="BW773" s="153"/>
      <c r="CD773" s="146"/>
      <c r="CF773" s="147"/>
      <c r="CI773" s="146"/>
      <c r="CJ773" s="153"/>
      <c r="CV773" s="154"/>
      <c r="CX773" s="154"/>
      <c r="CZ773" s="154"/>
      <c r="DB773" s="154"/>
      <c r="DD773" s="154"/>
      <c r="DH773" s="474"/>
      <c r="DI773" s="459"/>
      <c r="DJ773" s="459"/>
      <c r="DK773" s="459"/>
      <c r="DL773" s="459"/>
      <c r="DM773" s="459"/>
      <c r="DN773" s="459"/>
      <c r="DO773" s="459"/>
      <c r="DP773" s="459"/>
      <c r="DQ773" s="459"/>
      <c r="DR773" s="459"/>
      <c r="DS773" s="459"/>
      <c r="DT773" s="459"/>
      <c r="DU773" s="459"/>
      <c r="DV773" s="468"/>
      <c r="DW773" s="468"/>
      <c r="DX773" s="459"/>
      <c r="DY773" s="459"/>
    </row>
    <row r="774" spans="1:129" s="128" customFormat="1" ht="54.95" customHeight="1" x14ac:dyDescent="0.25">
      <c r="A774" s="377"/>
      <c r="B774" s="175"/>
      <c r="C774" s="393"/>
      <c r="D774" s="168"/>
      <c r="E774" s="168"/>
      <c r="F774" s="168"/>
      <c r="G774" s="168"/>
      <c r="H774" s="168"/>
      <c r="I774" s="168"/>
      <c r="J774" s="168"/>
      <c r="K774" s="168"/>
      <c r="L774" s="168"/>
      <c r="M774" s="168"/>
      <c r="N774" s="168"/>
      <c r="O774" s="433"/>
      <c r="P774" s="122"/>
      <c r="Q774" s="156"/>
      <c r="R774" s="156"/>
      <c r="S774" s="156"/>
      <c r="T774" s="156"/>
      <c r="U774" s="156"/>
      <c r="V774" s="156"/>
      <c r="W774" s="156"/>
      <c r="X774" s="156"/>
      <c r="Y774" s="156"/>
      <c r="Z774" s="157"/>
      <c r="AA774" s="157"/>
      <c r="AB774" s="156"/>
      <c r="AC774" s="156"/>
      <c r="AD774" s="156"/>
      <c r="AE774" s="156"/>
      <c r="AF774" s="156"/>
      <c r="AG774" s="156"/>
      <c r="AH774" s="156"/>
      <c r="AI774" s="156"/>
      <c r="AJ774" s="156"/>
      <c r="AK774" s="156"/>
      <c r="AL774" s="156"/>
      <c r="AM774" s="158"/>
      <c r="AN774" s="156"/>
      <c r="AO774" s="156"/>
      <c r="AP774" s="156"/>
      <c r="AQ774" s="156"/>
      <c r="AR774" s="156"/>
      <c r="AS774" s="156"/>
      <c r="AT774" s="156"/>
      <c r="AU774" s="156"/>
      <c r="AV774" s="156"/>
      <c r="AW774" s="156"/>
      <c r="AX774" s="156"/>
      <c r="AY774" s="156"/>
      <c r="AZ774" s="156"/>
      <c r="BA774" s="153"/>
      <c r="BD774" s="153"/>
      <c r="BE774" s="147"/>
      <c r="BI774" s="153"/>
      <c r="BO774" s="153"/>
      <c r="BW774" s="153"/>
      <c r="CD774" s="146"/>
      <c r="CF774" s="147"/>
      <c r="CI774" s="146"/>
      <c r="CJ774" s="153"/>
      <c r="CV774" s="154"/>
      <c r="CX774" s="154"/>
      <c r="CZ774" s="154"/>
      <c r="DB774" s="154"/>
      <c r="DD774" s="154"/>
      <c r="DH774" s="474"/>
      <c r="DI774" s="459"/>
      <c r="DJ774" s="459"/>
      <c r="DK774" s="459"/>
      <c r="DL774" s="459"/>
      <c r="DM774" s="459"/>
      <c r="DN774" s="459"/>
      <c r="DO774" s="459"/>
      <c r="DP774" s="459"/>
      <c r="DQ774" s="459"/>
      <c r="DR774" s="459"/>
      <c r="DS774" s="459"/>
      <c r="DT774" s="459"/>
      <c r="DU774" s="459"/>
      <c r="DV774" s="468"/>
      <c r="DW774" s="468"/>
      <c r="DX774" s="459"/>
      <c r="DY774" s="459"/>
    </row>
    <row r="775" spans="1:129" s="128" customFormat="1" ht="54.95" customHeight="1" x14ac:dyDescent="0.25">
      <c r="A775" s="377"/>
      <c r="B775" s="175"/>
      <c r="C775" s="393"/>
      <c r="D775" s="168"/>
      <c r="E775" s="168"/>
      <c r="F775" s="168"/>
      <c r="G775" s="168"/>
      <c r="H775" s="168"/>
      <c r="I775" s="168"/>
      <c r="J775" s="168"/>
      <c r="K775" s="168"/>
      <c r="L775" s="168"/>
      <c r="M775" s="168"/>
      <c r="N775" s="168"/>
      <c r="O775" s="433"/>
      <c r="P775" s="122"/>
      <c r="Q775" s="156"/>
      <c r="R775" s="156"/>
      <c r="S775" s="156"/>
      <c r="T775" s="156"/>
      <c r="U775" s="156"/>
      <c r="V775" s="156"/>
      <c r="W775" s="156"/>
      <c r="X775" s="156"/>
      <c r="Y775" s="156"/>
      <c r="Z775" s="157"/>
      <c r="AA775" s="157"/>
      <c r="AB775" s="156"/>
      <c r="AC775" s="156"/>
      <c r="AD775" s="156"/>
      <c r="AE775" s="156"/>
      <c r="AF775" s="156"/>
      <c r="AG775" s="156"/>
      <c r="AH775" s="156"/>
      <c r="AI775" s="156"/>
      <c r="AJ775" s="156"/>
      <c r="AK775" s="156"/>
      <c r="AL775" s="156"/>
      <c r="AM775" s="158"/>
      <c r="AN775" s="156"/>
      <c r="AO775" s="156"/>
      <c r="AP775" s="156"/>
      <c r="AQ775" s="156"/>
      <c r="AR775" s="156"/>
      <c r="AS775" s="156"/>
      <c r="AT775" s="156"/>
      <c r="AU775" s="156"/>
      <c r="AV775" s="156"/>
      <c r="AW775" s="156"/>
      <c r="AX775" s="156"/>
      <c r="AY775" s="156"/>
      <c r="AZ775" s="156"/>
      <c r="BA775" s="153"/>
      <c r="BD775" s="153"/>
      <c r="BE775" s="147"/>
      <c r="BI775" s="153"/>
      <c r="BO775" s="153"/>
      <c r="BW775" s="153"/>
      <c r="CD775" s="146"/>
      <c r="CF775" s="147"/>
      <c r="CI775" s="146"/>
      <c r="CJ775" s="153"/>
      <c r="CV775" s="154"/>
      <c r="CX775" s="154"/>
      <c r="CZ775" s="154"/>
      <c r="DB775" s="154"/>
      <c r="DD775" s="154"/>
      <c r="DH775" s="474"/>
      <c r="DI775" s="459"/>
      <c r="DJ775" s="459"/>
      <c r="DK775" s="459"/>
      <c r="DL775" s="459"/>
      <c r="DM775" s="459"/>
      <c r="DN775" s="459"/>
      <c r="DO775" s="459"/>
      <c r="DP775" s="459"/>
      <c r="DQ775" s="459"/>
      <c r="DR775" s="459"/>
      <c r="DS775" s="459"/>
      <c r="DT775" s="459"/>
      <c r="DU775" s="459"/>
      <c r="DV775" s="468"/>
      <c r="DW775" s="468"/>
      <c r="DX775" s="459"/>
      <c r="DY775" s="459"/>
    </row>
    <row r="776" spans="1:129" s="128" customFormat="1" ht="54.95" customHeight="1" x14ac:dyDescent="0.25">
      <c r="A776" s="377"/>
      <c r="B776" s="175"/>
      <c r="C776" s="393"/>
      <c r="D776" s="168"/>
      <c r="E776" s="168"/>
      <c r="F776" s="168"/>
      <c r="G776" s="168"/>
      <c r="H776" s="168"/>
      <c r="I776" s="168"/>
      <c r="J776" s="168"/>
      <c r="K776" s="168"/>
      <c r="L776" s="168"/>
      <c r="M776" s="168"/>
      <c r="N776" s="168"/>
      <c r="O776" s="433"/>
      <c r="P776" s="122"/>
      <c r="Q776" s="156"/>
      <c r="R776" s="156"/>
      <c r="S776" s="156"/>
      <c r="T776" s="156"/>
      <c r="U776" s="156"/>
      <c r="V776" s="156"/>
      <c r="W776" s="156"/>
      <c r="X776" s="156"/>
      <c r="Y776" s="156"/>
      <c r="Z776" s="157"/>
      <c r="AA776" s="157"/>
      <c r="AB776" s="156"/>
      <c r="AC776" s="156"/>
      <c r="AD776" s="156"/>
      <c r="AE776" s="156"/>
      <c r="AF776" s="156"/>
      <c r="AG776" s="156"/>
      <c r="AH776" s="156"/>
      <c r="AI776" s="156"/>
      <c r="AJ776" s="156"/>
      <c r="AK776" s="156"/>
      <c r="AL776" s="156"/>
      <c r="AM776" s="158"/>
      <c r="AN776" s="156"/>
      <c r="AO776" s="156"/>
      <c r="AP776" s="156"/>
      <c r="AQ776" s="156"/>
      <c r="AR776" s="156"/>
      <c r="AS776" s="156"/>
      <c r="AT776" s="156"/>
      <c r="AU776" s="156"/>
      <c r="AV776" s="156"/>
      <c r="AW776" s="156"/>
      <c r="AX776" s="156"/>
      <c r="AY776" s="156"/>
      <c r="AZ776" s="156"/>
      <c r="BA776" s="153"/>
      <c r="BD776" s="153"/>
      <c r="BE776" s="147"/>
      <c r="BI776" s="153"/>
      <c r="BO776" s="153"/>
      <c r="BW776" s="153"/>
      <c r="CD776" s="146"/>
      <c r="CF776" s="147"/>
      <c r="CI776" s="146"/>
      <c r="CJ776" s="153"/>
      <c r="CV776" s="154"/>
      <c r="CX776" s="154"/>
      <c r="CZ776" s="154"/>
      <c r="DB776" s="154"/>
      <c r="DD776" s="154"/>
      <c r="DH776" s="474"/>
      <c r="DI776" s="459"/>
      <c r="DJ776" s="459"/>
      <c r="DK776" s="459"/>
      <c r="DL776" s="459"/>
      <c r="DM776" s="459"/>
      <c r="DN776" s="459"/>
      <c r="DO776" s="459"/>
      <c r="DP776" s="459"/>
      <c r="DQ776" s="459"/>
      <c r="DR776" s="459"/>
      <c r="DS776" s="459"/>
      <c r="DT776" s="459"/>
      <c r="DU776" s="459"/>
      <c r="DV776" s="468"/>
      <c r="DW776" s="468"/>
      <c r="DX776" s="459"/>
      <c r="DY776" s="459"/>
    </row>
    <row r="777" spans="1:129" s="128" customFormat="1" ht="54.95" customHeight="1" x14ac:dyDescent="0.25">
      <c r="A777" s="377"/>
      <c r="B777" s="175"/>
      <c r="C777" s="393"/>
      <c r="D777" s="168"/>
      <c r="E777" s="168"/>
      <c r="F777" s="168"/>
      <c r="G777" s="168"/>
      <c r="H777" s="168"/>
      <c r="I777" s="168"/>
      <c r="J777" s="168"/>
      <c r="K777" s="168"/>
      <c r="L777" s="168"/>
      <c r="M777" s="168"/>
      <c r="N777" s="168"/>
      <c r="O777" s="433"/>
      <c r="P777" s="122"/>
      <c r="Q777" s="156"/>
      <c r="R777" s="156"/>
      <c r="S777" s="156"/>
      <c r="T777" s="156"/>
      <c r="U777" s="156"/>
      <c r="V777" s="156"/>
      <c r="W777" s="156"/>
      <c r="X777" s="156"/>
      <c r="Y777" s="156"/>
      <c r="Z777" s="157"/>
      <c r="AA777" s="157"/>
      <c r="AB777" s="156"/>
      <c r="AC777" s="156"/>
      <c r="AD777" s="156"/>
      <c r="AE777" s="156"/>
      <c r="AF777" s="156"/>
      <c r="AG777" s="156"/>
      <c r="AH777" s="156"/>
      <c r="AI777" s="156"/>
      <c r="AJ777" s="156"/>
      <c r="AK777" s="156"/>
      <c r="AL777" s="156"/>
      <c r="AM777" s="158"/>
      <c r="AN777" s="156"/>
      <c r="AO777" s="156"/>
      <c r="AP777" s="156"/>
      <c r="AQ777" s="156"/>
      <c r="AR777" s="156"/>
      <c r="AS777" s="156"/>
      <c r="AT777" s="156"/>
      <c r="AU777" s="156"/>
      <c r="AV777" s="156"/>
      <c r="AW777" s="156"/>
      <c r="AX777" s="156"/>
      <c r="AY777" s="156"/>
      <c r="AZ777" s="156"/>
      <c r="BA777" s="153"/>
      <c r="BD777" s="153"/>
      <c r="BE777" s="147"/>
      <c r="BI777" s="153"/>
      <c r="BO777" s="153"/>
      <c r="BW777" s="153"/>
      <c r="CD777" s="146"/>
      <c r="CF777" s="147"/>
      <c r="CI777" s="146"/>
      <c r="CJ777" s="153"/>
      <c r="CV777" s="154"/>
      <c r="CX777" s="154"/>
      <c r="CZ777" s="154"/>
      <c r="DB777" s="154"/>
      <c r="DD777" s="154"/>
      <c r="DH777" s="474"/>
      <c r="DI777" s="459"/>
      <c r="DJ777" s="459"/>
      <c r="DK777" s="459"/>
      <c r="DL777" s="459"/>
      <c r="DM777" s="459"/>
      <c r="DN777" s="459"/>
      <c r="DO777" s="459"/>
      <c r="DP777" s="459"/>
      <c r="DQ777" s="459"/>
      <c r="DR777" s="459"/>
      <c r="DS777" s="459"/>
      <c r="DT777" s="459"/>
      <c r="DU777" s="459"/>
      <c r="DV777" s="468"/>
      <c r="DW777" s="468"/>
      <c r="DX777" s="459"/>
      <c r="DY777" s="459"/>
    </row>
    <row r="778" spans="1:129" s="128" customFormat="1" ht="54.95" customHeight="1" x14ac:dyDescent="0.25">
      <c r="A778" s="377"/>
      <c r="B778" s="175"/>
      <c r="C778" s="393"/>
      <c r="D778" s="168"/>
      <c r="E778" s="168"/>
      <c r="F778" s="168"/>
      <c r="G778" s="168"/>
      <c r="H778" s="168"/>
      <c r="I778" s="168"/>
      <c r="J778" s="168"/>
      <c r="K778" s="168"/>
      <c r="L778" s="168"/>
      <c r="M778" s="168"/>
      <c r="N778" s="168"/>
      <c r="O778" s="433"/>
      <c r="P778" s="122"/>
      <c r="Q778" s="156"/>
      <c r="R778" s="156"/>
      <c r="S778" s="156"/>
      <c r="T778" s="156"/>
      <c r="U778" s="156"/>
      <c r="V778" s="156"/>
      <c r="W778" s="156"/>
      <c r="X778" s="156"/>
      <c r="Y778" s="156"/>
      <c r="Z778" s="157"/>
      <c r="AA778" s="157"/>
      <c r="AB778" s="156"/>
      <c r="AC778" s="156"/>
      <c r="AD778" s="156"/>
      <c r="AE778" s="156"/>
      <c r="AF778" s="156"/>
      <c r="AG778" s="156"/>
      <c r="AH778" s="156"/>
      <c r="AI778" s="156"/>
      <c r="AJ778" s="156"/>
      <c r="AK778" s="156"/>
      <c r="AL778" s="156"/>
      <c r="AM778" s="158"/>
      <c r="AN778" s="156"/>
      <c r="AO778" s="156"/>
      <c r="AP778" s="156"/>
      <c r="AQ778" s="156"/>
      <c r="AR778" s="156"/>
      <c r="AS778" s="156"/>
      <c r="AT778" s="156"/>
      <c r="AU778" s="156"/>
      <c r="AV778" s="156"/>
      <c r="AW778" s="156"/>
      <c r="AX778" s="156"/>
      <c r="AY778" s="156"/>
      <c r="AZ778" s="156"/>
      <c r="BA778" s="153"/>
      <c r="BD778" s="153"/>
      <c r="BE778" s="147"/>
      <c r="BI778" s="153"/>
      <c r="BO778" s="153"/>
      <c r="BW778" s="153"/>
      <c r="CD778" s="146"/>
      <c r="CF778" s="147"/>
      <c r="CI778" s="146"/>
      <c r="CJ778" s="153"/>
      <c r="CV778" s="154"/>
      <c r="CX778" s="154"/>
      <c r="CZ778" s="154"/>
      <c r="DB778" s="154"/>
      <c r="DD778" s="154"/>
      <c r="DH778" s="474"/>
      <c r="DI778" s="459"/>
      <c r="DJ778" s="459"/>
      <c r="DK778" s="459"/>
      <c r="DL778" s="459"/>
      <c r="DM778" s="459"/>
      <c r="DN778" s="459"/>
      <c r="DO778" s="459"/>
      <c r="DP778" s="459"/>
      <c r="DQ778" s="459"/>
      <c r="DR778" s="459"/>
      <c r="DS778" s="459"/>
      <c r="DT778" s="459"/>
      <c r="DU778" s="459"/>
      <c r="DV778" s="468"/>
      <c r="DW778" s="468"/>
      <c r="DX778" s="459"/>
      <c r="DY778" s="459"/>
    </row>
    <row r="779" spans="1:129" s="128" customFormat="1" ht="54.95" customHeight="1" x14ac:dyDescent="0.25">
      <c r="A779" s="377"/>
      <c r="B779" s="175"/>
      <c r="C779" s="393"/>
      <c r="D779" s="168"/>
      <c r="E779" s="168"/>
      <c r="F779" s="168"/>
      <c r="G779" s="168"/>
      <c r="H779" s="168"/>
      <c r="I779" s="168"/>
      <c r="J779" s="168"/>
      <c r="K779" s="168"/>
      <c r="L779" s="168"/>
      <c r="M779" s="168"/>
      <c r="N779" s="168"/>
      <c r="O779" s="433"/>
      <c r="P779" s="122"/>
      <c r="Q779" s="156"/>
      <c r="R779" s="156"/>
      <c r="S779" s="156"/>
      <c r="T779" s="156"/>
      <c r="U779" s="156"/>
      <c r="V779" s="156"/>
      <c r="W779" s="156"/>
      <c r="X779" s="156"/>
      <c r="Y779" s="156"/>
      <c r="Z779" s="157"/>
      <c r="AA779" s="157"/>
      <c r="AB779" s="156"/>
      <c r="AC779" s="156"/>
      <c r="AD779" s="156"/>
      <c r="AE779" s="156"/>
      <c r="AF779" s="156"/>
      <c r="AG779" s="156"/>
      <c r="AH779" s="156"/>
      <c r="AI779" s="156"/>
      <c r="AJ779" s="156"/>
      <c r="AK779" s="156"/>
      <c r="AL779" s="156"/>
      <c r="AM779" s="158"/>
      <c r="AN779" s="156"/>
      <c r="AO779" s="156"/>
      <c r="AP779" s="156"/>
      <c r="AQ779" s="156"/>
      <c r="AR779" s="156"/>
      <c r="AS779" s="156"/>
      <c r="AT779" s="156"/>
      <c r="AU779" s="156"/>
      <c r="AV779" s="156"/>
      <c r="AW779" s="156"/>
      <c r="AX779" s="156"/>
      <c r="AY779" s="156"/>
      <c r="AZ779" s="156"/>
      <c r="BA779" s="153"/>
      <c r="BD779" s="153"/>
      <c r="BE779" s="147"/>
      <c r="BI779" s="153"/>
      <c r="BO779" s="153"/>
      <c r="BW779" s="153"/>
      <c r="CD779" s="146"/>
      <c r="CF779" s="147"/>
      <c r="CI779" s="146"/>
      <c r="CJ779" s="153"/>
      <c r="CV779" s="154"/>
      <c r="CX779" s="154"/>
      <c r="CZ779" s="154"/>
      <c r="DB779" s="154"/>
      <c r="DD779" s="154"/>
      <c r="DH779" s="474"/>
      <c r="DI779" s="459"/>
      <c r="DJ779" s="459"/>
      <c r="DK779" s="459"/>
      <c r="DL779" s="459"/>
      <c r="DM779" s="459"/>
      <c r="DN779" s="459"/>
      <c r="DO779" s="459"/>
      <c r="DP779" s="459"/>
      <c r="DQ779" s="459"/>
      <c r="DR779" s="459"/>
      <c r="DS779" s="459"/>
      <c r="DT779" s="459"/>
      <c r="DU779" s="459"/>
      <c r="DV779" s="468"/>
      <c r="DW779" s="468"/>
      <c r="DX779" s="459"/>
      <c r="DY779" s="459"/>
    </row>
    <row r="780" spans="1:129" s="128" customFormat="1" ht="54.95" customHeight="1" x14ac:dyDescent="0.25">
      <c r="A780" s="377"/>
      <c r="B780" s="175"/>
      <c r="C780" s="393"/>
      <c r="D780" s="168"/>
      <c r="E780" s="168"/>
      <c r="F780" s="168"/>
      <c r="G780" s="168"/>
      <c r="H780" s="168"/>
      <c r="I780" s="168"/>
      <c r="J780" s="168"/>
      <c r="K780" s="168"/>
      <c r="L780" s="168"/>
      <c r="M780" s="168"/>
      <c r="N780" s="168"/>
      <c r="O780" s="433"/>
      <c r="P780" s="122"/>
      <c r="Q780" s="156"/>
      <c r="R780" s="156"/>
      <c r="S780" s="156"/>
      <c r="T780" s="156"/>
      <c r="U780" s="156"/>
      <c r="V780" s="156"/>
      <c r="W780" s="156"/>
      <c r="X780" s="156"/>
      <c r="Y780" s="156"/>
      <c r="Z780" s="157"/>
      <c r="AA780" s="157"/>
      <c r="AB780" s="156"/>
      <c r="AC780" s="156"/>
      <c r="AD780" s="156"/>
      <c r="AE780" s="156"/>
      <c r="AF780" s="156"/>
      <c r="AG780" s="156"/>
      <c r="AH780" s="156"/>
      <c r="AI780" s="156"/>
      <c r="AJ780" s="156"/>
      <c r="AK780" s="156"/>
      <c r="AL780" s="156"/>
      <c r="AM780" s="158"/>
      <c r="AN780" s="156"/>
      <c r="AO780" s="156"/>
      <c r="AP780" s="156"/>
      <c r="AQ780" s="156"/>
      <c r="AR780" s="156"/>
      <c r="AS780" s="156"/>
      <c r="AT780" s="156"/>
      <c r="AU780" s="156"/>
      <c r="AV780" s="156"/>
      <c r="AW780" s="156"/>
      <c r="AX780" s="156"/>
      <c r="AY780" s="156"/>
      <c r="AZ780" s="156"/>
      <c r="BA780" s="153"/>
      <c r="BD780" s="153"/>
      <c r="BE780" s="147"/>
      <c r="BI780" s="153"/>
      <c r="BO780" s="153"/>
      <c r="BW780" s="153"/>
      <c r="CD780" s="146"/>
      <c r="CF780" s="147"/>
      <c r="CI780" s="146"/>
      <c r="CJ780" s="153"/>
      <c r="CV780" s="154"/>
      <c r="CX780" s="154"/>
      <c r="CZ780" s="154"/>
      <c r="DB780" s="154"/>
      <c r="DD780" s="154"/>
      <c r="DH780" s="474"/>
      <c r="DI780" s="459"/>
      <c r="DJ780" s="459"/>
      <c r="DK780" s="459"/>
      <c r="DL780" s="459"/>
      <c r="DM780" s="459"/>
      <c r="DN780" s="459"/>
      <c r="DO780" s="459"/>
      <c r="DP780" s="459"/>
      <c r="DQ780" s="459"/>
      <c r="DR780" s="459"/>
      <c r="DS780" s="459"/>
      <c r="DT780" s="459"/>
      <c r="DU780" s="459"/>
      <c r="DV780" s="468"/>
      <c r="DW780" s="468"/>
      <c r="DX780" s="459"/>
      <c r="DY780" s="459"/>
    </row>
    <row r="781" spans="1:129" s="128" customFormat="1" ht="54.95" customHeight="1" x14ac:dyDescent="0.25">
      <c r="A781" s="377"/>
      <c r="B781" s="175"/>
      <c r="C781" s="393"/>
      <c r="D781" s="168"/>
      <c r="E781" s="168"/>
      <c r="F781" s="168"/>
      <c r="G781" s="168"/>
      <c r="H781" s="168"/>
      <c r="I781" s="168"/>
      <c r="J781" s="168"/>
      <c r="K781" s="168"/>
      <c r="L781" s="168"/>
      <c r="M781" s="168"/>
      <c r="N781" s="168"/>
      <c r="O781" s="433"/>
      <c r="P781" s="122"/>
      <c r="Q781" s="156"/>
      <c r="R781" s="156"/>
      <c r="S781" s="156"/>
      <c r="T781" s="156"/>
      <c r="U781" s="156"/>
      <c r="V781" s="156"/>
      <c r="W781" s="156"/>
      <c r="X781" s="156"/>
      <c r="Y781" s="156"/>
      <c r="Z781" s="157"/>
      <c r="AA781" s="157"/>
      <c r="AB781" s="156"/>
      <c r="AC781" s="156"/>
      <c r="AD781" s="156"/>
      <c r="AE781" s="156"/>
      <c r="AF781" s="156"/>
      <c r="AG781" s="156"/>
      <c r="AH781" s="156"/>
      <c r="AI781" s="156"/>
      <c r="AJ781" s="156"/>
      <c r="AK781" s="156"/>
      <c r="AL781" s="156"/>
      <c r="AM781" s="158"/>
      <c r="AN781" s="156"/>
      <c r="AO781" s="156"/>
      <c r="AP781" s="156"/>
      <c r="AQ781" s="156"/>
      <c r="AR781" s="156"/>
      <c r="AS781" s="156"/>
      <c r="AT781" s="156"/>
      <c r="AU781" s="156"/>
      <c r="AV781" s="156"/>
      <c r="AW781" s="156"/>
      <c r="AX781" s="156"/>
      <c r="AY781" s="156"/>
      <c r="AZ781" s="156"/>
      <c r="BA781" s="153"/>
      <c r="BD781" s="153"/>
      <c r="BE781" s="147"/>
      <c r="BI781" s="153"/>
      <c r="BO781" s="153"/>
      <c r="BW781" s="153"/>
      <c r="CD781" s="146"/>
      <c r="CF781" s="147"/>
      <c r="CI781" s="146"/>
      <c r="CJ781" s="153"/>
      <c r="CV781" s="154"/>
      <c r="CX781" s="154"/>
      <c r="CZ781" s="154"/>
      <c r="DB781" s="154"/>
      <c r="DD781" s="154"/>
      <c r="DH781" s="474"/>
      <c r="DI781" s="459"/>
      <c r="DJ781" s="459"/>
      <c r="DK781" s="459"/>
      <c r="DL781" s="459"/>
      <c r="DM781" s="459"/>
      <c r="DN781" s="459"/>
      <c r="DO781" s="459"/>
      <c r="DP781" s="459"/>
      <c r="DQ781" s="459"/>
      <c r="DR781" s="459"/>
      <c r="DS781" s="459"/>
      <c r="DT781" s="459"/>
      <c r="DU781" s="459"/>
      <c r="DV781" s="468"/>
      <c r="DW781" s="468"/>
      <c r="DX781" s="459"/>
      <c r="DY781" s="459"/>
    </row>
    <row r="782" spans="1:129" s="128" customFormat="1" ht="54.95" customHeight="1" x14ac:dyDescent="0.25">
      <c r="A782" s="377"/>
      <c r="B782" s="175"/>
      <c r="C782" s="393"/>
      <c r="D782" s="168"/>
      <c r="E782" s="168"/>
      <c r="F782" s="168"/>
      <c r="G782" s="168"/>
      <c r="H782" s="168"/>
      <c r="I782" s="168"/>
      <c r="J782" s="168"/>
      <c r="K782" s="168"/>
      <c r="L782" s="168"/>
      <c r="M782" s="168"/>
      <c r="N782" s="168"/>
      <c r="O782" s="433"/>
      <c r="P782" s="122"/>
      <c r="Q782" s="156"/>
      <c r="R782" s="156"/>
      <c r="S782" s="156"/>
      <c r="T782" s="156"/>
      <c r="U782" s="156"/>
      <c r="V782" s="156"/>
      <c r="W782" s="156"/>
      <c r="X782" s="156"/>
      <c r="Y782" s="156"/>
      <c r="Z782" s="157"/>
      <c r="AA782" s="157"/>
      <c r="AB782" s="156"/>
      <c r="AC782" s="156"/>
      <c r="AD782" s="156"/>
      <c r="AE782" s="156"/>
      <c r="AF782" s="156"/>
      <c r="AG782" s="156"/>
      <c r="AH782" s="156"/>
      <c r="AI782" s="156"/>
      <c r="AJ782" s="156"/>
      <c r="AK782" s="156"/>
      <c r="AL782" s="156"/>
      <c r="AM782" s="158"/>
      <c r="AN782" s="156"/>
      <c r="AO782" s="156"/>
      <c r="AP782" s="156"/>
      <c r="AQ782" s="156"/>
      <c r="AR782" s="156"/>
      <c r="AS782" s="156"/>
      <c r="AT782" s="156"/>
      <c r="AU782" s="156"/>
      <c r="AV782" s="156"/>
      <c r="AW782" s="156"/>
      <c r="AX782" s="156"/>
      <c r="AY782" s="156"/>
      <c r="AZ782" s="156"/>
      <c r="BA782" s="153"/>
      <c r="BD782" s="153"/>
      <c r="BE782" s="147"/>
      <c r="BI782" s="153"/>
      <c r="BO782" s="153"/>
      <c r="BW782" s="153"/>
      <c r="CD782" s="146"/>
      <c r="CF782" s="147"/>
      <c r="CI782" s="146"/>
      <c r="CJ782" s="153"/>
      <c r="CV782" s="154"/>
      <c r="CX782" s="154"/>
      <c r="CZ782" s="154"/>
      <c r="DB782" s="154"/>
      <c r="DD782" s="154"/>
      <c r="DH782" s="474"/>
      <c r="DI782" s="459"/>
      <c r="DJ782" s="459"/>
      <c r="DK782" s="459"/>
      <c r="DL782" s="459"/>
      <c r="DM782" s="459"/>
      <c r="DN782" s="459"/>
      <c r="DO782" s="459"/>
      <c r="DP782" s="459"/>
      <c r="DQ782" s="459"/>
      <c r="DR782" s="459"/>
      <c r="DS782" s="459"/>
      <c r="DT782" s="459"/>
      <c r="DU782" s="459"/>
      <c r="DV782" s="468"/>
      <c r="DW782" s="468"/>
      <c r="DX782" s="459"/>
      <c r="DY782" s="459"/>
    </row>
    <row r="783" spans="1:129" s="128" customFormat="1" ht="54.95" customHeight="1" x14ac:dyDescent="0.25">
      <c r="A783" s="377"/>
      <c r="B783" s="175"/>
      <c r="C783" s="393"/>
      <c r="D783" s="168"/>
      <c r="E783" s="168"/>
      <c r="F783" s="168"/>
      <c r="G783" s="168"/>
      <c r="H783" s="168"/>
      <c r="I783" s="168"/>
      <c r="J783" s="168"/>
      <c r="K783" s="168"/>
      <c r="L783" s="168"/>
      <c r="M783" s="168"/>
      <c r="N783" s="168"/>
      <c r="O783" s="433"/>
      <c r="P783" s="122"/>
      <c r="Q783" s="156"/>
      <c r="R783" s="156"/>
      <c r="S783" s="156"/>
      <c r="T783" s="156"/>
      <c r="U783" s="156"/>
      <c r="V783" s="156"/>
      <c r="W783" s="156"/>
      <c r="X783" s="156"/>
      <c r="Y783" s="156"/>
      <c r="Z783" s="157"/>
      <c r="AA783" s="157"/>
      <c r="AB783" s="156"/>
      <c r="AC783" s="156"/>
      <c r="AD783" s="156"/>
      <c r="AE783" s="156"/>
      <c r="AF783" s="156"/>
      <c r="AG783" s="156"/>
      <c r="AH783" s="156"/>
      <c r="AI783" s="156"/>
      <c r="AJ783" s="156"/>
      <c r="AK783" s="156"/>
      <c r="AL783" s="156"/>
      <c r="AM783" s="158"/>
      <c r="AN783" s="156"/>
      <c r="AO783" s="156"/>
      <c r="AP783" s="156"/>
      <c r="AQ783" s="156"/>
      <c r="AR783" s="156"/>
      <c r="AS783" s="156"/>
      <c r="AT783" s="156"/>
      <c r="AU783" s="156"/>
      <c r="AV783" s="156"/>
      <c r="AW783" s="156"/>
      <c r="AX783" s="156"/>
      <c r="AY783" s="156"/>
      <c r="AZ783" s="156"/>
      <c r="BA783" s="153"/>
      <c r="BD783" s="153"/>
      <c r="BE783" s="147"/>
      <c r="BI783" s="153"/>
      <c r="BO783" s="153"/>
      <c r="BW783" s="153"/>
      <c r="CD783" s="146"/>
      <c r="CF783" s="147"/>
      <c r="CI783" s="146"/>
      <c r="CJ783" s="153"/>
      <c r="CV783" s="154"/>
      <c r="CX783" s="154"/>
      <c r="CZ783" s="154"/>
      <c r="DB783" s="154"/>
      <c r="DD783" s="154"/>
      <c r="DH783" s="474"/>
      <c r="DI783" s="459"/>
      <c r="DJ783" s="459"/>
      <c r="DK783" s="459"/>
      <c r="DL783" s="459"/>
      <c r="DM783" s="459"/>
      <c r="DN783" s="459"/>
      <c r="DO783" s="459"/>
      <c r="DP783" s="459"/>
      <c r="DQ783" s="459"/>
      <c r="DR783" s="459"/>
      <c r="DS783" s="459"/>
      <c r="DT783" s="459"/>
      <c r="DU783" s="459"/>
      <c r="DV783" s="468"/>
      <c r="DW783" s="468"/>
      <c r="DX783" s="459"/>
      <c r="DY783" s="459"/>
    </row>
    <row r="784" spans="1:129" s="128" customFormat="1" ht="54.95" customHeight="1" x14ac:dyDescent="0.25">
      <c r="A784" s="377"/>
      <c r="B784" s="175"/>
      <c r="C784" s="393"/>
      <c r="D784" s="168"/>
      <c r="E784" s="168"/>
      <c r="F784" s="168"/>
      <c r="G784" s="168"/>
      <c r="H784" s="168"/>
      <c r="I784" s="168"/>
      <c r="J784" s="168"/>
      <c r="K784" s="168"/>
      <c r="L784" s="168"/>
      <c r="M784" s="168"/>
      <c r="N784" s="168"/>
      <c r="O784" s="433"/>
      <c r="P784" s="122"/>
      <c r="Q784" s="156"/>
      <c r="R784" s="156"/>
      <c r="S784" s="156"/>
      <c r="T784" s="156"/>
      <c r="U784" s="156"/>
      <c r="V784" s="156"/>
      <c r="W784" s="156"/>
      <c r="X784" s="156"/>
      <c r="Y784" s="156"/>
      <c r="Z784" s="157"/>
      <c r="AA784" s="157"/>
      <c r="AB784" s="156"/>
      <c r="AC784" s="156"/>
      <c r="AD784" s="156"/>
      <c r="AE784" s="156"/>
      <c r="AF784" s="156"/>
      <c r="AG784" s="156"/>
      <c r="AH784" s="156"/>
      <c r="AI784" s="156"/>
      <c r="AJ784" s="156"/>
      <c r="AK784" s="156"/>
      <c r="AL784" s="156"/>
      <c r="AM784" s="158"/>
      <c r="AN784" s="156"/>
      <c r="AO784" s="156"/>
      <c r="AP784" s="156"/>
      <c r="AQ784" s="156"/>
      <c r="AR784" s="156"/>
      <c r="AS784" s="156"/>
      <c r="AT784" s="156"/>
      <c r="AU784" s="156"/>
      <c r="AV784" s="156"/>
      <c r="AW784" s="156"/>
      <c r="AX784" s="156"/>
      <c r="AY784" s="156"/>
      <c r="AZ784" s="156"/>
      <c r="BA784" s="153"/>
      <c r="BD784" s="153"/>
      <c r="BE784" s="147"/>
      <c r="BI784" s="153"/>
      <c r="BO784" s="153"/>
      <c r="BW784" s="153"/>
      <c r="CD784" s="146"/>
      <c r="CF784" s="147"/>
      <c r="CI784" s="146"/>
      <c r="CJ784" s="153"/>
      <c r="CV784" s="154"/>
      <c r="CX784" s="154"/>
      <c r="CZ784" s="154"/>
      <c r="DB784" s="154"/>
      <c r="DD784" s="154"/>
      <c r="DH784" s="474"/>
      <c r="DI784" s="459"/>
      <c r="DJ784" s="459"/>
      <c r="DK784" s="459"/>
      <c r="DL784" s="459"/>
      <c r="DM784" s="459"/>
      <c r="DN784" s="459"/>
      <c r="DO784" s="459"/>
      <c r="DP784" s="459"/>
      <c r="DQ784" s="459"/>
      <c r="DR784" s="459"/>
      <c r="DS784" s="459"/>
      <c r="DT784" s="459"/>
      <c r="DU784" s="459"/>
      <c r="DV784" s="468"/>
      <c r="DW784" s="468"/>
      <c r="DX784" s="459"/>
      <c r="DY784" s="459"/>
    </row>
    <row r="785" spans="1:129" s="128" customFormat="1" ht="54.95" customHeight="1" x14ac:dyDescent="0.25">
      <c r="A785" s="377"/>
      <c r="B785" s="175"/>
      <c r="C785" s="393"/>
      <c r="D785" s="168"/>
      <c r="E785" s="168"/>
      <c r="F785" s="168"/>
      <c r="G785" s="168"/>
      <c r="H785" s="168"/>
      <c r="I785" s="168"/>
      <c r="J785" s="168"/>
      <c r="K785" s="168"/>
      <c r="L785" s="168"/>
      <c r="M785" s="168"/>
      <c r="N785" s="168"/>
      <c r="O785" s="433"/>
      <c r="P785" s="122"/>
      <c r="Q785" s="156"/>
      <c r="R785" s="156"/>
      <c r="S785" s="156"/>
      <c r="T785" s="156"/>
      <c r="U785" s="156"/>
      <c r="V785" s="156"/>
      <c r="W785" s="156"/>
      <c r="X785" s="156"/>
      <c r="Y785" s="156"/>
      <c r="Z785" s="157"/>
      <c r="AA785" s="157"/>
      <c r="AB785" s="156"/>
      <c r="AC785" s="156"/>
      <c r="AD785" s="156"/>
      <c r="AE785" s="156"/>
      <c r="AF785" s="156"/>
      <c r="AG785" s="156"/>
      <c r="AH785" s="156"/>
      <c r="AI785" s="156"/>
      <c r="AJ785" s="156"/>
      <c r="AK785" s="156"/>
      <c r="AL785" s="156"/>
      <c r="AM785" s="158"/>
      <c r="AN785" s="156"/>
      <c r="AO785" s="156"/>
      <c r="AP785" s="156"/>
      <c r="AQ785" s="156"/>
      <c r="AR785" s="156"/>
      <c r="AS785" s="156"/>
      <c r="AT785" s="156"/>
      <c r="AU785" s="156"/>
      <c r="AV785" s="156"/>
      <c r="AW785" s="156"/>
      <c r="AX785" s="156"/>
      <c r="AY785" s="156"/>
      <c r="AZ785" s="156"/>
      <c r="BA785" s="153"/>
      <c r="BD785" s="153"/>
      <c r="BE785" s="147"/>
      <c r="BI785" s="153"/>
      <c r="BO785" s="153"/>
      <c r="BW785" s="153"/>
      <c r="CD785" s="146"/>
      <c r="CF785" s="147"/>
      <c r="CI785" s="146"/>
      <c r="CJ785" s="153"/>
      <c r="CV785" s="154"/>
      <c r="CX785" s="154"/>
      <c r="CZ785" s="154"/>
      <c r="DB785" s="154"/>
      <c r="DD785" s="154"/>
      <c r="DH785" s="474"/>
      <c r="DI785" s="459"/>
      <c r="DJ785" s="459"/>
      <c r="DK785" s="459"/>
      <c r="DL785" s="459"/>
      <c r="DM785" s="459"/>
      <c r="DN785" s="459"/>
      <c r="DO785" s="459"/>
      <c r="DP785" s="459"/>
      <c r="DQ785" s="459"/>
      <c r="DR785" s="459"/>
      <c r="DS785" s="459"/>
      <c r="DT785" s="459"/>
      <c r="DU785" s="459"/>
      <c r="DV785" s="468"/>
      <c r="DW785" s="468"/>
      <c r="DX785" s="459"/>
      <c r="DY785" s="459"/>
    </row>
    <row r="786" spans="1:129" s="128" customFormat="1" ht="54.95" customHeight="1" x14ac:dyDescent="0.25">
      <c r="A786" s="377"/>
      <c r="B786" s="175"/>
      <c r="C786" s="393"/>
      <c r="D786" s="168"/>
      <c r="E786" s="168"/>
      <c r="F786" s="168"/>
      <c r="G786" s="168"/>
      <c r="H786" s="168"/>
      <c r="I786" s="168"/>
      <c r="J786" s="168"/>
      <c r="K786" s="168"/>
      <c r="L786" s="168"/>
      <c r="M786" s="168"/>
      <c r="N786" s="168"/>
      <c r="O786" s="433"/>
      <c r="P786" s="122"/>
      <c r="Q786" s="156"/>
      <c r="R786" s="156"/>
      <c r="S786" s="156"/>
      <c r="T786" s="156"/>
      <c r="U786" s="156"/>
      <c r="V786" s="156"/>
      <c r="W786" s="156"/>
      <c r="X786" s="156"/>
      <c r="Y786" s="156"/>
      <c r="Z786" s="157"/>
      <c r="AA786" s="157"/>
      <c r="AB786" s="156"/>
      <c r="AC786" s="156"/>
      <c r="AD786" s="156"/>
      <c r="AE786" s="156"/>
      <c r="AF786" s="156"/>
      <c r="AG786" s="156"/>
      <c r="AH786" s="156"/>
      <c r="AI786" s="156"/>
      <c r="AJ786" s="156"/>
      <c r="AK786" s="156"/>
      <c r="AL786" s="156"/>
      <c r="AM786" s="158"/>
      <c r="AN786" s="156"/>
      <c r="AO786" s="156"/>
      <c r="AP786" s="156"/>
      <c r="AQ786" s="156"/>
      <c r="AR786" s="156"/>
      <c r="AS786" s="156"/>
      <c r="AT786" s="156"/>
      <c r="AU786" s="156"/>
      <c r="AV786" s="156"/>
      <c r="AW786" s="156"/>
      <c r="AX786" s="156"/>
      <c r="AY786" s="156"/>
      <c r="AZ786" s="156"/>
      <c r="BA786" s="153"/>
      <c r="BD786" s="153"/>
      <c r="BE786" s="147"/>
      <c r="BI786" s="153"/>
      <c r="BO786" s="153"/>
      <c r="BW786" s="153"/>
      <c r="CD786" s="146"/>
      <c r="CF786" s="147"/>
      <c r="CI786" s="146"/>
      <c r="CJ786" s="153"/>
      <c r="CV786" s="154"/>
      <c r="CX786" s="154"/>
      <c r="CZ786" s="154"/>
      <c r="DB786" s="154"/>
      <c r="DD786" s="154"/>
      <c r="DH786" s="474"/>
      <c r="DI786" s="459"/>
      <c r="DJ786" s="459"/>
      <c r="DK786" s="459"/>
      <c r="DL786" s="459"/>
      <c r="DM786" s="459"/>
      <c r="DN786" s="459"/>
      <c r="DO786" s="459"/>
      <c r="DP786" s="459"/>
      <c r="DQ786" s="459"/>
      <c r="DR786" s="459"/>
      <c r="DS786" s="459"/>
      <c r="DT786" s="459"/>
      <c r="DU786" s="459"/>
      <c r="DV786" s="468"/>
      <c r="DW786" s="468"/>
      <c r="DX786" s="459"/>
      <c r="DY786" s="459"/>
    </row>
    <row r="787" spans="1:129" s="128" customFormat="1" ht="54.95" customHeight="1" x14ac:dyDescent="0.25">
      <c r="A787" s="377"/>
      <c r="B787" s="175"/>
      <c r="C787" s="393"/>
      <c r="D787" s="168"/>
      <c r="E787" s="168"/>
      <c r="F787" s="168"/>
      <c r="G787" s="168"/>
      <c r="H787" s="168"/>
      <c r="I787" s="168"/>
      <c r="J787" s="168"/>
      <c r="K787" s="168"/>
      <c r="L787" s="168"/>
      <c r="M787" s="168"/>
      <c r="N787" s="168"/>
      <c r="O787" s="433"/>
      <c r="P787" s="122"/>
      <c r="Q787" s="156"/>
      <c r="R787" s="156"/>
      <c r="S787" s="156"/>
      <c r="T787" s="156"/>
      <c r="U787" s="156"/>
      <c r="V787" s="156"/>
      <c r="W787" s="156"/>
      <c r="X787" s="156"/>
      <c r="Y787" s="156"/>
      <c r="Z787" s="157"/>
      <c r="AA787" s="157"/>
      <c r="AB787" s="156"/>
      <c r="AC787" s="156"/>
      <c r="AD787" s="156"/>
      <c r="AE787" s="156"/>
      <c r="AF787" s="156"/>
      <c r="AG787" s="156"/>
      <c r="AH787" s="156"/>
      <c r="AI787" s="156"/>
      <c r="AJ787" s="156"/>
      <c r="AK787" s="156"/>
      <c r="AL787" s="156"/>
      <c r="AM787" s="158"/>
      <c r="AN787" s="156"/>
      <c r="AO787" s="156"/>
      <c r="AP787" s="156"/>
      <c r="AQ787" s="156"/>
      <c r="AR787" s="156"/>
      <c r="AS787" s="156"/>
      <c r="AT787" s="156"/>
      <c r="AU787" s="156"/>
      <c r="AV787" s="156"/>
      <c r="AW787" s="156"/>
      <c r="AX787" s="156"/>
      <c r="AY787" s="156"/>
      <c r="AZ787" s="156"/>
      <c r="BA787" s="153"/>
      <c r="BD787" s="153"/>
      <c r="BE787" s="147"/>
      <c r="BI787" s="153"/>
      <c r="BO787" s="153"/>
      <c r="BW787" s="153"/>
      <c r="CD787" s="146"/>
      <c r="CF787" s="147"/>
      <c r="CI787" s="146"/>
      <c r="CJ787" s="153"/>
      <c r="CV787" s="154"/>
      <c r="CX787" s="154"/>
      <c r="CZ787" s="154"/>
      <c r="DB787" s="154"/>
      <c r="DD787" s="154"/>
      <c r="DH787" s="474"/>
      <c r="DI787" s="459"/>
      <c r="DJ787" s="459"/>
      <c r="DK787" s="459"/>
      <c r="DL787" s="459"/>
      <c r="DM787" s="459"/>
      <c r="DN787" s="459"/>
      <c r="DO787" s="459"/>
      <c r="DP787" s="459"/>
      <c r="DQ787" s="459"/>
      <c r="DR787" s="459"/>
      <c r="DS787" s="459"/>
      <c r="DT787" s="459"/>
      <c r="DU787" s="459"/>
      <c r="DV787" s="468"/>
      <c r="DW787" s="468"/>
      <c r="DX787" s="459"/>
      <c r="DY787" s="459"/>
    </row>
    <row r="788" spans="1:129" s="128" customFormat="1" ht="54.95" customHeight="1" x14ac:dyDescent="0.25">
      <c r="A788" s="377"/>
      <c r="B788" s="175"/>
      <c r="C788" s="393"/>
      <c r="D788" s="168"/>
      <c r="E788" s="168"/>
      <c r="F788" s="168"/>
      <c r="G788" s="168"/>
      <c r="H788" s="168"/>
      <c r="I788" s="168"/>
      <c r="J788" s="168"/>
      <c r="K788" s="168"/>
      <c r="L788" s="168"/>
      <c r="M788" s="168"/>
      <c r="N788" s="168"/>
      <c r="O788" s="433"/>
      <c r="P788" s="122"/>
      <c r="Q788" s="156"/>
      <c r="R788" s="156"/>
      <c r="S788" s="156"/>
      <c r="T788" s="156"/>
      <c r="U788" s="156"/>
      <c r="V788" s="156"/>
      <c r="W788" s="156"/>
      <c r="X788" s="156"/>
      <c r="Y788" s="156"/>
      <c r="Z788" s="157"/>
      <c r="AA788" s="157"/>
      <c r="AB788" s="156"/>
      <c r="AC788" s="156"/>
      <c r="AD788" s="156"/>
      <c r="AE788" s="156"/>
      <c r="AF788" s="156"/>
      <c r="AG788" s="156"/>
      <c r="AH788" s="156"/>
      <c r="AI788" s="156"/>
      <c r="AJ788" s="156"/>
      <c r="AK788" s="156"/>
      <c r="AL788" s="156"/>
      <c r="AM788" s="158"/>
      <c r="AN788" s="156"/>
      <c r="AO788" s="156"/>
      <c r="AP788" s="156"/>
      <c r="AQ788" s="156"/>
      <c r="AR788" s="156"/>
      <c r="AS788" s="156"/>
      <c r="AT788" s="156"/>
      <c r="AU788" s="156"/>
      <c r="AV788" s="156"/>
      <c r="AW788" s="156"/>
      <c r="AX788" s="156"/>
      <c r="AY788" s="156"/>
      <c r="AZ788" s="156"/>
      <c r="BA788" s="153"/>
      <c r="BD788" s="153"/>
      <c r="BE788" s="147"/>
      <c r="BI788" s="153"/>
      <c r="BO788" s="153"/>
      <c r="BW788" s="153"/>
      <c r="CD788" s="146"/>
      <c r="CF788" s="147"/>
      <c r="CI788" s="146"/>
      <c r="CJ788" s="153"/>
      <c r="CV788" s="154"/>
      <c r="CX788" s="154"/>
      <c r="CZ788" s="154"/>
      <c r="DB788" s="154"/>
      <c r="DD788" s="154"/>
      <c r="DH788" s="474"/>
      <c r="DI788" s="459"/>
      <c r="DJ788" s="459"/>
      <c r="DK788" s="459"/>
      <c r="DL788" s="459"/>
      <c r="DM788" s="459"/>
      <c r="DN788" s="459"/>
      <c r="DO788" s="459"/>
      <c r="DP788" s="459"/>
      <c r="DQ788" s="459"/>
      <c r="DR788" s="459"/>
      <c r="DS788" s="459"/>
      <c r="DT788" s="459"/>
      <c r="DU788" s="459"/>
      <c r="DV788" s="468"/>
      <c r="DW788" s="468"/>
      <c r="DX788" s="459"/>
      <c r="DY788" s="459"/>
    </row>
    <row r="789" spans="1:129" s="128" customFormat="1" ht="54.95" customHeight="1" x14ac:dyDescent="0.25">
      <c r="A789" s="377"/>
      <c r="B789" s="175"/>
      <c r="C789" s="393"/>
      <c r="D789" s="168"/>
      <c r="E789" s="168"/>
      <c r="F789" s="168"/>
      <c r="G789" s="168"/>
      <c r="H789" s="168"/>
      <c r="I789" s="168"/>
      <c r="J789" s="168"/>
      <c r="K789" s="168"/>
      <c r="L789" s="168"/>
      <c r="M789" s="168"/>
      <c r="N789" s="168"/>
      <c r="O789" s="433"/>
      <c r="P789" s="122"/>
      <c r="Q789" s="156"/>
      <c r="R789" s="156"/>
      <c r="S789" s="156"/>
      <c r="T789" s="156"/>
      <c r="U789" s="156"/>
      <c r="V789" s="156"/>
      <c r="W789" s="156"/>
      <c r="X789" s="156"/>
      <c r="Y789" s="156"/>
      <c r="Z789" s="157"/>
      <c r="AA789" s="157"/>
      <c r="AB789" s="156"/>
      <c r="AC789" s="156"/>
      <c r="AD789" s="156"/>
      <c r="AE789" s="156"/>
      <c r="AF789" s="156"/>
      <c r="AG789" s="156"/>
      <c r="AH789" s="156"/>
      <c r="AI789" s="156"/>
      <c r="AJ789" s="156"/>
      <c r="AK789" s="156"/>
      <c r="AL789" s="156"/>
      <c r="AM789" s="158"/>
      <c r="AN789" s="156"/>
      <c r="AO789" s="156"/>
      <c r="AP789" s="156"/>
      <c r="AQ789" s="156"/>
      <c r="AR789" s="156"/>
      <c r="AS789" s="156"/>
      <c r="AT789" s="156"/>
      <c r="AU789" s="156"/>
      <c r="AV789" s="156"/>
      <c r="AW789" s="156"/>
      <c r="AX789" s="156"/>
      <c r="AY789" s="156"/>
      <c r="AZ789" s="156"/>
      <c r="BA789" s="153"/>
      <c r="BD789" s="153"/>
      <c r="BE789" s="147"/>
      <c r="BI789" s="153"/>
      <c r="BO789" s="153"/>
      <c r="BW789" s="153"/>
      <c r="CD789" s="146"/>
      <c r="CF789" s="147"/>
      <c r="CI789" s="146"/>
      <c r="CJ789" s="153"/>
      <c r="CV789" s="154"/>
      <c r="CX789" s="154"/>
      <c r="CZ789" s="154"/>
      <c r="DB789" s="154"/>
      <c r="DD789" s="154"/>
      <c r="DH789" s="474"/>
      <c r="DI789" s="459"/>
      <c r="DJ789" s="459"/>
      <c r="DK789" s="459"/>
      <c r="DL789" s="459"/>
      <c r="DM789" s="459"/>
      <c r="DN789" s="459"/>
      <c r="DO789" s="459"/>
      <c r="DP789" s="459"/>
      <c r="DQ789" s="459"/>
      <c r="DR789" s="459"/>
      <c r="DS789" s="459"/>
      <c r="DT789" s="459"/>
      <c r="DU789" s="459"/>
      <c r="DV789" s="468"/>
      <c r="DW789" s="468"/>
      <c r="DX789" s="459"/>
      <c r="DY789" s="459"/>
    </row>
    <row r="790" spans="1:129" s="128" customFormat="1" ht="54.95" customHeight="1" x14ac:dyDescent="0.25">
      <c r="A790" s="377"/>
      <c r="B790" s="175"/>
      <c r="C790" s="393"/>
      <c r="D790" s="168"/>
      <c r="E790" s="168"/>
      <c r="F790" s="168"/>
      <c r="G790" s="168"/>
      <c r="H790" s="168"/>
      <c r="I790" s="168"/>
      <c r="J790" s="168"/>
      <c r="K790" s="168"/>
      <c r="L790" s="168"/>
      <c r="M790" s="168"/>
      <c r="N790" s="168"/>
      <c r="O790" s="433"/>
      <c r="P790" s="122"/>
      <c r="Q790" s="156"/>
      <c r="R790" s="156"/>
      <c r="S790" s="156"/>
      <c r="T790" s="156"/>
      <c r="U790" s="156"/>
      <c r="V790" s="156"/>
      <c r="W790" s="156"/>
      <c r="X790" s="156"/>
      <c r="Y790" s="156"/>
      <c r="Z790" s="157"/>
      <c r="AA790" s="157"/>
      <c r="AB790" s="156"/>
      <c r="AC790" s="156"/>
      <c r="AD790" s="156"/>
      <c r="AE790" s="156"/>
      <c r="AF790" s="156"/>
      <c r="AG790" s="156"/>
      <c r="AH790" s="156"/>
      <c r="AI790" s="156"/>
      <c r="AJ790" s="156"/>
      <c r="AK790" s="156"/>
      <c r="AL790" s="156"/>
      <c r="AM790" s="158"/>
      <c r="AN790" s="156"/>
      <c r="AO790" s="156"/>
      <c r="AP790" s="156"/>
      <c r="AQ790" s="156"/>
      <c r="AR790" s="156"/>
      <c r="AS790" s="156"/>
      <c r="AT790" s="156"/>
      <c r="AU790" s="156"/>
      <c r="AV790" s="156"/>
      <c r="AW790" s="156"/>
      <c r="AX790" s="156"/>
      <c r="AY790" s="156"/>
      <c r="AZ790" s="156"/>
      <c r="BA790" s="153"/>
      <c r="BD790" s="153"/>
      <c r="BE790" s="147"/>
      <c r="BI790" s="153"/>
      <c r="BO790" s="153"/>
      <c r="BW790" s="153"/>
      <c r="CD790" s="146"/>
      <c r="CF790" s="147"/>
      <c r="CI790" s="146"/>
      <c r="CJ790" s="153"/>
      <c r="CV790" s="154"/>
      <c r="CX790" s="154"/>
      <c r="CZ790" s="154"/>
      <c r="DB790" s="154"/>
      <c r="DD790" s="154"/>
      <c r="DH790" s="474"/>
      <c r="DI790" s="459"/>
      <c r="DJ790" s="459"/>
      <c r="DK790" s="459"/>
      <c r="DL790" s="459"/>
      <c r="DM790" s="459"/>
      <c r="DN790" s="459"/>
      <c r="DO790" s="459"/>
      <c r="DP790" s="459"/>
      <c r="DQ790" s="459"/>
      <c r="DR790" s="459"/>
      <c r="DS790" s="459"/>
      <c r="DT790" s="459"/>
      <c r="DU790" s="459"/>
      <c r="DV790" s="468"/>
      <c r="DW790" s="468"/>
      <c r="DX790" s="459"/>
      <c r="DY790" s="459"/>
    </row>
    <row r="791" spans="1:129" s="128" customFormat="1" ht="54.95" customHeight="1" x14ac:dyDescent="0.25">
      <c r="A791" s="377"/>
      <c r="B791" s="175"/>
      <c r="C791" s="393"/>
      <c r="D791" s="168"/>
      <c r="E791" s="168"/>
      <c r="F791" s="168"/>
      <c r="G791" s="168"/>
      <c r="H791" s="168"/>
      <c r="I791" s="168"/>
      <c r="J791" s="168"/>
      <c r="K791" s="168"/>
      <c r="L791" s="168"/>
      <c r="M791" s="168"/>
      <c r="N791" s="168"/>
      <c r="O791" s="433"/>
      <c r="P791" s="122"/>
      <c r="Q791" s="156"/>
      <c r="R791" s="156"/>
      <c r="S791" s="156"/>
      <c r="T791" s="156"/>
      <c r="U791" s="156"/>
      <c r="V791" s="156"/>
      <c r="W791" s="156"/>
      <c r="X791" s="156"/>
      <c r="Y791" s="156"/>
      <c r="Z791" s="157"/>
      <c r="AA791" s="157"/>
      <c r="AB791" s="156"/>
      <c r="AC791" s="156"/>
      <c r="AD791" s="156"/>
      <c r="AE791" s="156"/>
      <c r="AF791" s="156"/>
      <c r="AG791" s="156"/>
      <c r="AH791" s="156"/>
      <c r="AI791" s="156"/>
      <c r="AJ791" s="156"/>
      <c r="AK791" s="156"/>
      <c r="AL791" s="156"/>
      <c r="AM791" s="158"/>
      <c r="AN791" s="156"/>
      <c r="AO791" s="156"/>
      <c r="AP791" s="156"/>
      <c r="AQ791" s="156"/>
      <c r="AR791" s="156"/>
      <c r="AS791" s="156"/>
      <c r="AT791" s="156"/>
      <c r="AU791" s="156"/>
      <c r="AV791" s="156"/>
      <c r="AW791" s="156"/>
      <c r="AX791" s="156"/>
      <c r="AY791" s="156"/>
      <c r="AZ791" s="156"/>
      <c r="BA791" s="153"/>
      <c r="BD791" s="153"/>
      <c r="BE791" s="147"/>
      <c r="BI791" s="153"/>
      <c r="BO791" s="153"/>
      <c r="BW791" s="153"/>
      <c r="CD791" s="146"/>
      <c r="CF791" s="147"/>
      <c r="CI791" s="146"/>
      <c r="CJ791" s="153"/>
      <c r="CV791" s="154"/>
      <c r="CX791" s="154"/>
      <c r="CZ791" s="154"/>
      <c r="DB791" s="154"/>
      <c r="DD791" s="154"/>
      <c r="DH791" s="474"/>
      <c r="DI791" s="459"/>
      <c r="DJ791" s="459"/>
      <c r="DK791" s="459"/>
      <c r="DL791" s="459"/>
      <c r="DM791" s="459"/>
      <c r="DN791" s="459"/>
      <c r="DO791" s="459"/>
      <c r="DP791" s="459"/>
      <c r="DQ791" s="459"/>
      <c r="DR791" s="459"/>
      <c r="DS791" s="459"/>
      <c r="DT791" s="459"/>
      <c r="DU791" s="459"/>
      <c r="DV791" s="468"/>
      <c r="DW791" s="468"/>
      <c r="DX791" s="459"/>
      <c r="DY791" s="459"/>
    </row>
    <row r="792" spans="1:129" s="128" customFormat="1" ht="54.95" customHeight="1" x14ac:dyDescent="0.25">
      <c r="A792" s="377"/>
      <c r="B792" s="175"/>
      <c r="C792" s="393"/>
      <c r="D792" s="168"/>
      <c r="E792" s="168"/>
      <c r="F792" s="168"/>
      <c r="G792" s="168"/>
      <c r="H792" s="168"/>
      <c r="I792" s="168"/>
      <c r="J792" s="168"/>
      <c r="K792" s="168"/>
      <c r="L792" s="168"/>
      <c r="M792" s="168"/>
      <c r="N792" s="168"/>
      <c r="O792" s="433"/>
      <c r="P792" s="122"/>
      <c r="Q792" s="156"/>
      <c r="R792" s="156"/>
      <c r="S792" s="156"/>
      <c r="T792" s="156"/>
      <c r="U792" s="156"/>
      <c r="V792" s="156"/>
      <c r="W792" s="156"/>
      <c r="X792" s="156"/>
      <c r="Y792" s="156"/>
      <c r="Z792" s="157"/>
      <c r="AA792" s="157"/>
      <c r="AB792" s="156"/>
      <c r="AC792" s="156"/>
      <c r="AD792" s="156"/>
      <c r="AE792" s="156"/>
      <c r="AF792" s="156"/>
      <c r="AG792" s="156"/>
      <c r="AH792" s="156"/>
      <c r="AI792" s="156"/>
      <c r="AJ792" s="156"/>
      <c r="AK792" s="156"/>
      <c r="AL792" s="156"/>
      <c r="AM792" s="158"/>
      <c r="AN792" s="156"/>
      <c r="AO792" s="156"/>
      <c r="AP792" s="156"/>
      <c r="AQ792" s="156"/>
      <c r="AR792" s="156"/>
      <c r="AS792" s="156"/>
      <c r="AT792" s="156"/>
      <c r="AU792" s="156"/>
      <c r="AV792" s="156"/>
      <c r="AW792" s="156"/>
      <c r="AX792" s="156"/>
      <c r="AY792" s="156"/>
      <c r="AZ792" s="156"/>
      <c r="BA792" s="153"/>
      <c r="BD792" s="153"/>
      <c r="BE792" s="147"/>
      <c r="BI792" s="153"/>
      <c r="BO792" s="153"/>
      <c r="BW792" s="153"/>
      <c r="CD792" s="146"/>
      <c r="CF792" s="147"/>
      <c r="CI792" s="146"/>
      <c r="CJ792" s="153"/>
      <c r="CV792" s="154"/>
      <c r="CX792" s="154"/>
      <c r="CZ792" s="154"/>
      <c r="DB792" s="154"/>
      <c r="DD792" s="154"/>
      <c r="DH792" s="474"/>
      <c r="DI792" s="459"/>
      <c r="DJ792" s="459"/>
      <c r="DK792" s="459"/>
      <c r="DL792" s="459"/>
      <c r="DM792" s="459"/>
      <c r="DN792" s="459"/>
      <c r="DO792" s="459"/>
      <c r="DP792" s="459"/>
      <c r="DQ792" s="459"/>
      <c r="DR792" s="459"/>
      <c r="DS792" s="459"/>
      <c r="DT792" s="459"/>
      <c r="DU792" s="459"/>
      <c r="DV792" s="468"/>
      <c r="DW792" s="468"/>
      <c r="DX792" s="459"/>
      <c r="DY792" s="459"/>
    </row>
    <row r="793" spans="1:129" s="128" customFormat="1" ht="54.95" customHeight="1" x14ac:dyDescent="0.25">
      <c r="A793" s="377"/>
      <c r="B793" s="175"/>
      <c r="C793" s="393"/>
      <c r="D793" s="168"/>
      <c r="E793" s="168"/>
      <c r="F793" s="168"/>
      <c r="G793" s="168"/>
      <c r="H793" s="168"/>
      <c r="I793" s="168"/>
      <c r="J793" s="168"/>
      <c r="K793" s="168"/>
      <c r="L793" s="168"/>
      <c r="M793" s="168"/>
      <c r="N793" s="168"/>
      <c r="O793" s="433"/>
      <c r="P793" s="122"/>
      <c r="Q793" s="156"/>
      <c r="R793" s="156"/>
      <c r="S793" s="156"/>
      <c r="T793" s="156"/>
      <c r="U793" s="156"/>
      <c r="V793" s="156"/>
      <c r="W793" s="156"/>
      <c r="X793" s="156"/>
      <c r="Y793" s="156"/>
      <c r="Z793" s="157"/>
      <c r="AA793" s="157"/>
      <c r="AB793" s="156"/>
      <c r="AC793" s="156"/>
      <c r="AD793" s="156"/>
      <c r="AE793" s="156"/>
      <c r="AF793" s="156"/>
      <c r="AG793" s="156"/>
      <c r="AH793" s="156"/>
      <c r="AI793" s="156"/>
      <c r="AJ793" s="156"/>
      <c r="AK793" s="156"/>
      <c r="AL793" s="156"/>
      <c r="AM793" s="158"/>
      <c r="AN793" s="156"/>
      <c r="AO793" s="156"/>
      <c r="AP793" s="156"/>
      <c r="AQ793" s="156"/>
      <c r="AR793" s="156"/>
      <c r="AS793" s="156"/>
      <c r="AT793" s="156"/>
      <c r="AU793" s="156"/>
      <c r="AV793" s="156"/>
      <c r="AW793" s="156"/>
      <c r="AX793" s="156"/>
      <c r="AY793" s="156"/>
      <c r="AZ793" s="156"/>
      <c r="BA793" s="153"/>
      <c r="BD793" s="153"/>
      <c r="BE793" s="147"/>
      <c r="BI793" s="153"/>
      <c r="BO793" s="153"/>
      <c r="BW793" s="153"/>
      <c r="CD793" s="146"/>
      <c r="CF793" s="147"/>
      <c r="CI793" s="146"/>
      <c r="CJ793" s="153"/>
      <c r="CV793" s="154"/>
      <c r="CX793" s="154"/>
      <c r="CZ793" s="154"/>
      <c r="DB793" s="154"/>
      <c r="DD793" s="154"/>
      <c r="DH793" s="474"/>
      <c r="DI793" s="459"/>
      <c r="DJ793" s="459"/>
      <c r="DK793" s="459"/>
      <c r="DL793" s="459"/>
      <c r="DM793" s="459"/>
      <c r="DN793" s="459"/>
      <c r="DO793" s="459"/>
      <c r="DP793" s="459"/>
      <c r="DQ793" s="459"/>
      <c r="DR793" s="459"/>
      <c r="DS793" s="459"/>
      <c r="DT793" s="459"/>
      <c r="DU793" s="459"/>
      <c r="DV793" s="468"/>
      <c r="DW793" s="468"/>
      <c r="DX793" s="459"/>
      <c r="DY793" s="459"/>
    </row>
    <row r="794" spans="1:129" s="128" customFormat="1" ht="54.95" customHeight="1" x14ac:dyDescent="0.25">
      <c r="A794" s="377"/>
      <c r="B794" s="175"/>
      <c r="C794" s="393"/>
      <c r="D794" s="168"/>
      <c r="E794" s="168"/>
      <c r="F794" s="168"/>
      <c r="G794" s="168"/>
      <c r="H794" s="168"/>
      <c r="I794" s="168"/>
      <c r="J794" s="168"/>
      <c r="K794" s="168"/>
      <c r="L794" s="168"/>
      <c r="M794" s="168"/>
      <c r="N794" s="168"/>
      <c r="O794" s="433"/>
      <c r="P794" s="122"/>
      <c r="Q794" s="156"/>
      <c r="R794" s="156"/>
      <c r="S794" s="156"/>
      <c r="T794" s="156"/>
      <c r="U794" s="156"/>
      <c r="V794" s="156"/>
      <c r="W794" s="156"/>
      <c r="X794" s="156"/>
      <c r="Y794" s="156"/>
      <c r="Z794" s="157"/>
      <c r="AA794" s="157"/>
      <c r="AB794" s="156"/>
      <c r="AC794" s="156"/>
      <c r="AD794" s="156"/>
      <c r="AE794" s="156"/>
      <c r="AF794" s="156"/>
      <c r="AG794" s="156"/>
      <c r="AH794" s="156"/>
      <c r="AI794" s="156"/>
      <c r="AJ794" s="156"/>
      <c r="AK794" s="156"/>
      <c r="AL794" s="156"/>
      <c r="AM794" s="158"/>
      <c r="AN794" s="156"/>
      <c r="AO794" s="156"/>
      <c r="AP794" s="156"/>
      <c r="AQ794" s="156"/>
      <c r="AR794" s="156"/>
      <c r="AS794" s="156"/>
      <c r="AT794" s="156"/>
      <c r="AU794" s="156"/>
      <c r="AV794" s="156"/>
      <c r="AW794" s="156"/>
      <c r="AX794" s="156"/>
      <c r="AY794" s="156"/>
      <c r="AZ794" s="156"/>
      <c r="BA794" s="153"/>
      <c r="BD794" s="153"/>
      <c r="BE794" s="147"/>
      <c r="BI794" s="153"/>
      <c r="BO794" s="153"/>
      <c r="BW794" s="153"/>
      <c r="CD794" s="146"/>
      <c r="CF794" s="147"/>
      <c r="CI794" s="146"/>
      <c r="CJ794" s="153"/>
      <c r="CV794" s="154"/>
      <c r="CX794" s="154"/>
      <c r="CZ794" s="154"/>
      <c r="DB794" s="154"/>
      <c r="DD794" s="154"/>
      <c r="DH794" s="474"/>
      <c r="DI794" s="459"/>
      <c r="DJ794" s="459"/>
      <c r="DK794" s="459"/>
      <c r="DL794" s="459"/>
      <c r="DM794" s="459"/>
      <c r="DN794" s="459"/>
      <c r="DO794" s="459"/>
      <c r="DP794" s="459"/>
      <c r="DQ794" s="459"/>
      <c r="DR794" s="459"/>
      <c r="DS794" s="459"/>
      <c r="DT794" s="459"/>
      <c r="DU794" s="459"/>
      <c r="DV794" s="468"/>
      <c r="DW794" s="468"/>
      <c r="DX794" s="459"/>
      <c r="DY794" s="459"/>
    </row>
    <row r="795" spans="1:129" s="128" customFormat="1" ht="54.95" customHeight="1" x14ac:dyDescent="0.25">
      <c r="A795" s="377"/>
      <c r="B795" s="175"/>
      <c r="C795" s="393"/>
      <c r="D795" s="168"/>
      <c r="E795" s="168"/>
      <c r="F795" s="168"/>
      <c r="G795" s="168"/>
      <c r="H795" s="168"/>
      <c r="I795" s="168"/>
      <c r="J795" s="168"/>
      <c r="K795" s="168"/>
      <c r="L795" s="168"/>
      <c r="M795" s="168"/>
      <c r="N795" s="168"/>
      <c r="O795" s="433"/>
      <c r="P795" s="122"/>
      <c r="Q795" s="156"/>
      <c r="R795" s="156"/>
      <c r="S795" s="156"/>
      <c r="T795" s="156"/>
      <c r="U795" s="156"/>
      <c r="V795" s="156"/>
      <c r="W795" s="156"/>
      <c r="X795" s="156"/>
      <c r="Y795" s="156"/>
      <c r="Z795" s="157"/>
      <c r="AA795" s="157"/>
      <c r="AB795" s="156"/>
      <c r="AC795" s="156"/>
      <c r="AD795" s="156"/>
      <c r="AE795" s="156"/>
      <c r="AF795" s="156"/>
      <c r="AG795" s="156"/>
      <c r="AH795" s="156"/>
      <c r="AI795" s="156"/>
      <c r="AJ795" s="156"/>
      <c r="AK795" s="156"/>
      <c r="AL795" s="156"/>
      <c r="AM795" s="158"/>
      <c r="AN795" s="156"/>
      <c r="AO795" s="156"/>
      <c r="AP795" s="156"/>
      <c r="AQ795" s="156"/>
      <c r="AR795" s="156"/>
      <c r="AS795" s="156"/>
      <c r="AT795" s="156"/>
      <c r="AU795" s="156"/>
      <c r="AV795" s="156"/>
      <c r="AW795" s="156"/>
      <c r="AX795" s="156"/>
      <c r="AY795" s="156"/>
      <c r="AZ795" s="156"/>
      <c r="BA795" s="153"/>
      <c r="BD795" s="153"/>
      <c r="BE795" s="147"/>
      <c r="BI795" s="153"/>
      <c r="BO795" s="153"/>
      <c r="BW795" s="153"/>
      <c r="CD795" s="146"/>
      <c r="CF795" s="147"/>
      <c r="CI795" s="146"/>
      <c r="CJ795" s="153"/>
      <c r="CV795" s="154"/>
      <c r="CX795" s="154"/>
      <c r="CZ795" s="154"/>
      <c r="DB795" s="154"/>
      <c r="DD795" s="154"/>
      <c r="DH795" s="474"/>
      <c r="DI795" s="459"/>
      <c r="DJ795" s="459"/>
      <c r="DK795" s="459"/>
      <c r="DL795" s="459"/>
      <c r="DM795" s="459"/>
      <c r="DN795" s="459"/>
      <c r="DO795" s="459"/>
      <c r="DP795" s="459"/>
      <c r="DQ795" s="459"/>
      <c r="DR795" s="459"/>
      <c r="DS795" s="459"/>
      <c r="DT795" s="459"/>
      <c r="DU795" s="459"/>
      <c r="DV795" s="468"/>
      <c r="DW795" s="468"/>
      <c r="DX795" s="459"/>
      <c r="DY795" s="459"/>
    </row>
    <row r="796" spans="1:129" s="128" customFormat="1" ht="54.95" customHeight="1" x14ac:dyDescent="0.25">
      <c r="A796" s="377"/>
      <c r="B796" s="175"/>
      <c r="C796" s="393"/>
      <c r="D796" s="168"/>
      <c r="E796" s="168"/>
      <c r="F796" s="168"/>
      <c r="G796" s="168"/>
      <c r="H796" s="168"/>
      <c r="I796" s="168"/>
      <c r="J796" s="168"/>
      <c r="K796" s="168"/>
      <c r="L796" s="168"/>
      <c r="M796" s="168"/>
      <c r="N796" s="168"/>
      <c r="O796" s="433"/>
      <c r="P796" s="122"/>
      <c r="Q796" s="156"/>
      <c r="R796" s="156"/>
      <c r="S796" s="156"/>
      <c r="T796" s="156"/>
      <c r="U796" s="156"/>
      <c r="V796" s="156"/>
      <c r="W796" s="156"/>
      <c r="X796" s="156"/>
      <c r="Y796" s="156"/>
      <c r="Z796" s="157"/>
      <c r="AA796" s="157"/>
      <c r="AB796" s="156"/>
      <c r="AC796" s="156"/>
      <c r="AD796" s="156"/>
      <c r="AE796" s="156"/>
      <c r="AF796" s="156"/>
      <c r="AG796" s="156"/>
      <c r="AH796" s="156"/>
      <c r="AI796" s="156"/>
      <c r="AJ796" s="156"/>
      <c r="AK796" s="156"/>
      <c r="AL796" s="156"/>
      <c r="AM796" s="158"/>
      <c r="AN796" s="156"/>
      <c r="AO796" s="156"/>
      <c r="AP796" s="156"/>
      <c r="AQ796" s="156"/>
      <c r="AR796" s="156"/>
      <c r="AS796" s="156"/>
      <c r="AT796" s="156"/>
      <c r="AU796" s="156"/>
      <c r="AV796" s="156"/>
      <c r="AW796" s="156"/>
      <c r="AX796" s="156"/>
      <c r="AY796" s="156"/>
      <c r="AZ796" s="156"/>
      <c r="BA796" s="153"/>
      <c r="BD796" s="153"/>
      <c r="BE796" s="147"/>
      <c r="BI796" s="153"/>
      <c r="BO796" s="153"/>
      <c r="BW796" s="153"/>
      <c r="CD796" s="146"/>
      <c r="CF796" s="147"/>
      <c r="CI796" s="146"/>
      <c r="CJ796" s="153"/>
      <c r="CV796" s="154"/>
      <c r="CX796" s="154"/>
      <c r="CZ796" s="154"/>
      <c r="DB796" s="154"/>
      <c r="DD796" s="154"/>
      <c r="DH796" s="474"/>
      <c r="DI796" s="459"/>
      <c r="DJ796" s="459"/>
      <c r="DK796" s="459"/>
      <c r="DL796" s="459"/>
      <c r="DM796" s="459"/>
      <c r="DN796" s="459"/>
      <c r="DO796" s="459"/>
      <c r="DP796" s="459"/>
      <c r="DQ796" s="459"/>
      <c r="DR796" s="459"/>
      <c r="DS796" s="459"/>
      <c r="DT796" s="459"/>
      <c r="DU796" s="459"/>
      <c r="DV796" s="468"/>
      <c r="DW796" s="468"/>
      <c r="DX796" s="459"/>
      <c r="DY796" s="459"/>
    </row>
    <row r="797" spans="1:129" s="128" customFormat="1" ht="54.95" customHeight="1" x14ac:dyDescent="0.25">
      <c r="A797" s="377"/>
      <c r="B797" s="175"/>
      <c r="C797" s="393"/>
      <c r="D797" s="168"/>
      <c r="E797" s="168"/>
      <c r="F797" s="168"/>
      <c r="G797" s="168"/>
      <c r="H797" s="168"/>
      <c r="I797" s="168"/>
      <c r="J797" s="168"/>
      <c r="K797" s="168"/>
      <c r="L797" s="168"/>
      <c r="M797" s="168"/>
      <c r="N797" s="168"/>
      <c r="O797" s="433"/>
      <c r="P797" s="122"/>
      <c r="Q797" s="156"/>
      <c r="R797" s="156"/>
      <c r="S797" s="156"/>
      <c r="T797" s="156"/>
      <c r="U797" s="156"/>
      <c r="V797" s="156"/>
      <c r="W797" s="156"/>
      <c r="X797" s="156"/>
      <c r="Y797" s="156"/>
      <c r="Z797" s="157"/>
      <c r="AA797" s="157"/>
      <c r="AB797" s="156"/>
      <c r="AC797" s="156"/>
      <c r="AD797" s="156"/>
      <c r="AE797" s="156"/>
      <c r="AF797" s="156"/>
      <c r="AG797" s="156"/>
      <c r="AH797" s="156"/>
      <c r="AI797" s="156"/>
      <c r="AJ797" s="156"/>
      <c r="AK797" s="156"/>
      <c r="AL797" s="156"/>
      <c r="AM797" s="158"/>
      <c r="AN797" s="156"/>
      <c r="AO797" s="156"/>
      <c r="AP797" s="156"/>
      <c r="AQ797" s="156"/>
      <c r="AR797" s="156"/>
      <c r="AS797" s="156"/>
      <c r="AT797" s="156"/>
      <c r="AU797" s="156"/>
      <c r="AV797" s="156"/>
      <c r="AW797" s="156"/>
      <c r="AX797" s="156"/>
      <c r="AY797" s="156"/>
      <c r="AZ797" s="156"/>
      <c r="BA797" s="153"/>
      <c r="BD797" s="153"/>
      <c r="BE797" s="147"/>
      <c r="BI797" s="153"/>
      <c r="BO797" s="153"/>
      <c r="BW797" s="153"/>
      <c r="CD797" s="146"/>
      <c r="CF797" s="147"/>
      <c r="CI797" s="146"/>
      <c r="CJ797" s="153"/>
      <c r="CV797" s="154"/>
      <c r="CX797" s="154"/>
      <c r="CZ797" s="154"/>
      <c r="DB797" s="154"/>
      <c r="DD797" s="154"/>
      <c r="DH797" s="474"/>
      <c r="DI797" s="459"/>
      <c r="DJ797" s="459"/>
      <c r="DK797" s="459"/>
      <c r="DL797" s="459"/>
      <c r="DM797" s="459"/>
      <c r="DN797" s="459"/>
      <c r="DO797" s="459"/>
      <c r="DP797" s="459"/>
      <c r="DQ797" s="459"/>
      <c r="DR797" s="459"/>
      <c r="DS797" s="459"/>
      <c r="DT797" s="459"/>
      <c r="DU797" s="459"/>
      <c r="DV797" s="468"/>
      <c r="DW797" s="468"/>
      <c r="DX797" s="459"/>
      <c r="DY797" s="459"/>
    </row>
    <row r="798" spans="1:129" s="128" customFormat="1" ht="54.95" customHeight="1" x14ac:dyDescent="0.25">
      <c r="A798" s="377"/>
      <c r="B798" s="175"/>
      <c r="C798" s="393"/>
      <c r="D798" s="168"/>
      <c r="E798" s="168"/>
      <c r="F798" s="168"/>
      <c r="G798" s="168"/>
      <c r="H798" s="168"/>
      <c r="I798" s="168"/>
      <c r="J798" s="168"/>
      <c r="K798" s="168"/>
      <c r="L798" s="168"/>
      <c r="M798" s="168"/>
      <c r="N798" s="168"/>
      <c r="O798" s="433"/>
      <c r="P798" s="122"/>
      <c r="Q798" s="156"/>
      <c r="R798" s="156"/>
      <c r="S798" s="156"/>
      <c r="T798" s="156"/>
      <c r="U798" s="156"/>
      <c r="V798" s="156"/>
      <c r="W798" s="156"/>
      <c r="X798" s="156"/>
      <c r="Y798" s="156"/>
      <c r="Z798" s="157"/>
      <c r="AA798" s="157"/>
      <c r="AB798" s="156"/>
      <c r="AC798" s="156"/>
      <c r="AD798" s="156"/>
      <c r="AE798" s="156"/>
      <c r="AF798" s="156"/>
      <c r="AG798" s="156"/>
      <c r="AH798" s="156"/>
      <c r="AI798" s="156"/>
      <c r="AJ798" s="156"/>
      <c r="AK798" s="156"/>
      <c r="AL798" s="156"/>
      <c r="AM798" s="158"/>
      <c r="AN798" s="156"/>
      <c r="AO798" s="156"/>
      <c r="AP798" s="156"/>
      <c r="AQ798" s="156"/>
      <c r="AR798" s="156"/>
      <c r="AS798" s="156"/>
      <c r="AT798" s="156"/>
      <c r="AU798" s="156"/>
      <c r="AV798" s="156"/>
      <c r="AW798" s="156"/>
      <c r="AX798" s="156"/>
      <c r="AY798" s="156"/>
      <c r="AZ798" s="156"/>
      <c r="BA798" s="153"/>
      <c r="BD798" s="153"/>
      <c r="BE798" s="147"/>
      <c r="BI798" s="153"/>
      <c r="BO798" s="153"/>
      <c r="BW798" s="153"/>
      <c r="CD798" s="146"/>
      <c r="CF798" s="147"/>
      <c r="CI798" s="146"/>
      <c r="CJ798" s="153"/>
      <c r="CV798" s="154"/>
      <c r="CX798" s="154"/>
      <c r="CZ798" s="154"/>
      <c r="DB798" s="154"/>
      <c r="DD798" s="154"/>
      <c r="DH798" s="474"/>
      <c r="DI798" s="459"/>
      <c r="DJ798" s="459"/>
      <c r="DK798" s="459"/>
      <c r="DL798" s="459"/>
      <c r="DM798" s="459"/>
      <c r="DN798" s="459"/>
      <c r="DO798" s="459"/>
      <c r="DP798" s="459"/>
      <c r="DQ798" s="459"/>
      <c r="DR798" s="459"/>
      <c r="DS798" s="459"/>
      <c r="DT798" s="459"/>
      <c r="DU798" s="459"/>
      <c r="DV798" s="468"/>
      <c r="DW798" s="468"/>
      <c r="DX798" s="459"/>
      <c r="DY798" s="459"/>
    </row>
    <row r="799" spans="1:129" s="128" customFormat="1" ht="54.95" customHeight="1" x14ac:dyDescent="0.25">
      <c r="A799" s="377"/>
      <c r="B799" s="175"/>
      <c r="C799" s="393"/>
      <c r="D799" s="168"/>
      <c r="E799" s="168"/>
      <c r="F799" s="168"/>
      <c r="G799" s="168"/>
      <c r="H799" s="168"/>
      <c r="I799" s="168"/>
      <c r="J799" s="168"/>
      <c r="K799" s="168"/>
      <c r="L799" s="168"/>
      <c r="M799" s="168"/>
      <c r="N799" s="168"/>
      <c r="O799" s="433"/>
      <c r="P799" s="122"/>
      <c r="Q799" s="156"/>
      <c r="R799" s="156"/>
      <c r="S799" s="156"/>
      <c r="T799" s="156"/>
      <c r="U799" s="156"/>
      <c r="V799" s="156"/>
      <c r="W799" s="156"/>
      <c r="X799" s="156"/>
      <c r="Y799" s="156"/>
      <c r="Z799" s="157"/>
      <c r="AA799" s="157"/>
      <c r="AB799" s="156"/>
      <c r="AC799" s="156"/>
      <c r="AD799" s="156"/>
      <c r="AE799" s="156"/>
      <c r="AF799" s="156"/>
      <c r="AG799" s="156"/>
      <c r="AH799" s="156"/>
      <c r="AI799" s="156"/>
      <c r="AJ799" s="156"/>
      <c r="AK799" s="156"/>
      <c r="AL799" s="156"/>
      <c r="AM799" s="158"/>
      <c r="AN799" s="156"/>
      <c r="AO799" s="156"/>
      <c r="AP799" s="156"/>
      <c r="AQ799" s="156"/>
      <c r="AR799" s="156"/>
      <c r="AS799" s="156"/>
      <c r="AT799" s="156"/>
      <c r="AU799" s="156"/>
      <c r="AV799" s="156"/>
      <c r="AW799" s="156"/>
      <c r="AX799" s="156"/>
      <c r="AY799" s="156"/>
      <c r="AZ799" s="156"/>
      <c r="BA799" s="153"/>
      <c r="BD799" s="153"/>
      <c r="BE799" s="147"/>
      <c r="BI799" s="153"/>
      <c r="BO799" s="153"/>
      <c r="BW799" s="153"/>
      <c r="CD799" s="146"/>
      <c r="CF799" s="147"/>
      <c r="CI799" s="146"/>
      <c r="CJ799" s="153"/>
      <c r="CV799" s="154"/>
      <c r="CX799" s="154"/>
      <c r="CZ799" s="154"/>
      <c r="DB799" s="154"/>
      <c r="DD799" s="154"/>
      <c r="DH799" s="474"/>
      <c r="DI799" s="459"/>
      <c r="DJ799" s="459"/>
      <c r="DK799" s="459"/>
      <c r="DL799" s="459"/>
      <c r="DM799" s="459"/>
      <c r="DN799" s="459"/>
      <c r="DO799" s="459"/>
      <c r="DP799" s="459"/>
      <c r="DQ799" s="459"/>
      <c r="DR799" s="459"/>
      <c r="DS799" s="459"/>
      <c r="DT799" s="459"/>
      <c r="DU799" s="459"/>
      <c r="DV799" s="468"/>
      <c r="DW799" s="468"/>
      <c r="DX799" s="459"/>
      <c r="DY799" s="459"/>
    </row>
    <row r="800" spans="1:129" s="128" customFormat="1" ht="54.95" customHeight="1" x14ac:dyDescent="0.25">
      <c r="A800" s="377"/>
      <c r="B800" s="175"/>
      <c r="C800" s="393"/>
      <c r="D800" s="168"/>
      <c r="E800" s="168"/>
      <c r="F800" s="168"/>
      <c r="G800" s="168"/>
      <c r="H800" s="168"/>
      <c r="I800" s="168"/>
      <c r="J800" s="168"/>
      <c r="K800" s="168"/>
      <c r="L800" s="168"/>
      <c r="M800" s="168"/>
      <c r="N800" s="168"/>
      <c r="O800" s="433"/>
      <c r="P800" s="122"/>
      <c r="Q800" s="156"/>
      <c r="R800" s="156"/>
      <c r="S800" s="156"/>
      <c r="T800" s="156"/>
      <c r="U800" s="156"/>
      <c r="V800" s="156"/>
      <c r="W800" s="156"/>
      <c r="X800" s="156"/>
      <c r="Y800" s="156"/>
      <c r="Z800" s="157"/>
      <c r="AA800" s="157"/>
      <c r="AB800" s="156"/>
      <c r="AC800" s="156"/>
      <c r="AD800" s="156"/>
      <c r="AE800" s="156"/>
      <c r="AF800" s="156"/>
      <c r="AG800" s="156"/>
      <c r="AH800" s="156"/>
      <c r="AI800" s="156"/>
      <c r="AJ800" s="156"/>
      <c r="AK800" s="156"/>
      <c r="AL800" s="156"/>
      <c r="AM800" s="158"/>
      <c r="AN800" s="156"/>
      <c r="AO800" s="156"/>
      <c r="AP800" s="156"/>
      <c r="AQ800" s="156"/>
      <c r="AR800" s="156"/>
      <c r="AS800" s="156"/>
      <c r="AT800" s="156"/>
      <c r="AU800" s="156"/>
      <c r="AV800" s="156"/>
      <c r="AW800" s="156"/>
      <c r="AX800" s="156"/>
      <c r="AY800" s="156"/>
      <c r="AZ800" s="156"/>
      <c r="BA800" s="153"/>
      <c r="BD800" s="153"/>
      <c r="BE800" s="147"/>
      <c r="BI800" s="153"/>
      <c r="BO800" s="153"/>
      <c r="BW800" s="153"/>
      <c r="CD800" s="146"/>
      <c r="CF800" s="147"/>
      <c r="CI800" s="146"/>
      <c r="CJ800" s="153"/>
      <c r="CV800" s="154"/>
      <c r="CX800" s="154"/>
      <c r="CZ800" s="154"/>
      <c r="DB800" s="154"/>
      <c r="DD800" s="154"/>
      <c r="DH800" s="474"/>
      <c r="DI800" s="459"/>
      <c r="DJ800" s="459"/>
      <c r="DK800" s="459"/>
      <c r="DL800" s="459"/>
      <c r="DM800" s="459"/>
      <c r="DN800" s="459"/>
      <c r="DO800" s="459"/>
      <c r="DP800" s="459"/>
      <c r="DQ800" s="459"/>
      <c r="DR800" s="459"/>
      <c r="DS800" s="459"/>
      <c r="DT800" s="459"/>
      <c r="DU800" s="459"/>
      <c r="DV800" s="468"/>
      <c r="DW800" s="468"/>
      <c r="DX800" s="459"/>
      <c r="DY800" s="459"/>
    </row>
    <row r="801" spans="1:129" s="128" customFormat="1" ht="54.95" customHeight="1" x14ac:dyDescent="0.25">
      <c r="A801" s="377"/>
      <c r="B801" s="175"/>
      <c r="C801" s="393"/>
      <c r="D801" s="168"/>
      <c r="E801" s="168"/>
      <c r="F801" s="168"/>
      <c r="G801" s="168"/>
      <c r="H801" s="168"/>
      <c r="I801" s="168"/>
      <c r="J801" s="168"/>
      <c r="K801" s="168"/>
      <c r="L801" s="168"/>
      <c r="M801" s="168"/>
      <c r="N801" s="168"/>
      <c r="O801" s="433"/>
      <c r="P801" s="122"/>
      <c r="Q801" s="156"/>
      <c r="R801" s="156"/>
      <c r="S801" s="156"/>
      <c r="T801" s="156"/>
      <c r="U801" s="156"/>
      <c r="V801" s="156"/>
      <c r="W801" s="156"/>
      <c r="X801" s="156"/>
      <c r="Y801" s="156"/>
      <c r="Z801" s="157"/>
      <c r="AA801" s="157"/>
      <c r="AB801" s="156"/>
      <c r="AC801" s="156"/>
      <c r="AD801" s="156"/>
      <c r="AE801" s="156"/>
      <c r="AF801" s="156"/>
      <c r="AG801" s="156"/>
      <c r="AH801" s="156"/>
      <c r="AI801" s="156"/>
      <c r="AJ801" s="156"/>
      <c r="AK801" s="156"/>
      <c r="AL801" s="156"/>
      <c r="AM801" s="158"/>
      <c r="AN801" s="156"/>
      <c r="AO801" s="156"/>
      <c r="AP801" s="156"/>
      <c r="AQ801" s="156"/>
      <c r="AR801" s="156"/>
      <c r="AS801" s="156"/>
      <c r="AT801" s="156"/>
      <c r="AU801" s="156"/>
      <c r="AV801" s="156"/>
      <c r="AW801" s="156"/>
      <c r="AX801" s="156"/>
      <c r="AY801" s="156"/>
      <c r="AZ801" s="156"/>
      <c r="BA801" s="153"/>
      <c r="BD801" s="153"/>
      <c r="BE801" s="147"/>
      <c r="BI801" s="153"/>
      <c r="BO801" s="153"/>
      <c r="BW801" s="153"/>
      <c r="CD801" s="146"/>
      <c r="CF801" s="147"/>
      <c r="CI801" s="146"/>
      <c r="CJ801" s="153"/>
      <c r="CV801" s="154"/>
      <c r="CX801" s="154"/>
      <c r="CZ801" s="154"/>
      <c r="DB801" s="154"/>
      <c r="DD801" s="154"/>
      <c r="DH801" s="474"/>
      <c r="DI801" s="459"/>
      <c r="DJ801" s="459"/>
      <c r="DK801" s="459"/>
      <c r="DL801" s="459"/>
      <c r="DM801" s="459"/>
      <c r="DN801" s="459"/>
      <c r="DO801" s="459"/>
      <c r="DP801" s="459"/>
      <c r="DQ801" s="459"/>
      <c r="DR801" s="459"/>
      <c r="DS801" s="459"/>
      <c r="DT801" s="459"/>
      <c r="DU801" s="459"/>
      <c r="DV801" s="468"/>
      <c r="DW801" s="468"/>
      <c r="DX801" s="459"/>
      <c r="DY801" s="459"/>
    </row>
    <row r="802" spans="1:129" s="128" customFormat="1" ht="54.95" customHeight="1" x14ac:dyDescent="0.25">
      <c r="A802" s="377"/>
      <c r="B802" s="175"/>
      <c r="C802" s="393"/>
      <c r="D802" s="168"/>
      <c r="E802" s="168"/>
      <c r="F802" s="168"/>
      <c r="G802" s="168"/>
      <c r="H802" s="168"/>
      <c r="I802" s="168"/>
      <c r="J802" s="168"/>
      <c r="K802" s="168"/>
      <c r="L802" s="168"/>
      <c r="M802" s="168"/>
      <c r="N802" s="168"/>
      <c r="O802" s="433"/>
      <c r="P802" s="122"/>
      <c r="Q802" s="156"/>
      <c r="R802" s="156"/>
      <c r="S802" s="156"/>
      <c r="T802" s="156"/>
      <c r="U802" s="156"/>
      <c r="V802" s="156"/>
      <c r="W802" s="156"/>
      <c r="X802" s="156"/>
      <c r="Y802" s="156"/>
      <c r="Z802" s="157"/>
      <c r="AA802" s="157"/>
      <c r="AB802" s="156"/>
      <c r="AC802" s="156"/>
      <c r="AD802" s="156"/>
      <c r="AE802" s="156"/>
      <c r="AF802" s="156"/>
      <c r="AG802" s="156"/>
      <c r="AH802" s="156"/>
      <c r="AI802" s="156"/>
      <c r="AJ802" s="156"/>
      <c r="AK802" s="156"/>
      <c r="AL802" s="156"/>
      <c r="AM802" s="158"/>
      <c r="AN802" s="156"/>
      <c r="AO802" s="156"/>
      <c r="AP802" s="156"/>
      <c r="AQ802" s="156"/>
      <c r="AR802" s="156"/>
      <c r="AS802" s="156"/>
      <c r="AT802" s="156"/>
      <c r="AU802" s="156"/>
      <c r="AV802" s="156"/>
      <c r="AW802" s="156"/>
      <c r="AX802" s="156"/>
      <c r="AY802" s="156"/>
      <c r="AZ802" s="156"/>
      <c r="BA802" s="153"/>
      <c r="BD802" s="153"/>
      <c r="BE802" s="147"/>
      <c r="BI802" s="153"/>
      <c r="BO802" s="153"/>
      <c r="BW802" s="153"/>
      <c r="CD802" s="146"/>
      <c r="CF802" s="147"/>
      <c r="CI802" s="146"/>
      <c r="CJ802" s="153"/>
      <c r="CV802" s="154"/>
      <c r="CX802" s="154"/>
      <c r="CZ802" s="154"/>
      <c r="DB802" s="154"/>
      <c r="DD802" s="154"/>
      <c r="DH802" s="474"/>
      <c r="DI802" s="459"/>
      <c r="DJ802" s="459"/>
      <c r="DK802" s="459"/>
      <c r="DL802" s="459"/>
      <c r="DM802" s="459"/>
      <c r="DN802" s="459"/>
      <c r="DO802" s="459"/>
      <c r="DP802" s="459"/>
      <c r="DQ802" s="459"/>
      <c r="DR802" s="459"/>
      <c r="DS802" s="459"/>
      <c r="DT802" s="459"/>
      <c r="DU802" s="459"/>
      <c r="DV802" s="468"/>
      <c r="DW802" s="468"/>
      <c r="DX802" s="459"/>
      <c r="DY802" s="459"/>
    </row>
    <row r="803" spans="1:129" s="128" customFormat="1" ht="54.95" customHeight="1" x14ac:dyDescent="0.25">
      <c r="A803" s="377"/>
      <c r="B803" s="175"/>
      <c r="C803" s="393"/>
      <c r="D803" s="168"/>
      <c r="E803" s="168"/>
      <c r="F803" s="168"/>
      <c r="G803" s="168"/>
      <c r="H803" s="168"/>
      <c r="I803" s="168"/>
      <c r="J803" s="168"/>
      <c r="K803" s="168"/>
      <c r="L803" s="168"/>
      <c r="M803" s="168"/>
      <c r="N803" s="168"/>
      <c r="O803" s="433"/>
      <c r="P803" s="122"/>
      <c r="Q803" s="156"/>
      <c r="R803" s="156"/>
      <c r="S803" s="156"/>
      <c r="T803" s="156"/>
      <c r="U803" s="156"/>
      <c r="V803" s="156"/>
      <c r="W803" s="156"/>
      <c r="X803" s="156"/>
      <c r="Y803" s="156"/>
      <c r="Z803" s="157"/>
      <c r="AA803" s="157"/>
      <c r="AB803" s="156"/>
      <c r="AC803" s="156"/>
      <c r="AD803" s="156"/>
      <c r="AE803" s="156"/>
      <c r="AF803" s="156"/>
      <c r="AG803" s="156"/>
      <c r="AH803" s="156"/>
      <c r="AI803" s="156"/>
      <c r="AJ803" s="156"/>
      <c r="AK803" s="156"/>
      <c r="AL803" s="156"/>
      <c r="AM803" s="158"/>
      <c r="AN803" s="156"/>
      <c r="AO803" s="156"/>
      <c r="AP803" s="156"/>
      <c r="AQ803" s="156"/>
      <c r="AR803" s="156"/>
      <c r="AS803" s="156"/>
      <c r="AT803" s="156"/>
      <c r="AU803" s="156"/>
      <c r="AV803" s="156"/>
      <c r="AW803" s="156"/>
      <c r="AX803" s="156"/>
      <c r="AY803" s="156"/>
      <c r="AZ803" s="156"/>
      <c r="BA803" s="153"/>
      <c r="BD803" s="153"/>
      <c r="BE803" s="147"/>
      <c r="BI803" s="153"/>
      <c r="BO803" s="153"/>
      <c r="BW803" s="153"/>
      <c r="CD803" s="146"/>
      <c r="CF803" s="147"/>
      <c r="CI803" s="146"/>
      <c r="CJ803" s="153"/>
      <c r="CV803" s="154"/>
      <c r="CX803" s="154"/>
      <c r="CZ803" s="154"/>
      <c r="DB803" s="154"/>
      <c r="DD803" s="154"/>
      <c r="DH803" s="474"/>
      <c r="DI803" s="459"/>
      <c r="DJ803" s="459"/>
      <c r="DK803" s="459"/>
      <c r="DL803" s="459"/>
      <c r="DM803" s="459"/>
      <c r="DN803" s="459"/>
      <c r="DO803" s="459"/>
      <c r="DP803" s="459"/>
      <c r="DQ803" s="459"/>
      <c r="DR803" s="459"/>
      <c r="DS803" s="459"/>
      <c r="DT803" s="459"/>
      <c r="DU803" s="459"/>
      <c r="DV803" s="468"/>
      <c r="DW803" s="468"/>
      <c r="DX803" s="459"/>
      <c r="DY803" s="459"/>
    </row>
    <row r="804" spans="1:129" s="128" customFormat="1" ht="54.95" customHeight="1" x14ac:dyDescent="0.25">
      <c r="A804" s="377"/>
      <c r="B804" s="175"/>
      <c r="C804" s="393"/>
      <c r="D804" s="168"/>
      <c r="E804" s="168"/>
      <c r="F804" s="168"/>
      <c r="G804" s="168"/>
      <c r="H804" s="168"/>
      <c r="I804" s="168"/>
      <c r="J804" s="168"/>
      <c r="K804" s="168"/>
      <c r="L804" s="168"/>
      <c r="M804" s="168"/>
      <c r="N804" s="168"/>
      <c r="O804" s="433"/>
      <c r="P804" s="122"/>
      <c r="Q804" s="156"/>
      <c r="R804" s="156"/>
      <c r="S804" s="156"/>
      <c r="T804" s="156"/>
      <c r="U804" s="156"/>
      <c r="V804" s="156"/>
      <c r="W804" s="156"/>
      <c r="X804" s="156"/>
      <c r="Y804" s="156"/>
      <c r="Z804" s="157"/>
      <c r="AA804" s="157"/>
      <c r="AB804" s="156"/>
      <c r="AC804" s="156"/>
      <c r="AD804" s="156"/>
      <c r="AE804" s="156"/>
      <c r="AF804" s="156"/>
      <c r="AG804" s="156"/>
      <c r="AH804" s="156"/>
      <c r="AI804" s="156"/>
      <c r="AJ804" s="156"/>
      <c r="AK804" s="156"/>
      <c r="AL804" s="156"/>
      <c r="AM804" s="158"/>
      <c r="AN804" s="156"/>
      <c r="AO804" s="156"/>
      <c r="AP804" s="156"/>
      <c r="AQ804" s="156"/>
      <c r="AR804" s="156"/>
      <c r="AS804" s="156"/>
      <c r="AT804" s="156"/>
      <c r="AU804" s="156"/>
      <c r="AV804" s="156"/>
      <c r="AW804" s="156"/>
      <c r="AX804" s="156"/>
      <c r="AY804" s="156"/>
      <c r="AZ804" s="156"/>
      <c r="BA804" s="153"/>
      <c r="BD804" s="153"/>
      <c r="BE804" s="147"/>
      <c r="BI804" s="153"/>
      <c r="BO804" s="153"/>
      <c r="BW804" s="153"/>
      <c r="CD804" s="146"/>
      <c r="CF804" s="147"/>
      <c r="CI804" s="146"/>
      <c r="CJ804" s="153"/>
      <c r="CV804" s="154"/>
      <c r="CX804" s="154"/>
      <c r="CZ804" s="154"/>
      <c r="DB804" s="154"/>
      <c r="DD804" s="154"/>
      <c r="DH804" s="474"/>
      <c r="DI804" s="459"/>
      <c r="DJ804" s="459"/>
      <c r="DK804" s="459"/>
      <c r="DL804" s="459"/>
      <c r="DM804" s="459"/>
      <c r="DN804" s="459"/>
      <c r="DO804" s="459"/>
      <c r="DP804" s="459"/>
      <c r="DQ804" s="459"/>
      <c r="DR804" s="459"/>
      <c r="DS804" s="459"/>
      <c r="DT804" s="459"/>
      <c r="DU804" s="459"/>
      <c r="DV804" s="468"/>
      <c r="DW804" s="468"/>
      <c r="DX804" s="459"/>
      <c r="DY804" s="459"/>
    </row>
    <row r="805" spans="1:129" s="128" customFormat="1" ht="54.95" customHeight="1" x14ac:dyDescent="0.25">
      <c r="A805" s="377"/>
      <c r="B805" s="175"/>
      <c r="C805" s="393"/>
      <c r="D805" s="168"/>
      <c r="E805" s="168"/>
      <c r="F805" s="168"/>
      <c r="G805" s="168"/>
      <c r="H805" s="168"/>
      <c r="I805" s="168"/>
      <c r="J805" s="168"/>
      <c r="K805" s="168"/>
      <c r="L805" s="168"/>
      <c r="M805" s="168"/>
      <c r="N805" s="168"/>
      <c r="O805" s="433"/>
      <c r="P805" s="122"/>
      <c r="Q805" s="156"/>
      <c r="R805" s="156"/>
      <c r="S805" s="156"/>
      <c r="T805" s="156"/>
      <c r="U805" s="156"/>
      <c r="V805" s="156"/>
      <c r="W805" s="156"/>
      <c r="X805" s="156"/>
      <c r="Y805" s="156"/>
      <c r="Z805" s="157"/>
      <c r="AA805" s="157"/>
      <c r="AB805" s="156"/>
      <c r="AC805" s="156"/>
      <c r="AD805" s="156"/>
      <c r="AE805" s="156"/>
      <c r="AF805" s="156"/>
      <c r="AG805" s="156"/>
      <c r="AH805" s="156"/>
      <c r="AI805" s="156"/>
      <c r="AJ805" s="156"/>
      <c r="AK805" s="156"/>
      <c r="AL805" s="156"/>
      <c r="AM805" s="158"/>
      <c r="AN805" s="156"/>
      <c r="AO805" s="156"/>
      <c r="AP805" s="156"/>
      <c r="AQ805" s="156"/>
      <c r="AR805" s="156"/>
      <c r="AS805" s="156"/>
      <c r="AT805" s="156"/>
      <c r="AU805" s="156"/>
      <c r="AV805" s="156"/>
      <c r="AW805" s="156"/>
      <c r="AX805" s="156"/>
      <c r="AY805" s="156"/>
      <c r="AZ805" s="156"/>
      <c r="BA805" s="153"/>
      <c r="BD805" s="153"/>
      <c r="BE805" s="147"/>
      <c r="BI805" s="153"/>
      <c r="BO805" s="153"/>
      <c r="BW805" s="153"/>
      <c r="CD805" s="146"/>
      <c r="CF805" s="147"/>
      <c r="CI805" s="146"/>
      <c r="CJ805" s="153"/>
      <c r="CV805" s="154"/>
      <c r="CX805" s="154"/>
      <c r="CZ805" s="154"/>
      <c r="DB805" s="154"/>
      <c r="DD805" s="154"/>
      <c r="DH805" s="474"/>
      <c r="DI805" s="459"/>
      <c r="DJ805" s="459"/>
      <c r="DK805" s="459"/>
      <c r="DL805" s="459"/>
      <c r="DM805" s="459"/>
      <c r="DN805" s="459"/>
      <c r="DO805" s="459"/>
      <c r="DP805" s="459"/>
      <c r="DQ805" s="459"/>
      <c r="DR805" s="459"/>
      <c r="DS805" s="459"/>
      <c r="DT805" s="459"/>
      <c r="DU805" s="459"/>
      <c r="DV805" s="468"/>
      <c r="DW805" s="468"/>
      <c r="DX805" s="459"/>
      <c r="DY805" s="459"/>
    </row>
    <row r="806" spans="1:129" s="128" customFormat="1" ht="54.95" customHeight="1" x14ac:dyDescent="0.25">
      <c r="A806" s="377"/>
      <c r="B806" s="175"/>
      <c r="C806" s="393"/>
      <c r="D806" s="168"/>
      <c r="E806" s="168"/>
      <c r="F806" s="168"/>
      <c r="G806" s="168"/>
      <c r="H806" s="168"/>
      <c r="I806" s="168"/>
      <c r="J806" s="168"/>
      <c r="K806" s="168"/>
      <c r="L806" s="168"/>
      <c r="M806" s="168"/>
      <c r="N806" s="168"/>
      <c r="O806" s="433"/>
      <c r="P806" s="122"/>
      <c r="Q806" s="156"/>
      <c r="R806" s="156"/>
      <c r="S806" s="156"/>
      <c r="T806" s="156"/>
      <c r="U806" s="156"/>
      <c r="V806" s="156"/>
      <c r="W806" s="156"/>
      <c r="X806" s="156"/>
      <c r="Y806" s="156"/>
      <c r="Z806" s="157"/>
      <c r="AA806" s="157"/>
      <c r="AB806" s="156"/>
      <c r="AC806" s="156"/>
      <c r="AD806" s="156"/>
      <c r="AE806" s="156"/>
      <c r="AF806" s="156"/>
      <c r="AG806" s="156"/>
      <c r="AH806" s="156"/>
      <c r="AI806" s="156"/>
      <c r="AJ806" s="156"/>
      <c r="AK806" s="156"/>
      <c r="AL806" s="156"/>
      <c r="AM806" s="158"/>
      <c r="AN806" s="156"/>
      <c r="AO806" s="156"/>
      <c r="AP806" s="156"/>
      <c r="AQ806" s="156"/>
      <c r="AR806" s="156"/>
      <c r="AS806" s="156"/>
      <c r="AT806" s="156"/>
      <c r="AU806" s="156"/>
      <c r="AV806" s="156"/>
      <c r="AW806" s="156"/>
      <c r="AX806" s="156"/>
      <c r="AY806" s="156"/>
      <c r="AZ806" s="156"/>
      <c r="BA806" s="153"/>
      <c r="BD806" s="153"/>
      <c r="BE806" s="147"/>
      <c r="BI806" s="153"/>
      <c r="BO806" s="153"/>
      <c r="BW806" s="153"/>
      <c r="CD806" s="146"/>
      <c r="CF806" s="147"/>
      <c r="CI806" s="146"/>
      <c r="CJ806" s="153"/>
      <c r="CV806" s="154"/>
      <c r="CX806" s="154"/>
      <c r="CZ806" s="154"/>
      <c r="DB806" s="154"/>
      <c r="DD806" s="154"/>
      <c r="DH806" s="474"/>
      <c r="DI806" s="459"/>
      <c r="DJ806" s="459"/>
      <c r="DK806" s="459"/>
      <c r="DL806" s="459"/>
      <c r="DM806" s="459"/>
      <c r="DN806" s="459"/>
      <c r="DO806" s="459"/>
      <c r="DP806" s="459"/>
      <c r="DQ806" s="459"/>
      <c r="DR806" s="459"/>
      <c r="DS806" s="459"/>
      <c r="DT806" s="459"/>
      <c r="DU806" s="459"/>
      <c r="DV806" s="468"/>
      <c r="DW806" s="468"/>
      <c r="DX806" s="459"/>
      <c r="DY806" s="459"/>
    </row>
    <row r="807" spans="1:129" s="128" customFormat="1" ht="54.95" customHeight="1" x14ac:dyDescent="0.25">
      <c r="A807" s="377"/>
      <c r="B807" s="175"/>
      <c r="C807" s="393"/>
      <c r="D807" s="168"/>
      <c r="E807" s="168"/>
      <c r="F807" s="168"/>
      <c r="G807" s="168"/>
      <c r="H807" s="168"/>
      <c r="I807" s="168"/>
      <c r="J807" s="168"/>
      <c r="K807" s="168"/>
      <c r="L807" s="168"/>
      <c r="M807" s="168"/>
      <c r="N807" s="168"/>
      <c r="O807" s="433"/>
      <c r="P807" s="122"/>
      <c r="Q807" s="156"/>
      <c r="R807" s="156"/>
      <c r="S807" s="156"/>
      <c r="T807" s="156"/>
      <c r="U807" s="156"/>
      <c r="V807" s="156"/>
      <c r="W807" s="156"/>
      <c r="X807" s="156"/>
      <c r="Y807" s="156"/>
      <c r="Z807" s="157"/>
      <c r="AA807" s="157"/>
      <c r="AB807" s="156"/>
      <c r="AC807" s="156"/>
      <c r="AD807" s="156"/>
      <c r="AE807" s="156"/>
      <c r="AF807" s="156"/>
      <c r="AG807" s="156"/>
      <c r="AH807" s="156"/>
      <c r="AI807" s="156"/>
      <c r="AJ807" s="156"/>
      <c r="AK807" s="156"/>
      <c r="AL807" s="156"/>
      <c r="AM807" s="158"/>
      <c r="AN807" s="156"/>
      <c r="AO807" s="156"/>
      <c r="AP807" s="156"/>
      <c r="AQ807" s="156"/>
      <c r="AR807" s="156"/>
      <c r="AS807" s="156"/>
      <c r="AT807" s="156"/>
      <c r="AU807" s="156"/>
      <c r="AV807" s="156"/>
      <c r="AW807" s="156"/>
      <c r="AX807" s="156"/>
      <c r="AY807" s="156"/>
      <c r="AZ807" s="156"/>
      <c r="BA807" s="153"/>
      <c r="BD807" s="153"/>
      <c r="BE807" s="147"/>
      <c r="BI807" s="153"/>
      <c r="BO807" s="153"/>
      <c r="BW807" s="153"/>
      <c r="CD807" s="146"/>
      <c r="CF807" s="147"/>
      <c r="CI807" s="146"/>
      <c r="CJ807" s="153"/>
      <c r="CV807" s="154"/>
      <c r="CX807" s="154"/>
      <c r="CZ807" s="154"/>
      <c r="DB807" s="154"/>
      <c r="DD807" s="154"/>
      <c r="DH807" s="474"/>
      <c r="DI807" s="459"/>
      <c r="DJ807" s="459"/>
      <c r="DK807" s="459"/>
      <c r="DL807" s="459"/>
      <c r="DM807" s="459"/>
      <c r="DN807" s="459"/>
      <c r="DO807" s="459"/>
      <c r="DP807" s="459"/>
      <c r="DQ807" s="459"/>
      <c r="DR807" s="459"/>
      <c r="DS807" s="459"/>
      <c r="DT807" s="459"/>
      <c r="DU807" s="459"/>
      <c r="DV807" s="468"/>
      <c r="DW807" s="468"/>
      <c r="DX807" s="459"/>
      <c r="DY807" s="459"/>
    </row>
    <row r="808" spans="1:129" s="128" customFormat="1" ht="54.95" customHeight="1" x14ac:dyDescent="0.25">
      <c r="A808" s="377"/>
      <c r="B808" s="175"/>
      <c r="C808" s="393"/>
      <c r="D808" s="168"/>
      <c r="E808" s="168"/>
      <c r="F808" s="168"/>
      <c r="G808" s="168"/>
      <c r="H808" s="168"/>
      <c r="I808" s="168"/>
      <c r="J808" s="168"/>
      <c r="K808" s="168"/>
      <c r="L808" s="168"/>
      <c r="M808" s="168"/>
      <c r="N808" s="168"/>
      <c r="O808" s="433"/>
      <c r="P808" s="122"/>
      <c r="Q808" s="156"/>
      <c r="R808" s="156"/>
      <c r="S808" s="156"/>
      <c r="T808" s="156"/>
      <c r="U808" s="156"/>
      <c r="V808" s="156"/>
      <c r="W808" s="156"/>
      <c r="X808" s="156"/>
      <c r="Y808" s="156"/>
      <c r="Z808" s="157"/>
      <c r="AA808" s="157"/>
      <c r="AB808" s="156"/>
      <c r="AC808" s="156"/>
      <c r="AD808" s="156"/>
      <c r="AE808" s="156"/>
      <c r="AF808" s="156"/>
      <c r="AG808" s="156"/>
      <c r="AH808" s="156"/>
      <c r="AI808" s="156"/>
      <c r="AJ808" s="156"/>
      <c r="AK808" s="156"/>
      <c r="AL808" s="156"/>
      <c r="AM808" s="158"/>
      <c r="AN808" s="156"/>
      <c r="AO808" s="156"/>
      <c r="AP808" s="156"/>
      <c r="AQ808" s="156"/>
      <c r="AR808" s="156"/>
      <c r="AS808" s="156"/>
      <c r="AT808" s="156"/>
      <c r="AU808" s="156"/>
      <c r="AV808" s="156"/>
      <c r="AW808" s="156"/>
      <c r="AX808" s="156"/>
      <c r="AY808" s="156"/>
      <c r="AZ808" s="156"/>
      <c r="BA808" s="153"/>
      <c r="BD808" s="153"/>
      <c r="BE808" s="147"/>
      <c r="BI808" s="153"/>
      <c r="BO808" s="153"/>
      <c r="BW808" s="153"/>
      <c r="CD808" s="146"/>
      <c r="CF808" s="147"/>
      <c r="CI808" s="146"/>
      <c r="CJ808" s="153"/>
      <c r="CV808" s="154"/>
      <c r="CX808" s="154"/>
      <c r="CZ808" s="154"/>
      <c r="DB808" s="154"/>
      <c r="DD808" s="154"/>
      <c r="DH808" s="474"/>
      <c r="DI808" s="459"/>
      <c r="DJ808" s="459"/>
      <c r="DK808" s="459"/>
      <c r="DL808" s="459"/>
      <c r="DM808" s="459"/>
      <c r="DN808" s="459"/>
      <c r="DO808" s="459"/>
      <c r="DP808" s="459"/>
      <c r="DQ808" s="459"/>
      <c r="DR808" s="459"/>
      <c r="DS808" s="459"/>
      <c r="DT808" s="459"/>
      <c r="DU808" s="459"/>
      <c r="DV808" s="468"/>
      <c r="DW808" s="468"/>
      <c r="DX808" s="459"/>
      <c r="DY808" s="459"/>
    </row>
    <row r="809" spans="1:129" s="128" customFormat="1" ht="54.95" customHeight="1" x14ac:dyDescent="0.25">
      <c r="A809" s="377"/>
      <c r="B809" s="175"/>
      <c r="C809" s="393"/>
      <c r="D809" s="168"/>
      <c r="E809" s="168"/>
      <c r="F809" s="168"/>
      <c r="G809" s="168"/>
      <c r="H809" s="168"/>
      <c r="I809" s="168"/>
      <c r="J809" s="168"/>
      <c r="K809" s="168"/>
      <c r="L809" s="168"/>
      <c r="M809" s="168"/>
      <c r="N809" s="168"/>
      <c r="O809" s="433"/>
      <c r="P809" s="122"/>
      <c r="Q809" s="156"/>
      <c r="R809" s="156"/>
      <c r="S809" s="156"/>
      <c r="T809" s="156"/>
      <c r="U809" s="156"/>
      <c r="V809" s="156"/>
      <c r="W809" s="156"/>
      <c r="X809" s="156"/>
      <c r="Y809" s="156"/>
      <c r="Z809" s="157"/>
      <c r="AA809" s="157"/>
      <c r="AB809" s="156"/>
      <c r="AC809" s="156"/>
      <c r="AD809" s="156"/>
      <c r="AE809" s="156"/>
      <c r="AF809" s="156"/>
      <c r="AG809" s="156"/>
      <c r="AH809" s="156"/>
      <c r="AI809" s="156"/>
      <c r="AJ809" s="156"/>
      <c r="AK809" s="156"/>
      <c r="AL809" s="156"/>
      <c r="AM809" s="158"/>
      <c r="AN809" s="156"/>
      <c r="AO809" s="156"/>
      <c r="AP809" s="156"/>
      <c r="AQ809" s="156"/>
      <c r="AR809" s="156"/>
      <c r="AS809" s="156"/>
      <c r="AT809" s="156"/>
      <c r="AU809" s="156"/>
      <c r="AV809" s="156"/>
      <c r="AW809" s="156"/>
      <c r="AX809" s="156"/>
      <c r="AY809" s="156"/>
      <c r="AZ809" s="156"/>
      <c r="BA809" s="153"/>
      <c r="BD809" s="153"/>
      <c r="BE809" s="147"/>
      <c r="BI809" s="153"/>
      <c r="BO809" s="153"/>
      <c r="BW809" s="153"/>
      <c r="CD809" s="146"/>
      <c r="CF809" s="147"/>
      <c r="CI809" s="146"/>
      <c r="CJ809" s="153"/>
      <c r="CV809" s="154"/>
      <c r="CX809" s="154"/>
      <c r="CZ809" s="154"/>
      <c r="DB809" s="154"/>
      <c r="DD809" s="154"/>
      <c r="DH809" s="474"/>
      <c r="DI809" s="459"/>
      <c r="DJ809" s="459"/>
      <c r="DK809" s="459"/>
      <c r="DL809" s="459"/>
      <c r="DM809" s="459"/>
      <c r="DN809" s="459"/>
      <c r="DO809" s="459"/>
      <c r="DP809" s="459"/>
      <c r="DQ809" s="459"/>
      <c r="DR809" s="459"/>
      <c r="DS809" s="459"/>
      <c r="DT809" s="459"/>
      <c r="DU809" s="459"/>
      <c r="DV809" s="468"/>
      <c r="DW809" s="468"/>
      <c r="DX809" s="459"/>
      <c r="DY809" s="459"/>
    </row>
    <row r="810" spans="1:129" s="128" customFormat="1" ht="54.95" customHeight="1" x14ac:dyDescent="0.25">
      <c r="A810" s="377"/>
      <c r="B810" s="175"/>
      <c r="C810" s="393"/>
      <c r="D810" s="168"/>
      <c r="E810" s="168"/>
      <c r="F810" s="168"/>
      <c r="G810" s="168"/>
      <c r="H810" s="168"/>
      <c r="I810" s="168"/>
      <c r="J810" s="168"/>
      <c r="K810" s="168"/>
      <c r="L810" s="168"/>
      <c r="M810" s="168"/>
      <c r="N810" s="168"/>
      <c r="O810" s="433"/>
      <c r="P810" s="122"/>
      <c r="Q810" s="156"/>
      <c r="R810" s="156"/>
      <c r="S810" s="156"/>
      <c r="T810" s="156"/>
      <c r="U810" s="156"/>
      <c r="V810" s="156"/>
      <c r="W810" s="156"/>
      <c r="X810" s="156"/>
      <c r="Y810" s="156"/>
      <c r="Z810" s="157"/>
      <c r="AA810" s="157"/>
      <c r="AB810" s="156"/>
      <c r="AC810" s="156"/>
      <c r="AD810" s="156"/>
      <c r="AE810" s="156"/>
      <c r="AF810" s="156"/>
      <c r="AG810" s="156"/>
      <c r="AH810" s="156"/>
      <c r="AI810" s="156"/>
      <c r="AJ810" s="156"/>
      <c r="AK810" s="156"/>
      <c r="AL810" s="156"/>
      <c r="AM810" s="158"/>
      <c r="AN810" s="156"/>
      <c r="AO810" s="156"/>
      <c r="AP810" s="156"/>
      <c r="AQ810" s="156"/>
      <c r="AR810" s="156"/>
      <c r="AS810" s="156"/>
      <c r="AT810" s="156"/>
      <c r="AU810" s="156"/>
      <c r="AV810" s="156"/>
      <c r="AW810" s="156"/>
      <c r="AX810" s="156"/>
      <c r="AY810" s="156"/>
      <c r="AZ810" s="156"/>
      <c r="BA810" s="153"/>
      <c r="BD810" s="153"/>
      <c r="BE810" s="147"/>
      <c r="BI810" s="153"/>
      <c r="BO810" s="153"/>
      <c r="BW810" s="153"/>
      <c r="CD810" s="146"/>
      <c r="CF810" s="147"/>
      <c r="CI810" s="146"/>
      <c r="CJ810" s="153"/>
      <c r="CV810" s="154"/>
      <c r="CX810" s="154"/>
      <c r="CZ810" s="154"/>
      <c r="DB810" s="154"/>
      <c r="DD810" s="154"/>
      <c r="DH810" s="474"/>
      <c r="DI810" s="459"/>
      <c r="DJ810" s="459"/>
      <c r="DK810" s="459"/>
      <c r="DL810" s="459"/>
      <c r="DM810" s="459"/>
      <c r="DN810" s="459"/>
      <c r="DO810" s="459"/>
      <c r="DP810" s="459"/>
      <c r="DQ810" s="459"/>
      <c r="DR810" s="459"/>
      <c r="DS810" s="459"/>
      <c r="DT810" s="459"/>
      <c r="DU810" s="459"/>
      <c r="DV810" s="468"/>
      <c r="DW810" s="468"/>
      <c r="DX810" s="459"/>
      <c r="DY810" s="459"/>
    </row>
    <row r="811" spans="1:129" s="128" customFormat="1" ht="54.95" customHeight="1" x14ac:dyDescent="0.25">
      <c r="A811" s="377"/>
      <c r="B811" s="175"/>
      <c r="C811" s="393"/>
      <c r="D811" s="168"/>
      <c r="E811" s="168"/>
      <c r="F811" s="168"/>
      <c r="G811" s="168"/>
      <c r="H811" s="168"/>
      <c r="I811" s="168"/>
      <c r="J811" s="168"/>
      <c r="K811" s="168"/>
      <c r="L811" s="168"/>
      <c r="M811" s="168"/>
      <c r="N811" s="168"/>
      <c r="O811" s="433"/>
      <c r="P811" s="122"/>
      <c r="Q811" s="156"/>
      <c r="R811" s="156"/>
      <c r="S811" s="156"/>
      <c r="T811" s="156"/>
      <c r="U811" s="156"/>
      <c r="V811" s="156"/>
      <c r="W811" s="156"/>
      <c r="X811" s="156"/>
      <c r="Y811" s="156"/>
      <c r="Z811" s="157"/>
      <c r="AA811" s="157"/>
      <c r="AB811" s="156"/>
      <c r="AC811" s="156"/>
      <c r="AD811" s="156"/>
      <c r="AE811" s="156"/>
      <c r="AF811" s="156"/>
      <c r="AG811" s="156"/>
      <c r="AH811" s="156"/>
      <c r="AI811" s="156"/>
      <c r="AJ811" s="156"/>
      <c r="AK811" s="156"/>
      <c r="AL811" s="156"/>
      <c r="AM811" s="158"/>
      <c r="AN811" s="156"/>
      <c r="AO811" s="156"/>
      <c r="AP811" s="156"/>
      <c r="AQ811" s="156"/>
      <c r="AR811" s="156"/>
      <c r="AS811" s="156"/>
      <c r="AT811" s="156"/>
      <c r="AU811" s="156"/>
      <c r="AV811" s="156"/>
      <c r="AW811" s="156"/>
      <c r="AX811" s="156"/>
      <c r="AY811" s="156"/>
      <c r="AZ811" s="156"/>
      <c r="BA811" s="153"/>
      <c r="BD811" s="153"/>
      <c r="BE811" s="147"/>
      <c r="BI811" s="153"/>
      <c r="BO811" s="153"/>
      <c r="BW811" s="153"/>
      <c r="CD811" s="146"/>
      <c r="CF811" s="147"/>
      <c r="CI811" s="146"/>
      <c r="CJ811" s="153"/>
      <c r="CV811" s="154"/>
      <c r="CX811" s="154"/>
      <c r="CZ811" s="154"/>
      <c r="DB811" s="154"/>
      <c r="DD811" s="154"/>
      <c r="DH811" s="474"/>
      <c r="DI811" s="459"/>
      <c r="DJ811" s="459"/>
      <c r="DK811" s="459"/>
      <c r="DL811" s="459"/>
      <c r="DM811" s="459"/>
      <c r="DN811" s="459"/>
      <c r="DO811" s="459"/>
      <c r="DP811" s="459"/>
      <c r="DQ811" s="459"/>
      <c r="DR811" s="459"/>
      <c r="DS811" s="459"/>
      <c r="DT811" s="459"/>
      <c r="DU811" s="459"/>
      <c r="DV811" s="468"/>
      <c r="DW811" s="468"/>
      <c r="DX811" s="459"/>
      <c r="DY811" s="459"/>
    </row>
    <row r="812" spans="1:129" s="128" customFormat="1" ht="54.95" customHeight="1" x14ac:dyDescent="0.25">
      <c r="A812" s="377"/>
      <c r="B812" s="175"/>
      <c r="C812" s="393"/>
      <c r="D812" s="168"/>
      <c r="E812" s="168"/>
      <c r="F812" s="168"/>
      <c r="G812" s="168"/>
      <c r="H812" s="168"/>
      <c r="I812" s="168"/>
      <c r="J812" s="168"/>
      <c r="K812" s="168"/>
      <c r="L812" s="168"/>
      <c r="M812" s="168"/>
      <c r="N812" s="168"/>
      <c r="O812" s="433"/>
      <c r="P812" s="122"/>
      <c r="Q812" s="156"/>
      <c r="R812" s="156"/>
      <c r="S812" s="156"/>
      <c r="T812" s="156"/>
      <c r="U812" s="156"/>
      <c r="V812" s="156"/>
      <c r="W812" s="156"/>
      <c r="X812" s="156"/>
      <c r="Y812" s="156"/>
      <c r="Z812" s="157"/>
      <c r="AA812" s="157"/>
      <c r="AB812" s="156"/>
      <c r="AC812" s="156"/>
      <c r="AD812" s="156"/>
      <c r="AE812" s="156"/>
      <c r="AF812" s="156"/>
      <c r="AG812" s="156"/>
      <c r="AH812" s="156"/>
      <c r="AI812" s="156"/>
      <c r="AJ812" s="156"/>
      <c r="AK812" s="156"/>
      <c r="AL812" s="156"/>
      <c r="AM812" s="158"/>
      <c r="AN812" s="156"/>
      <c r="AO812" s="156"/>
      <c r="AP812" s="156"/>
      <c r="AQ812" s="156"/>
      <c r="AR812" s="156"/>
      <c r="AS812" s="156"/>
      <c r="AT812" s="156"/>
      <c r="AU812" s="156"/>
      <c r="AV812" s="156"/>
      <c r="AW812" s="156"/>
      <c r="AX812" s="156"/>
      <c r="AY812" s="156"/>
      <c r="AZ812" s="156"/>
      <c r="BA812" s="153"/>
      <c r="BD812" s="153"/>
      <c r="BE812" s="147"/>
      <c r="BI812" s="153"/>
      <c r="BO812" s="153"/>
      <c r="BW812" s="153"/>
      <c r="CD812" s="146"/>
      <c r="CF812" s="147"/>
      <c r="CI812" s="146"/>
      <c r="CJ812" s="153"/>
      <c r="CV812" s="154"/>
      <c r="CX812" s="154"/>
      <c r="CZ812" s="154"/>
      <c r="DB812" s="154"/>
      <c r="DD812" s="154"/>
      <c r="DH812" s="474"/>
      <c r="DI812" s="459"/>
      <c r="DJ812" s="459"/>
      <c r="DK812" s="459"/>
      <c r="DL812" s="459"/>
      <c r="DM812" s="459"/>
      <c r="DN812" s="459"/>
      <c r="DO812" s="459"/>
      <c r="DP812" s="459"/>
      <c r="DQ812" s="459"/>
      <c r="DR812" s="459"/>
      <c r="DS812" s="459"/>
      <c r="DT812" s="459"/>
      <c r="DU812" s="459"/>
      <c r="DV812" s="468"/>
      <c r="DW812" s="468"/>
      <c r="DX812" s="459"/>
      <c r="DY812" s="459"/>
    </row>
    <row r="813" spans="1:129" s="128" customFormat="1" ht="54.95" customHeight="1" x14ac:dyDescent="0.25">
      <c r="A813" s="377"/>
      <c r="B813" s="175"/>
      <c r="C813" s="393"/>
      <c r="D813" s="168"/>
      <c r="E813" s="168"/>
      <c r="F813" s="168"/>
      <c r="G813" s="168"/>
      <c r="H813" s="168"/>
      <c r="I813" s="168"/>
      <c r="J813" s="168"/>
      <c r="K813" s="168"/>
      <c r="L813" s="168"/>
      <c r="M813" s="168"/>
      <c r="N813" s="168"/>
      <c r="O813" s="433"/>
      <c r="P813" s="122"/>
      <c r="Q813" s="156"/>
      <c r="R813" s="156"/>
      <c r="S813" s="156"/>
      <c r="T813" s="156"/>
      <c r="U813" s="156"/>
      <c r="V813" s="156"/>
      <c r="W813" s="156"/>
      <c r="X813" s="156"/>
      <c r="Y813" s="156"/>
      <c r="Z813" s="157"/>
      <c r="AA813" s="157"/>
      <c r="AB813" s="156"/>
      <c r="AC813" s="156"/>
      <c r="AD813" s="156"/>
      <c r="AE813" s="156"/>
      <c r="AF813" s="156"/>
      <c r="AG813" s="156"/>
      <c r="AH813" s="156"/>
      <c r="AI813" s="156"/>
      <c r="AJ813" s="156"/>
      <c r="AK813" s="156"/>
      <c r="AL813" s="156"/>
      <c r="AM813" s="158"/>
      <c r="AN813" s="156"/>
      <c r="AO813" s="156"/>
      <c r="AP813" s="156"/>
      <c r="AQ813" s="156"/>
      <c r="AR813" s="156"/>
      <c r="AS813" s="156"/>
      <c r="AT813" s="156"/>
      <c r="AU813" s="156"/>
      <c r="AV813" s="156"/>
      <c r="AW813" s="156"/>
      <c r="AX813" s="156"/>
      <c r="AY813" s="156"/>
      <c r="AZ813" s="156"/>
      <c r="BA813" s="153"/>
      <c r="BD813" s="153"/>
      <c r="BE813" s="147"/>
      <c r="BI813" s="153"/>
      <c r="BO813" s="153"/>
      <c r="BW813" s="153"/>
      <c r="CD813" s="146"/>
      <c r="CF813" s="147"/>
      <c r="CI813" s="146"/>
      <c r="CJ813" s="153"/>
      <c r="CV813" s="154"/>
      <c r="CX813" s="154"/>
      <c r="CZ813" s="154"/>
      <c r="DB813" s="154"/>
      <c r="DD813" s="154"/>
      <c r="DH813" s="474"/>
      <c r="DI813" s="459"/>
      <c r="DJ813" s="459"/>
      <c r="DK813" s="459"/>
      <c r="DL813" s="459"/>
      <c r="DM813" s="459"/>
      <c r="DN813" s="459"/>
      <c r="DO813" s="459"/>
      <c r="DP813" s="459"/>
      <c r="DQ813" s="459"/>
      <c r="DR813" s="459"/>
      <c r="DS813" s="459"/>
      <c r="DT813" s="459"/>
      <c r="DU813" s="459"/>
      <c r="DV813" s="468"/>
      <c r="DW813" s="468"/>
      <c r="DX813" s="459"/>
      <c r="DY813" s="459"/>
    </row>
    <row r="814" spans="1:129" s="128" customFormat="1" ht="54.95" customHeight="1" x14ac:dyDescent="0.25">
      <c r="A814" s="377"/>
      <c r="B814" s="175"/>
      <c r="C814" s="393"/>
      <c r="D814" s="168"/>
      <c r="E814" s="168"/>
      <c r="F814" s="168"/>
      <c r="G814" s="168"/>
      <c r="H814" s="168"/>
      <c r="I814" s="168"/>
      <c r="J814" s="168"/>
      <c r="K814" s="168"/>
      <c r="L814" s="168"/>
      <c r="M814" s="168"/>
      <c r="N814" s="168"/>
      <c r="O814" s="433"/>
      <c r="P814" s="122"/>
      <c r="Q814" s="156"/>
      <c r="R814" s="156"/>
      <c r="S814" s="156"/>
      <c r="T814" s="156"/>
      <c r="U814" s="156"/>
      <c r="V814" s="156"/>
      <c r="W814" s="156"/>
      <c r="X814" s="156"/>
      <c r="Y814" s="156"/>
      <c r="Z814" s="157"/>
      <c r="AA814" s="157"/>
      <c r="AB814" s="156"/>
      <c r="AC814" s="156"/>
      <c r="AD814" s="156"/>
      <c r="AE814" s="156"/>
      <c r="AF814" s="156"/>
      <c r="AG814" s="156"/>
      <c r="AH814" s="156"/>
      <c r="AI814" s="156"/>
      <c r="AJ814" s="156"/>
      <c r="AK814" s="156"/>
      <c r="AL814" s="156"/>
      <c r="AM814" s="158"/>
      <c r="AN814" s="156"/>
      <c r="AO814" s="156"/>
      <c r="AP814" s="156"/>
      <c r="AQ814" s="156"/>
      <c r="AR814" s="156"/>
      <c r="AS814" s="156"/>
      <c r="AT814" s="156"/>
      <c r="AU814" s="156"/>
      <c r="AV814" s="156"/>
      <c r="AW814" s="156"/>
      <c r="AX814" s="156"/>
      <c r="AY814" s="156"/>
      <c r="AZ814" s="156"/>
      <c r="BA814" s="153"/>
      <c r="BD814" s="153"/>
      <c r="BE814" s="147"/>
      <c r="BI814" s="153"/>
      <c r="BO814" s="153"/>
      <c r="BW814" s="153"/>
      <c r="CD814" s="146"/>
      <c r="CF814" s="147"/>
      <c r="CI814" s="146"/>
      <c r="CJ814" s="153"/>
      <c r="CV814" s="154"/>
      <c r="CX814" s="154"/>
      <c r="CZ814" s="154"/>
      <c r="DB814" s="154"/>
      <c r="DD814" s="154"/>
      <c r="DH814" s="474"/>
      <c r="DI814" s="459"/>
      <c r="DJ814" s="459"/>
      <c r="DK814" s="459"/>
      <c r="DL814" s="459"/>
      <c r="DM814" s="459"/>
      <c r="DN814" s="459"/>
      <c r="DO814" s="459"/>
      <c r="DP814" s="459"/>
      <c r="DQ814" s="459"/>
      <c r="DR814" s="459"/>
      <c r="DS814" s="459"/>
      <c r="DT814" s="459"/>
      <c r="DU814" s="459"/>
      <c r="DV814" s="468"/>
      <c r="DW814" s="468"/>
      <c r="DX814" s="459"/>
      <c r="DY814" s="459"/>
    </row>
    <row r="815" spans="1:129" s="128" customFormat="1" ht="54.95" customHeight="1" x14ac:dyDescent="0.25">
      <c r="A815" s="377"/>
      <c r="B815" s="175"/>
      <c r="C815" s="393"/>
      <c r="D815" s="168"/>
      <c r="E815" s="168"/>
      <c r="F815" s="168"/>
      <c r="G815" s="168"/>
      <c r="H815" s="168"/>
      <c r="I815" s="168"/>
      <c r="J815" s="168"/>
      <c r="K815" s="168"/>
      <c r="L815" s="168"/>
      <c r="M815" s="168"/>
      <c r="N815" s="168"/>
      <c r="O815" s="433"/>
      <c r="P815" s="122"/>
      <c r="Q815" s="156"/>
      <c r="R815" s="156"/>
      <c r="S815" s="156"/>
      <c r="T815" s="156"/>
      <c r="U815" s="156"/>
      <c r="V815" s="156"/>
      <c r="W815" s="156"/>
      <c r="X815" s="156"/>
      <c r="Y815" s="156"/>
      <c r="Z815" s="157"/>
      <c r="AA815" s="157"/>
      <c r="AB815" s="156"/>
      <c r="AC815" s="156"/>
      <c r="AD815" s="156"/>
      <c r="AE815" s="156"/>
      <c r="AF815" s="156"/>
      <c r="AG815" s="156"/>
      <c r="AH815" s="156"/>
      <c r="AI815" s="156"/>
      <c r="AJ815" s="156"/>
      <c r="AK815" s="156"/>
      <c r="AL815" s="156"/>
      <c r="AM815" s="158"/>
      <c r="AN815" s="156"/>
      <c r="AO815" s="156"/>
      <c r="AP815" s="156"/>
      <c r="AQ815" s="156"/>
      <c r="AR815" s="156"/>
      <c r="AS815" s="156"/>
      <c r="AT815" s="156"/>
      <c r="AU815" s="156"/>
      <c r="AV815" s="156"/>
      <c r="AW815" s="156"/>
      <c r="AX815" s="156"/>
      <c r="AY815" s="156"/>
      <c r="AZ815" s="156"/>
      <c r="BA815" s="153"/>
      <c r="BD815" s="153"/>
      <c r="BE815" s="147"/>
      <c r="BI815" s="153"/>
      <c r="BO815" s="153"/>
      <c r="BW815" s="153"/>
      <c r="CD815" s="146"/>
      <c r="CF815" s="147"/>
      <c r="CI815" s="146"/>
      <c r="CJ815" s="153"/>
      <c r="CV815" s="154"/>
      <c r="CX815" s="154"/>
      <c r="CZ815" s="154"/>
      <c r="DB815" s="154"/>
      <c r="DD815" s="154"/>
      <c r="DH815" s="474"/>
      <c r="DI815" s="459"/>
      <c r="DJ815" s="459"/>
      <c r="DK815" s="459"/>
      <c r="DL815" s="459"/>
      <c r="DM815" s="459"/>
      <c r="DN815" s="459"/>
      <c r="DO815" s="459"/>
      <c r="DP815" s="459"/>
      <c r="DQ815" s="459"/>
      <c r="DR815" s="459"/>
      <c r="DS815" s="459"/>
      <c r="DT815" s="459"/>
      <c r="DU815" s="459"/>
      <c r="DV815" s="468"/>
      <c r="DW815" s="468"/>
      <c r="DX815" s="459"/>
      <c r="DY815" s="459"/>
    </row>
    <row r="816" spans="1:129" s="128" customFormat="1" ht="54.95" customHeight="1" x14ac:dyDescent="0.25">
      <c r="A816" s="377"/>
      <c r="B816" s="175"/>
      <c r="C816" s="393"/>
      <c r="D816" s="168"/>
      <c r="E816" s="168"/>
      <c r="F816" s="168"/>
      <c r="G816" s="168"/>
      <c r="H816" s="168"/>
      <c r="I816" s="168"/>
      <c r="J816" s="168"/>
      <c r="K816" s="168"/>
      <c r="L816" s="168"/>
      <c r="M816" s="168"/>
      <c r="N816" s="168"/>
      <c r="O816" s="433"/>
      <c r="P816" s="122"/>
      <c r="Q816" s="156"/>
      <c r="R816" s="156"/>
      <c r="S816" s="156"/>
      <c r="T816" s="156"/>
      <c r="U816" s="156"/>
      <c r="V816" s="156"/>
      <c r="W816" s="156"/>
      <c r="X816" s="156"/>
      <c r="Y816" s="156"/>
      <c r="Z816" s="157"/>
      <c r="AA816" s="157"/>
      <c r="AB816" s="156"/>
      <c r="AC816" s="156"/>
      <c r="AD816" s="156"/>
      <c r="AE816" s="156"/>
      <c r="AF816" s="156"/>
      <c r="AG816" s="156"/>
      <c r="AH816" s="156"/>
      <c r="AI816" s="156"/>
      <c r="AJ816" s="156"/>
      <c r="AK816" s="156"/>
      <c r="AL816" s="156"/>
      <c r="AM816" s="158"/>
      <c r="AN816" s="156"/>
      <c r="AO816" s="156"/>
      <c r="AP816" s="156"/>
      <c r="AQ816" s="156"/>
      <c r="AR816" s="156"/>
      <c r="AS816" s="156"/>
      <c r="AT816" s="156"/>
      <c r="AU816" s="156"/>
      <c r="AV816" s="156"/>
      <c r="AW816" s="156"/>
      <c r="AX816" s="156"/>
      <c r="AY816" s="156"/>
      <c r="AZ816" s="156"/>
      <c r="BA816" s="153"/>
      <c r="BD816" s="153"/>
      <c r="BE816" s="147"/>
      <c r="BI816" s="153"/>
      <c r="BO816" s="153"/>
      <c r="BW816" s="153"/>
      <c r="CD816" s="146"/>
      <c r="CF816" s="147"/>
      <c r="CI816" s="146"/>
      <c r="CJ816" s="153"/>
      <c r="CV816" s="154"/>
      <c r="CX816" s="154"/>
      <c r="CZ816" s="154"/>
      <c r="DB816" s="154"/>
      <c r="DD816" s="154"/>
      <c r="DH816" s="474"/>
      <c r="DI816" s="459"/>
      <c r="DJ816" s="459"/>
      <c r="DK816" s="459"/>
      <c r="DL816" s="459"/>
      <c r="DM816" s="459"/>
      <c r="DN816" s="459"/>
      <c r="DO816" s="459"/>
      <c r="DP816" s="459"/>
      <c r="DQ816" s="459"/>
      <c r="DR816" s="459"/>
      <c r="DS816" s="459"/>
      <c r="DT816" s="459"/>
      <c r="DU816" s="459"/>
      <c r="DV816" s="468"/>
      <c r="DW816" s="468"/>
      <c r="DX816" s="459"/>
      <c r="DY816" s="459"/>
    </row>
    <row r="817" spans="1:129" s="128" customFormat="1" ht="54.95" customHeight="1" x14ac:dyDescent="0.25">
      <c r="A817" s="377"/>
      <c r="B817" s="175"/>
      <c r="C817" s="393"/>
      <c r="D817" s="168"/>
      <c r="E817" s="168"/>
      <c r="F817" s="168"/>
      <c r="G817" s="168"/>
      <c r="H817" s="168"/>
      <c r="I817" s="168"/>
      <c r="J817" s="168"/>
      <c r="K817" s="168"/>
      <c r="L817" s="168"/>
      <c r="M817" s="168"/>
      <c r="N817" s="168"/>
      <c r="O817" s="433"/>
      <c r="P817" s="122"/>
      <c r="Q817" s="156"/>
      <c r="R817" s="156"/>
      <c r="S817" s="156"/>
      <c r="T817" s="156"/>
      <c r="U817" s="156"/>
      <c r="V817" s="156"/>
      <c r="W817" s="156"/>
      <c r="X817" s="156"/>
      <c r="Y817" s="156"/>
      <c r="Z817" s="157"/>
      <c r="AA817" s="157"/>
      <c r="AB817" s="156"/>
      <c r="AC817" s="156"/>
      <c r="AD817" s="156"/>
      <c r="AE817" s="156"/>
      <c r="AF817" s="156"/>
      <c r="AG817" s="156"/>
      <c r="AH817" s="156"/>
      <c r="AI817" s="156"/>
      <c r="AJ817" s="156"/>
      <c r="AK817" s="156"/>
      <c r="AL817" s="156"/>
      <c r="AM817" s="158"/>
      <c r="AN817" s="156"/>
      <c r="AO817" s="156"/>
      <c r="AP817" s="156"/>
      <c r="AQ817" s="156"/>
      <c r="AR817" s="156"/>
      <c r="AS817" s="156"/>
      <c r="AT817" s="156"/>
      <c r="AU817" s="156"/>
      <c r="AV817" s="156"/>
      <c r="AW817" s="156"/>
      <c r="AX817" s="156"/>
      <c r="AY817" s="156"/>
      <c r="AZ817" s="156"/>
      <c r="BA817" s="153"/>
      <c r="BD817" s="153"/>
      <c r="BE817" s="147"/>
      <c r="BI817" s="153"/>
      <c r="BO817" s="153"/>
      <c r="BW817" s="153"/>
      <c r="CD817" s="146"/>
      <c r="CF817" s="147"/>
      <c r="CI817" s="146"/>
      <c r="CJ817" s="153"/>
      <c r="CV817" s="154"/>
      <c r="CX817" s="154"/>
      <c r="CZ817" s="154"/>
      <c r="DB817" s="154"/>
      <c r="DD817" s="154"/>
      <c r="DH817" s="474"/>
      <c r="DI817" s="459"/>
      <c r="DJ817" s="459"/>
      <c r="DK817" s="459"/>
      <c r="DL817" s="459"/>
      <c r="DM817" s="459"/>
      <c r="DN817" s="459"/>
      <c r="DO817" s="459"/>
      <c r="DP817" s="459"/>
      <c r="DQ817" s="459"/>
      <c r="DR817" s="459"/>
      <c r="DS817" s="459"/>
      <c r="DT817" s="459"/>
      <c r="DU817" s="459"/>
      <c r="DV817" s="468"/>
      <c r="DW817" s="468"/>
      <c r="DX817" s="459"/>
      <c r="DY817" s="459"/>
    </row>
    <row r="818" spans="1:129" s="128" customFormat="1" ht="54.95" customHeight="1" x14ac:dyDescent="0.25">
      <c r="A818" s="377"/>
      <c r="B818" s="175"/>
      <c r="C818" s="393"/>
      <c r="D818" s="168"/>
      <c r="E818" s="168"/>
      <c r="F818" s="168"/>
      <c r="G818" s="168"/>
      <c r="H818" s="168"/>
      <c r="I818" s="168"/>
      <c r="J818" s="168"/>
      <c r="K818" s="168"/>
      <c r="L818" s="168"/>
      <c r="M818" s="168"/>
      <c r="N818" s="168"/>
      <c r="O818" s="433"/>
      <c r="P818" s="122"/>
      <c r="Q818" s="156"/>
      <c r="R818" s="156"/>
      <c r="S818" s="156"/>
      <c r="T818" s="156"/>
      <c r="U818" s="156"/>
      <c r="V818" s="156"/>
      <c r="W818" s="156"/>
      <c r="X818" s="156"/>
      <c r="Y818" s="156"/>
      <c r="Z818" s="157"/>
      <c r="AA818" s="157"/>
      <c r="AB818" s="156"/>
      <c r="AC818" s="156"/>
      <c r="AD818" s="156"/>
      <c r="AE818" s="156"/>
      <c r="AF818" s="156"/>
      <c r="AG818" s="156"/>
      <c r="AH818" s="156"/>
      <c r="AI818" s="156"/>
      <c r="AJ818" s="156"/>
      <c r="AK818" s="156"/>
      <c r="AL818" s="156"/>
      <c r="AM818" s="158"/>
      <c r="AN818" s="156"/>
      <c r="AO818" s="156"/>
      <c r="AP818" s="156"/>
      <c r="AQ818" s="156"/>
      <c r="AR818" s="156"/>
      <c r="AS818" s="156"/>
      <c r="AT818" s="156"/>
      <c r="AU818" s="156"/>
      <c r="AV818" s="156"/>
      <c r="AW818" s="156"/>
      <c r="AX818" s="156"/>
      <c r="AY818" s="156"/>
      <c r="AZ818" s="156"/>
      <c r="BA818" s="153"/>
      <c r="BD818" s="153"/>
      <c r="BE818" s="147"/>
      <c r="BI818" s="153"/>
      <c r="BO818" s="153"/>
      <c r="BW818" s="153"/>
      <c r="CD818" s="146"/>
      <c r="CF818" s="147"/>
      <c r="CI818" s="146"/>
      <c r="CJ818" s="153"/>
      <c r="CV818" s="154"/>
      <c r="CX818" s="154"/>
      <c r="CZ818" s="154"/>
      <c r="DB818" s="154"/>
      <c r="DD818" s="154"/>
      <c r="DH818" s="474"/>
      <c r="DI818" s="459"/>
      <c r="DJ818" s="459"/>
      <c r="DK818" s="459"/>
      <c r="DL818" s="459"/>
      <c r="DM818" s="459"/>
      <c r="DN818" s="459"/>
      <c r="DO818" s="459"/>
      <c r="DP818" s="459"/>
      <c r="DQ818" s="459"/>
      <c r="DR818" s="459"/>
      <c r="DS818" s="459"/>
      <c r="DT818" s="459"/>
      <c r="DU818" s="459"/>
      <c r="DV818" s="468"/>
      <c r="DW818" s="468"/>
      <c r="DX818" s="459"/>
      <c r="DY818" s="459"/>
    </row>
    <row r="819" spans="1:129" s="128" customFormat="1" ht="54.95" customHeight="1" x14ac:dyDescent="0.25">
      <c r="A819" s="377"/>
      <c r="B819" s="175"/>
      <c r="C819" s="393"/>
      <c r="D819" s="168"/>
      <c r="E819" s="168"/>
      <c r="F819" s="168"/>
      <c r="G819" s="168"/>
      <c r="H819" s="168"/>
      <c r="I819" s="168"/>
      <c r="J819" s="168"/>
      <c r="K819" s="168"/>
      <c r="L819" s="168"/>
      <c r="M819" s="168"/>
      <c r="N819" s="168"/>
      <c r="O819" s="433"/>
      <c r="P819" s="122"/>
      <c r="Q819" s="156"/>
      <c r="R819" s="156"/>
      <c r="S819" s="156"/>
      <c r="T819" s="156"/>
      <c r="U819" s="156"/>
      <c r="V819" s="156"/>
      <c r="W819" s="156"/>
      <c r="X819" s="156"/>
      <c r="Y819" s="156"/>
      <c r="Z819" s="157"/>
      <c r="AA819" s="157"/>
      <c r="AB819" s="156"/>
      <c r="AC819" s="156"/>
      <c r="AD819" s="156"/>
      <c r="AE819" s="156"/>
      <c r="AF819" s="156"/>
      <c r="AG819" s="156"/>
      <c r="AH819" s="156"/>
      <c r="AI819" s="156"/>
      <c r="AJ819" s="156"/>
      <c r="AK819" s="156"/>
      <c r="AL819" s="156"/>
      <c r="AM819" s="158"/>
      <c r="AN819" s="156"/>
      <c r="AO819" s="156"/>
      <c r="AP819" s="156"/>
      <c r="AQ819" s="156"/>
      <c r="AR819" s="156"/>
      <c r="AS819" s="156"/>
      <c r="AT819" s="156"/>
      <c r="AU819" s="156"/>
      <c r="AV819" s="156"/>
      <c r="AW819" s="156"/>
      <c r="AX819" s="156"/>
      <c r="AY819" s="156"/>
      <c r="AZ819" s="156"/>
      <c r="BA819" s="153"/>
      <c r="BD819" s="153"/>
      <c r="BE819" s="147"/>
      <c r="BI819" s="153"/>
      <c r="BO819" s="153"/>
      <c r="BW819" s="153"/>
      <c r="CD819" s="146"/>
      <c r="CF819" s="147"/>
      <c r="CI819" s="146"/>
      <c r="CJ819" s="153"/>
      <c r="CV819" s="154"/>
      <c r="CX819" s="154"/>
      <c r="CZ819" s="154"/>
      <c r="DB819" s="154"/>
      <c r="DD819" s="154"/>
      <c r="DH819" s="474"/>
      <c r="DI819" s="459"/>
      <c r="DJ819" s="459"/>
      <c r="DK819" s="459"/>
      <c r="DL819" s="459"/>
      <c r="DM819" s="459"/>
      <c r="DN819" s="459"/>
      <c r="DO819" s="459"/>
      <c r="DP819" s="459"/>
      <c r="DQ819" s="459"/>
      <c r="DR819" s="459"/>
      <c r="DS819" s="459"/>
      <c r="DT819" s="459"/>
      <c r="DU819" s="459"/>
      <c r="DV819" s="468"/>
      <c r="DW819" s="468"/>
      <c r="DX819" s="459"/>
      <c r="DY819" s="459"/>
    </row>
    <row r="820" spans="1:129" s="128" customFormat="1" ht="54.95" customHeight="1" x14ac:dyDescent="0.25">
      <c r="A820" s="377"/>
      <c r="B820" s="175"/>
      <c r="C820" s="393"/>
      <c r="D820" s="168"/>
      <c r="E820" s="168"/>
      <c r="F820" s="168"/>
      <c r="G820" s="168"/>
      <c r="H820" s="168"/>
      <c r="I820" s="168"/>
      <c r="J820" s="168"/>
      <c r="K820" s="168"/>
      <c r="L820" s="168"/>
      <c r="M820" s="168"/>
      <c r="N820" s="168"/>
      <c r="O820" s="433"/>
      <c r="P820" s="122"/>
      <c r="Q820" s="156"/>
      <c r="R820" s="156"/>
      <c r="S820" s="156"/>
      <c r="T820" s="156"/>
      <c r="U820" s="156"/>
      <c r="V820" s="156"/>
      <c r="W820" s="156"/>
      <c r="X820" s="156"/>
      <c r="Y820" s="156"/>
      <c r="Z820" s="157"/>
      <c r="AA820" s="157"/>
      <c r="AB820" s="156"/>
      <c r="AC820" s="156"/>
      <c r="AD820" s="156"/>
      <c r="AE820" s="156"/>
      <c r="AF820" s="156"/>
      <c r="AG820" s="156"/>
      <c r="AH820" s="156"/>
      <c r="AI820" s="156"/>
      <c r="AJ820" s="156"/>
      <c r="AK820" s="156"/>
      <c r="AL820" s="156"/>
      <c r="AM820" s="158"/>
      <c r="AN820" s="156"/>
      <c r="AO820" s="156"/>
      <c r="AP820" s="156"/>
      <c r="AQ820" s="156"/>
      <c r="AR820" s="156"/>
      <c r="AS820" s="156"/>
      <c r="AT820" s="156"/>
      <c r="AU820" s="156"/>
      <c r="AV820" s="156"/>
      <c r="AW820" s="156"/>
      <c r="AX820" s="156"/>
      <c r="AY820" s="156"/>
      <c r="AZ820" s="156"/>
      <c r="BA820" s="153"/>
      <c r="BD820" s="153"/>
      <c r="BE820" s="147"/>
      <c r="BI820" s="153"/>
      <c r="BO820" s="153"/>
      <c r="BW820" s="153"/>
      <c r="CD820" s="146"/>
      <c r="CF820" s="147"/>
      <c r="CI820" s="146"/>
      <c r="CJ820" s="153"/>
      <c r="CV820" s="154"/>
      <c r="CX820" s="154"/>
      <c r="CZ820" s="154"/>
      <c r="DB820" s="154"/>
      <c r="DD820" s="154"/>
      <c r="DH820" s="474"/>
      <c r="DI820" s="459"/>
      <c r="DJ820" s="459"/>
      <c r="DK820" s="459"/>
      <c r="DL820" s="459"/>
      <c r="DM820" s="459"/>
      <c r="DN820" s="459"/>
      <c r="DO820" s="459"/>
      <c r="DP820" s="459"/>
      <c r="DQ820" s="459"/>
      <c r="DR820" s="459"/>
      <c r="DS820" s="459"/>
      <c r="DT820" s="459"/>
      <c r="DU820" s="459"/>
      <c r="DV820" s="468"/>
      <c r="DW820" s="468"/>
      <c r="DX820" s="459"/>
      <c r="DY820" s="459"/>
    </row>
    <row r="821" spans="1:129" s="128" customFormat="1" ht="54.95" customHeight="1" x14ac:dyDescent="0.25">
      <c r="A821" s="377"/>
      <c r="B821" s="175"/>
      <c r="C821" s="393"/>
      <c r="D821" s="168"/>
      <c r="E821" s="168"/>
      <c r="F821" s="168"/>
      <c r="G821" s="168"/>
      <c r="H821" s="168"/>
      <c r="I821" s="168"/>
      <c r="J821" s="168"/>
      <c r="K821" s="168"/>
      <c r="L821" s="168"/>
      <c r="M821" s="168"/>
      <c r="N821" s="168"/>
      <c r="O821" s="433"/>
      <c r="P821" s="122"/>
      <c r="Q821" s="156"/>
      <c r="R821" s="156"/>
      <c r="S821" s="156"/>
      <c r="T821" s="156"/>
      <c r="U821" s="156"/>
      <c r="V821" s="156"/>
      <c r="W821" s="156"/>
      <c r="X821" s="156"/>
      <c r="Y821" s="156"/>
      <c r="Z821" s="157"/>
      <c r="AA821" s="157"/>
      <c r="AB821" s="156"/>
      <c r="AC821" s="156"/>
      <c r="AD821" s="156"/>
      <c r="AE821" s="156"/>
      <c r="AF821" s="156"/>
      <c r="AG821" s="156"/>
      <c r="AH821" s="156"/>
      <c r="AI821" s="156"/>
      <c r="AJ821" s="156"/>
      <c r="AK821" s="156"/>
      <c r="AL821" s="156"/>
      <c r="AM821" s="158"/>
      <c r="AN821" s="156"/>
      <c r="AO821" s="156"/>
      <c r="AP821" s="156"/>
      <c r="AQ821" s="156"/>
      <c r="AR821" s="156"/>
      <c r="AS821" s="156"/>
      <c r="AT821" s="156"/>
      <c r="AU821" s="156"/>
      <c r="AV821" s="156"/>
      <c r="AW821" s="156"/>
      <c r="AX821" s="156"/>
      <c r="AY821" s="156"/>
      <c r="AZ821" s="156"/>
      <c r="BA821" s="153"/>
      <c r="BD821" s="153"/>
      <c r="BE821" s="147"/>
      <c r="BI821" s="153"/>
      <c r="BO821" s="153"/>
      <c r="BW821" s="153"/>
      <c r="CD821" s="146"/>
      <c r="CF821" s="147"/>
      <c r="CI821" s="146"/>
      <c r="CJ821" s="153"/>
      <c r="CV821" s="154"/>
      <c r="CX821" s="154"/>
      <c r="CZ821" s="154"/>
      <c r="DB821" s="154"/>
      <c r="DD821" s="154"/>
      <c r="DH821" s="474"/>
      <c r="DI821" s="459"/>
      <c r="DJ821" s="459"/>
      <c r="DK821" s="459"/>
      <c r="DL821" s="459"/>
      <c r="DM821" s="459"/>
      <c r="DN821" s="459"/>
      <c r="DO821" s="459"/>
      <c r="DP821" s="459"/>
      <c r="DQ821" s="459"/>
      <c r="DR821" s="459"/>
      <c r="DS821" s="459"/>
      <c r="DT821" s="459"/>
      <c r="DU821" s="459"/>
      <c r="DV821" s="468"/>
      <c r="DW821" s="468"/>
      <c r="DX821" s="459"/>
      <c r="DY821" s="459"/>
    </row>
    <row r="822" spans="1:129" s="128" customFormat="1" ht="54.95" customHeight="1" x14ac:dyDescent="0.25">
      <c r="A822" s="377"/>
      <c r="B822" s="175"/>
      <c r="C822" s="393"/>
      <c r="D822" s="168"/>
      <c r="E822" s="168"/>
      <c r="F822" s="168"/>
      <c r="G822" s="168"/>
      <c r="H822" s="168"/>
      <c r="I822" s="168"/>
      <c r="J822" s="168"/>
      <c r="K822" s="168"/>
      <c r="L822" s="168"/>
      <c r="M822" s="168"/>
      <c r="N822" s="168"/>
      <c r="O822" s="433"/>
      <c r="P822" s="122"/>
      <c r="Q822" s="156"/>
      <c r="R822" s="156"/>
      <c r="S822" s="156"/>
      <c r="T822" s="156"/>
      <c r="U822" s="156"/>
      <c r="V822" s="156"/>
      <c r="W822" s="156"/>
      <c r="X822" s="156"/>
      <c r="Y822" s="156"/>
      <c r="Z822" s="157"/>
      <c r="AA822" s="157"/>
      <c r="AB822" s="156"/>
      <c r="AC822" s="156"/>
      <c r="AD822" s="156"/>
      <c r="AE822" s="156"/>
      <c r="AF822" s="156"/>
      <c r="AG822" s="156"/>
      <c r="AH822" s="156"/>
      <c r="AI822" s="156"/>
      <c r="AJ822" s="156"/>
      <c r="AK822" s="156"/>
      <c r="AL822" s="156"/>
      <c r="AM822" s="158"/>
      <c r="AN822" s="156"/>
      <c r="AO822" s="156"/>
      <c r="AP822" s="156"/>
      <c r="AQ822" s="156"/>
      <c r="AR822" s="156"/>
      <c r="AS822" s="156"/>
      <c r="AT822" s="156"/>
      <c r="AU822" s="156"/>
      <c r="AV822" s="156"/>
      <c r="AW822" s="156"/>
      <c r="AX822" s="156"/>
      <c r="AY822" s="156"/>
      <c r="AZ822" s="156"/>
      <c r="BA822" s="153"/>
      <c r="BD822" s="153"/>
      <c r="BE822" s="147"/>
      <c r="BI822" s="153"/>
      <c r="BO822" s="153"/>
      <c r="BW822" s="153"/>
      <c r="CD822" s="146"/>
      <c r="CF822" s="147"/>
      <c r="CI822" s="146"/>
      <c r="CJ822" s="153"/>
      <c r="CV822" s="154"/>
      <c r="CX822" s="154"/>
      <c r="CZ822" s="154"/>
      <c r="DB822" s="154"/>
      <c r="DD822" s="154"/>
      <c r="DH822" s="474"/>
      <c r="DI822" s="459"/>
      <c r="DJ822" s="459"/>
      <c r="DK822" s="459"/>
      <c r="DL822" s="459"/>
      <c r="DM822" s="459"/>
      <c r="DN822" s="459"/>
      <c r="DO822" s="459"/>
      <c r="DP822" s="459"/>
      <c r="DQ822" s="459"/>
      <c r="DR822" s="459"/>
      <c r="DS822" s="459"/>
      <c r="DT822" s="459"/>
      <c r="DU822" s="459"/>
      <c r="DV822" s="468"/>
      <c r="DW822" s="468"/>
      <c r="DX822" s="459"/>
      <c r="DY822" s="459"/>
    </row>
    <row r="823" spans="1:129" s="128" customFormat="1" ht="54.95" customHeight="1" x14ac:dyDescent="0.25">
      <c r="A823" s="377"/>
      <c r="B823" s="175"/>
      <c r="C823" s="393"/>
      <c r="D823" s="168"/>
      <c r="E823" s="168"/>
      <c r="F823" s="168"/>
      <c r="G823" s="168"/>
      <c r="H823" s="168"/>
      <c r="I823" s="168"/>
      <c r="J823" s="168"/>
      <c r="K823" s="168"/>
      <c r="L823" s="168"/>
      <c r="M823" s="168"/>
      <c r="N823" s="168"/>
      <c r="O823" s="433"/>
      <c r="P823" s="122"/>
      <c r="Q823" s="156"/>
      <c r="R823" s="156"/>
      <c r="S823" s="156"/>
      <c r="T823" s="156"/>
      <c r="U823" s="156"/>
      <c r="V823" s="156"/>
      <c r="W823" s="156"/>
      <c r="X823" s="156"/>
      <c r="Y823" s="156"/>
      <c r="Z823" s="157"/>
      <c r="AA823" s="157"/>
      <c r="AB823" s="156"/>
      <c r="AC823" s="156"/>
      <c r="AD823" s="156"/>
      <c r="AE823" s="156"/>
      <c r="AF823" s="156"/>
      <c r="AG823" s="156"/>
      <c r="AH823" s="156"/>
      <c r="AI823" s="156"/>
      <c r="AJ823" s="156"/>
      <c r="AK823" s="156"/>
      <c r="AL823" s="156"/>
      <c r="AM823" s="158"/>
      <c r="AN823" s="156"/>
      <c r="AO823" s="156"/>
      <c r="AP823" s="156"/>
      <c r="AQ823" s="156"/>
      <c r="AR823" s="156"/>
      <c r="AS823" s="156"/>
      <c r="AT823" s="156"/>
      <c r="AU823" s="156"/>
      <c r="AV823" s="156"/>
      <c r="AW823" s="156"/>
      <c r="AX823" s="156"/>
      <c r="AY823" s="156"/>
      <c r="AZ823" s="156"/>
      <c r="BA823" s="153"/>
      <c r="BD823" s="153"/>
      <c r="BE823" s="147"/>
      <c r="BI823" s="153"/>
      <c r="BO823" s="153"/>
      <c r="BW823" s="153"/>
      <c r="CD823" s="146"/>
      <c r="CF823" s="147"/>
      <c r="CI823" s="146"/>
      <c r="CJ823" s="153"/>
      <c r="CV823" s="154"/>
      <c r="CX823" s="154"/>
      <c r="CZ823" s="154"/>
      <c r="DB823" s="154"/>
      <c r="DD823" s="154"/>
      <c r="DH823" s="474"/>
      <c r="DI823" s="459"/>
      <c r="DJ823" s="459"/>
      <c r="DK823" s="459"/>
      <c r="DL823" s="459"/>
      <c r="DM823" s="459"/>
      <c r="DN823" s="459"/>
      <c r="DO823" s="459"/>
      <c r="DP823" s="459"/>
      <c r="DQ823" s="459"/>
      <c r="DR823" s="459"/>
      <c r="DS823" s="459"/>
      <c r="DT823" s="459"/>
      <c r="DU823" s="459"/>
      <c r="DV823" s="468"/>
      <c r="DW823" s="468"/>
      <c r="DX823" s="459"/>
      <c r="DY823" s="459"/>
    </row>
    <row r="824" spans="1:129" s="128" customFormat="1" ht="54.95" customHeight="1" x14ac:dyDescent="0.25">
      <c r="A824" s="377"/>
      <c r="B824" s="175"/>
      <c r="C824" s="393"/>
      <c r="D824" s="168"/>
      <c r="E824" s="168"/>
      <c r="F824" s="168"/>
      <c r="G824" s="168"/>
      <c r="H824" s="168"/>
      <c r="I824" s="168"/>
      <c r="J824" s="168"/>
      <c r="K824" s="168"/>
      <c r="L824" s="168"/>
      <c r="M824" s="168"/>
      <c r="N824" s="168"/>
      <c r="O824" s="433"/>
      <c r="P824" s="122"/>
      <c r="Q824" s="156"/>
      <c r="R824" s="156"/>
      <c r="S824" s="156"/>
      <c r="T824" s="156"/>
      <c r="U824" s="156"/>
      <c r="V824" s="156"/>
      <c r="W824" s="156"/>
      <c r="X824" s="156"/>
      <c r="Y824" s="156"/>
      <c r="Z824" s="157"/>
      <c r="AA824" s="157"/>
      <c r="AB824" s="156"/>
      <c r="AC824" s="156"/>
      <c r="AD824" s="156"/>
      <c r="AE824" s="156"/>
      <c r="AF824" s="156"/>
      <c r="AG824" s="156"/>
      <c r="AH824" s="156"/>
      <c r="AI824" s="156"/>
      <c r="AJ824" s="156"/>
      <c r="AK824" s="156"/>
      <c r="AL824" s="156"/>
      <c r="AM824" s="158"/>
      <c r="AN824" s="156"/>
      <c r="AO824" s="156"/>
      <c r="AP824" s="156"/>
      <c r="AQ824" s="156"/>
      <c r="AR824" s="156"/>
      <c r="AS824" s="156"/>
      <c r="AT824" s="156"/>
      <c r="AU824" s="156"/>
      <c r="AV824" s="156"/>
      <c r="AW824" s="156"/>
      <c r="AX824" s="156"/>
      <c r="AY824" s="156"/>
      <c r="AZ824" s="156"/>
      <c r="BA824" s="153"/>
      <c r="BD824" s="153"/>
      <c r="BE824" s="147"/>
      <c r="BI824" s="153"/>
      <c r="BO824" s="153"/>
      <c r="BW824" s="153"/>
      <c r="CD824" s="146"/>
      <c r="CF824" s="147"/>
      <c r="CI824" s="146"/>
      <c r="CJ824" s="153"/>
      <c r="CV824" s="154"/>
      <c r="CX824" s="154"/>
      <c r="CZ824" s="154"/>
      <c r="DB824" s="154"/>
      <c r="DD824" s="154"/>
      <c r="DH824" s="474"/>
      <c r="DI824" s="459"/>
      <c r="DJ824" s="459"/>
      <c r="DK824" s="459"/>
      <c r="DL824" s="459"/>
      <c r="DM824" s="459"/>
      <c r="DN824" s="459"/>
      <c r="DO824" s="459"/>
      <c r="DP824" s="459"/>
      <c r="DQ824" s="459"/>
      <c r="DR824" s="459"/>
      <c r="DS824" s="459"/>
      <c r="DT824" s="459"/>
      <c r="DU824" s="459"/>
      <c r="DV824" s="468"/>
      <c r="DW824" s="468"/>
      <c r="DX824" s="459"/>
      <c r="DY824" s="459"/>
    </row>
    <row r="825" spans="1:129" s="128" customFormat="1" ht="54.95" customHeight="1" x14ac:dyDescent="0.25">
      <c r="A825" s="377"/>
      <c r="B825" s="175"/>
      <c r="C825" s="393"/>
      <c r="D825" s="168"/>
      <c r="E825" s="168"/>
      <c r="F825" s="168"/>
      <c r="G825" s="168"/>
      <c r="H825" s="168"/>
      <c r="I825" s="168"/>
      <c r="J825" s="168"/>
      <c r="K825" s="168"/>
      <c r="L825" s="168"/>
      <c r="M825" s="168"/>
      <c r="N825" s="168"/>
      <c r="O825" s="433"/>
      <c r="P825" s="122"/>
      <c r="Q825" s="156"/>
      <c r="R825" s="156"/>
      <c r="S825" s="156"/>
      <c r="T825" s="156"/>
      <c r="U825" s="156"/>
      <c r="V825" s="156"/>
      <c r="W825" s="156"/>
      <c r="X825" s="156"/>
      <c r="Y825" s="156"/>
      <c r="Z825" s="157"/>
      <c r="AA825" s="157"/>
      <c r="AB825" s="156"/>
      <c r="AC825" s="156"/>
      <c r="AD825" s="156"/>
      <c r="AE825" s="156"/>
      <c r="AF825" s="156"/>
      <c r="AG825" s="156"/>
      <c r="AH825" s="156"/>
      <c r="AI825" s="156"/>
      <c r="AJ825" s="156"/>
      <c r="AK825" s="156"/>
      <c r="AL825" s="156"/>
      <c r="AM825" s="158"/>
      <c r="AN825" s="156"/>
      <c r="AO825" s="156"/>
      <c r="AP825" s="156"/>
      <c r="AQ825" s="156"/>
      <c r="AR825" s="156"/>
      <c r="AS825" s="156"/>
      <c r="AT825" s="156"/>
      <c r="AU825" s="156"/>
      <c r="AV825" s="156"/>
      <c r="AW825" s="156"/>
      <c r="AX825" s="156"/>
      <c r="AY825" s="156"/>
      <c r="AZ825" s="156"/>
      <c r="BA825" s="153"/>
      <c r="BD825" s="153"/>
      <c r="BE825" s="147"/>
      <c r="BI825" s="153"/>
      <c r="BO825" s="153"/>
      <c r="BW825" s="153"/>
      <c r="CD825" s="146"/>
      <c r="CF825" s="147"/>
      <c r="CI825" s="146"/>
      <c r="CJ825" s="153"/>
      <c r="CV825" s="154"/>
      <c r="CX825" s="154"/>
      <c r="CZ825" s="154"/>
      <c r="DB825" s="154"/>
      <c r="DD825" s="154"/>
      <c r="DH825" s="474"/>
      <c r="DI825" s="459"/>
      <c r="DJ825" s="459"/>
      <c r="DK825" s="459"/>
      <c r="DL825" s="459"/>
      <c r="DM825" s="459"/>
      <c r="DN825" s="459"/>
      <c r="DO825" s="459"/>
      <c r="DP825" s="459"/>
      <c r="DQ825" s="459"/>
      <c r="DR825" s="459"/>
      <c r="DS825" s="459"/>
      <c r="DT825" s="459"/>
      <c r="DU825" s="459"/>
      <c r="DV825" s="468"/>
      <c r="DW825" s="468"/>
      <c r="DX825" s="459"/>
      <c r="DY825" s="459"/>
    </row>
    <row r="826" spans="1:129" s="128" customFormat="1" ht="54.95" customHeight="1" x14ac:dyDescent="0.25">
      <c r="A826" s="377"/>
      <c r="B826" s="175"/>
      <c r="C826" s="393"/>
      <c r="D826" s="168"/>
      <c r="E826" s="168"/>
      <c r="F826" s="168"/>
      <c r="G826" s="168"/>
      <c r="H826" s="168"/>
      <c r="I826" s="168"/>
      <c r="J826" s="168"/>
      <c r="K826" s="168"/>
      <c r="L826" s="168"/>
      <c r="M826" s="168"/>
      <c r="N826" s="168"/>
      <c r="O826" s="433"/>
      <c r="P826" s="122"/>
      <c r="Q826" s="156"/>
      <c r="R826" s="156"/>
      <c r="S826" s="156"/>
      <c r="T826" s="156"/>
      <c r="U826" s="156"/>
      <c r="V826" s="156"/>
      <c r="W826" s="156"/>
      <c r="X826" s="156"/>
      <c r="Y826" s="156"/>
      <c r="Z826" s="157"/>
      <c r="AA826" s="157"/>
      <c r="AB826" s="156"/>
      <c r="AC826" s="156"/>
      <c r="AD826" s="156"/>
      <c r="AE826" s="156"/>
      <c r="AF826" s="156"/>
      <c r="AG826" s="156"/>
      <c r="AH826" s="156"/>
      <c r="AI826" s="156"/>
      <c r="AJ826" s="156"/>
      <c r="AK826" s="156"/>
      <c r="AL826" s="156"/>
      <c r="AM826" s="158"/>
      <c r="AN826" s="156"/>
      <c r="AO826" s="156"/>
      <c r="AP826" s="156"/>
      <c r="AQ826" s="156"/>
      <c r="AR826" s="156"/>
      <c r="AS826" s="156"/>
      <c r="AT826" s="156"/>
      <c r="AU826" s="156"/>
      <c r="AV826" s="156"/>
      <c r="AW826" s="156"/>
      <c r="AX826" s="156"/>
      <c r="AY826" s="156"/>
      <c r="AZ826" s="156"/>
      <c r="BA826" s="153"/>
      <c r="BD826" s="153"/>
      <c r="BE826" s="147"/>
      <c r="BI826" s="153"/>
      <c r="BO826" s="153"/>
      <c r="BW826" s="153"/>
      <c r="CD826" s="146"/>
      <c r="CF826" s="147"/>
      <c r="CI826" s="146"/>
      <c r="CJ826" s="153"/>
      <c r="CV826" s="154"/>
      <c r="CX826" s="154"/>
      <c r="CZ826" s="154"/>
      <c r="DB826" s="154"/>
      <c r="DD826" s="154"/>
      <c r="DH826" s="474"/>
      <c r="DI826" s="459"/>
      <c r="DJ826" s="459"/>
      <c r="DK826" s="459"/>
      <c r="DL826" s="459"/>
      <c r="DM826" s="459"/>
      <c r="DN826" s="459"/>
      <c r="DO826" s="459"/>
      <c r="DP826" s="459"/>
      <c r="DQ826" s="459"/>
      <c r="DR826" s="459"/>
      <c r="DS826" s="459"/>
      <c r="DT826" s="459"/>
      <c r="DU826" s="459"/>
      <c r="DV826" s="468"/>
      <c r="DW826" s="468"/>
      <c r="DX826" s="459"/>
      <c r="DY826" s="459"/>
    </row>
    <row r="827" spans="1:129" s="128" customFormat="1" ht="54.95" customHeight="1" x14ac:dyDescent="0.25">
      <c r="A827" s="377"/>
      <c r="B827" s="175"/>
      <c r="C827" s="393"/>
      <c r="D827" s="168"/>
      <c r="E827" s="168"/>
      <c r="F827" s="168"/>
      <c r="G827" s="168"/>
      <c r="H827" s="168"/>
      <c r="I827" s="168"/>
      <c r="J827" s="168"/>
      <c r="K827" s="168"/>
      <c r="L827" s="168"/>
      <c r="M827" s="168"/>
      <c r="N827" s="168"/>
      <c r="O827" s="433"/>
      <c r="P827" s="122"/>
      <c r="Q827" s="156"/>
      <c r="R827" s="156"/>
      <c r="S827" s="156"/>
      <c r="T827" s="156"/>
      <c r="U827" s="156"/>
      <c r="V827" s="156"/>
      <c r="W827" s="156"/>
      <c r="X827" s="156"/>
      <c r="Y827" s="156"/>
      <c r="Z827" s="157"/>
      <c r="AA827" s="157"/>
      <c r="AB827" s="156"/>
      <c r="AC827" s="156"/>
      <c r="AD827" s="156"/>
      <c r="AE827" s="156"/>
      <c r="AF827" s="156"/>
      <c r="AG827" s="156"/>
      <c r="AH827" s="156"/>
      <c r="AI827" s="156"/>
      <c r="AJ827" s="156"/>
      <c r="AK827" s="156"/>
      <c r="AL827" s="156"/>
      <c r="AM827" s="158"/>
      <c r="AN827" s="156"/>
      <c r="AO827" s="156"/>
      <c r="AP827" s="156"/>
      <c r="AQ827" s="156"/>
      <c r="AR827" s="156"/>
      <c r="AS827" s="156"/>
      <c r="AT827" s="156"/>
      <c r="AU827" s="156"/>
      <c r="AV827" s="156"/>
      <c r="AW827" s="156"/>
      <c r="AX827" s="156"/>
      <c r="AY827" s="156"/>
      <c r="AZ827" s="156"/>
      <c r="BA827" s="153"/>
      <c r="BD827" s="153"/>
      <c r="BE827" s="147"/>
      <c r="BI827" s="153"/>
      <c r="BO827" s="153"/>
      <c r="BW827" s="153"/>
      <c r="CD827" s="146"/>
      <c r="CF827" s="147"/>
      <c r="CI827" s="146"/>
      <c r="CJ827" s="153"/>
      <c r="CV827" s="154"/>
      <c r="CX827" s="154"/>
      <c r="CZ827" s="154"/>
      <c r="DB827" s="154"/>
      <c r="DD827" s="154"/>
      <c r="DH827" s="474"/>
      <c r="DI827" s="459"/>
      <c r="DJ827" s="459"/>
      <c r="DK827" s="459"/>
      <c r="DL827" s="459"/>
      <c r="DM827" s="459"/>
      <c r="DN827" s="459"/>
      <c r="DO827" s="459"/>
      <c r="DP827" s="459"/>
      <c r="DQ827" s="459"/>
      <c r="DR827" s="459"/>
      <c r="DS827" s="459"/>
      <c r="DT827" s="459"/>
      <c r="DU827" s="459"/>
      <c r="DV827" s="468"/>
      <c r="DW827" s="468"/>
      <c r="DX827" s="459"/>
      <c r="DY827" s="459"/>
    </row>
    <row r="828" spans="1:129" s="128" customFormat="1" ht="54.95" customHeight="1" x14ac:dyDescent="0.25">
      <c r="A828" s="377"/>
      <c r="B828" s="175"/>
      <c r="C828" s="393"/>
      <c r="D828" s="168"/>
      <c r="E828" s="168"/>
      <c r="F828" s="168"/>
      <c r="G828" s="168"/>
      <c r="H828" s="168"/>
      <c r="I828" s="168"/>
      <c r="J828" s="168"/>
      <c r="K828" s="168"/>
      <c r="L828" s="168"/>
      <c r="M828" s="168"/>
      <c r="N828" s="168"/>
      <c r="O828" s="433"/>
      <c r="P828" s="122"/>
      <c r="Q828" s="156"/>
      <c r="R828" s="156"/>
      <c r="S828" s="156"/>
      <c r="T828" s="156"/>
      <c r="U828" s="156"/>
      <c r="V828" s="156"/>
      <c r="W828" s="156"/>
      <c r="X828" s="156"/>
      <c r="Y828" s="156"/>
      <c r="Z828" s="157"/>
      <c r="AA828" s="157"/>
      <c r="AB828" s="156"/>
      <c r="AC828" s="156"/>
      <c r="AD828" s="156"/>
      <c r="AE828" s="156"/>
      <c r="AF828" s="156"/>
      <c r="AG828" s="156"/>
      <c r="AH828" s="156"/>
      <c r="AI828" s="156"/>
      <c r="AJ828" s="156"/>
      <c r="AK828" s="156"/>
      <c r="AL828" s="156"/>
      <c r="AM828" s="158"/>
      <c r="AN828" s="156"/>
      <c r="AO828" s="156"/>
      <c r="AP828" s="156"/>
      <c r="AQ828" s="156"/>
      <c r="AR828" s="156"/>
      <c r="AS828" s="156"/>
      <c r="AT828" s="156"/>
      <c r="AU828" s="156"/>
      <c r="AV828" s="156"/>
      <c r="AW828" s="156"/>
      <c r="AX828" s="156"/>
      <c r="AY828" s="156"/>
      <c r="AZ828" s="156"/>
      <c r="BA828" s="153"/>
      <c r="BD828" s="153"/>
      <c r="BE828" s="147"/>
      <c r="BI828" s="153"/>
      <c r="BO828" s="153"/>
      <c r="BW828" s="153"/>
      <c r="CD828" s="146"/>
      <c r="CF828" s="147"/>
      <c r="CI828" s="146"/>
      <c r="CJ828" s="153"/>
      <c r="CV828" s="154"/>
      <c r="CX828" s="154"/>
      <c r="CZ828" s="154"/>
      <c r="DB828" s="154"/>
      <c r="DD828" s="154"/>
      <c r="DH828" s="474"/>
      <c r="DI828" s="459"/>
      <c r="DJ828" s="459"/>
      <c r="DK828" s="459"/>
      <c r="DL828" s="459"/>
      <c r="DM828" s="459"/>
      <c r="DN828" s="459"/>
      <c r="DO828" s="459"/>
      <c r="DP828" s="459"/>
      <c r="DQ828" s="459"/>
      <c r="DR828" s="459"/>
      <c r="DS828" s="459"/>
      <c r="DT828" s="459"/>
      <c r="DU828" s="459"/>
      <c r="DV828" s="468"/>
      <c r="DW828" s="468"/>
      <c r="DX828" s="459"/>
      <c r="DY828" s="459"/>
    </row>
    <row r="829" spans="1:129" s="128" customFormat="1" ht="54.95" customHeight="1" x14ac:dyDescent="0.25">
      <c r="A829" s="377"/>
      <c r="B829" s="175"/>
      <c r="C829" s="393"/>
      <c r="D829" s="168"/>
      <c r="E829" s="168"/>
      <c r="F829" s="168"/>
      <c r="G829" s="168"/>
      <c r="H829" s="168"/>
      <c r="I829" s="168"/>
      <c r="J829" s="168"/>
      <c r="K829" s="168"/>
      <c r="L829" s="168"/>
      <c r="M829" s="168"/>
      <c r="N829" s="168"/>
      <c r="O829" s="433"/>
      <c r="P829" s="122"/>
      <c r="Q829" s="156"/>
      <c r="R829" s="156"/>
      <c r="S829" s="156"/>
      <c r="T829" s="156"/>
      <c r="U829" s="156"/>
      <c r="V829" s="156"/>
      <c r="W829" s="156"/>
      <c r="X829" s="156"/>
      <c r="Y829" s="156"/>
      <c r="Z829" s="157"/>
      <c r="AA829" s="157"/>
      <c r="AB829" s="156"/>
      <c r="AC829" s="156"/>
      <c r="AD829" s="156"/>
      <c r="AE829" s="156"/>
      <c r="AF829" s="156"/>
      <c r="AG829" s="156"/>
      <c r="AH829" s="156"/>
      <c r="AI829" s="156"/>
      <c r="AJ829" s="156"/>
      <c r="AK829" s="156"/>
      <c r="AL829" s="156"/>
      <c r="AM829" s="158"/>
      <c r="AN829" s="156"/>
      <c r="AO829" s="156"/>
      <c r="AP829" s="156"/>
      <c r="AQ829" s="156"/>
      <c r="AR829" s="156"/>
      <c r="AS829" s="156"/>
      <c r="AT829" s="156"/>
      <c r="AU829" s="156"/>
      <c r="AV829" s="156"/>
      <c r="AW829" s="156"/>
      <c r="AX829" s="156"/>
      <c r="AY829" s="156"/>
      <c r="AZ829" s="156"/>
      <c r="BA829" s="153"/>
      <c r="BD829" s="153"/>
      <c r="BE829" s="147"/>
      <c r="BI829" s="153"/>
      <c r="BO829" s="153"/>
      <c r="BW829" s="153"/>
      <c r="CD829" s="146"/>
      <c r="CF829" s="147"/>
      <c r="CI829" s="146"/>
      <c r="CJ829" s="153"/>
      <c r="CV829" s="154"/>
      <c r="CX829" s="154"/>
      <c r="CZ829" s="154"/>
      <c r="DB829" s="154"/>
      <c r="DD829" s="154"/>
      <c r="DH829" s="474"/>
      <c r="DI829" s="459"/>
      <c r="DJ829" s="459"/>
      <c r="DK829" s="459"/>
      <c r="DL829" s="459"/>
      <c r="DM829" s="459"/>
      <c r="DN829" s="459"/>
      <c r="DO829" s="459"/>
      <c r="DP829" s="459"/>
      <c r="DQ829" s="459"/>
      <c r="DR829" s="459"/>
      <c r="DS829" s="459"/>
      <c r="DT829" s="459"/>
      <c r="DU829" s="459"/>
      <c r="DV829" s="468"/>
      <c r="DW829" s="468"/>
      <c r="DX829" s="459"/>
      <c r="DY829" s="459"/>
    </row>
    <row r="830" spans="1:129" s="128" customFormat="1" ht="54.95" customHeight="1" x14ac:dyDescent="0.25">
      <c r="A830" s="377"/>
      <c r="B830" s="175"/>
      <c r="C830" s="393"/>
      <c r="D830" s="168"/>
      <c r="E830" s="168"/>
      <c r="F830" s="168"/>
      <c r="G830" s="168"/>
      <c r="H830" s="168"/>
      <c r="I830" s="168"/>
      <c r="J830" s="168"/>
      <c r="K830" s="168"/>
      <c r="L830" s="168"/>
      <c r="M830" s="168"/>
      <c r="N830" s="168"/>
      <c r="O830" s="433"/>
      <c r="P830" s="122"/>
      <c r="Q830" s="156"/>
      <c r="R830" s="156"/>
      <c r="S830" s="156"/>
      <c r="T830" s="156"/>
      <c r="U830" s="156"/>
      <c r="V830" s="156"/>
      <c r="W830" s="156"/>
      <c r="X830" s="156"/>
      <c r="Y830" s="156"/>
      <c r="Z830" s="157"/>
      <c r="AA830" s="157"/>
      <c r="AB830" s="156"/>
      <c r="AC830" s="156"/>
      <c r="AD830" s="156"/>
      <c r="AE830" s="156"/>
      <c r="AF830" s="156"/>
      <c r="AG830" s="156"/>
      <c r="AH830" s="156"/>
      <c r="AI830" s="156"/>
      <c r="AJ830" s="156"/>
      <c r="AK830" s="156"/>
      <c r="AL830" s="156"/>
      <c r="AM830" s="158"/>
      <c r="AN830" s="156"/>
      <c r="AO830" s="156"/>
      <c r="AP830" s="156"/>
      <c r="AQ830" s="156"/>
      <c r="AR830" s="156"/>
      <c r="AS830" s="156"/>
      <c r="AT830" s="156"/>
      <c r="AU830" s="156"/>
      <c r="AV830" s="156"/>
      <c r="AW830" s="156"/>
      <c r="AX830" s="156"/>
      <c r="AY830" s="156"/>
      <c r="AZ830" s="156"/>
      <c r="BA830" s="153"/>
      <c r="BD830" s="153"/>
      <c r="BE830" s="147"/>
      <c r="BI830" s="153"/>
      <c r="BO830" s="153"/>
      <c r="BW830" s="153"/>
      <c r="CD830" s="146"/>
      <c r="CF830" s="147"/>
      <c r="CI830" s="146"/>
      <c r="CJ830" s="153"/>
      <c r="CV830" s="154"/>
      <c r="CX830" s="154"/>
      <c r="CZ830" s="154"/>
      <c r="DB830" s="154"/>
      <c r="DD830" s="154"/>
      <c r="DH830" s="474"/>
      <c r="DI830" s="459"/>
      <c r="DJ830" s="459"/>
      <c r="DK830" s="459"/>
      <c r="DL830" s="459"/>
      <c r="DM830" s="459"/>
      <c r="DN830" s="459"/>
      <c r="DO830" s="459"/>
      <c r="DP830" s="459"/>
      <c r="DQ830" s="459"/>
      <c r="DR830" s="459"/>
      <c r="DS830" s="459"/>
      <c r="DT830" s="459"/>
      <c r="DU830" s="459"/>
      <c r="DV830" s="468"/>
      <c r="DW830" s="468"/>
      <c r="DX830" s="459"/>
      <c r="DY830" s="459"/>
    </row>
    <row r="831" spans="1:129" s="128" customFormat="1" ht="54.95" customHeight="1" x14ac:dyDescent="0.25">
      <c r="A831" s="377"/>
      <c r="B831" s="175"/>
      <c r="C831" s="393"/>
      <c r="D831" s="168"/>
      <c r="E831" s="168"/>
      <c r="F831" s="168"/>
      <c r="G831" s="168"/>
      <c r="H831" s="168"/>
      <c r="I831" s="168"/>
      <c r="J831" s="168"/>
      <c r="K831" s="168"/>
      <c r="L831" s="168"/>
      <c r="M831" s="168"/>
      <c r="N831" s="168"/>
      <c r="O831" s="433"/>
      <c r="P831" s="122"/>
      <c r="Q831" s="156"/>
      <c r="R831" s="156"/>
      <c r="S831" s="156"/>
      <c r="T831" s="156"/>
      <c r="U831" s="156"/>
      <c r="V831" s="156"/>
      <c r="W831" s="156"/>
      <c r="X831" s="156"/>
      <c r="Y831" s="156"/>
      <c r="Z831" s="157"/>
      <c r="AA831" s="157"/>
      <c r="AB831" s="156"/>
      <c r="AC831" s="156"/>
      <c r="AD831" s="156"/>
      <c r="AE831" s="156"/>
      <c r="AF831" s="156"/>
      <c r="AG831" s="156"/>
      <c r="AH831" s="156"/>
      <c r="AI831" s="156"/>
      <c r="AJ831" s="156"/>
      <c r="AK831" s="156"/>
      <c r="AL831" s="156"/>
      <c r="AM831" s="158"/>
      <c r="AN831" s="156"/>
      <c r="AO831" s="156"/>
      <c r="AP831" s="156"/>
      <c r="AQ831" s="156"/>
      <c r="AR831" s="156"/>
      <c r="AS831" s="156"/>
      <c r="AT831" s="156"/>
      <c r="AU831" s="156"/>
      <c r="AV831" s="156"/>
      <c r="AW831" s="156"/>
      <c r="AX831" s="156"/>
      <c r="AY831" s="156"/>
      <c r="AZ831" s="156"/>
      <c r="BA831" s="153"/>
      <c r="BD831" s="153"/>
      <c r="BE831" s="147"/>
      <c r="BI831" s="153"/>
      <c r="BO831" s="153"/>
      <c r="BW831" s="153"/>
      <c r="CD831" s="146"/>
      <c r="CF831" s="147"/>
      <c r="CI831" s="146"/>
      <c r="CJ831" s="153"/>
      <c r="CV831" s="154"/>
      <c r="CX831" s="154"/>
      <c r="CZ831" s="154"/>
      <c r="DB831" s="154"/>
      <c r="DD831" s="154"/>
      <c r="DH831" s="474"/>
      <c r="DI831" s="459"/>
      <c r="DJ831" s="459"/>
      <c r="DK831" s="459"/>
      <c r="DL831" s="459"/>
      <c r="DM831" s="459"/>
      <c r="DN831" s="459"/>
      <c r="DO831" s="459"/>
      <c r="DP831" s="459"/>
      <c r="DQ831" s="459"/>
      <c r="DR831" s="459"/>
      <c r="DS831" s="459"/>
      <c r="DT831" s="459"/>
      <c r="DU831" s="459"/>
      <c r="DV831" s="468"/>
      <c r="DW831" s="468"/>
      <c r="DX831" s="459"/>
      <c r="DY831" s="459"/>
    </row>
    <row r="832" spans="1:129" s="128" customFormat="1" ht="54.95" customHeight="1" x14ac:dyDescent="0.25">
      <c r="A832" s="377"/>
      <c r="B832" s="175"/>
      <c r="C832" s="393"/>
      <c r="D832" s="168"/>
      <c r="E832" s="168"/>
      <c r="F832" s="168"/>
      <c r="G832" s="168"/>
      <c r="H832" s="168"/>
      <c r="I832" s="168"/>
      <c r="J832" s="168"/>
      <c r="K832" s="168"/>
      <c r="L832" s="168"/>
      <c r="M832" s="168"/>
      <c r="N832" s="168"/>
      <c r="O832" s="433"/>
      <c r="P832" s="122"/>
      <c r="Q832" s="156"/>
      <c r="R832" s="156"/>
      <c r="S832" s="156"/>
      <c r="T832" s="156"/>
      <c r="U832" s="156"/>
      <c r="V832" s="156"/>
      <c r="W832" s="156"/>
      <c r="X832" s="156"/>
      <c r="Y832" s="156"/>
      <c r="Z832" s="157"/>
      <c r="AA832" s="157"/>
      <c r="AB832" s="156"/>
      <c r="AC832" s="156"/>
      <c r="AD832" s="156"/>
      <c r="AE832" s="156"/>
      <c r="AF832" s="156"/>
      <c r="AG832" s="156"/>
      <c r="AH832" s="156"/>
      <c r="AI832" s="156"/>
      <c r="AJ832" s="156"/>
      <c r="AK832" s="156"/>
      <c r="AL832" s="156"/>
      <c r="AM832" s="158"/>
      <c r="AN832" s="156"/>
      <c r="AO832" s="156"/>
      <c r="AP832" s="156"/>
      <c r="AQ832" s="156"/>
      <c r="AR832" s="156"/>
      <c r="AS832" s="156"/>
      <c r="AT832" s="156"/>
      <c r="AU832" s="156"/>
      <c r="AV832" s="156"/>
      <c r="AW832" s="156"/>
      <c r="AX832" s="156"/>
      <c r="AY832" s="156"/>
      <c r="AZ832" s="156"/>
      <c r="BA832" s="153"/>
      <c r="BD832" s="153"/>
      <c r="BE832" s="147"/>
      <c r="BI832" s="153"/>
      <c r="BO832" s="153"/>
      <c r="BW832" s="153"/>
      <c r="CD832" s="146"/>
      <c r="CF832" s="147"/>
      <c r="CI832" s="146"/>
      <c r="CJ832" s="153"/>
      <c r="CV832" s="154"/>
      <c r="CX832" s="154"/>
      <c r="CZ832" s="154"/>
      <c r="DB832" s="154"/>
      <c r="DD832" s="154"/>
      <c r="DH832" s="474"/>
      <c r="DI832" s="459"/>
      <c r="DJ832" s="459"/>
      <c r="DK832" s="459"/>
      <c r="DL832" s="459"/>
      <c r="DM832" s="459"/>
      <c r="DN832" s="459"/>
      <c r="DO832" s="459"/>
      <c r="DP832" s="459"/>
      <c r="DQ832" s="459"/>
      <c r="DR832" s="459"/>
      <c r="DS832" s="459"/>
      <c r="DT832" s="459"/>
      <c r="DU832" s="459"/>
      <c r="DV832" s="468"/>
      <c r="DW832" s="468"/>
      <c r="DX832" s="459"/>
      <c r="DY832" s="459"/>
    </row>
    <row r="833" spans="1:129" s="128" customFormat="1" ht="54.95" customHeight="1" x14ac:dyDescent="0.25">
      <c r="A833" s="377"/>
      <c r="B833" s="175"/>
      <c r="C833" s="393"/>
      <c r="D833" s="168"/>
      <c r="E833" s="168"/>
      <c r="F833" s="168"/>
      <c r="G833" s="168"/>
      <c r="H833" s="168"/>
      <c r="I833" s="168"/>
      <c r="J833" s="168"/>
      <c r="K833" s="168"/>
      <c r="L833" s="168"/>
      <c r="M833" s="168"/>
      <c r="N833" s="168"/>
      <c r="O833" s="433"/>
      <c r="P833" s="122"/>
      <c r="Q833" s="156"/>
      <c r="R833" s="156"/>
      <c r="S833" s="156"/>
      <c r="T833" s="156"/>
      <c r="U833" s="156"/>
      <c r="V833" s="156"/>
      <c r="W833" s="156"/>
      <c r="X833" s="156"/>
      <c r="Y833" s="156"/>
      <c r="Z833" s="157"/>
      <c r="AA833" s="157"/>
      <c r="AB833" s="156"/>
      <c r="AC833" s="156"/>
      <c r="AD833" s="156"/>
      <c r="AE833" s="156"/>
      <c r="AF833" s="156"/>
      <c r="AG833" s="156"/>
      <c r="AH833" s="156"/>
      <c r="AI833" s="156"/>
      <c r="AJ833" s="156"/>
      <c r="AK833" s="156"/>
      <c r="AL833" s="156"/>
      <c r="AM833" s="158"/>
      <c r="AN833" s="156"/>
      <c r="AO833" s="156"/>
      <c r="AP833" s="156"/>
      <c r="AQ833" s="156"/>
      <c r="AR833" s="156"/>
      <c r="AS833" s="156"/>
      <c r="AT833" s="156"/>
      <c r="AU833" s="156"/>
      <c r="AV833" s="156"/>
      <c r="AW833" s="156"/>
      <c r="AX833" s="156"/>
      <c r="AY833" s="156"/>
      <c r="AZ833" s="156"/>
      <c r="BA833" s="153"/>
      <c r="BD833" s="153"/>
      <c r="BE833" s="147"/>
      <c r="BI833" s="153"/>
      <c r="BO833" s="153"/>
      <c r="BW833" s="153"/>
      <c r="CD833" s="146"/>
      <c r="CF833" s="147"/>
      <c r="CI833" s="146"/>
      <c r="CJ833" s="153"/>
      <c r="CV833" s="154"/>
      <c r="CX833" s="154"/>
      <c r="CZ833" s="154"/>
      <c r="DB833" s="154"/>
      <c r="DD833" s="154"/>
      <c r="DH833" s="474"/>
      <c r="DI833" s="459"/>
      <c r="DJ833" s="459"/>
      <c r="DK833" s="459"/>
      <c r="DL833" s="459"/>
      <c r="DM833" s="459"/>
      <c r="DN833" s="459"/>
      <c r="DO833" s="459"/>
      <c r="DP833" s="459"/>
      <c r="DQ833" s="459"/>
      <c r="DR833" s="459"/>
      <c r="DS833" s="459"/>
      <c r="DT833" s="459"/>
      <c r="DU833" s="459"/>
      <c r="DV833" s="468"/>
      <c r="DW833" s="468"/>
      <c r="DX833" s="459"/>
      <c r="DY833" s="459"/>
    </row>
    <row r="834" spans="1:129" s="128" customFormat="1" ht="54.95" customHeight="1" x14ac:dyDescent="0.25">
      <c r="A834" s="377"/>
      <c r="B834" s="175"/>
      <c r="C834" s="393"/>
      <c r="D834" s="168"/>
      <c r="E834" s="168"/>
      <c r="F834" s="168"/>
      <c r="G834" s="168"/>
      <c r="H834" s="168"/>
      <c r="I834" s="168"/>
      <c r="J834" s="168"/>
      <c r="K834" s="168"/>
      <c r="L834" s="168"/>
      <c r="M834" s="168"/>
      <c r="N834" s="168"/>
      <c r="O834" s="433"/>
      <c r="P834" s="122"/>
      <c r="Q834" s="156"/>
      <c r="R834" s="156"/>
      <c r="S834" s="156"/>
      <c r="T834" s="156"/>
      <c r="U834" s="156"/>
      <c r="V834" s="156"/>
      <c r="W834" s="156"/>
      <c r="X834" s="156"/>
      <c r="Y834" s="156"/>
      <c r="Z834" s="157"/>
      <c r="AA834" s="157"/>
      <c r="AB834" s="156"/>
      <c r="AC834" s="156"/>
      <c r="AD834" s="156"/>
      <c r="AE834" s="156"/>
      <c r="AF834" s="156"/>
      <c r="AG834" s="156"/>
      <c r="AH834" s="156"/>
      <c r="AI834" s="156"/>
      <c r="AJ834" s="156"/>
      <c r="AK834" s="156"/>
      <c r="AL834" s="156"/>
      <c r="AM834" s="158"/>
      <c r="AN834" s="156"/>
      <c r="AO834" s="156"/>
      <c r="AP834" s="156"/>
      <c r="AQ834" s="156"/>
      <c r="AR834" s="156"/>
      <c r="AS834" s="156"/>
      <c r="AT834" s="156"/>
      <c r="AU834" s="156"/>
      <c r="AV834" s="156"/>
      <c r="AW834" s="156"/>
      <c r="AX834" s="156"/>
      <c r="AY834" s="156"/>
      <c r="AZ834" s="156"/>
      <c r="BA834" s="153"/>
      <c r="BD834" s="153"/>
      <c r="BE834" s="147"/>
      <c r="BI834" s="153"/>
      <c r="BO834" s="153"/>
      <c r="BW834" s="153"/>
      <c r="CD834" s="146"/>
      <c r="CF834" s="147"/>
      <c r="CI834" s="146"/>
      <c r="CJ834" s="153"/>
      <c r="CV834" s="154"/>
      <c r="CX834" s="154"/>
      <c r="CZ834" s="154"/>
      <c r="DB834" s="154"/>
      <c r="DD834" s="154"/>
      <c r="DH834" s="474"/>
      <c r="DI834" s="459"/>
      <c r="DJ834" s="459"/>
      <c r="DK834" s="459"/>
      <c r="DL834" s="459"/>
      <c r="DM834" s="459"/>
      <c r="DN834" s="459"/>
      <c r="DO834" s="459"/>
      <c r="DP834" s="459"/>
      <c r="DQ834" s="459"/>
      <c r="DR834" s="459"/>
      <c r="DS834" s="459"/>
      <c r="DT834" s="459"/>
      <c r="DU834" s="459"/>
      <c r="DV834" s="468"/>
      <c r="DW834" s="468"/>
      <c r="DX834" s="459"/>
      <c r="DY834" s="459"/>
    </row>
    <row r="835" spans="1:129" s="128" customFormat="1" ht="54.95" customHeight="1" x14ac:dyDescent="0.25">
      <c r="A835" s="377"/>
      <c r="B835" s="175"/>
      <c r="C835" s="393"/>
      <c r="D835" s="168"/>
      <c r="E835" s="168"/>
      <c r="F835" s="168"/>
      <c r="G835" s="168"/>
      <c r="H835" s="168"/>
      <c r="I835" s="168"/>
      <c r="J835" s="168"/>
      <c r="K835" s="168"/>
      <c r="L835" s="168"/>
      <c r="M835" s="168"/>
      <c r="N835" s="168"/>
      <c r="O835" s="433"/>
      <c r="P835" s="122"/>
      <c r="Q835" s="156"/>
      <c r="R835" s="156"/>
      <c r="S835" s="156"/>
      <c r="T835" s="156"/>
      <c r="U835" s="156"/>
      <c r="V835" s="156"/>
      <c r="W835" s="156"/>
      <c r="X835" s="156"/>
      <c r="Y835" s="156"/>
      <c r="Z835" s="157"/>
      <c r="AA835" s="157"/>
      <c r="AB835" s="156"/>
      <c r="AC835" s="156"/>
      <c r="AD835" s="156"/>
      <c r="AE835" s="156"/>
      <c r="AF835" s="156"/>
      <c r="AG835" s="156"/>
      <c r="AH835" s="156"/>
      <c r="AI835" s="156"/>
      <c r="AJ835" s="156"/>
      <c r="AK835" s="156"/>
      <c r="AL835" s="156"/>
      <c r="AM835" s="158"/>
      <c r="AN835" s="156"/>
      <c r="AO835" s="156"/>
      <c r="AP835" s="156"/>
      <c r="AQ835" s="156"/>
      <c r="AR835" s="156"/>
      <c r="AS835" s="156"/>
      <c r="AT835" s="156"/>
      <c r="AU835" s="156"/>
      <c r="AV835" s="156"/>
      <c r="AW835" s="156"/>
      <c r="AX835" s="156"/>
      <c r="AY835" s="156"/>
      <c r="AZ835" s="156"/>
      <c r="BA835" s="153"/>
      <c r="BD835" s="153"/>
      <c r="BE835" s="147"/>
      <c r="BI835" s="153"/>
      <c r="BO835" s="153"/>
      <c r="BW835" s="153"/>
      <c r="CD835" s="146"/>
      <c r="CF835" s="147"/>
      <c r="CI835" s="146"/>
      <c r="CJ835" s="153"/>
      <c r="CV835" s="154"/>
      <c r="CX835" s="154"/>
      <c r="CZ835" s="154"/>
      <c r="DB835" s="154"/>
      <c r="DD835" s="154"/>
      <c r="DH835" s="474"/>
      <c r="DI835" s="459"/>
      <c r="DJ835" s="459"/>
      <c r="DK835" s="459"/>
      <c r="DL835" s="459"/>
      <c r="DM835" s="459"/>
      <c r="DN835" s="459"/>
      <c r="DO835" s="459"/>
      <c r="DP835" s="459"/>
      <c r="DQ835" s="459"/>
      <c r="DR835" s="459"/>
      <c r="DS835" s="459"/>
      <c r="DT835" s="459"/>
      <c r="DU835" s="459"/>
      <c r="DV835" s="468"/>
      <c r="DW835" s="468"/>
      <c r="DX835" s="459"/>
      <c r="DY835" s="459"/>
    </row>
    <row r="836" spans="1:129" s="128" customFormat="1" ht="54.95" customHeight="1" x14ac:dyDescent="0.25">
      <c r="A836" s="377"/>
      <c r="B836" s="175"/>
      <c r="C836" s="393"/>
      <c r="D836" s="168"/>
      <c r="E836" s="168"/>
      <c r="F836" s="168"/>
      <c r="G836" s="168"/>
      <c r="H836" s="168"/>
      <c r="I836" s="168"/>
      <c r="J836" s="168"/>
      <c r="K836" s="168"/>
      <c r="L836" s="168"/>
      <c r="M836" s="168"/>
      <c r="N836" s="168"/>
      <c r="O836" s="433"/>
      <c r="P836" s="122"/>
      <c r="Q836" s="156"/>
      <c r="R836" s="156"/>
      <c r="S836" s="156"/>
      <c r="T836" s="156"/>
      <c r="U836" s="156"/>
      <c r="V836" s="156"/>
      <c r="W836" s="156"/>
      <c r="X836" s="156"/>
      <c r="Y836" s="156"/>
      <c r="Z836" s="157"/>
      <c r="AA836" s="157"/>
      <c r="AB836" s="156"/>
      <c r="AC836" s="156"/>
      <c r="AD836" s="156"/>
      <c r="AE836" s="156"/>
      <c r="AF836" s="156"/>
      <c r="AG836" s="156"/>
      <c r="AH836" s="156"/>
      <c r="AI836" s="156"/>
      <c r="AJ836" s="156"/>
      <c r="AK836" s="156"/>
      <c r="AL836" s="156"/>
      <c r="AM836" s="158"/>
      <c r="AN836" s="156"/>
      <c r="AO836" s="156"/>
      <c r="AP836" s="156"/>
      <c r="AQ836" s="156"/>
      <c r="AR836" s="156"/>
      <c r="AS836" s="156"/>
      <c r="AT836" s="156"/>
      <c r="AU836" s="156"/>
      <c r="AV836" s="156"/>
      <c r="AW836" s="156"/>
      <c r="AX836" s="156"/>
      <c r="AY836" s="156"/>
      <c r="AZ836" s="156"/>
      <c r="BA836" s="153"/>
      <c r="BD836" s="153"/>
      <c r="BE836" s="147"/>
      <c r="BI836" s="153"/>
      <c r="BO836" s="153"/>
      <c r="BW836" s="153"/>
      <c r="CD836" s="146"/>
      <c r="CF836" s="147"/>
      <c r="CI836" s="146"/>
      <c r="CJ836" s="153"/>
      <c r="CV836" s="154"/>
      <c r="CX836" s="154"/>
      <c r="CZ836" s="154"/>
      <c r="DB836" s="154"/>
      <c r="DD836" s="154"/>
      <c r="DH836" s="474"/>
      <c r="DI836" s="459"/>
      <c r="DJ836" s="459"/>
      <c r="DK836" s="459"/>
      <c r="DL836" s="459"/>
      <c r="DM836" s="459"/>
      <c r="DN836" s="459"/>
      <c r="DO836" s="459"/>
      <c r="DP836" s="459"/>
      <c r="DQ836" s="459"/>
      <c r="DR836" s="459"/>
      <c r="DS836" s="459"/>
      <c r="DT836" s="459"/>
      <c r="DU836" s="459"/>
      <c r="DV836" s="468"/>
      <c r="DW836" s="468"/>
      <c r="DX836" s="459"/>
      <c r="DY836" s="459"/>
    </row>
    <row r="837" spans="1:129" s="128" customFormat="1" ht="54.95" customHeight="1" x14ac:dyDescent="0.25">
      <c r="A837" s="377"/>
      <c r="B837" s="175"/>
      <c r="C837" s="393"/>
      <c r="D837" s="168"/>
      <c r="E837" s="168"/>
      <c r="F837" s="168"/>
      <c r="G837" s="168"/>
      <c r="H837" s="168"/>
      <c r="I837" s="168"/>
      <c r="J837" s="168"/>
      <c r="K837" s="168"/>
      <c r="L837" s="168"/>
      <c r="M837" s="168"/>
      <c r="N837" s="168"/>
      <c r="O837" s="433"/>
      <c r="P837" s="122"/>
      <c r="Q837" s="156"/>
      <c r="R837" s="156"/>
      <c r="S837" s="156"/>
      <c r="T837" s="156"/>
      <c r="U837" s="156"/>
      <c r="V837" s="156"/>
      <c r="W837" s="156"/>
      <c r="X837" s="156"/>
      <c r="Y837" s="156"/>
      <c r="Z837" s="157"/>
      <c r="AA837" s="157"/>
      <c r="AB837" s="156"/>
      <c r="AC837" s="156"/>
      <c r="AD837" s="156"/>
      <c r="AE837" s="156"/>
      <c r="AF837" s="156"/>
      <c r="AG837" s="156"/>
      <c r="AH837" s="156"/>
      <c r="AI837" s="156"/>
      <c r="AJ837" s="156"/>
      <c r="AK837" s="156"/>
      <c r="AL837" s="156"/>
      <c r="AM837" s="158"/>
      <c r="AN837" s="156"/>
      <c r="AO837" s="156"/>
      <c r="AP837" s="156"/>
      <c r="AQ837" s="156"/>
      <c r="AR837" s="156"/>
      <c r="AS837" s="156"/>
      <c r="AT837" s="156"/>
      <c r="AU837" s="156"/>
      <c r="AV837" s="156"/>
      <c r="AW837" s="156"/>
      <c r="AX837" s="156"/>
      <c r="AY837" s="156"/>
      <c r="AZ837" s="156"/>
      <c r="BA837" s="153"/>
      <c r="BD837" s="153"/>
      <c r="BE837" s="147"/>
      <c r="BI837" s="153"/>
      <c r="BO837" s="153"/>
      <c r="BW837" s="153"/>
      <c r="CD837" s="146"/>
      <c r="CF837" s="147"/>
      <c r="CI837" s="146"/>
      <c r="CJ837" s="153"/>
      <c r="CV837" s="154"/>
      <c r="CX837" s="154"/>
      <c r="CZ837" s="154"/>
      <c r="DB837" s="154"/>
      <c r="DD837" s="154"/>
      <c r="DH837" s="474"/>
      <c r="DI837" s="459"/>
      <c r="DJ837" s="459"/>
      <c r="DK837" s="459"/>
      <c r="DL837" s="459"/>
      <c r="DM837" s="459"/>
      <c r="DN837" s="459"/>
      <c r="DO837" s="459"/>
      <c r="DP837" s="459"/>
      <c r="DQ837" s="459"/>
      <c r="DR837" s="459"/>
      <c r="DS837" s="459"/>
      <c r="DT837" s="459"/>
      <c r="DU837" s="459"/>
      <c r="DV837" s="468"/>
      <c r="DW837" s="468"/>
      <c r="DX837" s="459"/>
      <c r="DY837" s="459"/>
    </row>
    <row r="838" spans="1:129" s="128" customFormat="1" ht="54.95" customHeight="1" x14ac:dyDescent="0.25">
      <c r="A838" s="377"/>
      <c r="B838" s="175"/>
      <c r="C838" s="393"/>
      <c r="D838" s="168"/>
      <c r="E838" s="168"/>
      <c r="F838" s="168"/>
      <c r="G838" s="168"/>
      <c r="H838" s="168"/>
      <c r="I838" s="168"/>
      <c r="J838" s="168"/>
      <c r="K838" s="168"/>
      <c r="L838" s="168"/>
      <c r="M838" s="168"/>
      <c r="N838" s="168"/>
      <c r="O838" s="433"/>
      <c r="P838" s="122"/>
      <c r="Q838" s="156"/>
      <c r="R838" s="156"/>
      <c r="S838" s="156"/>
      <c r="T838" s="156"/>
      <c r="U838" s="156"/>
      <c r="V838" s="156"/>
      <c r="W838" s="156"/>
      <c r="X838" s="156"/>
      <c r="Y838" s="156"/>
      <c r="Z838" s="157"/>
      <c r="AA838" s="157"/>
      <c r="AB838" s="156"/>
      <c r="AC838" s="156"/>
      <c r="AD838" s="156"/>
      <c r="AE838" s="156"/>
      <c r="AF838" s="156"/>
      <c r="AG838" s="156"/>
      <c r="AH838" s="156"/>
      <c r="AI838" s="156"/>
      <c r="AJ838" s="156"/>
      <c r="AK838" s="156"/>
      <c r="AL838" s="156"/>
      <c r="AM838" s="158"/>
      <c r="AN838" s="156"/>
      <c r="AO838" s="156"/>
      <c r="AP838" s="156"/>
      <c r="AQ838" s="156"/>
      <c r="AR838" s="156"/>
      <c r="AS838" s="156"/>
      <c r="AT838" s="156"/>
      <c r="AU838" s="156"/>
      <c r="AV838" s="156"/>
      <c r="AW838" s="156"/>
      <c r="AX838" s="156"/>
      <c r="AY838" s="156"/>
      <c r="AZ838" s="156"/>
      <c r="BA838" s="153"/>
      <c r="BD838" s="153"/>
      <c r="BE838" s="147"/>
      <c r="BI838" s="153"/>
      <c r="BO838" s="153"/>
      <c r="BW838" s="153"/>
      <c r="CD838" s="146"/>
      <c r="CF838" s="147"/>
      <c r="CI838" s="146"/>
      <c r="CJ838" s="153"/>
      <c r="CV838" s="154"/>
      <c r="CX838" s="154"/>
      <c r="CZ838" s="154"/>
      <c r="DB838" s="154"/>
      <c r="DD838" s="154"/>
      <c r="DH838" s="474"/>
      <c r="DI838" s="459"/>
      <c r="DJ838" s="459"/>
      <c r="DK838" s="459"/>
      <c r="DL838" s="459"/>
      <c r="DM838" s="459"/>
      <c r="DN838" s="459"/>
      <c r="DO838" s="459"/>
      <c r="DP838" s="459"/>
      <c r="DQ838" s="459"/>
      <c r="DR838" s="459"/>
      <c r="DS838" s="459"/>
      <c r="DT838" s="459"/>
      <c r="DU838" s="459"/>
      <c r="DV838" s="468"/>
      <c r="DW838" s="468"/>
      <c r="DX838" s="459"/>
      <c r="DY838" s="459"/>
    </row>
    <row r="839" spans="1:129" s="128" customFormat="1" ht="54.95" customHeight="1" x14ac:dyDescent="0.25">
      <c r="A839" s="377"/>
      <c r="B839" s="175"/>
      <c r="C839" s="393"/>
      <c r="D839" s="168"/>
      <c r="E839" s="168"/>
      <c r="F839" s="168"/>
      <c r="G839" s="168"/>
      <c r="H839" s="168"/>
      <c r="I839" s="168"/>
      <c r="J839" s="168"/>
      <c r="K839" s="168"/>
      <c r="L839" s="168"/>
      <c r="M839" s="168"/>
      <c r="N839" s="168"/>
      <c r="O839" s="433"/>
      <c r="P839" s="122"/>
      <c r="Q839" s="156"/>
      <c r="R839" s="156"/>
      <c r="S839" s="156"/>
      <c r="T839" s="156"/>
      <c r="U839" s="156"/>
      <c r="V839" s="156"/>
      <c r="W839" s="156"/>
      <c r="X839" s="156"/>
      <c r="Y839" s="156"/>
      <c r="Z839" s="157"/>
      <c r="AA839" s="157"/>
      <c r="AB839" s="156"/>
      <c r="AC839" s="156"/>
      <c r="AD839" s="156"/>
      <c r="AE839" s="156"/>
      <c r="AF839" s="156"/>
      <c r="AG839" s="156"/>
      <c r="AH839" s="156"/>
      <c r="AI839" s="156"/>
      <c r="AJ839" s="156"/>
      <c r="AK839" s="156"/>
      <c r="AL839" s="156"/>
      <c r="AM839" s="158"/>
      <c r="AN839" s="156"/>
      <c r="AO839" s="156"/>
      <c r="AP839" s="156"/>
      <c r="AQ839" s="156"/>
      <c r="AR839" s="156"/>
      <c r="AS839" s="156"/>
      <c r="AT839" s="156"/>
      <c r="AU839" s="156"/>
      <c r="AV839" s="156"/>
      <c r="AW839" s="156"/>
      <c r="AX839" s="156"/>
      <c r="AY839" s="156"/>
      <c r="AZ839" s="156"/>
      <c r="BA839" s="153"/>
      <c r="BD839" s="153"/>
      <c r="BE839" s="147"/>
      <c r="BI839" s="153"/>
      <c r="BO839" s="153"/>
      <c r="BW839" s="153"/>
      <c r="CD839" s="146"/>
      <c r="CF839" s="147"/>
      <c r="CI839" s="146"/>
      <c r="CJ839" s="153"/>
      <c r="CV839" s="154"/>
      <c r="CX839" s="154"/>
      <c r="CZ839" s="154"/>
      <c r="DB839" s="154"/>
      <c r="DD839" s="154"/>
      <c r="DH839" s="474"/>
      <c r="DI839" s="459"/>
      <c r="DJ839" s="459"/>
      <c r="DK839" s="459"/>
      <c r="DL839" s="459"/>
      <c r="DM839" s="459"/>
      <c r="DN839" s="459"/>
      <c r="DO839" s="459"/>
      <c r="DP839" s="459"/>
      <c r="DQ839" s="459"/>
      <c r="DR839" s="459"/>
      <c r="DS839" s="459"/>
      <c r="DT839" s="459"/>
      <c r="DU839" s="459"/>
      <c r="DV839" s="468"/>
      <c r="DW839" s="468"/>
      <c r="DX839" s="459"/>
      <c r="DY839" s="459"/>
    </row>
    <row r="840" spans="1:129" s="128" customFormat="1" ht="54.95" customHeight="1" x14ac:dyDescent="0.25">
      <c r="A840" s="377"/>
      <c r="B840" s="175"/>
      <c r="C840" s="393"/>
      <c r="D840" s="168"/>
      <c r="E840" s="168"/>
      <c r="F840" s="168"/>
      <c r="G840" s="168"/>
      <c r="H840" s="168"/>
      <c r="I840" s="168"/>
      <c r="J840" s="168"/>
      <c r="K840" s="168"/>
      <c r="L840" s="168"/>
      <c r="M840" s="168"/>
      <c r="N840" s="168"/>
      <c r="O840" s="433"/>
      <c r="P840" s="122"/>
      <c r="Q840" s="156"/>
      <c r="R840" s="156"/>
      <c r="S840" s="156"/>
      <c r="T840" s="156"/>
      <c r="U840" s="156"/>
      <c r="V840" s="156"/>
      <c r="W840" s="156"/>
      <c r="X840" s="156"/>
      <c r="Y840" s="156"/>
      <c r="Z840" s="157"/>
      <c r="AA840" s="157"/>
      <c r="AB840" s="156"/>
      <c r="AC840" s="156"/>
      <c r="AD840" s="156"/>
      <c r="AE840" s="156"/>
      <c r="AF840" s="156"/>
      <c r="AG840" s="156"/>
      <c r="AH840" s="156"/>
      <c r="AI840" s="156"/>
      <c r="AJ840" s="156"/>
      <c r="AK840" s="156"/>
      <c r="AL840" s="156"/>
      <c r="AM840" s="158"/>
      <c r="AN840" s="156"/>
      <c r="AO840" s="156"/>
      <c r="AP840" s="156"/>
      <c r="AQ840" s="156"/>
      <c r="AR840" s="156"/>
      <c r="AS840" s="156"/>
      <c r="AT840" s="156"/>
      <c r="AU840" s="156"/>
      <c r="AV840" s="156"/>
      <c r="AW840" s="156"/>
      <c r="AX840" s="156"/>
      <c r="AY840" s="156"/>
      <c r="AZ840" s="156"/>
      <c r="BA840" s="153"/>
      <c r="BD840" s="153"/>
      <c r="BE840" s="147"/>
      <c r="BI840" s="153"/>
      <c r="BO840" s="153"/>
      <c r="BW840" s="153"/>
      <c r="CD840" s="146"/>
      <c r="CF840" s="147"/>
      <c r="CI840" s="146"/>
      <c r="CJ840" s="153"/>
      <c r="CV840" s="154"/>
      <c r="CX840" s="154"/>
      <c r="CZ840" s="154"/>
      <c r="DB840" s="154"/>
      <c r="DD840" s="154"/>
      <c r="DH840" s="474"/>
      <c r="DI840" s="459"/>
      <c r="DJ840" s="459"/>
      <c r="DK840" s="459"/>
      <c r="DL840" s="459"/>
      <c r="DM840" s="459"/>
      <c r="DN840" s="459"/>
      <c r="DO840" s="459"/>
      <c r="DP840" s="459"/>
      <c r="DQ840" s="459"/>
      <c r="DR840" s="459"/>
      <c r="DS840" s="459"/>
      <c r="DT840" s="459"/>
      <c r="DU840" s="459"/>
      <c r="DV840" s="468"/>
      <c r="DW840" s="468"/>
      <c r="DX840" s="459"/>
      <c r="DY840" s="459"/>
    </row>
    <row r="841" spans="1:129" s="128" customFormat="1" ht="54.95" customHeight="1" x14ac:dyDescent="0.25">
      <c r="A841" s="377"/>
      <c r="B841" s="175"/>
      <c r="C841" s="393"/>
      <c r="D841" s="168"/>
      <c r="E841" s="168"/>
      <c r="F841" s="168"/>
      <c r="G841" s="168"/>
      <c r="H841" s="168"/>
      <c r="I841" s="168"/>
      <c r="J841" s="168"/>
      <c r="K841" s="168"/>
      <c r="L841" s="168"/>
      <c r="M841" s="168"/>
      <c r="N841" s="168"/>
      <c r="O841" s="433"/>
      <c r="P841" s="122"/>
      <c r="Q841" s="156"/>
      <c r="R841" s="156"/>
      <c r="S841" s="156"/>
      <c r="T841" s="156"/>
      <c r="U841" s="156"/>
      <c r="V841" s="156"/>
      <c r="W841" s="156"/>
      <c r="X841" s="156"/>
      <c r="Y841" s="156"/>
      <c r="Z841" s="157"/>
      <c r="AA841" s="157"/>
      <c r="AB841" s="156"/>
      <c r="AC841" s="156"/>
      <c r="AD841" s="156"/>
      <c r="AE841" s="156"/>
      <c r="AF841" s="156"/>
      <c r="AG841" s="156"/>
      <c r="AH841" s="156"/>
      <c r="AI841" s="156"/>
      <c r="AJ841" s="156"/>
      <c r="AK841" s="156"/>
      <c r="AL841" s="156"/>
      <c r="AM841" s="158"/>
      <c r="AN841" s="156"/>
      <c r="AO841" s="156"/>
      <c r="AP841" s="156"/>
      <c r="AQ841" s="156"/>
      <c r="AR841" s="156"/>
      <c r="AS841" s="156"/>
      <c r="AT841" s="156"/>
      <c r="AU841" s="156"/>
      <c r="AV841" s="156"/>
      <c r="AW841" s="156"/>
      <c r="AX841" s="156"/>
      <c r="AY841" s="156"/>
      <c r="AZ841" s="156"/>
      <c r="BA841" s="153"/>
      <c r="BD841" s="153"/>
      <c r="BE841" s="147"/>
      <c r="BI841" s="153"/>
      <c r="BO841" s="153"/>
      <c r="BW841" s="153"/>
      <c r="CD841" s="146"/>
      <c r="CF841" s="147"/>
      <c r="CI841" s="146"/>
      <c r="CJ841" s="153"/>
      <c r="CV841" s="154"/>
      <c r="CX841" s="154"/>
      <c r="CZ841" s="154"/>
      <c r="DB841" s="154"/>
      <c r="DD841" s="154"/>
      <c r="DH841" s="474"/>
      <c r="DI841" s="459"/>
      <c r="DJ841" s="459"/>
      <c r="DK841" s="459"/>
      <c r="DL841" s="459"/>
      <c r="DM841" s="459"/>
      <c r="DN841" s="459"/>
      <c r="DO841" s="459"/>
      <c r="DP841" s="459"/>
      <c r="DQ841" s="459"/>
      <c r="DR841" s="459"/>
      <c r="DS841" s="459"/>
      <c r="DT841" s="459"/>
      <c r="DU841" s="459"/>
      <c r="DV841" s="468"/>
      <c r="DW841" s="468"/>
      <c r="DX841" s="459"/>
      <c r="DY841" s="459"/>
    </row>
    <row r="842" spans="1:129" s="128" customFormat="1" ht="54.95" customHeight="1" x14ac:dyDescent="0.25">
      <c r="A842" s="377"/>
      <c r="B842" s="175"/>
      <c r="C842" s="393"/>
      <c r="D842" s="168"/>
      <c r="E842" s="168"/>
      <c r="F842" s="168"/>
      <c r="G842" s="168"/>
      <c r="H842" s="168"/>
      <c r="I842" s="168"/>
      <c r="J842" s="168"/>
      <c r="K842" s="168"/>
      <c r="L842" s="168"/>
      <c r="M842" s="168"/>
      <c r="N842" s="168"/>
      <c r="O842" s="433"/>
      <c r="P842" s="122"/>
      <c r="Q842" s="156"/>
      <c r="R842" s="156"/>
      <c r="S842" s="156"/>
      <c r="T842" s="156"/>
      <c r="U842" s="156"/>
      <c r="V842" s="156"/>
      <c r="W842" s="156"/>
      <c r="X842" s="156"/>
      <c r="Y842" s="156"/>
      <c r="Z842" s="157"/>
      <c r="AA842" s="157"/>
      <c r="AB842" s="156"/>
      <c r="AC842" s="156"/>
      <c r="AD842" s="156"/>
      <c r="AE842" s="156"/>
      <c r="AF842" s="156"/>
      <c r="AG842" s="156"/>
      <c r="AH842" s="156"/>
      <c r="AI842" s="156"/>
      <c r="AJ842" s="156"/>
      <c r="AK842" s="156"/>
      <c r="AL842" s="156"/>
      <c r="AM842" s="158"/>
      <c r="AN842" s="156"/>
      <c r="AO842" s="156"/>
      <c r="AP842" s="156"/>
      <c r="AQ842" s="156"/>
      <c r="AR842" s="156"/>
      <c r="AS842" s="156"/>
      <c r="AT842" s="156"/>
      <c r="AU842" s="156"/>
      <c r="AV842" s="156"/>
      <c r="AW842" s="156"/>
      <c r="AX842" s="156"/>
      <c r="AY842" s="156"/>
      <c r="AZ842" s="156"/>
      <c r="BA842" s="153"/>
      <c r="BD842" s="153"/>
      <c r="BE842" s="147"/>
      <c r="BI842" s="153"/>
      <c r="BO842" s="153"/>
      <c r="BW842" s="153"/>
      <c r="CD842" s="146"/>
      <c r="CF842" s="147"/>
      <c r="CI842" s="146"/>
      <c r="CJ842" s="153"/>
      <c r="CV842" s="154"/>
      <c r="CX842" s="154"/>
      <c r="CZ842" s="154"/>
      <c r="DB842" s="154"/>
      <c r="DD842" s="154"/>
      <c r="DH842" s="474"/>
      <c r="DI842" s="459"/>
      <c r="DJ842" s="459"/>
      <c r="DK842" s="459"/>
      <c r="DL842" s="459"/>
      <c r="DM842" s="459"/>
      <c r="DN842" s="459"/>
      <c r="DO842" s="459"/>
      <c r="DP842" s="459"/>
      <c r="DQ842" s="459"/>
      <c r="DR842" s="459"/>
      <c r="DS842" s="459"/>
      <c r="DT842" s="459"/>
      <c r="DU842" s="459"/>
      <c r="DV842" s="468"/>
      <c r="DW842" s="468"/>
      <c r="DX842" s="459"/>
      <c r="DY842" s="459"/>
    </row>
    <row r="843" spans="1:129" s="128" customFormat="1" ht="54.95" customHeight="1" x14ac:dyDescent="0.25">
      <c r="A843" s="377"/>
      <c r="B843" s="175"/>
      <c r="C843" s="393"/>
      <c r="D843" s="168"/>
      <c r="E843" s="168"/>
      <c r="F843" s="168"/>
      <c r="G843" s="168"/>
      <c r="H843" s="168"/>
      <c r="I843" s="168"/>
      <c r="J843" s="168"/>
      <c r="K843" s="168"/>
      <c r="L843" s="168"/>
      <c r="M843" s="168"/>
      <c r="N843" s="168"/>
      <c r="O843" s="433"/>
      <c r="P843" s="122"/>
      <c r="Q843" s="156"/>
      <c r="R843" s="156"/>
      <c r="S843" s="156"/>
      <c r="T843" s="156"/>
      <c r="U843" s="156"/>
      <c r="V843" s="156"/>
      <c r="W843" s="156"/>
      <c r="X843" s="156"/>
      <c r="Y843" s="156"/>
      <c r="Z843" s="157"/>
      <c r="AA843" s="157"/>
      <c r="AB843" s="156"/>
      <c r="AC843" s="156"/>
      <c r="AD843" s="156"/>
      <c r="AE843" s="156"/>
      <c r="AF843" s="156"/>
      <c r="AG843" s="156"/>
      <c r="AH843" s="156"/>
      <c r="AI843" s="156"/>
      <c r="AJ843" s="156"/>
      <c r="AK843" s="156"/>
      <c r="AL843" s="156"/>
      <c r="AM843" s="158"/>
      <c r="AN843" s="156"/>
      <c r="AO843" s="156"/>
      <c r="AP843" s="156"/>
      <c r="AQ843" s="156"/>
      <c r="AR843" s="156"/>
      <c r="AS843" s="156"/>
      <c r="AT843" s="156"/>
      <c r="AU843" s="156"/>
      <c r="AV843" s="156"/>
      <c r="AW843" s="156"/>
      <c r="AX843" s="156"/>
      <c r="AY843" s="156"/>
      <c r="AZ843" s="156"/>
      <c r="BA843" s="153"/>
      <c r="BD843" s="153"/>
      <c r="BE843" s="147"/>
      <c r="BI843" s="153"/>
      <c r="BO843" s="153"/>
      <c r="BW843" s="153"/>
      <c r="CD843" s="146"/>
      <c r="CF843" s="147"/>
      <c r="CI843" s="146"/>
      <c r="CJ843" s="153"/>
      <c r="CV843" s="154"/>
      <c r="CX843" s="154"/>
      <c r="CZ843" s="154"/>
      <c r="DB843" s="154"/>
      <c r="DD843" s="154"/>
      <c r="DH843" s="474"/>
      <c r="DI843" s="459"/>
      <c r="DJ843" s="459"/>
      <c r="DK843" s="459"/>
      <c r="DL843" s="459"/>
      <c r="DM843" s="459"/>
      <c r="DN843" s="459"/>
      <c r="DO843" s="459"/>
      <c r="DP843" s="459"/>
      <c r="DQ843" s="459"/>
      <c r="DR843" s="459"/>
      <c r="DS843" s="459"/>
      <c r="DT843" s="459"/>
      <c r="DU843" s="459"/>
      <c r="DV843" s="468"/>
      <c r="DW843" s="468"/>
      <c r="DX843" s="459"/>
      <c r="DY843" s="459"/>
    </row>
    <row r="844" spans="1:129" s="128" customFormat="1" ht="54.95" customHeight="1" x14ac:dyDescent="0.25">
      <c r="A844" s="377"/>
      <c r="B844" s="175"/>
      <c r="C844" s="393"/>
      <c r="D844" s="168"/>
      <c r="E844" s="168"/>
      <c r="F844" s="168"/>
      <c r="G844" s="168"/>
      <c r="H844" s="168"/>
      <c r="I844" s="168"/>
      <c r="J844" s="168"/>
      <c r="K844" s="168"/>
      <c r="L844" s="168"/>
      <c r="M844" s="168"/>
      <c r="N844" s="168"/>
      <c r="O844" s="433"/>
      <c r="P844" s="122"/>
      <c r="Q844" s="156"/>
      <c r="R844" s="156"/>
      <c r="S844" s="156"/>
      <c r="T844" s="156"/>
      <c r="U844" s="156"/>
      <c r="V844" s="156"/>
      <c r="W844" s="156"/>
      <c r="X844" s="156"/>
      <c r="Y844" s="156"/>
      <c r="Z844" s="157"/>
      <c r="AA844" s="157"/>
      <c r="AB844" s="156"/>
      <c r="AC844" s="156"/>
      <c r="AD844" s="156"/>
      <c r="AE844" s="156"/>
      <c r="AF844" s="156"/>
      <c r="AG844" s="156"/>
      <c r="AH844" s="156"/>
      <c r="AI844" s="156"/>
      <c r="AJ844" s="156"/>
      <c r="AK844" s="156"/>
      <c r="AL844" s="156"/>
      <c r="AM844" s="158"/>
      <c r="AN844" s="156"/>
      <c r="AO844" s="156"/>
      <c r="AP844" s="156"/>
      <c r="AQ844" s="156"/>
      <c r="AR844" s="156"/>
      <c r="AS844" s="156"/>
      <c r="AT844" s="156"/>
      <c r="AU844" s="156"/>
      <c r="AV844" s="156"/>
      <c r="AW844" s="156"/>
      <c r="AX844" s="156"/>
      <c r="AY844" s="156"/>
      <c r="AZ844" s="156"/>
      <c r="BA844" s="153"/>
      <c r="BD844" s="153"/>
      <c r="BE844" s="147"/>
      <c r="BI844" s="153"/>
      <c r="BO844" s="153"/>
      <c r="BW844" s="153"/>
      <c r="CD844" s="146"/>
      <c r="CF844" s="147"/>
      <c r="CI844" s="146"/>
      <c r="CJ844" s="153"/>
      <c r="CV844" s="154"/>
      <c r="CX844" s="154"/>
      <c r="CZ844" s="154"/>
      <c r="DB844" s="154"/>
      <c r="DD844" s="154"/>
      <c r="DH844" s="474"/>
      <c r="DI844" s="459"/>
      <c r="DJ844" s="459"/>
      <c r="DK844" s="459"/>
      <c r="DL844" s="459"/>
      <c r="DM844" s="459"/>
      <c r="DN844" s="459"/>
      <c r="DO844" s="459"/>
      <c r="DP844" s="459"/>
      <c r="DQ844" s="459"/>
      <c r="DR844" s="459"/>
      <c r="DS844" s="459"/>
      <c r="DT844" s="459"/>
      <c r="DU844" s="459"/>
      <c r="DV844" s="468"/>
      <c r="DW844" s="468"/>
      <c r="DX844" s="459"/>
      <c r="DY844" s="459"/>
    </row>
    <row r="845" spans="1:129" s="128" customFormat="1" ht="54.95" customHeight="1" x14ac:dyDescent="0.25">
      <c r="A845" s="377"/>
      <c r="B845" s="175"/>
      <c r="C845" s="393"/>
      <c r="D845" s="168"/>
      <c r="E845" s="168"/>
      <c r="F845" s="168"/>
      <c r="G845" s="168"/>
      <c r="H845" s="168"/>
      <c r="I845" s="168"/>
      <c r="J845" s="168"/>
      <c r="K845" s="168"/>
      <c r="L845" s="168"/>
      <c r="M845" s="168"/>
      <c r="N845" s="168"/>
      <c r="O845" s="433"/>
      <c r="P845" s="122"/>
      <c r="Q845" s="156"/>
      <c r="R845" s="156"/>
      <c r="S845" s="156"/>
      <c r="T845" s="156"/>
      <c r="U845" s="156"/>
      <c r="V845" s="156"/>
      <c r="W845" s="156"/>
      <c r="X845" s="156"/>
      <c r="Y845" s="156"/>
      <c r="Z845" s="157"/>
      <c r="AA845" s="157"/>
      <c r="AB845" s="156"/>
      <c r="AC845" s="156"/>
      <c r="AD845" s="156"/>
      <c r="AE845" s="156"/>
      <c r="AF845" s="156"/>
      <c r="AG845" s="156"/>
      <c r="AH845" s="156"/>
      <c r="AI845" s="156"/>
      <c r="AJ845" s="156"/>
      <c r="AK845" s="156"/>
      <c r="AL845" s="156"/>
      <c r="AM845" s="158"/>
      <c r="AN845" s="156"/>
      <c r="AO845" s="156"/>
      <c r="AP845" s="156"/>
      <c r="AQ845" s="156"/>
      <c r="AR845" s="156"/>
      <c r="AS845" s="156"/>
      <c r="AT845" s="156"/>
      <c r="AU845" s="156"/>
      <c r="AV845" s="156"/>
      <c r="AW845" s="156"/>
      <c r="AX845" s="156"/>
      <c r="AY845" s="156"/>
      <c r="AZ845" s="156"/>
      <c r="BA845" s="153"/>
      <c r="BD845" s="153"/>
      <c r="BE845" s="147"/>
      <c r="BI845" s="153"/>
      <c r="BO845" s="153"/>
      <c r="BW845" s="153"/>
      <c r="CD845" s="146"/>
      <c r="CF845" s="147"/>
      <c r="CI845" s="146"/>
      <c r="CJ845" s="153"/>
      <c r="CV845" s="154"/>
      <c r="CX845" s="154"/>
      <c r="CZ845" s="154"/>
      <c r="DB845" s="154"/>
      <c r="DD845" s="154"/>
      <c r="DH845" s="474"/>
      <c r="DI845" s="459"/>
      <c r="DJ845" s="459"/>
      <c r="DK845" s="459"/>
      <c r="DL845" s="459"/>
      <c r="DM845" s="459"/>
      <c r="DN845" s="459"/>
      <c r="DO845" s="459"/>
      <c r="DP845" s="459"/>
      <c r="DQ845" s="459"/>
      <c r="DR845" s="459"/>
      <c r="DS845" s="459"/>
      <c r="DT845" s="459"/>
      <c r="DU845" s="459"/>
      <c r="DV845" s="468"/>
      <c r="DW845" s="468"/>
      <c r="DX845" s="459"/>
      <c r="DY845" s="459"/>
    </row>
    <row r="846" spans="1:129" s="128" customFormat="1" ht="54.95" customHeight="1" x14ac:dyDescent="0.25">
      <c r="A846" s="377"/>
      <c r="B846" s="175"/>
      <c r="C846" s="393"/>
      <c r="D846" s="168"/>
      <c r="E846" s="168"/>
      <c r="F846" s="168"/>
      <c r="G846" s="168"/>
      <c r="H846" s="168"/>
      <c r="I846" s="168"/>
      <c r="J846" s="168"/>
      <c r="K846" s="168"/>
      <c r="L846" s="168"/>
      <c r="M846" s="168"/>
      <c r="N846" s="168"/>
      <c r="O846" s="433"/>
      <c r="P846" s="122"/>
      <c r="Q846" s="156"/>
      <c r="R846" s="156"/>
      <c r="S846" s="156"/>
      <c r="T846" s="156"/>
      <c r="U846" s="156"/>
      <c r="V846" s="156"/>
      <c r="W846" s="156"/>
      <c r="X846" s="156"/>
      <c r="Y846" s="156"/>
      <c r="Z846" s="157"/>
      <c r="AA846" s="157"/>
      <c r="AB846" s="156"/>
      <c r="AC846" s="156"/>
      <c r="AD846" s="156"/>
      <c r="AE846" s="156"/>
      <c r="AF846" s="156"/>
      <c r="AG846" s="156"/>
      <c r="AH846" s="156"/>
      <c r="AI846" s="156"/>
      <c r="AJ846" s="156"/>
      <c r="AK846" s="156"/>
      <c r="AL846" s="156"/>
      <c r="AM846" s="158"/>
      <c r="AN846" s="156"/>
      <c r="AO846" s="156"/>
      <c r="AP846" s="156"/>
      <c r="AQ846" s="156"/>
      <c r="AR846" s="156"/>
      <c r="AS846" s="156"/>
      <c r="AT846" s="156"/>
      <c r="AU846" s="156"/>
      <c r="AV846" s="156"/>
      <c r="AW846" s="156"/>
      <c r="AX846" s="156"/>
      <c r="AY846" s="156"/>
      <c r="AZ846" s="156"/>
      <c r="BA846" s="153"/>
      <c r="BD846" s="153"/>
      <c r="BE846" s="147"/>
      <c r="BI846" s="153"/>
      <c r="BO846" s="153"/>
      <c r="BW846" s="153"/>
      <c r="CD846" s="146"/>
      <c r="CF846" s="147"/>
      <c r="CI846" s="146"/>
      <c r="CJ846" s="153"/>
      <c r="CV846" s="154"/>
      <c r="CX846" s="154"/>
      <c r="CZ846" s="154"/>
      <c r="DB846" s="154"/>
      <c r="DD846" s="154"/>
      <c r="DH846" s="474"/>
      <c r="DI846" s="459"/>
      <c r="DJ846" s="459"/>
      <c r="DK846" s="459"/>
      <c r="DL846" s="459"/>
      <c r="DM846" s="459"/>
      <c r="DN846" s="459"/>
      <c r="DO846" s="459"/>
      <c r="DP846" s="459"/>
      <c r="DQ846" s="459"/>
      <c r="DR846" s="459"/>
      <c r="DS846" s="459"/>
      <c r="DT846" s="459"/>
      <c r="DU846" s="459"/>
      <c r="DV846" s="468"/>
      <c r="DW846" s="468"/>
      <c r="DX846" s="459"/>
      <c r="DY846" s="459"/>
    </row>
    <row r="847" spans="1:129" s="128" customFormat="1" ht="54.95" customHeight="1" x14ac:dyDescent="0.25">
      <c r="A847" s="377"/>
      <c r="B847" s="175"/>
      <c r="C847" s="393"/>
      <c r="D847" s="168"/>
      <c r="E847" s="168"/>
      <c r="F847" s="168"/>
      <c r="G847" s="168"/>
      <c r="H847" s="168"/>
      <c r="I847" s="168"/>
      <c r="J847" s="168"/>
      <c r="K847" s="168"/>
      <c r="L847" s="168"/>
      <c r="M847" s="168"/>
      <c r="N847" s="168"/>
      <c r="O847" s="433"/>
      <c r="P847" s="122"/>
      <c r="Q847" s="156"/>
      <c r="R847" s="156"/>
      <c r="S847" s="156"/>
      <c r="T847" s="156"/>
      <c r="U847" s="156"/>
      <c r="V847" s="156"/>
      <c r="W847" s="156"/>
      <c r="X847" s="156"/>
      <c r="Y847" s="156"/>
      <c r="Z847" s="157"/>
      <c r="AA847" s="157"/>
      <c r="AB847" s="156"/>
      <c r="AC847" s="156"/>
      <c r="AD847" s="156"/>
      <c r="AE847" s="156"/>
      <c r="AF847" s="156"/>
      <c r="AG847" s="156"/>
      <c r="AH847" s="156"/>
      <c r="AI847" s="156"/>
      <c r="AJ847" s="156"/>
      <c r="AK847" s="156"/>
      <c r="AL847" s="156"/>
      <c r="AM847" s="158"/>
      <c r="AN847" s="156"/>
      <c r="AO847" s="156"/>
      <c r="AP847" s="156"/>
      <c r="AQ847" s="156"/>
      <c r="AR847" s="156"/>
      <c r="AS847" s="156"/>
      <c r="AT847" s="156"/>
      <c r="AU847" s="156"/>
      <c r="AV847" s="156"/>
      <c r="AW847" s="156"/>
      <c r="AX847" s="156"/>
      <c r="AY847" s="156"/>
      <c r="AZ847" s="156"/>
      <c r="BA847" s="153"/>
      <c r="BD847" s="153"/>
      <c r="BE847" s="147"/>
      <c r="BI847" s="153"/>
      <c r="BO847" s="153"/>
      <c r="BW847" s="153"/>
      <c r="CD847" s="146"/>
      <c r="CF847" s="147"/>
      <c r="CI847" s="146"/>
      <c r="CJ847" s="153"/>
      <c r="CV847" s="154"/>
      <c r="CX847" s="154"/>
      <c r="CZ847" s="154"/>
      <c r="DB847" s="154"/>
      <c r="DD847" s="154"/>
      <c r="DH847" s="474"/>
      <c r="DI847" s="459"/>
      <c r="DJ847" s="459"/>
      <c r="DK847" s="459"/>
      <c r="DL847" s="459"/>
      <c r="DM847" s="459"/>
      <c r="DN847" s="459"/>
      <c r="DO847" s="459"/>
      <c r="DP847" s="459"/>
      <c r="DQ847" s="459"/>
      <c r="DR847" s="459"/>
      <c r="DS847" s="459"/>
      <c r="DT847" s="459"/>
      <c r="DU847" s="459"/>
      <c r="DV847" s="468"/>
      <c r="DW847" s="468"/>
      <c r="DX847" s="459"/>
      <c r="DY847" s="459"/>
    </row>
    <row r="848" spans="1:129" s="128" customFormat="1" ht="54.95" customHeight="1" x14ac:dyDescent="0.25">
      <c r="A848" s="377"/>
      <c r="B848" s="175"/>
      <c r="C848" s="393"/>
      <c r="D848" s="168"/>
      <c r="E848" s="168"/>
      <c r="F848" s="168"/>
      <c r="G848" s="168"/>
      <c r="H848" s="168"/>
      <c r="I848" s="168"/>
      <c r="J848" s="168"/>
      <c r="K848" s="168"/>
      <c r="L848" s="168"/>
      <c r="M848" s="168"/>
      <c r="N848" s="168"/>
      <c r="O848" s="433"/>
      <c r="P848" s="122"/>
      <c r="Q848" s="156"/>
      <c r="R848" s="156"/>
      <c r="S848" s="156"/>
      <c r="T848" s="156"/>
      <c r="U848" s="156"/>
      <c r="V848" s="156"/>
      <c r="W848" s="156"/>
      <c r="X848" s="156"/>
      <c r="Y848" s="156"/>
      <c r="Z848" s="157"/>
      <c r="AA848" s="157"/>
      <c r="AB848" s="156"/>
      <c r="AC848" s="156"/>
      <c r="AD848" s="156"/>
      <c r="AE848" s="156"/>
      <c r="AF848" s="156"/>
      <c r="AG848" s="156"/>
      <c r="AH848" s="156"/>
      <c r="AI848" s="156"/>
      <c r="AJ848" s="156"/>
      <c r="AK848" s="156"/>
      <c r="AL848" s="156"/>
      <c r="AM848" s="158"/>
      <c r="AN848" s="156"/>
      <c r="AO848" s="156"/>
      <c r="AP848" s="156"/>
      <c r="AQ848" s="156"/>
      <c r="AR848" s="156"/>
      <c r="AS848" s="156"/>
      <c r="AT848" s="156"/>
      <c r="AU848" s="156"/>
      <c r="AV848" s="156"/>
      <c r="AW848" s="156"/>
      <c r="AX848" s="156"/>
      <c r="AY848" s="156"/>
      <c r="AZ848" s="156"/>
      <c r="BA848" s="153"/>
      <c r="BD848" s="153"/>
      <c r="BE848" s="147"/>
      <c r="BI848" s="153"/>
      <c r="BO848" s="153"/>
      <c r="BW848" s="153"/>
      <c r="CD848" s="146"/>
      <c r="CF848" s="147"/>
      <c r="CI848" s="146"/>
      <c r="CJ848" s="153"/>
      <c r="CV848" s="154"/>
      <c r="CX848" s="154"/>
      <c r="CZ848" s="154"/>
      <c r="DB848" s="154"/>
      <c r="DD848" s="154"/>
      <c r="DH848" s="474"/>
      <c r="DI848" s="459"/>
      <c r="DJ848" s="459"/>
      <c r="DK848" s="459"/>
      <c r="DL848" s="459"/>
      <c r="DM848" s="459"/>
      <c r="DN848" s="459"/>
      <c r="DO848" s="459"/>
      <c r="DP848" s="459"/>
      <c r="DQ848" s="459"/>
      <c r="DR848" s="459"/>
      <c r="DS848" s="459"/>
      <c r="DT848" s="459"/>
      <c r="DU848" s="459"/>
      <c r="DV848" s="468"/>
      <c r="DW848" s="468"/>
      <c r="DX848" s="459"/>
      <c r="DY848" s="459"/>
    </row>
    <row r="849" spans="1:129" s="128" customFormat="1" ht="54.95" customHeight="1" x14ac:dyDescent="0.25">
      <c r="A849" s="377"/>
      <c r="B849" s="175"/>
      <c r="C849" s="393"/>
      <c r="D849" s="168"/>
      <c r="E849" s="168"/>
      <c r="F849" s="168"/>
      <c r="G849" s="168"/>
      <c r="H849" s="168"/>
      <c r="I849" s="168"/>
      <c r="J849" s="168"/>
      <c r="K849" s="168"/>
      <c r="L849" s="168"/>
      <c r="M849" s="168"/>
      <c r="N849" s="168"/>
      <c r="O849" s="433"/>
      <c r="P849" s="122"/>
      <c r="Q849" s="156"/>
      <c r="R849" s="156"/>
      <c r="S849" s="156"/>
      <c r="T849" s="156"/>
      <c r="U849" s="156"/>
      <c r="V849" s="156"/>
      <c r="W849" s="156"/>
      <c r="X849" s="156"/>
      <c r="Y849" s="156"/>
      <c r="Z849" s="157"/>
      <c r="AA849" s="157"/>
      <c r="AB849" s="156"/>
      <c r="AC849" s="156"/>
      <c r="AD849" s="156"/>
      <c r="AE849" s="156"/>
      <c r="AF849" s="156"/>
      <c r="AG849" s="156"/>
      <c r="AH849" s="156"/>
      <c r="AI849" s="156"/>
      <c r="AJ849" s="156"/>
      <c r="AK849" s="156"/>
      <c r="AL849" s="156"/>
      <c r="AM849" s="158"/>
      <c r="AN849" s="156"/>
      <c r="AO849" s="156"/>
      <c r="AP849" s="156"/>
      <c r="AQ849" s="156"/>
      <c r="AR849" s="156"/>
      <c r="AS849" s="156"/>
      <c r="AT849" s="156"/>
      <c r="AU849" s="156"/>
      <c r="AV849" s="156"/>
      <c r="AW849" s="156"/>
      <c r="AX849" s="156"/>
      <c r="AY849" s="156"/>
      <c r="AZ849" s="156"/>
      <c r="BA849" s="153"/>
      <c r="BD849" s="153"/>
      <c r="BE849" s="147"/>
      <c r="BI849" s="153"/>
      <c r="BO849" s="153"/>
      <c r="BW849" s="153"/>
      <c r="CD849" s="146"/>
      <c r="CF849" s="147"/>
      <c r="CI849" s="146"/>
      <c r="CJ849" s="153"/>
      <c r="CV849" s="154"/>
      <c r="CX849" s="154"/>
      <c r="CZ849" s="154"/>
      <c r="DB849" s="154"/>
      <c r="DD849" s="154"/>
      <c r="DH849" s="474"/>
      <c r="DI849" s="459"/>
      <c r="DJ849" s="459"/>
      <c r="DK849" s="459"/>
      <c r="DL849" s="459"/>
      <c r="DM849" s="459"/>
      <c r="DN849" s="459"/>
      <c r="DO849" s="459"/>
      <c r="DP849" s="459"/>
      <c r="DQ849" s="459"/>
      <c r="DR849" s="459"/>
      <c r="DS849" s="459"/>
      <c r="DT849" s="459"/>
      <c r="DU849" s="459"/>
      <c r="DV849" s="468"/>
      <c r="DW849" s="468"/>
      <c r="DX849" s="459"/>
      <c r="DY849" s="459"/>
    </row>
    <row r="850" spans="1:129" s="128" customFormat="1" ht="54.95" customHeight="1" x14ac:dyDescent="0.25">
      <c r="A850" s="377"/>
      <c r="B850" s="175"/>
      <c r="C850" s="393"/>
      <c r="D850" s="168"/>
      <c r="E850" s="168"/>
      <c r="F850" s="168"/>
      <c r="G850" s="168"/>
      <c r="H850" s="168"/>
      <c r="I850" s="168"/>
      <c r="J850" s="168"/>
      <c r="K850" s="168"/>
      <c r="L850" s="168"/>
      <c r="M850" s="168"/>
      <c r="N850" s="168"/>
      <c r="O850" s="433"/>
      <c r="P850" s="122"/>
      <c r="Q850" s="156"/>
      <c r="R850" s="156"/>
      <c r="S850" s="156"/>
      <c r="T850" s="156"/>
      <c r="U850" s="156"/>
      <c r="V850" s="156"/>
      <c r="W850" s="156"/>
      <c r="X850" s="156"/>
      <c r="Y850" s="156"/>
      <c r="Z850" s="157"/>
      <c r="AA850" s="157"/>
      <c r="AB850" s="156"/>
      <c r="AC850" s="156"/>
      <c r="AD850" s="156"/>
      <c r="AE850" s="156"/>
      <c r="AF850" s="156"/>
      <c r="AG850" s="156"/>
      <c r="AH850" s="156"/>
      <c r="AI850" s="156"/>
      <c r="AJ850" s="156"/>
      <c r="AK850" s="156"/>
      <c r="AL850" s="156"/>
      <c r="AM850" s="158"/>
      <c r="AN850" s="156"/>
      <c r="AO850" s="156"/>
      <c r="AP850" s="156"/>
      <c r="AQ850" s="156"/>
      <c r="AR850" s="156"/>
      <c r="AS850" s="156"/>
      <c r="AT850" s="156"/>
      <c r="AU850" s="156"/>
      <c r="AV850" s="156"/>
      <c r="AW850" s="156"/>
      <c r="AX850" s="156"/>
      <c r="AY850" s="156"/>
      <c r="AZ850" s="156"/>
      <c r="BA850" s="153"/>
      <c r="BD850" s="153"/>
      <c r="BE850" s="147"/>
      <c r="BI850" s="153"/>
      <c r="BO850" s="153"/>
      <c r="BW850" s="153"/>
      <c r="CD850" s="146"/>
      <c r="CF850" s="147"/>
      <c r="CI850" s="146"/>
      <c r="CJ850" s="153"/>
      <c r="CV850" s="154"/>
      <c r="CX850" s="154"/>
      <c r="CZ850" s="154"/>
      <c r="DB850" s="154"/>
      <c r="DD850" s="154"/>
      <c r="DH850" s="474"/>
      <c r="DI850" s="459"/>
      <c r="DJ850" s="459"/>
      <c r="DK850" s="459"/>
      <c r="DL850" s="459"/>
      <c r="DM850" s="459"/>
      <c r="DN850" s="459"/>
      <c r="DO850" s="459"/>
      <c r="DP850" s="459"/>
      <c r="DQ850" s="459"/>
      <c r="DR850" s="459"/>
      <c r="DS850" s="459"/>
      <c r="DT850" s="459"/>
      <c r="DU850" s="459"/>
      <c r="DV850" s="468"/>
      <c r="DW850" s="468"/>
      <c r="DX850" s="459"/>
      <c r="DY850" s="459"/>
    </row>
    <row r="851" spans="1:129" s="128" customFormat="1" ht="54.95" customHeight="1" x14ac:dyDescent="0.25">
      <c r="A851" s="377"/>
      <c r="B851" s="175"/>
      <c r="C851" s="393"/>
      <c r="D851" s="168"/>
      <c r="E851" s="168"/>
      <c r="F851" s="168"/>
      <c r="G851" s="168"/>
      <c r="H851" s="168"/>
      <c r="I851" s="168"/>
      <c r="J851" s="168"/>
      <c r="K851" s="168"/>
      <c r="L851" s="168"/>
      <c r="M851" s="168"/>
      <c r="N851" s="168"/>
      <c r="O851" s="433"/>
      <c r="P851" s="122"/>
      <c r="Q851" s="156"/>
      <c r="R851" s="156"/>
      <c r="S851" s="156"/>
      <c r="T851" s="156"/>
      <c r="U851" s="156"/>
      <c r="V851" s="156"/>
      <c r="W851" s="156"/>
      <c r="X851" s="156"/>
      <c r="Y851" s="156"/>
      <c r="Z851" s="157"/>
      <c r="AA851" s="157"/>
      <c r="AB851" s="156"/>
      <c r="AC851" s="156"/>
      <c r="AD851" s="156"/>
      <c r="AE851" s="156"/>
      <c r="AF851" s="156"/>
      <c r="AG851" s="156"/>
      <c r="AH851" s="156"/>
      <c r="AI851" s="156"/>
      <c r="AJ851" s="156"/>
      <c r="AK851" s="156"/>
      <c r="AL851" s="156"/>
      <c r="AM851" s="158"/>
      <c r="AN851" s="156"/>
      <c r="AO851" s="156"/>
      <c r="AP851" s="156"/>
      <c r="AQ851" s="156"/>
      <c r="AR851" s="156"/>
      <c r="AS851" s="156"/>
      <c r="AT851" s="156"/>
      <c r="AU851" s="156"/>
      <c r="AV851" s="156"/>
      <c r="AW851" s="156"/>
      <c r="AX851" s="156"/>
      <c r="AY851" s="156"/>
      <c r="AZ851" s="156"/>
      <c r="BA851" s="153"/>
      <c r="BD851" s="153"/>
      <c r="BE851" s="147"/>
      <c r="BI851" s="153"/>
      <c r="BO851" s="153"/>
      <c r="BW851" s="153"/>
      <c r="CD851" s="146"/>
      <c r="CF851" s="147"/>
      <c r="CI851" s="146"/>
      <c r="CJ851" s="153"/>
      <c r="CV851" s="154"/>
      <c r="CX851" s="154"/>
      <c r="CZ851" s="154"/>
      <c r="DB851" s="154"/>
      <c r="DD851" s="154"/>
      <c r="DH851" s="474"/>
      <c r="DI851" s="459"/>
      <c r="DJ851" s="459"/>
      <c r="DK851" s="459"/>
      <c r="DL851" s="459"/>
      <c r="DM851" s="459"/>
      <c r="DN851" s="459"/>
      <c r="DO851" s="459"/>
      <c r="DP851" s="459"/>
      <c r="DQ851" s="459"/>
      <c r="DR851" s="459"/>
      <c r="DS851" s="459"/>
      <c r="DT851" s="459"/>
      <c r="DU851" s="459"/>
      <c r="DV851" s="468"/>
      <c r="DW851" s="468"/>
      <c r="DX851" s="459"/>
      <c r="DY851" s="459"/>
    </row>
    <row r="852" spans="1:129" s="128" customFormat="1" ht="54.95" customHeight="1" x14ac:dyDescent="0.25">
      <c r="A852" s="377"/>
      <c r="B852" s="175"/>
      <c r="C852" s="393"/>
      <c r="D852" s="168"/>
      <c r="E852" s="168"/>
      <c r="F852" s="168"/>
      <c r="G852" s="168"/>
      <c r="H852" s="168"/>
      <c r="I852" s="168"/>
      <c r="J852" s="168"/>
      <c r="K852" s="168"/>
      <c r="L852" s="168"/>
      <c r="M852" s="168"/>
      <c r="N852" s="168"/>
      <c r="O852" s="433"/>
      <c r="P852" s="122"/>
      <c r="Q852" s="156"/>
      <c r="R852" s="156"/>
      <c r="S852" s="156"/>
      <c r="T852" s="156"/>
      <c r="U852" s="156"/>
      <c r="V852" s="156"/>
      <c r="W852" s="156"/>
      <c r="X852" s="156"/>
      <c r="Y852" s="156"/>
      <c r="Z852" s="157"/>
      <c r="AA852" s="157"/>
      <c r="AB852" s="156"/>
      <c r="AC852" s="156"/>
      <c r="AD852" s="156"/>
      <c r="AE852" s="156"/>
      <c r="AF852" s="156"/>
      <c r="AG852" s="156"/>
      <c r="AH852" s="156"/>
      <c r="AI852" s="156"/>
      <c r="AJ852" s="156"/>
      <c r="AK852" s="156"/>
      <c r="AL852" s="156"/>
      <c r="AM852" s="158"/>
      <c r="AN852" s="156"/>
      <c r="AO852" s="156"/>
      <c r="AP852" s="156"/>
      <c r="AQ852" s="156"/>
      <c r="AR852" s="156"/>
      <c r="AS852" s="156"/>
      <c r="AT852" s="156"/>
      <c r="AU852" s="156"/>
      <c r="AV852" s="156"/>
      <c r="AW852" s="156"/>
      <c r="AX852" s="156"/>
      <c r="AY852" s="156"/>
      <c r="AZ852" s="156"/>
      <c r="BA852" s="153"/>
      <c r="BD852" s="153"/>
      <c r="BE852" s="147"/>
      <c r="BI852" s="153"/>
      <c r="BO852" s="153"/>
      <c r="BW852" s="153"/>
      <c r="CD852" s="146"/>
      <c r="CF852" s="147"/>
      <c r="CI852" s="146"/>
      <c r="CJ852" s="153"/>
      <c r="CV852" s="154"/>
      <c r="CX852" s="154"/>
      <c r="CZ852" s="154"/>
      <c r="DB852" s="154"/>
      <c r="DD852" s="154"/>
      <c r="DH852" s="474"/>
      <c r="DI852" s="459"/>
      <c r="DJ852" s="459"/>
      <c r="DK852" s="459"/>
      <c r="DL852" s="459"/>
      <c r="DM852" s="459"/>
      <c r="DN852" s="459"/>
      <c r="DO852" s="459"/>
      <c r="DP852" s="459"/>
      <c r="DQ852" s="459"/>
      <c r="DR852" s="459"/>
      <c r="DS852" s="459"/>
      <c r="DT852" s="459"/>
      <c r="DU852" s="459"/>
      <c r="DV852" s="468"/>
      <c r="DW852" s="468"/>
      <c r="DX852" s="459"/>
      <c r="DY852" s="459"/>
    </row>
    <row r="853" spans="1:129" s="128" customFormat="1" ht="54.95" customHeight="1" x14ac:dyDescent="0.25">
      <c r="A853" s="377"/>
      <c r="B853" s="175"/>
      <c r="C853" s="393"/>
      <c r="D853" s="168"/>
      <c r="E853" s="168"/>
      <c r="F853" s="168"/>
      <c r="G853" s="168"/>
      <c r="H853" s="168"/>
      <c r="I853" s="168"/>
      <c r="J853" s="168"/>
      <c r="K853" s="168"/>
      <c r="L853" s="168"/>
      <c r="M853" s="168"/>
      <c r="N853" s="168"/>
      <c r="O853" s="433"/>
      <c r="P853" s="122"/>
      <c r="Q853" s="156"/>
      <c r="R853" s="156"/>
      <c r="S853" s="156"/>
      <c r="T853" s="156"/>
      <c r="U853" s="156"/>
      <c r="V853" s="156"/>
      <c r="W853" s="156"/>
      <c r="X853" s="156"/>
      <c r="Y853" s="156"/>
      <c r="Z853" s="157"/>
      <c r="AA853" s="157"/>
      <c r="AB853" s="156"/>
      <c r="AC853" s="156"/>
      <c r="AD853" s="156"/>
      <c r="AE853" s="156"/>
      <c r="AF853" s="156"/>
      <c r="AG853" s="156"/>
      <c r="AH853" s="156"/>
      <c r="AI853" s="156"/>
      <c r="AJ853" s="156"/>
      <c r="AK853" s="156"/>
      <c r="AL853" s="156"/>
      <c r="AM853" s="158"/>
      <c r="AN853" s="156"/>
      <c r="AO853" s="156"/>
      <c r="AP853" s="156"/>
      <c r="AQ853" s="156"/>
      <c r="AR853" s="156"/>
      <c r="AS853" s="156"/>
      <c r="AT853" s="156"/>
      <c r="AU853" s="156"/>
      <c r="AV853" s="156"/>
      <c r="AW853" s="156"/>
      <c r="AX853" s="156"/>
      <c r="AY853" s="156"/>
      <c r="AZ853" s="156"/>
      <c r="BA853" s="153"/>
      <c r="BD853" s="153"/>
      <c r="BE853" s="147"/>
      <c r="BI853" s="153"/>
      <c r="BO853" s="153"/>
      <c r="BW853" s="153"/>
      <c r="CD853" s="146"/>
      <c r="CF853" s="147"/>
      <c r="CI853" s="146"/>
      <c r="CJ853" s="153"/>
      <c r="CV853" s="154"/>
      <c r="CX853" s="154"/>
      <c r="CZ853" s="154"/>
      <c r="DB853" s="154"/>
      <c r="DD853" s="154"/>
      <c r="DH853" s="474"/>
      <c r="DI853" s="459"/>
      <c r="DJ853" s="459"/>
      <c r="DK853" s="459"/>
      <c r="DL853" s="459"/>
      <c r="DM853" s="459"/>
      <c r="DN853" s="459"/>
      <c r="DO853" s="459"/>
      <c r="DP853" s="459"/>
      <c r="DQ853" s="459"/>
      <c r="DR853" s="459"/>
      <c r="DS853" s="459"/>
      <c r="DT853" s="459"/>
      <c r="DU853" s="459"/>
      <c r="DV853" s="468"/>
      <c r="DW853" s="468"/>
      <c r="DX853" s="459"/>
      <c r="DY853" s="459"/>
    </row>
    <row r="854" spans="1:129" s="128" customFormat="1" ht="54.95" customHeight="1" x14ac:dyDescent="0.25">
      <c r="A854" s="377"/>
      <c r="B854" s="175"/>
      <c r="C854" s="393"/>
      <c r="D854" s="168"/>
      <c r="E854" s="168"/>
      <c r="F854" s="168"/>
      <c r="G854" s="168"/>
      <c r="H854" s="168"/>
      <c r="I854" s="168"/>
      <c r="J854" s="168"/>
      <c r="K854" s="168"/>
      <c r="L854" s="168"/>
      <c r="M854" s="168"/>
      <c r="N854" s="168"/>
      <c r="O854" s="433"/>
      <c r="P854" s="122"/>
      <c r="Q854" s="156"/>
      <c r="R854" s="156"/>
      <c r="S854" s="156"/>
      <c r="T854" s="156"/>
      <c r="U854" s="156"/>
      <c r="V854" s="156"/>
      <c r="W854" s="156"/>
      <c r="X854" s="156"/>
      <c r="Y854" s="156"/>
      <c r="Z854" s="157"/>
      <c r="AA854" s="157"/>
      <c r="AB854" s="156"/>
      <c r="AC854" s="156"/>
      <c r="AD854" s="156"/>
      <c r="AE854" s="156"/>
      <c r="AF854" s="156"/>
      <c r="AG854" s="156"/>
      <c r="AH854" s="156"/>
      <c r="AI854" s="156"/>
      <c r="AJ854" s="156"/>
      <c r="AK854" s="156"/>
      <c r="AL854" s="156"/>
      <c r="AM854" s="158"/>
      <c r="AN854" s="156"/>
      <c r="AO854" s="156"/>
      <c r="AP854" s="156"/>
      <c r="AQ854" s="156"/>
      <c r="AR854" s="156"/>
      <c r="AS854" s="156"/>
      <c r="AT854" s="156"/>
      <c r="AU854" s="156"/>
      <c r="AV854" s="156"/>
      <c r="AW854" s="156"/>
      <c r="AX854" s="156"/>
      <c r="AY854" s="156"/>
      <c r="AZ854" s="156"/>
      <c r="BA854" s="153"/>
      <c r="BD854" s="153"/>
      <c r="BE854" s="147"/>
      <c r="BI854" s="153"/>
      <c r="BO854" s="153"/>
      <c r="BW854" s="153"/>
      <c r="CD854" s="146"/>
      <c r="CF854" s="147"/>
      <c r="CI854" s="146"/>
      <c r="CJ854" s="153"/>
      <c r="CV854" s="154"/>
      <c r="CX854" s="154"/>
      <c r="CZ854" s="154"/>
      <c r="DB854" s="154"/>
      <c r="DD854" s="154"/>
      <c r="DH854" s="474"/>
      <c r="DI854" s="459"/>
      <c r="DJ854" s="459"/>
      <c r="DK854" s="459"/>
      <c r="DL854" s="459"/>
      <c r="DM854" s="459"/>
      <c r="DN854" s="459"/>
      <c r="DO854" s="459"/>
      <c r="DP854" s="459"/>
      <c r="DQ854" s="459"/>
      <c r="DR854" s="459"/>
      <c r="DS854" s="459"/>
      <c r="DT854" s="459"/>
      <c r="DU854" s="459"/>
      <c r="DV854" s="468"/>
      <c r="DW854" s="468"/>
      <c r="DX854" s="459"/>
      <c r="DY854" s="459"/>
    </row>
    <row r="855" spans="1:129" s="128" customFormat="1" ht="54.95" customHeight="1" x14ac:dyDescent="0.25">
      <c r="A855" s="377"/>
      <c r="B855" s="175"/>
      <c r="C855" s="393"/>
      <c r="D855" s="168"/>
      <c r="E855" s="168"/>
      <c r="F855" s="168"/>
      <c r="G855" s="168"/>
      <c r="H855" s="168"/>
      <c r="I855" s="168"/>
      <c r="J855" s="168"/>
      <c r="K855" s="168"/>
      <c r="L855" s="168"/>
      <c r="M855" s="168"/>
      <c r="N855" s="168"/>
      <c r="O855" s="433"/>
      <c r="P855" s="122"/>
      <c r="Q855" s="156"/>
      <c r="R855" s="156"/>
      <c r="S855" s="156"/>
      <c r="T855" s="156"/>
      <c r="U855" s="156"/>
      <c r="V855" s="156"/>
      <c r="W855" s="156"/>
      <c r="X855" s="156"/>
      <c r="Y855" s="156"/>
      <c r="Z855" s="157"/>
      <c r="AA855" s="157"/>
      <c r="AB855" s="156"/>
      <c r="AC855" s="156"/>
      <c r="AD855" s="156"/>
      <c r="AE855" s="156"/>
      <c r="AF855" s="156"/>
      <c r="AG855" s="156"/>
      <c r="AH855" s="156"/>
      <c r="AI855" s="156"/>
      <c r="AJ855" s="156"/>
      <c r="AK855" s="156"/>
      <c r="AL855" s="156"/>
      <c r="AM855" s="158"/>
      <c r="AN855" s="156"/>
      <c r="AO855" s="156"/>
      <c r="AP855" s="156"/>
      <c r="AQ855" s="156"/>
      <c r="AR855" s="156"/>
      <c r="AS855" s="156"/>
      <c r="AT855" s="156"/>
      <c r="AU855" s="156"/>
      <c r="AV855" s="156"/>
      <c r="AW855" s="156"/>
      <c r="AX855" s="156"/>
      <c r="AY855" s="156"/>
      <c r="AZ855" s="156"/>
      <c r="BA855" s="153"/>
      <c r="BD855" s="153"/>
      <c r="BE855" s="147"/>
      <c r="BI855" s="153"/>
      <c r="BO855" s="153"/>
      <c r="BW855" s="153"/>
      <c r="CD855" s="146"/>
      <c r="CF855" s="147"/>
      <c r="CI855" s="146"/>
      <c r="CJ855" s="153"/>
      <c r="CV855" s="154"/>
      <c r="CX855" s="154"/>
      <c r="CZ855" s="154"/>
      <c r="DB855" s="154"/>
      <c r="DD855" s="154"/>
      <c r="DH855" s="474"/>
      <c r="DI855" s="459"/>
      <c r="DJ855" s="459"/>
      <c r="DK855" s="459"/>
      <c r="DL855" s="459"/>
      <c r="DM855" s="459"/>
      <c r="DN855" s="459"/>
      <c r="DO855" s="459"/>
      <c r="DP855" s="459"/>
      <c r="DQ855" s="459"/>
      <c r="DR855" s="459"/>
      <c r="DS855" s="459"/>
      <c r="DT855" s="459"/>
      <c r="DU855" s="459"/>
      <c r="DV855" s="468"/>
      <c r="DW855" s="468"/>
      <c r="DX855" s="459"/>
      <c r="DY855" s="459"/>
    </row>
    <row r="856" spans="1:129" s="128" customFormat="1" ht="54.95" customHeight="1" x14ac:dyDescent="0.25">
      <c r="A856" s="377"/>
      <c r="B856" s="175"/>
      <c r="C856" s="393"/>
      <c r="D856" s="168"/>
      <c r="E856" s="168"/>
      <c r="F856" s="168"/>
      <c r="G856" s="168"/>
      <c r="H856" s="168"/>
      <c r="I856" s="168"/>
      <c r="J856" s="168"/>
      <c r="K856" s="168"/>
      <c r="L856" s="168"/>
      <c r="M856" s="168"/>
      <c r="N856" s="168"/>
      <c r="O856" s="433"/>
      <c r="P856" s="122"/>
      <c r="Q856" s="156"/>
      <c r="R856" s="156"/>
      <c r="S856" s="156"/>
      <c r="T856" s="156"/>
      <c r="U856" s="156"/>
      <c r="V856" s="156"/>
      <c r="W856" s="156"/>
      <c r="X856" s="156"/>
      <c r="Y856" s="156"/>
      <c r="Z856" s="157"/>
      <c r="AA856" s="157"/>
      <c r="AB856" s="156"/>
      <c r="AC856" s="156"/>
      <c r="AD856" s="156"/>
      <c r="AE856" s="156"/>
      <c r="AF856" s="156"/>
      <c r="AG856" s="156"/>
      <c r="AH856" s="156"/>
      <c r="AI856" s="156"/>
      <c r="AJ856" s="156"/>
      <c r="AK856" s="156"/>
      <c r="AL856" s="156"/>
      <c r="AM856" s="158"/>
      <c r="AN856" s="156"/>
      <c r="AO856" s="156"/>
      <c r="AP856" s="156"/>
      <c r="AQ856" s="156"/>
      <c r="AR856" s="156"/>
      <c r="AS856" s="156"/>
      <c r="AT856" s="156"/>
      <c r="AU856" s="156"/>
      <c r="AV856" s="156"/>
      <c r="AW856" s="156"/>
      <c r="AX856" s="156"/>
      <c r="AY856" s="156"/>
      <c r="AZ856" s="156"/>
      <c r="BA856" s="153"/>
      <c r="BD856" s="153"/>
      <c r="BE856" s="147"/>
      <c r="BI856" s="153"/>
      <c r="BO856" s="153"/>
      <c r="BW856" s="153"/>
      <c r="CD856" s="146"/>
      <c r="CF856" s="147"/>
      <c r="CI856" s="146"/>
      <c r="CJ856" s="153"/>
      <c r="CV856" s="154"/>
      <c r="CX856" s="154"/>
      <c r="CZ856" s="154"/>
      <c r="DB856" s="154"/>
      <c r="DD856" s="154"/>
      <c r="DH856" s="474"/>
      <c r="DI856" s="459"/>
      <c r="DJ856" s="459"/>
      <c r="DK856" s="459"/>
      <c r="DL856" s="459"/>
      <c r="DM856" s="459"/>
      <c r="DN856" s="459"/>
      <c r="DO856" s="459"/>
      <c r="DP856" s="459"/>
      <c r="DQ856" s="459"/>
      <c r="DR856" s="459"/>
      <c r="DS856" s="459"/>
      <c r="DT856" s="459"/>
      <c r="DU856" s="459"/>
      <c r="DV856" s="468"/>
      <c r="DW856" s="468"/>
      <c r="DX856" s="459"/>
      <c r="DY856" s="459"/>
    </row>
    <row r="857" spans="1:129" s="128" customFormat="1" ht="54.95" customHeight="1" x14ac:dyDescent="0.25">
      <c r="A857" s="377"/>
      <c r="B857" s="175"/>
      <c r="C857" s="393"/>
      <c r="D857" s="168"/>
      <c r="E857" s="168"/>
      <c r="F857" s="168"/>
      <c r="G857" s="168"/>
      <c r="H857" s="168"/>
      <c r="I857" s="168"/>
      <c r="J857" s="168"/>
      <c r="K857" s="168"/>
      <c r="L857" s="168"/>
      <c r="M857" s="168"/>
      <c r="N857" s="168"/>
      <c r="O857" s="433"/>
      <c r="P857" s="122"/>
      <c r="Q857" s="156"/>
      <c r="R857" s="156"/>
      <c r="S857" s="156"/>
      <c r="T857" s="156"/>
      <c r="U857" s="156"/>
      <c r="V857" s="156"/>
      <c r="W857" s="156"/>
      <c r="X857" s="156"/>
      <c r="Y857" s="156"/>
      <c r="Z857" s="157"/>
      <c r="AA857" s="157"/>
      <c r="AB857" s="156"/>
      <c r="AC857" s="156"/>
      <c r="AD857" s="156"/>
      <c r="AE857" s="156"/>
      <c r="AF857" s="156"/>
      <c r="AG857" s="156"/>
      <c r="AH857" s="156"/>
      <c r="AI857" s="156"/>
      <c r="AJ857" s="156"/>
      <c r="AK857" s="156"/>
      <c r="AL857" s="156"/>
      <c r="AM857" s="158"/>
      <c r="AN857" s="156"/>
      <c r="AO857" s="156"/>
      <c r="AP857" s="156"/>
      <c r="AQ857" s="156"/>
      <c r="AR857" s="156"/>
      <c r="AS857" s="156"/>
      <c r="AT857" s="156"/>
      <c r="AU857" s="156"/>
      <c r="AV857" s="156"/>
      <c r="AW857" s="156"/>
      <c r="AX857" s="156"/>
      <c r="AY857" s="156"/>
      <c r="AZ857" s="156"/>
      <c r="BA857" s="153"/>
      <c r="BD857" s="153"/>
      <c r="BE857" s="147"/>
      <c r="BI857" s="153"/>
      <c r="BO857" s="153"/>
      <c r="BW857" s="153"/>
      <c r="CD857" s="146"/>
      <c r="CF857" s="147"/>
      <c r="CI857" s="146"/>
      <c r="CJ857" s="153"/>
      <c r="CV857" s="154"/>
      <c r="CX857" s="154"/>
      <c r="CZ857" s="154"/>
      <c r="DB857" s="154"/>
      <c r="DD857" s="154"/>
      <c r="DH857" s="474"/>
      <c r="DI857" s="459"/>
      <c r="DJ857" s="459"/>
      <c r="DK857" s="459"/>
      <c r="DL857" s="459"/>
      <c r="DM857" s="459"/>
      <c r="DN857" s="459"/>
      <c r="DO857" s="459"/>
      <c r="DP857" s="459"/>
      <c r="DQ857" s="459"/>
      <c r="DR857" s="459"/>
      <c r="DS857" s="459"/>
      <c r="DT857" s="459"/>
      <c r="DU857" s="459"/>
      <c r="DV857" s="468"/>
      <c r="DW857" s="468"/>
      <c r="DX857" s="459"/>
      <c r="DY857" s="459"/>
    </row>
    <row r="858" spans="1:129" s="128" customFormat="1" ht="54.95" customHeight="1" x14ac:dyDescent="0.25">
      <c r="A858" s="377"/>
      <c r="B858" s="175"/>
      <c r="C858" s="393"/>
      <c r="D858" s="168"/>
      <c r="E858" s="168"/>
      <c r="F858" s="168"/>
      <c r="G858" s="168"/>
      <c r="H858" s="168"/>
      <c r="I858" s="168"/>
      <c r="J858" s="168"/>
      <c r="K858" s="168"/>
      <c r="L858" s="168"/>
      <c r="M858" s="168"/>
      <c r="N858" s="168"/>
      <c r="O858" s="433"/>
      <c r="P858" s="122"/>
      <c r="Q858" s="156"/>
      <c r="R858" s="156"/>
      <c r="S858" s="156"/>
      <c r="T858" s="156"/>
      <c r="U858" s="156"/>
      <c r="V858" s="156"/>
      <c r="W858" s="156"/>
      <c r="X858" s="156"/>
      <c r="Y858" s="156"/>
      <c r="Z858" s="157"/>
      <c r="AA858" s="157"/>
      <c r="AB858" s="156"/>
      <c r="AC858" s="156"/>
      <c r="AD858" s="156"/>
      <c r="AE858" s="156"/>
      <c r="AF858" s="156"/>
      <c r="AG858" s="156"/>
      <c r="AH858" s="156"/>
      <c r="AI858" s="156"/>
      <c r="AJ858" s="156"/>
      <c r="AK858" s="156"/>
      <c r="AL858" s="156"/>
      <c r="AM858" s="158"/>
      <c r="AN858" s="156"/>
      <c r="AO858" s="156"/>
      <c r="AP858" s="156"/>
      <c r="AQ858" s="156"/>
      <c r="AR858" s="156"/>
      <c r="AS858" s="156"/>
      <c r="AT858" s="156"/>
      <c r="AU858" s="156"/>
      <c r="AV858" s="156"/>
      <c r="AW858" s="156"/>
      <c r="AX858" s="156"/>
      <c r="AY858" s="156"/>
      <c r="AZ858" s="156"/>
      <c r="BA858" s="153"/>
      <c r="BD858" s="153"/>
      <c r="BE858" s="147"/>
      <c r="BI858" s="153"/>
      <c r="BO858" s="153"/>
      <c r="BW858" s="153"/>
      <c r="CD858" s="146"/>
      <c r="CF858" s="147"/>
      <c r="CI858" s="146"/>
      <c r="CJ858" s="153"/>
      <c r="CV858" s="154"/>
      <c r="CX858" s="154"/>
      <c r="CZ858" s="154"/>
      <c r="DB858" s="154"/>
      <c r="DD858" s="154"/>
      <c r="DH858" s="474"/>
      <c r="DI858" s="459"/>
      <c r="DJ858" s="459"/>
      <c r="DK858" s="459"/>
      <c r="DL858" s="459"/>
      <c r="DM858" s="459"/>
      <c r="DN858" s="459"/>
      <c r="DO858" s="459"/>
      <c r="DP858" s="459"/>
      <c r="DQ858" s="459"/>
      <c r="DR858" s="459"/>
      <c r="DS858" s="459"/>
      <c r="DT858" s="459"/>
      <c r="DU858" s="459"/>
      <c r="DV858" s="468"/>
      <c r="DW858" s="468"/>
      <c r="DX858" s="459"/>
      <c r="DY858" s="459"/>
    </row>
    <row r="859" spans="1:129" s="128" customFormat="1" ht="54.95" customHeight="1" x14ac:dyDescent="0.25">
      <c r="A859" s="377"/>
      <c r="B859" s="175"/>
      <c r="C859" s="393"/>
      <c r="D859" s="168"/>
      <c r="E859" s="168"/>
      <c r="F859" s="168"/>
      <c r="G859" s="168"/>
      <c r="H859" s="168"/>
      <c r="I859" s="168"/>
      <c r="J859" s="168"/>
      <c r="K859" s="168"/>
      <c r="L859" s="168"/>
      <c r="M859" s="168"/>
      <c r="N859" s="168"/>
      <c r="O859" s="433"/>
      <c r="P859" s="122"/>
      <c r="Q859" s="156"/>
      <c r="R859" s="156"/>
      <c r="S859" s="156"/>
      <c r="T859" s="156"/>
      <c r="U859" s="156"/>
      <c r="V859" s="156"/>
      <c r="W859" s="156"/>
      <c r="X859" s="156"/>
      <c r="Y859" s="156"/>
      <c r="Z859" s="157"/>
      <c r="AA859" s="157"/>
      <c r="AB859" s="156"/>
      <c r="AC859" s="156"/>
      <c r="AD859" s="156"/>
      <c r="AE859" s="156"/>
      <c r="AF859" s="156"/>
      <c r="AG859" s="156"/>
      <c r="AH859" s="156"/>
      <c r="AI859" s="156"/>
      <c r="AJ859" s="156"/>
      <c r="AK859" s="156"/>
      <c r="AL859" s="156"/>
      <c r="AM859" s="158"/>
      <c r="AN859" s="156"/>
      <c r="AO859" s="156"/>
      <c r="AP859" s="156"/>
      <c r="AQ859" s="156"/>
      <c r="AR859" s="156"/>
      <c r="AS859" s="156"/>
      <c r="AT859" s="156"/>
      <c r="AU859" s="156"/>
      <c r="AV859" s="156"/>
      <c r="AW859" s="156"/>
      <c r="AX859" s="156"/>
      <c r="AY859" s="156"/>
      <c r="AZ859" s="156"/>
      <c r="BA859" s="153"/>
      <c r="BD859" s="153"/>
      <c r="BE859" s="147"/>
      <c r="BI859" s="153"/>
      <c r="BO859" s="153"/>
      <c r="BW859" s="153"/>
      <c r="CD859" s="146"/>
      <c r="CF859" s="147"/>
      <c r="CI859" s="146"/>
      <c r="CJ859" s="153"/>
      <c r="CV859" s="154"/>
      <c r="CX859" s="154"/>
      <c r="CZ859" s="154"/>
      <c r="DB859" s="154"/>
      <c r="DD859" s="154"/>
      <c r="DH859" s="474"/>
      <c r="DI859" s="459"/>
      <c r="DJ859" s="459"/>
      <c r="DK859" s="459"/>
      <c r="DL859" s="459"/>
      <c r="DM859" s="459"/>
      <c r="DN859" s="459"/>
      <c r="DO859" s="459"/>
      <c r="DP859" s="459"/>
      <c r="DQ859" s="459"/>
      <c r="DR859" s="459"/>
      <c r="DS859" s="459"/>
      <c r="DT859" s="459"/>
      <c r="DU859" s="459"/>
      <c r="DV859" s="468"/>
      <c r="DW859" s="468"/>
      <c r="DX859" s="459"/>
      <c r="DY859" s="459"/>
    </row>
    <row r="860" spans="1:129" s="128" customFormat="1" ht="54.95" customHeight="1" x14ac:dyDescent="0.25">
      <c r="A860" s="377"/>
      <c r="B860" s="175"/>
      <c r="C860" s="393"/>
      <c r="D860" s="168"/>
      <c r="E860" s="168"/>
      <c r="F860" s="168"/>
      <c r="G860" s="168"/>
      <c r="H860" s="168"/>
      <c r="I860" s="168"/>
      <c r="J860" s="168"/>
      <c r="K860" s="168"/>
      <c r="L860" s="168"/>
      <c r="M860" s="168"/>
      <c r="N860" s="168"/>
      <c r="O860" s="433"/>
      <c r="P860" s="122"/>
      <c r="Q860" s="156"/>
      <c r="R860" s="156"/>
      <c r="S860" s="156"/>
      <c r="T860" s="156"/>
      <c r="U860" s="156"/>
      <c r="V860" s="156"/>
      <c r="W860" s="156"/>
      <c r="X860" s="156"/>
      <c r="Y860" s="156"/>
      <c r="Z860" s="157"/>
      <c r="AA860" s="157"/>
      <c r="AB860" s="156"/>
      <c r="AC860" s="156"/>
      <c r="AD860" s="156"/>
      <c r="AE860" s="156"/>
      <c r="AF860" s="156"/>
      <c r="AG860" s="156"/>
      <c r="AH860" s="156"/>
      <c r="AI860" s="156"/>
      <c r="AJ860" s="156"/>
      <c r="AK860" s="156"/>
      <c r="AL860" s="156"/>
      <c r="AM860" s="158"/>
      <c r="AN860" s="156"/>
      <c r="AO860" s="156"/>
      <c r="AP860" s="156"/>
      <c r="AQ860" s="156"/>
      <c r="AR860" s="156"/>
      <c r="AS860" s="156"/>
      <c r="AT860" s="156"/>
      <c r="AU860" s="156"/>
      <c r="AV860" s="156"/>
      <c r="AW860" s="156"/>
      <c r="AX860" s="156"/>
      <c r="AY860" s="156"/>
      <c r="AZ860" s="156"/>
      <c r="BA860" s="153"/>
      <c r="BD860" s="153"/>
      <c r="BE860" s="147"/>
      <c r="BI860" s="153"/>
      <c r="BO860" s="153"/>
      <c r="BW860" s="153"/>
      <c r="CD860" s="146"/>
      <c r="CF860" s="147"/>
      <c r="CI860" s="146"/>
      <c r="CJ860" s="153"/>
      <c r="CV860" s="154"/>
      <c r="CX860" s="154"/>
      <c r="CZ860" s="154"/>
      <c r="DB860" s="154"/>
      <c r="DD860" s="154"/>
      <c r="DH860" s="474"/>
      <c r="DI860" s="459"/>
      <c r="DJ860" s="459"/>
      <c r="DK860" s="459"/>
      <c r="DL860" s="459"/>
      <c r="DM860" s="459"/>
      <c r="DN860" s="459"/>
      <c r="DO860" s="459"/>
      <c r="DP860" s="459"/>
      <c r="DQ860" s="459"/>
      <c r="DR860" s="459"/>
      <c r="DS860" s="459"/>
      <c r="DT860" s="459"/>
      <c r="DU860" s="459"/>
      <c r="DV860" s="468"/>
      <c r="DW860" s="468"/>
      <c r="DX860" s="459"/>
      <c r="DY860" s="459"/>
    </row>
    <row r="861" spans="1:129" s="128" customFormat="1" ht="54.95" customHeight="1" x14ac:dyDescent="0.25">
      <c r="A861" s="377"/>
      <c r="B861" s="175"/>
      <c r="C861" s="393"/>
      <c r="D861" s="168"/>
      <c r="E861" s="168"/>
      <c r="F861" s="168"/>
      <c r="G861" s="168"/>
      <c r="H861" s="168"/>
      <c r="I861" s="168"/>
      <c r="J861" s="168"/>
      <c r="K861" s="168"/>
      <c r="L861" s="168"/>
      <c r="M861" s="168"/>
      <c r="N861" s="168"/>
      <c r="O861" s="433"/>
      <c r="P861" s="122"/>
      <c r="Q861" s="156"/>
      <c r="R861" s="156"/>
      <c r="S861" s="156"/>
      <c r="T861" s="156"/>
      <c r="U861" s="156"/>
      <c r="V861" s="156"/>
      <c r="W861" s="156"/>
      <c r="X861" s="156"/>
      <c r="Y861" s="156"/>
      <c r="Z861" s="157"/>
      <c r="AA861" s="157"/>
      <c r="AB861" s="156"/>
      <c r="AC861" s="156"/>
      <c r="AD861" s="156"/>
      <c r="AE861" s="156"/>
      <c r="AF861" s="156"/>
      <c r="AG861" s="156"/>
      <c r="AH861" s="156"/>
      <c r="AI861" s="156"/>
      <c r="AJ861" s="156"/>
      <c r="AK861" s="156"/>
      <c r="AL861" s="156"/>
      <c r="AM861" s="158"/>
      <c r="AN861" s="156"/>
      <c r="AO861" s="156"/>
      <c r="AP861" s="156"/>
      <c r="AQ861" s="156"/>
      <c r="AR861" s="156"/>
      <c r="AS861" s="156"/>
      <c r="AT861" s="156"/>
      <c r="AU861" s="156"/>
      <c r="AV861" s="156"/>
      <c r="AW861" s="156"/>
      <c r="AX861" s="156"/>
      <c r="AY861" s="156"/>
      <c r="AZ861" s="156"/>
      <c r="BA861" s="153"/>
      <c r="BD861" s="153"/>
      <c r="BE861" s="147"/>
      <c r="BI861" s="153"/>
      <c r="BO861" s="153"/>
      <c r="BW861" s="153"/>
      <c r="CD861" s="146"/>
      <c r="CF861" s="147"/>
      <c r="CI861" s="146"/>
      <c r="CJ861" s="153"/>
      <c r="CV861" s="154"/>
      <c r="CX861" s="154"/>
      <c r="CZ861" s="154"/>
      <c r="DB861" s="154"/>
      <c r="DD861" s="154"/>
      <c r="DH861" s="474"/>
      <c r="DI861" s="459"/>
      <c r="DJ861" s="459"/>
      <c r="DK861" s="459"/>
      <c r="DL861" s="459"/>
      <c r="DM861" s="459"/>
      <c r="DN861" s="459"/>
      <c r="DO861" s="459"/>
      <c r="DP861" s="459"/>
      <c r="DQ861" s="459"/>
      <c r="DR861" s="459"/>
      <c r="DS861" s="459"/>
      <c r="DT861" s="459"/>
      <c r="DU861" s="459"/>
      <c r="DV861" s="468"/>
      <c r="DW861" s="468"/>
      <c r="DX861" s="459"/>
      <c r="DY861" s="459"/>
    </row>
    <row r="862" spans="1:129" s="128" customFormat="1" ht="54.95" customHeight="1" x14ac:dyDescent="0.25">
      <c r="A862" s="377"/>
      <c r="B862" s="175"/>
      <c r="C862" s="393"/>
      <c r="D862" s="168"/>
      <c r="E862" s="168"/>
      <c r="F862" s="168"/>
      <c r="G862" s="168"/>
      <c r="H862" s="168"/>
      <c r="I862" s="168"/>
      <c r="J862" s="168"/>
      <c r="K862" s="168"/>
      <c r="L862" s="168"/>
      <c r="M862" s="168"/>
      <c r="N862" s="168"/>
      <c r="O862" s="433"/>
      <c r="P862" s="122"/>
      <c r="Q862" s="156"/>
      <c r="R862" s="156"/>
      <c r="S862" s="156"/>
      <c r="T862" s="156"/>
      <c r="U862" s="156"/>
      <c r="V862" s="156"/>
      <c r="W862" s="156"/>
      <c r="X862" s="156"/>
      <c r="Y862" s="156"/>
      <c r="Z862" s="157"/>
      <c r="AA862" s="157"/>
      <c r="AB862" s="156"/>
      <c r="AC862" s="156"/>
      <c r="AD862" s="156"/>
      <c r="AE862" s="156"/>
      <c r="AF862" s="156"/>
      <c r="AG862" s="156"/>
      <c r="AH862" s="156"/>
      <c r="AI862" s="156"/>
      <c r="AJ862" s="156"/>
      <c r="AK862" s="156"/>
      <c r="AL862" s="156"/>
      <c r="AM862" s="158"/>
      <c r="AN862" s="156"/>
      <c r="AO862" s="156"/>
      <c r="AP862" s="156"/>
      <c r="AQ862" s="156"/>
      <c r="AR862" s="156"/>
      <c r="AS862" s="156"/>
      <c r="AT862" s="156"/>
      <c r="AU862" s="156"/>
      <c r="AV862" s="156"/>
      <c r="AW862" s="156"/>
      <c r="AX862" s="156"/>
      <c r="AY862" s="156"/>
      <c r="AZ862" s="156"/>
      <c r="BA862" s="153"/>
      <c r="BD862" s="153"/>
      <c r="BE862" s="147"/>
      <c r="BI862" s="153"/>
      <c r="BO862" s="153"/>
      <c r="BW862" s="153"/>
      <c r="CD862" s="146"/>
      <c r="CF862" s="147"/>
      <c r="CI862" s="146"/>
      <c r="CJ862" s="153"/>
      <c r="CV862" s="154"/>
      <c r="CX862" s="154"/>
      <c r="CZ862" s="154"/>
      <c r="DB862" s="154"/>
      <c r="DD862" s="154"/>
      <c r="DH862" s="474"/>
      <c r="DI862" s="459"/>
      <c r="DJ862" s="459"/>
      <c r="DK862" s="459"/>
      <c r="DL862" s="459"/>
      <c r="DM862" s="459"/>
      <c r="DN862" s="459"/>
      <c r="DO862" s="459"/>
      <c r="DP862" s="459"/>
      <c r="DQ862" s="459"/>
      <c r="DR862" s="459"/>
      <c r="DS862" s="459"/>
      <c r="DT862" s="459"/>
      <c r="DU862" s="459"/>
      <c r="DV862" s="468"/>
      <c r="DW862" s="468"/>
      <c r="DX862" s="459"/>
      <c r="DY862" s="459"/>
    </row>
    <row r="863" spans="1:129" s="128" customFormat="1" ht="54.95" customHeight="1" x14ac:dyDescent="0.25">
      <c r="A863" s="377"/>
      <c r="B863" s="175"/>
      <c r="C863" s="393"/>
      <c r="D863" s="168"/>
      <c r="E863" s="168"/>
      <c r="F863" s="168"/>
      <c r="G863" s="168"/>
      <c r="H863" s="168"/>
      <c r="I863" s="168"/>
      <c r="J863" s="168"/>
      <c r="K863" s="168"/>
      <c r="L863" s="168"/>
      <c r="M863" s="168"/>
      <c r="N863" s="168"/>
      <c r="O863" s="433"/>
      <c r="P863" s="122"/>
      <c r="Q863" s="156"/>
      <c r="R863" s="156"/>
      <c r="S863" s="156"/>
      <c r="T863" s="156"/>
      <c r="U863" s="156"/>
      <c r="V863" s="156"/>
      <c r="W863" s="156"/>
      <c r="X863" s="156"/>
      <c r="Y863" s="156"/>
      <c r="Z863" s="157"/>
      <c r="AA863" s="157"/>
      <c r="AB863" s="156"/>
      <c r="AC863" s="156"/>
      <c r="AD863" s="156"/>
      <c r="AE863" s="156"/>
      <c r="AF863" s="156"/>
      <c r="AG863" s="156"/>
      <c r="AH863" s="156"/>
      <c r="AI863" s="156"/>
      <c r="AJ863" s="156"/>
      <c r="AK863" s="156"/>
      <c r="AL863" s="156"/>
      <c r="AM863" s="158"/>
      <c r="AN863" s="156"/>
      <c r="AO863" s="156"/>
      <c r="AP863" s="156"/>
      <c r="AQ863" s="156"/>
      <c r="AR863" s="156"/>
      <c r="AS863" s="156"/>
      <c r="AT863" s="156"/>
      <c r="AU863" s="156"/>
      <c r="AV863" s="156"/>
      <c r="AW863" s="156"/>
      <c r="AX863" s="156"/>
      <c r="AY863" s="156"/>
      <c r="AZ863" s="156"/>
      <c r="BA863" s="153"/>
      <c r="BD863" s="153"/>
      <c r="BE863" s="147"/>
      <c r="BI863" s="153"/>
      <c r="BO863" s="153"/>
      <c r="BW863" s="153"/>
      <c r="CD863" s="146"/>
      <c r="CF863" s="147"/>
      <c r="CI863" s="146"/>
      <c r="CJ863" s="153"/>
      <c r="CV863" s="154"/>
      <c r="CX863" s="154"/>
      <c r="CZ863" s="154"/>
      <c r="DB863" s="154"/>
      <c r="DD863" s="154"/>
      <c r="DH863" s="474"/>
      <c r="DI863" s="459"/>
      <c r="DJ863" s="459"/>
      <c r="DK863" s="459"/>
      <c r="DL863" s="459"/>
      <c r="DM863" s="459"/>
      <c r="DN863" s="459"/>
      <c r="DO863" s="459"/>
      <c r="DP863" s="459"/>
      <c r="DQ863" s="459"/>
      <c r="DR863" s="459"/>
      <c r="DS863" s="459"/>
      <c r="DT863" s="459"/>
      <c r="DU863" s="459"/>
      <c r="DV863" s="468"/>
      <c r="DW863" s="468"/>
      <c r="DX863" s="459"/>
      <c r="DY863" s="459"/>
    </row>
    <row r="864" spans="1:129" s="128" customFormat="1" ht="54.95" customHeight="1" x14ac:dyDescent="0.25">
      <c r="A864" s="377"/>
      <c r="B864" s="175"/>
      <c r="C864" s="393"/>
      <c r="D864" s="168"/>
      <c r="E864" s="168"/>
      <c r="F864" s="168"/>
      <c r="G864" s="168"/>
      <c r="H864" s="168"/>
      <c r="I864" s="168"/>
      <c r="J864" s="168"/>
      <c r="K864" s="168"/>
      <c r="L864" s="168"/>
      <c r="M864" s="168"/>
      <c r="N864" s="168"/>
      <c r="O864" s="433"/>
      <c r="P864" s="122"/>
      <c r="Q864" s="156"/>
      <c r="R864" s="156"/>
      <c r="S864" s="156"/>
      <c r="T864" s="156"/>
      <c r="U864" s="156"/>
      <c r="V864" s="156"/>
      <c r="W864" s="156"/>
      <c r="X864" s="156"/>
      <c r="Y864" s="156"/>
      <c r="Z864" s="157"/>
      <c r="AA864" s="157"/>
      <c r="AB864" s="156"/>
      <c r="AC864" s="156"/>
      <c r="AD864" s="156"/>
      <c r="AE864" s="156"/>
      <c r="AF864" s="156"/>
      <c r="AG864" s="156"/>
      <c r="AH864" s="156"/>
      <c r="AI864" s="156"/>
      <c r="AJ864" s="156"/>
      <c r="AK864" s="156"/>
      <c r="AL864" s="156"/>
      <c r="AM864" s="158"/>
      <c r="AN864" s="156"/>
      <c r="AO864" s="156"/>
      <c r="AP864" s="156"/>
      <c r="AQ864" s="156"/>
      <c r="AR864" s="156"/>
      <c r="AS864" s="156"/>
      <c r="AT864" s="156"/>
      <c r="AU864" s="156"/>
      <c r="AV864" s="156"/>
      <c r="AW864" s="156"/>
      <c r="AX864" s="156"/>
      <c r="AY864" s="156"/>
      <c r="AZ864" s="156"/>
      <c r="BA864" s="153"/>
      <c r="BD864" s="153"/>
      <c r="BE864" s="147"/>
      <c r="BI864" s="153"/>
      <c r="BO864" s="153"/>
      <c r="BW864" s="153"/>
      <c r="CD864" s="146"/>
      <c r="CF864" s="147"/>
      <c r="CI864" s="146"/>
      <c r="CJ864" s="153"/>
      <c r="CV864" s="154"/>
      <c r="CX864" s="154"/>
      <c r="CZ864" s="154"/>
      <c r="DB864" s="154"/>
      <c r="DD864" s="154"/>
      <c r="DH864" s="474"/>
      <c r="DI864" s="459"/>
      <c r="DJ864" s="459"/>
      <c r="DK864" s="459"/>
      <c r="DL864" s="459"/>
      <c r="DM864" s="459"/>
      <c r="DN864" s="459"/>
      <c r="DO864" s="459"/>
      <c r="DP864" s="459"/>
      <c r="DQ864" s="459"/>
      <c r="DR864" s="459"/>
      <c r="DS864" s="459"/>
      <c r="DT864" s="459"/>
      <c r="DU864" s="459"/>
      <c r="DV864" s="468"/>
      <c r="DW864" s="468"/>
      <c r="DX864" s="459"/>
      <c r="DY864" s="459"/>
    </row>
    <row r="865" spans="1:129" s="128" customFormat="1" ht="54.95" customHeight="1" x14ac:dyDescent="0.25">
      <c r="A865" s="377"/>
      <c r="B865" s="175"/>
      <c r="C865" s="393"/>
      <c r="D865" s="168"/>
      <c r="E865" s="168"/>
      <c r="F865" s="168"/>
      <c r="G865" s="168"/>
      <c r="H865" s="168"/>
      <c r="I865" s="168"/>
      <c r="J865" s="168"/>
      <c r="K865" s="168"/>
      <c r="L865" s="168"/>
      <c r="M865" s="168"/>
      <c r="N865" s="168"/>
      <c r="O865" s="433"/>
      <c r="P865" s="122"/>
      <c r="Q865" s="156"/>
      <c r="R865" s="156"/>
      <c r="S865" s="156"/>
      <c r="T865" s="156"/>
      <c r="U865" s="156"/>
      <c r="V865" s="156"/>
      <c r="W865" s="156"/>
      <c r="X865" s="156"/>
      <c r="Y865" s="156"/>
      <c r="Z865" s="157"/>
      <c r="AA865" s="157"/>
      <c r="AB865" s="156"/>
      <c r="AC865" s="156"/>
      <c r="AD865" s="156"/>
      <c r="AE865" s="156"/>
      <c r="AF865" s="156"/>
      <c r="AG865" s="156"/>
      <c r="AH865" s="156"/>
      <c r="AI865" s="156"/>
      <c r="AJ865" s="156"/>
      <c r="AK865" s="156"/>
      <c r="AL865" s="156"/>
      <c r="AM865" s="158"/>
      <c r="AN865" s="156"/>
      <c r="AO865" s="156"/>
      <c r="AP865" s="156"/>
      <c r="AQ865" s="156"/>
      <c r="AR865" s="156"/>
      <c r="AS865" s="156"/>
      <c r="AT865" s="156"/>
      <c r="AU865" s="156"/>
      <c r="AV865" s="156"/>
      <c r="AW865" s="156"/>
      <c r="AX865" s="156"/>
      <c r="AY865" s="156"/>
      <c r="AZ865" s="156"/>
      <c r="BA865" s="153"/>
      <c r="BD865" s="153"/>
      <c r="BE865" s="147"/>
      <c r="BI865" s="153"/>
      <c r="BO865" s="153"/>
      <c r="BW865" s="153"/>
      <c r="CD865" s="146"/>
      <c r="CF865" s="147"/>
      <c r="CI865" s="146"/>
      <c r="CJ865" s="153"/>
      <c r="CV865" s="154"/>
      <c r="CX865" s="154"/>
      <c r="CZ865" s="154"/>
      <c r="DB865" s="154"/>
      <c r="DD865" s="154"/>
      <c r="DH865" s="474"/>
      <c r="DI865" s="459"/>
      <c r="DJ865" s="459"/>
      <c r="DK865" s="459"/>
      <c r="DL865" s="459"/>
      <c r="DM865" s="459"/>
      <c r="DN865" s="459"/>
      <c r="DO865" s="459"/>
      <c r="DP865" s="459"/>
      <c r="DQ865" s="459"/>
      <c r="DR865" s="459"/>
      <c r="DS865" s="459"/>
      <c r="DT865" s="459"/>
      <c r="DU865" s="459"/>
      <c r="DV865" s="468"/>
      <c r="DW865" s="468"/>
      <c r="DX865" s="459"/>
      <c r="DY865" s="459"/>
    </row>
    <row r="866" spans="1:129" s="128" customFormat="1" ht="54.95" customHeight="1" x14ac:dyDescent="0.25">
      <c r="A866" s="377"/>
      <c r="B866" s="175"/>
      <c r="C866" s="393"/>
      <c r="D866" s="168"/>
      <c r="E866" s="168"/>
      <c r="F866" s="168"/>
      <c r="G866" s="168"/>
      <c r="H866" s="168"/>
      <c r="I866" s="168"/>
      <c r="J866" s="168"/>
      <c r="K866" s="168"/>
      <c r="L866" s="168"/>
      <c r="M866" s="168"/>
      <c r="N866" s="168"/>
      <c r="O866" s="433"/>
      <c r="P866" s="122"/>
      <c r="Q866" s="156"/>
      <c r="R866" s="156"/>
      <c r="S866" s="156"/>
      <c r="T866" s="156"/>
      <c r="U866" s="156"/>
      <c r="V866" s="156"/>
      <c r="W866" s="156"/>
      <c r="X866" s="156"/>
      <c r="Y866" s="156"/>
      <c r="Z866" s="157"/>
      <c r="AA866" s="157"/>
      <c r="AB866" s="156"/>
      <c r="AC866" s="156"/>
      <c r="AD866" s="156"/>
      <c r="AE866" s="156"/>
      <c r="AF866" s="156"/>
      <c r="AG866" s="156"/>
      <c r="AH866" s="156"/>
      <c r="AI866" s="156"/>
      <c r="AJ866" s="156"/>
      <c r="AK866" s="156"/>
      <c r="AL866" s="156"/>
      <c r="AM866" s="158"/>
      <c r="AN866" s="156"/>
      <c r="AO866" s="156"/>
      <c r="AP866" s="156"/>
      <c r="AQ866" s="156"/>
      <c r="AR866" s="156"/>
      <c r="AS866" s="156"/>
      <c r="AT866" s="156"/>
      <c r="AU866" s="156"/>
      <c r="AV866" s="156"/>
      <c r="AW866" s="156"/>
      <c r="AX866" s="156"/>
      <c r="AY866" s="156"/>
      <c r="AZ866" s="156"/>
      <c r="BA866" s="153"/>
      <c r="BD866" s="153"/>
      <c r="BE866" s="147"/>
      <c r="BI866" s="153"/>
      <c r="BO866" s="153"/>
      <c r="BW866" s="153"/>
      <c r="CD866" s="146"/>
      <c r="CF866" s="147"/>
      <c r="CI866" s="146"/>
      <c r="CJ866" s="153"/>
      <c r="CV866" s="154"/>
      <c r="CX866" s="154"/>
      <c r="CZ866" s="154"/>
      <c r="DB866" s="154"/>
      <c r="DD866" s="154"/>
      <c r="DH866" s="474"/>
      <c r="DI866" s="459"/>
      <c r="DJ866" s="459"/>
      <c r="DK866" s="459"/>
      <c r="DL866" s="459"/>
      <c r="DM866" s="459"/>
      <c r="DN866" s="459"/>
      <c r="DO866" s="459"/>
      <c r="DP866" s="459"/>
      <c r="DQ866" s="459"/>
      <c r="DR866" s="459"/>
      <c r="DS866" s="459"/>
      <c r="DT866" s="459"/>
      <c r="DU866" s="459"/>
      <c r="DV866" s="468"/>
      <c r="DW866" s="468"/>
      <c r="DX866" s="459"/>
      <c r="DY866" s="459"/>
    </row>
    <row r="867" spans="1:129" s="128" customFormat="1" ht="54.95" customHeight="1" x14ac:dyDescent="0.25">
      <c r="A867" s="377"/>
      <c r="B867" s="175"/>
      <c r="C867" s="393"/>
      <c r="D867" s="168"/>
      <c r="E867" s="168"/>
      <c r="F867" s="168"/>
      <c r="G867" s="168"/>
      <c r="H867" s="168"/>
      <c r="I867" s="168"/>
      <c r="J867" s="168"/>
      <c r="K867" s="168"/>
      <c r="L867" s="168"/>
      <c r="M867" s="168"/>
      <c r="N867" s="168"/>
      <c r="O867" s="433"/>
      <c r="P867" s="122"/>
      <c r="Q867" s="156"/>
      <c r="R867" s="156"/>
      <c r="S867" s="156"/>
      <c r="T867" s="156"/>
      <c r="U867" s="156"/>
      <c r="V867" s="156"/>
      <c r="W867" s="156"/>
      <c r="X867" s="156"/>
      <c r="Y867" s="156"/>
      <c r="Z867" s="157"/>
      <c r="AA867" s="157"/>
      <c r="AB867" s="156"/>
      <c r="AC867" s="156"/>
      <c r="AD867" s="156"/>
      <c r="AE867" s="156"/>
      <c r="AF867" s="156"/>
      <c r="AG867" s="156"/>
      <c r="AH867" s="156"/>
      <c r="AI867" s="156"/>
      <c r="AJ867" s="156"/>
      <c r="AK867" s="156"/>
      <c r="AL867" s="156"/>
      <c r="AM867" s="158"/>
      <c r="AN867" s="156"/>
      <c r="AO867" s="156"/>
      <c r="AP867" s="156"/>
      <c r="AQ867" s="156"/>
      <c r="AR867" s="156"/>
      <c r="AS867" s="156"/>
      <c r="AT867" s="156"/>
      <c r="AU867" s="156"/>
      <c r="AV867" s="156"/>
      <c r="AW867" s="156"/>
      <c r="AX867" s="156"/>
      <c r="AY867" s="156"/>
      <c r="AZ867" s="156"/>
      <c r="BA867" s="153"/>
      <c r="BD867" s="153"/>
      <c r="BE867" s="147"/>
      <c r="BI867" s="153"/>
      <c r="BO867" s="153"/>
      <c r="BW867" s="153"/>
      <c r="CD867" s="146"/>
      <c r="CF867" s="147"/>
      <c r="CI867" s="146"/>
      <c r="CJ867" s="153"/>
      <c r="CV867" s="154"/>
      <c r="CX867" s="154"/>
      <c r="CZ867" s="154"/>
      <c r="DB867" s="154"/>
      <c r="DD867" s="154"/>
      <c r="DH867" s="474"/>
      <c r="DI867" s="459"/>
      <c r="DJ867" s="459"/>
      <c r="DK867" s="459"/>
      <c r="DL867" s="459"/>
      <c r="DM867" s="459"/>
      <c r="DN867" s="459"/>
      <c r="DO867" s="459"/>
      <c r="DP867" s="459"/>
      <c r="DQ867" s="459"/>
      <c r="DR867" s="459"/>
      <c r="DS867" s="459"/>
      <c r="DT867" s="459"/>
      <c r="DU867" s="459"/>
      <c r="DV867" s="468"/>
      <c r="DW867" s="468"/>
      <c r="DX867" s="459"/>
      <c r="DY867" s="459"/>
    </row>
    <row r="868" spans="1:129" s="128" customFormat="1" ht="54.95" customHeight="1" x14ac:dyDescent="0.25">
      <c r="A868" s="377"/>
      <c r="B868" s="175"/>
      <c r="C868" s="393"/>
      <c r="D868" s="168"/>
      <c r="E868" s="168"/>
      <c r="F868" s="168"/>
      <c r="G868" s="168"/>
      <c r="H868" s="168"/>
      <c r="I868" s="168"/>
      <c r="J868" s="168"/>
      <c r="K868" s="168"/>
      <c r="L868" s="168"/>
      <c r="M868" s="168"/>
      <c r="N868" s="168"/>
      <c r="O868" s="433"/>
      <c r="P868" s="122"/>
      <c r="Q868" s="156"/>
      <c r="R868" s="156"/>
      <c r="S868" s="156"/>
      <c r="T868" s="156"/>
      <c r="U868" s="156"/>
      <c r="V868" s="156"/>
      <c r="W868" s="156"/>
      <c r="X868" s="156"/>
      <c r="Y868" s="156"/>
      <c r="Z868" s="157"/>
      <c r="AA868" s="157"/>
      <c r="AB868" s="156"/>
      <c r="AC868" s="156"/>
      <c r="AD868" s="156"/>
      <c r="AE868" s="156"/>
      <c r="AF868" s="156"/>
      <c r="AG868" s="156"/>
      <c r="AH868" s="156"/>
      <c r="AI868" s="156"/>
      <c r="AJ868" s="156"/>
      <c r="AK868" s="156"/>
      <c r="AL868" s="156"/>
      <c r="AM868" s="158"/>
      <c r="AN868" s="156"/>
      <c r="AO868" s="156"/>
      <c r="AP868" s="156"/>
      <c r="AQ868" s="156"/>
      <c r="AR868" s="156"/>
      <c r="AS868" s="156"/>
      <c r="AT868" s="156"/>
      <c r="AU868" s="156"/>
      <c r="AV868" s="156"/>
      <c r="AW868" s="156"/>
      <c r="AX868" s="156"/>
      <c r="AY868" s="156"/>
      <c r="AZ868" s="156"/>
      <c r="BA868" s="153"/>
      <c r="BD868" s="153"/>
      <c r="BE868" s="147"/>
      <c r="BI868" s="153"/>
      <c r="BO868" s="153"/>
      <c r="BW868" s="153"/>
      <c r="CD868" s="146"/>
      <c r="CF868" s="147"/>
      <c r="CI868" s="146"/>
      <c r="CJ868" s="153"/>
      <c r="CV868" s="154"/>
      <c r="CX868" s="154"/>
      <c r="CZ868" s="154"/>
      <c r="DB868" s="154"/>
      <c r="DD868" s="154"/>
      <c r="DH868" s="474"/>
      <c r="DI868" s="459"/>
      <c r="DJ868" s="459"/>
      <c r="DK868" s="459"/>
      <c r="DL868" s="459"/>
      <c r="DM868" s="459"/>
      <c r="DN868" s="459"/>
      <c r="DO868" s="459"/>
      <c r="DP868" s="459"/>
      <c r="DQ868" s="459"/>
      <c r="DR868" s="459"/>
      <c r="DS868" s="459"/>
      <c r="DT868" s="459"/>
      <c r="DU868" s="459"/>
      <c r="DV868" s="468"/>
      <c r="DW868" s="468"/>
      <c r="DX868" s="459"/>
      <c r="DY868" s="459"/>
    </row>
    <row r="869" spans="1:129" s="128" customFormat="1" ht="54.95" customHeight="1" x14ac:dyDescent="0.25">
      <c r="A869" s="377"/>
      <c r="B869" s="175"/>
      <c r="C869" s="393"/>
      <c r="D869" s="168"/>
      <c r="E869" s="168"/>
      <c r="F869" s="168"/>
      <c r="G869" s="168"/>
      <c r="H869" s="168"/>
      <c r="I869" s="168"/>
      <c r="J869" s="168"/>
      <c r="K869" s="168"/>
      <c r="L869" s="168"/>
      <c r="M869" s="168"/>
      <c r="N869" s="168"/>
      <c r="O869" s="433"/>
      <c r="P869" s="122"/>
      <c r="Q869" s="156"/>
      <c r="R869" s="156"/>
      <c r="S869" s="156"/>
      <c r="T869" s="156"/>
      <c r="U869" s="156"/>
      <c r="V869" s="156"/>
      <c r="W869" s="156"/>
      <c r="X869" s="156"/>
      <c r="Y869" s="156"/>
      <c r="Z869" s="157"/>
      <c r="AA869" s="157"/>
      <c r="AB869" s="156"/>
      <c r="AC869" s="156"/>
      <c r="AD869" s="156"/>
      <c r="AE869" s="156"/>
      <c r="AF869" s="156"/>
      <c r="AG869" s="156"/>
      <c r="AH869" s="156"/>
      <c r="AI869" s="156"/>
      <c r="AJ869" s="156"/>
      <c r="AK869" s="156"/>
      <c r="AL869" s="156"/>
      <c r="AM869" s="158"/>
      <c r="AN869" s="156"/>
      <c r="AO869" s="156"/>
      <c r="AP869" s="156"/>
      <c r="AQ869" s="156"/>
      <c r="AR869" s="156"/>
      <c r="AS869" s="156"/>
      <c r="AT869" s="156"/>
      <c r="AU869" s="156"/>
      <c r="AV869" s="156"/>
      <c r="AW869" s="156"/>
      <c r="AX869" s="156"/>
      <c r="AY869" s="156"/>
      <c r="AZ869" s="156"/>
      <c r="BA869" s="153"/>
      <c r="BD869" s="153"/>
      <c r="BE869" s="147"/>
      <c r="BI869" s="153"/>
      <c r="BO869" s="153"/>
      <c r="BW869" s="153"/>
      <c r="CD869" s="146"/>
      <c r="CF869" s="147"/>
      <c r="CI869" s="146"/>
      <c r="CJ869" s="153"/>
      <c r="CV869" s="154"/>
      <c r="CX869" s="154"/>
      <c r="CZ869" s="154"/>
      <c r="DB869" s="154"/>
      <c r="DD869" s="154"/>
      <c r="DH869" s="474"/>
      <c r="DI869" s="459"/>
      <c r="DJ869" s="459"/>
      <c r="DK869" s="459"/>
      <c r="DL869" s="459"/>
      <c r="DM869" s="459"/>
      <c r="DN869" s="459"/>
      <c r="DO869" s="459"/>
      <c r="DP869" s="459"/>
      <c r="DQ869" s="459"/>
      <c r="DR869" s="459"/>
      <c r="DS869" s="459"/>
      <c r="DT869" s="459"/>
      <c r="DU869" s="459"/>
      <c r="DV869" s="468"/>
      <c r="DW869" s="468"/>
      <c r="DX869" s="459"/>
      <c r="DY869" s="459"/>
    </row>
    <row r="870" spans="1:129" s="128" customFormat="1" ht="54.95" customHeight="1" x14ac:dyDescent="0.25">
      <c r="A870" s="377"/>
      <c r="B870" s="175"/>
      <c r="C870" s="393"/>
      <c r="D870" s="168"/>
      <c r="E870" s="168"/>
      <c r="F870" s="168"/>
      <c r="G870" s="168"/>
      <c r="H870" s="168"/>
      <c r="I870" s="168"/>
      <c r="J870" s="168"/>
      <c r="K870" s="168"/>
      <c r="L870" s="168"/>
      <c r="M870" s="168"/>
      <c r="N870" s="168"/>
      <c r="O870" s="433"/>
      <c r="P870" s="122"/>
      <c r="Q870" s="156"/>
      <c r="R870" s="156"/>
      <c r="S870" s="156"/>
      <c r="T870" s="156"/>
      <c r="U870" s="156"/>
      <c r="V870" s="156"/>
      <c r="W870" s="156"/>
      <c r="X870" s="156"/>
      <c r="Y870" s="156"/>
      <c r="Z870" s="157"/>
      <c r="AA870" s="157"/>
      <c r="AB870" s="156"/>
      <c r="AC870" s="156"/>
      <c r="AD870" s="156"/>
      <c r="AE870" s="156"/>
      <c r="AF870" s="156"/>
      <c r="AG870" s="156"/>
      <c r="AH870" s="156"/>
      <c r="AI870" s="156"/>
      <c r="AJ870" s="156"/>
      <c r="AK870" s="156"/>
      <c r="AL870" s="156"/>
      <c r="AM870" s="158"/>
      <c r="AN870" s="156"/>
      <c r="AO870" s="156"/>
      <c r="AP870" s="156"/>
      <c r="AQ870" s="156"/>
      <c r="AR870" s="156"/>
      <c r="AS870" s="156"/>
      <c r="AT870" s="156"/>
      <c r="AU870" s="156"/>
      <c r="AV870" s="156"/>
      <c r="AW870" s="156"/>
      <c r="AX870" s="156"/>
      <c r="AY870" s="156"/>
      <c r="AZ870" s="156"/>
      <c r="BA870" s="153"/>
      <c r="BD870" s="153"/>
      <c r="BE870" s="147"/>
      <c r="BI870" s="153"/>
      <c r="BO870" s="153"/>
      <c r="BW870" s="153"/>
      <c r="CD870" s="146"/>
      <c r="CF870" s="147"/>
      <c r="CI870" s="146"/>
      <c r="CJ870" s="153"/>
      <c r="CV870" s="154"/>
      <c r="CX870" s="154"/>
      <c r="CZ870" s="154"/>
      <c r="DB870" s="154"/>
      <c r="DD870" s="154"/>
      <c r="DH870" s="474"/>
      <c r="DI870" s="459"/>
      <c r="DJ870" s="459"/>
      <c r="DK870" s="459"/>
      <c r="DL870" s="459"/>
      <c r="DM870" s="459"/>
      <c r="DN870" s="459"/>
      <c r="DO870" s="459"/>
      <c r="DP870" s="459"/>
      <c r="DQ870" s="459"/>
      <c r="DR870" s="459"/>
      <c r="DS870" s="459"/>
      <c r="DT870" s="459"/>
      <c r="DU870" s="459"/>
      <c r="DV870" s="468"/>
      <c r="DW870" s="468"/>
      <c r="DX870" s="459"/>
      <c r="DY870" s="459"/>
    </row>
    <row r="871" spans="1:129" s="128" customFormat="1" ht="54.95" customHeight="1" x14ac:dyDescent="0.25">
      <c r="A871" s="377"/>
      <c r="B871" s="175"/>
      <c r="C871" s="393"/>
      <c r="D871" s="168"/>
      <c r="E871" s="168"/>
      <c r="F871" s="168"/>
      <c r="G871" s="168"/>
      <c r="H871" s="168"/>
      <c r="I871" s="168"/>
      <c r="J871" s="168"/>
      <c r="K871" s="168"/>
      <c r="L871" s="168"/>
      <c r="M871" s="168"/>
      <c r="N871" s="168"/>
      <c r="O871" s="433"/>
      <c r="P871" s="122"/>
      <c r="Q871" s="156"/>
      <c r="R871" s="156"/>
      <c r="S871" s="156"/>
      <c r="T871" s="156"/>
      <c r="U871" s="156"/>
      <c r="V871" s="156"/>
      <c r="W871" s="156"/>
      <c r="X871" s="156"/>
      <c r="Y871" s="156"/>
      <c r="Z871" s="157"/>
      <c r="AA871" s="157"/>
      <c r="AB871" s="156"/>
      <c r="AC871" s="156"/>
      <c r="AD871" s="156"/>
      <c r="AE871" s="156"/>
      <c r="AF871" s="156"/>
      <c r="AG871" s="156"/>
      <c r="AH871" s="156"/>
      <c r="AI871" s="156"/>
      <c r="AJ871" s="156"/>
      <c r="AK871" s="156"/>
      <c r="AL871" s="156"/>
      <c r="AM871" s="158"/>
      <c r="AN871" s="156"/>
      <c r="AO871" s="156"/>
      <c r="AP871" s="156"/>
      <c r="AQ871" s="156"/>
      <c r="AR871" s="156"/>
      <c r="AS871" s="156"/>
      <c r="AT871" s="156"/>
      <c r="AU871" s="156"/>
      <c r="AV871" s="156"/>
      <c r="AW871" s="156"/>
      <c r="AX871" s="156"/>
      <c r="AY871" s="156"/>
      <c r="AZ871" s="156"/>
      <c r="BA871" s="153"/>
      <c r="BD871" s="153"/>
      <c r="BE871" s="147"/>
      <c r="BI871" s="153"/>
      <c r="BO871" s="153"/>
      <c r="BW871" s="153"/>
      <c r="CD871" s="146"/>
      <c r="CF871" s="147"/>
      <c r="CI871" s="146"/>
      <c r="CJ871" s="153"/>
      <c r="CV871" s="154"/>
      <c r="CX871" s="154"/>
      <c r="CZ871" s="154"/>
      <c r="DB871" s="154"/>
      <c r="DD871" s="154"/>
      <c r="DH871" s="474"/>
      <c r="DI871" s="459"/>
      <c r="DJ871" s="459"/>
      <c r="DK871" s="459"/>
      <c r="DL871" s="459"/>
      <c r="DM871" s="459"/>
      <c r="DN871" s="459"/>
      <c r="DO871" s="459"/>
      <c r="DP871" s="459"/>
      <c r="DQ871" s="459"/>
      <c r="DR871" s="459"/>
      <c r="DS871" s="459"/>
      <c r="DT871" s="459"/>
      <c r="DU871" s="459"/>
      <c r="DV871" s="468"/>
      <c r="DW871" s="468"/>
      <c r="DX871" s="459"/>
      <c r="DY871" s="459"/>
    </row>
    <row r="872" spans="1:129" s="128" customFormat="1" ht="54.95" customHeight="1" x14ac:dyDescent="0.25">
      <c r="A872" s="377"/>
      <c r="B872" s="175"/>
      <c r="C872" s="393"/>
      <c r="D872" s="168"/>
      <c r="E872" s="168"/>
      <c r="F872" s="168"/>
      <c r="G872" s="168"/>
      <c r="H872" s="168"/>
      <c r="I872" s="168"/>
      <c r="J872" s="168"/>
      <c r="K872" s="168"/>
      <c r="L872" s="168"/>
      <c r="M872" s="168"/>
      <c r="N872" s="168"/>
      <c r="O872" s="433"/>
      <c r="P872" s="122"/>
      <c r="Q872" s="156"/>
      <c r="R872" s="156"/>
      <c r="S872" s="156"/>
      <c r="T872" s="156"/>
      <c r="U872" s="156"/>
      <c r="V872" s="156"/>
      <c r="W872" s="156"/>
      <c r="X872" s="156"/>
      <c r="Y872" s="156"/>
      <c r="Z872" s="157"/>
      <c r="AA872" s="157"/>
      <c r="AB872" s="156"/>
      <c r="AC872" s="156"/>
      <c r="AD872" s="156"/>
      <c r="AE872" s="156"/>
      <c r="AF872" s="156"/>
      <c r="AG872" s="156"/>
      <c r="AH872" s="156"/>
      <c r="AI872" s="156"/>
      <c r="AJ872" s="156"/>
      <c r="AK872" s="156"/>
      <c r="AL872" s="156"/>
      <c r="AM872" s="158"/>
      <c r="AN872" s="156"/>
      <c r="AO872" s="156"/>
      <c r="AP872" s="156"/>
      <c r="AQ872" s="156"/>
      <c r="AR872" s="156"/>
      <c r="AS872" s="156"/>
      <c r="AT872" s="156"/>
      <c r="AU872" s="156"/>
      <c r="AV872" s="156"/>
      <c r="AW872" s="156"/>
      <c r="AX872" s="156"/>
      <c r="AY872" s="156"/>
      <c r="AZ872" s="156"/>
      <c r="BA872" s="153"/>
      <c r="BD872" s="153"/>
      <c r="BE872" s="147"/>
      <c r="BI872" s="153"/>
      <c r="BO872" s="153"/>
      <c r="BW872" s="153"/>
      <c r="CD872" s="146"/>
      <c r="CF872" s="147"/>
      <c r="CI872" s="146"/>
      <c r="CJ872" s="153"/>
      <c r="CV872" s="154"/>
      <c r="CX872" s="154"/>
      <c r="CZ872" s="154"/>
      <c r="DB872" s="154"/>
      <c r="DD872" s="154"/>
      <c r="DH872" s="474"/>
      <c r="DI872" s="459"/>
      <c r="DJ872" s="459"/>
      <c r="DK872" s="459"/>
      <c r="DL872" s="459"/>
      <c r="DM872" s="459"/>
      <c r="DN872" s="459"/>
      <c r="DO872" s="459"/>
      <c r="DP872" s="459"/>
      <c r="DQ872" s="459"/>
      <c r="DR872" s="459"/>
      <c r="DS872" s="459"/>
      <c r="DT872" s="459"/>
      <c r="DU872" s="459"/>
      <c r="DV872" s="468"/>
      <c r="DW872" s="468"/>
      <c r="DX872" s="459"/>
      <c r="DY872" s="459"/>
    </row>
    <row r="873" spans="1:129" s="128" customFormat="1" ht="54.95" customHeight="1" x14ac:dyDescent="0.25">
      <c r="A873" s="377"/>
      <c r="B873" s="175"/>
      <c r="C873" s="393"/>
      <c r="D873" s="168"/>
      <c r="E873" s="168"/>
      <c r="F873" s="168"/>
      <c r="G873" s="168"/>
      <c r="H873" s="168"/>
      <c r="I873" s="168"/>
      <c r="J873" s="168"/>
      <c r="K873" s="168"/>
      <c r="L873" s="168"/>
      <c r="M873" s="168"/>
      <c r="N873" s="168"/>
      <c r="O873" s="433"/>
      <c r="P873" s="122"/>
      <c r="Q873" s="156"/>
      <c r="R873" s="156"/>
      <c r="S873" s="156"/>
      <c r="T873" s="156"/>
      <c r="U873" s="156"/>
      <c r="V873" s="156"/>
      <c r="W873" s="156"/>
      <c r="X873" s="156"/>
      <c r="Y873" s="156"/>
      <c r="Z873" s="157"/>
      <c r="AA873" s="157"/>
      <c r="AB873" s="156"/>
      <c r="AC873" s="156"/>
      <c r="AD873" s="156"/>
      <c r="AE873" s="156"/>
      <c r="AF873" s="156"/>
      <c r="AG873" s="156"/>
      <c r="AH873" s="156"/>
      <c r="AI873" s="156"/>
      <c r="AJ873" s="156"/>
      <c r="AK873" s="156"/>
      <c r="AL873" s="156"/>
      <c r="AM873" s="158"/>
      <c r="AN873" s="156"/>
      <c r="AO873" s="156"/>
      <c r="AP873" s="156"/>
      <c r="AQ873" s="156"/>
      <c r="AR873" s="156"/>
      <c r="AS873" s="156"/>
      <c r="AT873" s="156"/>
      <c r="AU873" s="156"/>
      <c r="AV873" s="156"/>
      <c r="AW873" s="156"/>
      <c r="AX873" s="156"/>
      <c r="AY873" s="156"/>
      <c r="AZ873" s="156"/>
      <c r="BA873" s="153"/>
      <c r="BD873" s="153"/>
      <c r="BE873" s="147"/>
      <c r="BI873" s="153"/>
      <c r="BO873" s="153"/>
      <c r="BW873" s="153"/>
      <c r="CD873" s="146"/>
      <c r="CF873" s="147"/>
      <c r="CI873" s="146"/>
      <c r="CJ873" s="153"/>
      <c r="CV873" s="154"/>
      <c r="CX873" s="154"/>
      <c r="CZ873" s="154"/>
      <c r="DB873" s="154"/>
      <c r="DD873" s="154"/>
      <c r="DH873" s="474"/>
      <c r="DI873" s="459"/>
      <c r="DJ873" s="459"/>
      <c r="DK873" s="459"/>
      <c r="DL873" s="459"/>
      <c r="DM873" s="459"/>
      <c r="DN873" s="459"/>
      <c r="DO873" s="459"/>
      <c r="DP873" s="459"/>
      <c r="DQ873" s="459"/>
      <c r="DR873" s="459"/>
      <c r="DS873" s="459"/>
      <c r="DT873" s="459"/>
      <c r="DU873" s="459"/>
      <c r="DV873" s="468"/>
      <c r="DW873" s="468"/>
      <c r="DX873" s="459"/>
      <c r="DY873" s="459"/>
    </row>
    <row r="874" spans="1:129" s="128" customFormat="1" ht="54.95" customHeight="1" x14ac:dyDescent="0.25">
      <c r="A874" s="377"/>
      <c r="B874" s="175"/>
      <c r="C874" s="393"/>
      <c r="D874" s="168"/>
      <c r="E874" s="168"/>
      <c r="F874" s="168"/>
      <c r="G874" s="168"/>
      <c r="H874" s="168"/>
      <c r="I874" s="168"/>
      <c r="J874" s="168"/>
      <c r="K874" s="168"/>
      <c r="L874" s="168"/>
      <c r="M874" s="168"/>
      <c r="N874" s="168"/>
      <c r="O874" s="433"/>
      <c r="P874" s="122"/>
      <c r="Q874" s="156"/>
      <c r="R874" s="156"/>
      <c r="S874" s="156"/>
      <c r="T874" s="156"/>
      <c r="U874" s="156"/>
      <c r="V874" s="156"/>
      <c r="W874" s="156"/>
      <c r="X874" s="156"/>
      <c r="Y874" s="156"/>
      <c r="Z874" s="157"/>
      <c r="AA874" s="157"/>
      <c r="AB874" s="156"/>
      <c r="AC874" s="156"/>
      <c r="AD874" s="156"/>
      <c r="AE874" s="156"/>
      <c r="AF874" s="156"/>
      <c r="AG874" s="156"/>
      <c r="AH874" s="156"/>
      <c r="AI874" s="156"/>
      <c r="AJ874" s="156"/>
      <c r="AK874" s="156"/>
      <c r="AL874" s="156"/>
      <c r="AM874" s="158"/>
      <c r="AN874" s="156"/>
      <c r="AO874" s="156"/>
      <c r="AP874" s="156"/>
      <c r="AQ874" s="156"/>
      <c r="AR874" s="156"/>
      <c r="AS874" s="156"/>
      <c r="AT874" s="156"/>
      <c r="AU874" s="156"/>
      <c r="AV874" s="156"/>
      <c r="AW874" s="156"/>
      <c r="AX874" s="156"/>
      <c r="AY874" s="156"/>
      <c r="AZ874" s="156"/>
      <c r="BA874" s="153"/>
      <c r="BD874" s="153"/>
      <c r="BE874" s="147"/>
      <c r="BI874" s="153"/>
      <c r="BO874" s="153"/>
      <c r="BW874" s="153"/>
      <c r="CD874" s="146"/>
      <c r="CF874" s="147"/>
      <c r="CI874" s="146"/>
      <c r="CJ874" s="153"/>
      <c r="CV874" s="154"/>
      <c r="CX874" s="154"/>
      <c r="CZ874" s="154"/>
      <c r="DB874" s="154"/>
      <c r="DD874" s="154"/>
      <c r="DH874" s="474"/>
      <c r="DI874" s="459"/>
      <c r="DJ874" s="459"/>
      <c r="DK874" s="459"/>
      <c r="DL874" s="459"/>
      <c r="DM874" s="459"/>
      <c r="DN874" s="459"/>
      <c r="DO874" s="459"/>
      <c r="DP874" s="459"/>
      <c r="DQ874" s="459"/>
      <c r="DR874" s="459"/>
      <c r="DS874" s="459"/>
      <c r="DT874" s="459"/>
      <c r="DU874" s="459"/>
      <c r="DV874" s="468"/>
      <c r="DW874" s="468"/>
      <c r="DX874" s="459"/>
      <c r="DY874" s="459"/>
    </row>
    <row r="875" spans="1:129" s="128" customFormat="1" ht="54.95" customHeight="1" x14ac:dyDescent="0.25">
      <c r="A875" s="377"/>
      <c r="B875" s="175"/>
      <c r="C875" s="393"/>
      <c r="D875" s="168"/>
      <c r="E875" s="168"/>
      <c r="F875" s="168"/>
      <c r="G875" s="168"/>
      <c r="H875" s="168"/>
      <c r="I875" s="168"/>
      <c r="J875" s="168"/>
      <c r="K875" s="168"/>
      <c r="L875" s="168"/>
      <c r="M875" s="168"/>
      <c r="N875" s="168"/>
      <c r="O875" s="433"/>
      <c r="P875" s="122"/>
      <c r="Q875" s="156"/>
      <c r="R875" s="156"/>
      <c r="S875" s="156"/>
      <c r="T875" s="156"/>
      <c r="U875" s="156"/>
      <c r="V875" s="156"/>
      <c r="W875" s="156"/>
      <c r="X875" s="156"/>
      <c r="Y875" s="156"/>
      <c r="Z875" s="157"/>
      <c r="AA875" s="157"/>
      <c r="AB875" s="156"/>
      <c r="AC875" s="156"/>
      <c r="AD875" s="156"/>
      <c r="AE875" s="156"/>
      <c r="AF875" s="156"/>
      <c r="AG875" s="156"/>
      <c r="AH875" s="156"/>
      <c r="AI875" s="156"/>
      <c r="AJ875" s="156"/>
      <c r="AK875" s="156"/>
      <c r="AL875" s="156"/>
      <c r="AM875" s="158"/>
      <c r="AN875" s="156"/>
      <c r="AO875" s="156"/>
      <c r="AP875" s="156"/>
      <c r="AQ875" s="156"/>
      <c r="AR875" s="156"/>
      <c r="AS875" s="156"/>
      <c r="AT875" s="156"/>
      <c r="AU875" s="156"/>
      <c r="AV875" s="156"/>
      <c r="AW875" s="156"/>
      <c r="AX875" s="156"/>
      <c r="AY875" s="156"/>
      <c r="AZ875" s="156"/>
      <c r="BA875" s="153"/>
      <c r="BD875" s="153"/>
      <c r="BE875" s="147"/>
      <c r="BI875" s="153"/>
      <c r="BO875" s="153"/>
      <c r="BW875" s="153"/>
      <c r="CD875" s="146"/>
      <c r="CF875" s="147"/>
      <c r="CI875" s="146"/>
      <c r="CJ875" s="153"/>
      <c r="CV875" s="154"/>
      <c r="CX875" s="154"/>
      <c r="CZ875" s="154"/>
      <c r="DB875" s="154"/>
      <c r="DD875" s="154"/>
      <c r="DH875" s="474"/>
      <c r="DI875" s="459"/>
      <c r="DJ875" s="459"/>
      <c r="DK875" s="459"/>
      <c r="DL875" s="459"/>
      <c r="DM875" s="459"/>
      <c r="DN875" s="459"/>
      <c r="DO875" s="459"/>
      <c r="DP875" s="459"/>
      <c r="DQ875" s="459"/>
      <c r="DR875" s="459"/>
      <c r="DS875" s="459"/>
      <c r="DT875" s="459"/>
      <c r="DU875" s="459"/>
      <c r="DV875" s="468"/>
      <c r="DW875" s="468"/>
      <c r="DX875" s="459"/>
      <c r="DY875" s="459"/>
    </row>
    <row r="876" spans="1:129" s="128" customFormat="1" ht="54.95" customHeight="1" x14ac:dyDescent="0.25">
      <c r="A876" s="377"/>
      <c r="B876" s="175"/>
      <c r="C876" s="393"/>
      <c r="D876" s="168"/>
      <c r="E876" s="168"/>
      <c r="F876" s="168"/>
      <c r="G876" s="168"/>
      <c r="H876" s="168"/>
      <c r="I876" s="168"/>
      <c r="J876" s="168"/>
      <c r="K876" s="168"/>
      <c r="L876" s="168"/>
      <c r="M876" s="168"/>
      <c r="N876" s="168"/>
      <c r="O876" s="433"/>
      <c r="P876" s="122"/>
      <c r="Q876" s="156"/>
      <c r="R876" s="156"/>
      <c r="S876" s="156"/>
      <c r="T876" s="156"/>
      <c r="U876" s="156"/>
      <c r="V876" s="156"/>
      <c r="W876" s="156"/>
      <c r="X876" s="156"/>
      <c r="Y876" s="156"/>
      <c r="Z876" s="157"/>
      <c r="AA876" s="157"/>
      <c r="AB876" s="156"/>
      <c r="AC876" s="156"/>
      <c r="AD876" s="156"/>
      <c r="AE876" s="156"/>
      <c r="AF876" s="156"/>
      <c r="AG876" s="156"/>
      <c r="AH876" s="156"/>
      <c r="AI876" s="156"/>
      <c r="AJ876" s="156"/>
      <c r="AK876" s="156"/>
      <c r="AL876" s="156"/>
      <c r="AM876" s="158"/>
      <c r="AN876" s="156"/>
      <c r="AO876" s="156"/>
      <c r="AP876" s="156"/>
      <c r="AQ876" s="156"/>
      <c r="AR876" s="156"/>
      <c r="AS876" s="156"/>
      <c r="AT876" s="156"/>
      <c r="AU876" s="156"/>
      <c r="AV876" s="156"/>
      <c r="AW876" s="156"/>
      <c r="AX876" s="156"/>
      <c r="AY876" s="156"/>
      <c r="AZ876" s="156"/>
      <c r="BA876" s="153"/>
      <c r="BD876" s="153"/>
      <c r="BE876" s="147"/>
      <c r="BI876" s="153"/>
      <c r="BO876" s="153"/>
      <c r="BW876" s="153"/>
      <c r="CD876" s="146"/>
      <c r="CF876" s="147"/>
      <c r="CI876" s="146"/>
      <c r="CJ876" s="153"/>
      <c r="CV876" s="154"/>
      <c r="CX876" s="154"/>
      <c r="CZ876" s="154"/>
      <c r="DB876" s="154"/>
      <c r="DD876" s="154"/>
      <c r="DH876" s="474"/>
      <c r="DI876" s="459"/>
      <c r="DJ876" s="459"/>
      <c r="DK876" s="459"/>
      <c r="DL876" s="459"/>
      <c r="DM876" s="459"/>
      <c r="DN876" s="459"/>
      <c r="DO876" s="459"/>
      <c r="DP876" s="459"/>
      <c r="DQ876" s="459"/>
      <c r="DR876" s="459"/>
      <c r="DS876" s="459"/>
      <c r="DT876" s="459"/>
      <c r="DU876" s="459"/>
      <c r="DV876" s="468"/>
      <c r="DW876" s="468"/>
      <c r="DX876" s="459"/>
      <c r="DY876" s="459"/>
    </row>
    <row r="877" spans="1:129" s="128" customFormat="1" ht="54.95" customHeight="1" x14ac:dyDescent="0.25">
      <c r="A877" s="377"/>
      <c r="B877" s="175"/>
      <c r="C877" s="393"/>
      <c r="D877" s="168"/>
      <c r="E877" s="168"/>
      <c r="F877" s="168"/>
      <c r="G877" s="168"/>
      <c r="H877" s="168"/>
      <c r="I877" s="168"/>
      <c r="J877" s="168"/>
      <c r="K877" s="168"/>
      <c r="L877" s="168"/>
      <c r="M877" s="168"/>
      <c r="N877" s="168"/>
      <c r="O877" s="433"/>
      <c r="P877" s="122"/>
      <c r="Q877" s="156"/>
      <c r="R877" s="156"/>
      <c r="S877" s="156"/>
      <c r="T877" s="156"/>
      <c r="U877" s="156"/>
      <c r="V877" s="156"/>
      <c r="W877" s="156"/>
      <c r="X877" s="156"/>
      <c r="Y877" s="156"/>
      <c r="Z877" s="157"/>
      <c r="AA877" s="157"/>
      <c r="AB877" s="156"/>
      <c r="AC877" s="156"/>
      <c r="AD877" s="156"/>
      <c r="AE877" s="156"/>
      <c r="AF877" s="156"/>
      <c r="AG877" s="156"/>
      <c r="AH877" s="156"/>
      <c r="AI877" s="156"/>
      <c r="AJ877" s="156"/>
      <c r="AK877" s="156"/>
      <c r="AL877" s="156"/>
      <c r="AM877" s="158"/>
      <c r="AN877" s="156"/>
      <c r="AO877" s="156"/>
      <c r="AP877" s="156"/>
      <c r="AQ877" s="156"/>
      <c r="AR877" s="156"/>
      <c r="AS877" s="156"/>
      <c r="AT877" s="156"/>
      <c r="AU877" s="156"/>
      <c r="AV877" s="156"/>
      <c r="AW877" s="156"/>
      <c r="AX877" s="156"/>
      <c r="AY877" s="156"/>
      <c r="AZ877" s="156"/>
      <c r="BA877" s="153"/>
      <c r="BD877" s="153"/>
      <c r="BE877" s="147"/>
      <c r="BI877" s="153"/>
      <c r="BO877" s="153"/>
      <c r="BW877" s="153"/>
      <c r="CD877" s="146"/>
      <c r="CF877" s="147"/>
      <c r="CI877" s="146"/>
      <c r="CJ877" s="153"/>
      <c r="CV877" s="154"/>
      <c r="CX877" s="154"/>
      <c r="CZ877" s="154"/>
      <c r="DB877" s="154"/>
      <c r="DD877" s="154"/>
      <c r="DH877" s="474"/>
      <c r="DI877" s="459"/>
      <c r="DJ877" s="459"/>
      <c r="DK877" s="459"/>
      <c r="DL877" s="459"/>
      <c r="DM877" s="459"/>
      <c r="DN877" s="459"/>
      <c r="DO877" s="459"/>
      <c r="DP877" s="459"/>
      <c r="DQ877" s="459"/>
      <c r="DR877" s="459"/>
      <c r="DS877" s="459"/>
      <c r="DT877" s="459"/>
      <c r="DU877" s="459"/>
      <c r="DV877" s="468"/>
      <c r="DW877" s="468"/>
      <c r="DX877" s="459"/>
      <c r="DY877" s="459"/>
    </row>
    <row r="878" spans="1:129" s="128" customFormat="1" ht="54.95" customHeight="1" x14ac:dyDescent="0.25">
      <c r="A878" s="377"/>
      <c r="B878" s="175"/>
      <c r="C878" s="393"/>
      <c r="D878" s="168"/>
      <c r="E878" s="168"/>
      <c r="F878" s="168"/>
      <c r="G878" s="168"/>
      <c r="H878" s="168"/>
      <c r="I878" s="168"/>
      <c r="J878" s="168"/>
      <c r="K878" s="168"/>
      <c r="L878" s="168"/>
      <c r="M878" s="168"/>
      <c r="N878" s="168"/>
      <c r="O878" s="433"/>
      <c r="P878" s="122"/>
      <c r="Q878" s="156"/>
      <c r="R878" s="156"/>
      <c r="S878" s="156"/>
      <c r="T878" s="156"/>
      <c r="U878" s="156"/>
      <c r="V878" s="156"/>
      <c r="W878" s="156"/>
      <c r="X878" s="156"/>
      <c r="Y878" s="156"/>
      <c r="Z878" s="157"/>
      <c r="AA878" s="157"/>
      <c r="AB878" s="156"/>
      <c r="AC878" s="156"/>
      <c r="AD878" s="156"/>
      <c r="AE878" s="156"/>
      <c r="AF878" s="156"/>
      <c r="AG878" s="156"/>
      <c r="AH878" s="156"/>
      <c r="AI878" s="156"/>
      <c r="AJ878" s="156"/>
      <c r="AK878" s="156"/>
      <c r="AL878" s="156"/>
      <c r="AM878" s="158"/>
      <c r="AN878" s="156"/>
      <c r="AO878" s="156"/>
      <c r="AP878" s="156"/>
      <c r="AQ878" s="156"/>
      <c r="AR878" s="156"/>
      <c r="AS878" s="156"/>
      <c r="AT878" s="156"/>
      <c r="AU878" s="156"/>
      <c r="AV878" s="156"/>
      <c r="AW878" s="156"/>
      <c r="AX878" s="156"/>
      <c r="AY878" s="156"/>
      <c r="AZ878" s="156"/>
      <c r="BA878" s="153"/>
      <c r="BD878" s="153"/>
      <c r="BE878" s="147"/>
      <c r="BI878" s="153"/>
      <c r="BO878" s="153"/>
      <c r="BW878" s="153"/>
      <c r="CD878" s="146"/>
      <c r="CF878" s="147"/>
      <c r="CI878" s="146"/>
      <c r="CJ878" s="153"/>
      <c r="CV878" s="154"/>
      <c r="CX878" s="154"/>
      <c r="CZ878" s="154"/>
      <c r="DB878" s="154"/>
      <c r="DD878" s="154"/>
      <c r="DH878" s="474"/>
      <c r="DI878" s="459"/>
      <c r="DJ878" s="459"/>
      <c r="DK878" s="459"/>
      <c r="DL878" s="459"/>
      <c r="DM878" s="459"/>
      <c r="DN878" s="459"/>
      <c r="DO878" s="459"/>
      <c r="DP878" s="459"/>
      <c r="DQ878" s="459"/>
      <c r="DR878" s="459"/>
      <c r="DS878" s="459"/>
      <c r="DT878" s="459"/>
      <c r="DU878" s="459"/>
      <c r="DV878" s="468"/>
      <c r="DW878" s="468"/>
      <c r="DX878" s="459"/>
      <c r="DY878" s="459"/>
    </row>
    <row r="879" spans="1:129" s="128" customFormat="1" ht="54.95" customHeight="1" x14ac:dyDescent="0.25">
      <c r="A879" s="377"/>
      <c r="B879" s="175"/>
      <c r="C879" s="393"/>
      <c r="D879" s="168"/>
      <c r="E879" s="168"/>
      <c r="F879" s="168"/>
      <c r="G879" s="168"/>
      <c r="H879" s="168"/>
      <c r="I879" s="168"/>
      <c r="J879" s="168"/>
      <c r="K879" s="168"/>
      <c r="L879" s="168"/>
      <c r="M879" s="168"/>
      <c r="N879" s="168"/>
      <c r="O879" s="433"/>
      <c r="P879" s="122"/>
      <c r="Q879" s="156"/>
      <c r="R879" s="156"/>
      <c r="S879" s="156"/>
      <c r="T879" s="156"/>
      <c r="U879" s="156"/>
      <c r="V879" s="156"/>
      <c r="W879" s="156"/>
      <c r="X879" s="156"/>
      <c r="Y879" s="156"/>
      <c r="Z879" s="157"/>
      <c r="AA879" s="157"/>
      <c r="AB879" s="156"/>
      <c r="AC879" s="156"/>
      <c r="AD879" s="156"/>
      <c r="AE879" s="156"/>
      <c r="AF879" s="156"/>
      <c r="AG879" s="156"/>
      <c r="AH879" s="156"/>
      <c r="AI879" s="156"/>
      <c r="AJ879" s="156"/>
      <c r="AK879" s="156"/>
      <c r="AL879" s="156"/>
      <c r="AM879" s="158"/>
      <c r="AN879" s="156"/>
      <c r="AO879" s="156"/>
      <c r="AP879" s="156"/>
      <c r="AQ879" s="156"/>
      <c r="AR879" s="156"/>
      <c r="AS879" s="156"/>
      <c r="AT879" s="156"/>
      <c r="AU879" s="156"/>
      <c r="AV879" s="156"/>
      <c r="AW879" s="156"/>
      <c r="AX879" s="156"/>
      <c r="AY879" s="156"/>
      <c r="AZ879" s="156"/>
      <c r="BA879" s="153"/>
      <c r="BD879" s="153"/>
      <c r="BE879" s="147"/>
      <c r="BI879" s="153"/>
      <c r="BO879" s="153"/>
      <c r="BW879" s="153"/>
      <c r="CD879" s="146"/>
      <c r="CF879" s="147"/>
      <c r="CI879" s="146"/>
      <c r="CJ879" s="153"/>
      <c r="CV879" s="154"/>
      <c r="CX879" s="154"/>
      <c r="CZ879" s="154"/>
      <c r="DB879" s="154"/>
      <c r="DD879" s="154"/>
      <c r="DH879" s="474"/>
      <c r="DI879" s="459"/>
      <c r="DJ879" s="459"/>
      <c r="DK879" s="459"/>
      <c r="DL879" s="459"/>
      <c r="DM879" s="459"/>
      <c r="DN879" s="459"/>
      <c r="DO879" s="459"/>
      <c r="DP879" s="459"/>
      <c r="DQ879" s="459"/>
      <c r="DR879" s="459"/>
      <c r="DS879" s="459"/>
      <c r="DT879" s="459"/>
      <c r="DU879" s="459"/>
      <c r="DV879" s="468"/>
      <c r="DW879" s="468"/>
      <c r="DX879" s="459"/>
      <c r="DY879" s="459"/>
    </row>
    <row r="880" spans="1:129" s="128" customFormat="1" ht="54.95" customHeight="1" x14ac:dyDescent="0.25">
      <c r="A880" s="377"/>
      <c r="B880" s="175"/>
      <c r="C880" s="393"/>
      <c r="D880" s="168"/>
      <c r="E880" s="168"/>
      <c r="F880" s="168"/>
      <c r="G880" s="168"/>
      <c r="H880" s="168"/>
      <c r="I880" s="168"/>
      <c r="J880" s="168"/>
      <c r="K880" s="168"/>
      <c r="L880" s="168"/>
      <c r="M880" s="168"/>
      <c r="N880" s="168"/>
      <c r="O880" s="433"/>
      <c r="P880" s="122"/>
      <c r="Q880" s="156"/>
      <c r="R880" s="156"/>
      <c r="S880" s="156"/>
      <c r="T880" s="156"/>
      <c r="U880" s="156"/>
      <c r="V880" s="156"/>
      <c r="W880" s="156"/>
      <c r="X880" s="156"/>
      <c r="Y880" s="156"/>
      <c r="Z880" s="157"/>
      <c r="AA880" s="157"/>
      <c r="AB880" s="156"/>
      <c r="AC880" s="156"/>
      <c r="AD880" s="156"/>
      <c r="AE880" s="156"/>
      <c r="AF880" s="156"/>
      <c r="AG880" s="156"/>
      <c r="AH880" s="156"/>
      <c r="AI880" s="156"/>
      <c r="AJ880" s="156"/>
      <c r="AK880" s="156"/>
      <c r="AL880" s="156"/>
      <c r="AM880" s="158"/>
      <c r="AN880" s="156"/>
      <c r="AO880" s="156"/>
      <c r="AP880" s="156"/>
      <c r="AQ880" s="156"/>
      <c r="AR880" s="156"/>
      <c r="AS880" s="156"/>
      <c r="AT880" s="156"/>
      <c r="AU880" s="156"/>
      <c r="AV880" s="156"/>
      <c r="AW880" s="156"/>
      <c r="AX880" s="156"/>
      <c r="AY880" s="156"/>
      <c r="AZ880" s="156"/>
      <c r="BA880" s="153"/>
      <c r="BD880" s="153"/>
      <c r="BE880" s="147"/>
      <c r="BI880" s="153"/>
      <c r="BO880" s="153"/>
      <c r="BW880" s="153"/>
      <c r="CD880" s="146"/>
      <c r="CF880" s="147"/>
      <c r="CI880" s="146"/>
      <c r="CJ880" s="153"/>
      <c r="CV880" s="154"/>
      <c r="CX880" s="154"/>
      <c r="CZ880" s="154"/>
      <c r="DB880" s="154"/>
      <c r="DD880" s="154"/>
      <c r="DH880" s="474"/>
      <c r="DI880" s="459"/>
      <c r="DJ880" s="459"/>
      <c r="DK880" s="459"/>
      <c r="DL880" s="459"/>
      <c r="DM880" s="459"/>
      <c r="DN880" s="459"/>
      <c r="DO880" s="459"/>
      <c r="DP880" s="459"/>
      <c r="DQ880" s="459"/>
      <c r="DR880" s="459"/>
      <c r="DS880" s="459"/>
      <c r="DT880" s="459"/>
      <c r="DU880" s="459"/>
      <c r="DV880" s="468"/>
      <c r="DW880" s="468"/>
      <c r="DX880" s="459"/>
      <c r="DY880" s="459"/>
    </row>
    <row r="881" spans="1:129" s="128" customFormat="1" ht="54.95" customHeight="1" x14ac:dyDescent="0.25">
      <c r="A881" s="377"/>
      <c r="B881" s="175"/>
      <c r="C881" s="393"/>
      <c r="D881" s="168"/>
      <c r="E881" s="168"/>
      <c r="F881" s="168"/>
      <c r="G881" s="168"/>
      <c r="H881" s="168"/>
      <c r="I881" s="168"/>
      <c r="J881" s="168"/>
      <c r="K881" s="168"/>
      <c r="L881" s="168"/>
      <c r="M881" s="168"/>
      <c r="N881" s="168"/>
      <c r="O881" s="433"/>
      <c r="P881" s="122"/>
      <c r="Q881" s="156"/>
      <c r="R881" s="156"/>
      <c r="S881" s="156"/>
      <c r="T881" s="156"/>
      <c r="U881" s="156"/>
      <c r="V881" s="156"/>
      <c r="W881" s="156"/>
      <c r="X881" s="156"/>
      <c r="Y881" s="156"/>
      <c r="Z881" s="157"/>
      <c r="AA881" s="157"/>
      <c r="AB881" s="156"/>
      <c r="AC881" s="156"/>
      <c r="AD881" s="156"/>
      <c r="AE881" s="156"/>
      <c r="AF881" s="156"/>
      <c r="AG881" s="156"/>
      <c r="AH881" s="156"/>
      <c r="AI881" s="156"/>
      <c r="AJ881" s="156"/>
      <c r="AK881" s="156"/>
      <c r="AL881" s="156"/>
      <c r="AM881" s="158"/>
      <c r="AN881" s="156"/>
      <c r="AO881" s="156"/>
      <c r="AP881" s="156"/>
      <c r="AQ881" s="156"/>
      <c r="AR881" s="156"/>
      <c r="AS881" s="156"/>
      <c r="AT881" s="156"/>
      <c r="AU881" s="156"/>
      <c r="AV881" s="156"/>
      <c r="AW881" s="156"/>
      <c r="AX881" s="156"/>
      <c r="AY881" s="156"/>
      <c r="AZ881" s="156"/>
      <c r="BA881" s="153"/>
      <c r="BD881" s="153"/>
      <c r="BE881" s="147"/>
      <c r="BI881" s="153"/>
      <c r="BO881" s="153"/>
      <c r="BW881" s="153"/>
      <c r="CD881" s="146"/>
      <c r="CF881" s="147"/>
      <c r="CI881" s="146"/>
      <c r="CJ881" s="153"/>
      <c r="CV881" s="154"/>
      <c r="CX881" s="154"/>
      <c r="CZ881" s="154"/>
      <c r="DB881" s="154"/>
      <c r="DD881" s="154"/>
      <c r="DH881" s="474"/>
      <c r="DI881" s="459"/>
      <c r="DJ881" s="459"/>
      <c r="DK881" s="459"/>
      <c r="DL881" s="459"/>
      <c r="DM881" s="459"/>
      <c r="DN881" s="459"/>
      <c r="DO881" s="459"/>
      <c r="DP881" s="459"/>
      <c r="DQ881" s="459"/>
      <c r="DR881" s="459"/>
      <c r="DS881" s="459"/>
      <c r="DT881" s="459"/>
      <c r="DU881" s="459"/>
      <c r="DV881" s="468"/>
      <c r="DW881" s="468"/>
      <c r="DX881" s="459"/>
      <c r="DY881" s="459"/>
    </row>
    <row r="882" spans="1:129" s="128" customFormat="1" ht="54.95" customHeight="1" x14ac:dyDescent="0.25">
      <c r="A882" s="377"/>
      <c r="B882" s="175"/>
      <c r="C882" s="393"/>
      <c r="D882" s="168"/>
      <c r="E882" s="168"/>
      <c r="F882" s="168"/>
      <c r="G882" s="168"/>
      <c r="H882" s="168"/>
      <c r="I882" s="168"/>
      <c r="J882" s="168"/>
      <c r="K882" s="168"/>
      <c r="L882" s="168"/>
      <c r="M882" s="168"/>
      <c r="N882" s="168"/>
      <c r="O882" s="433"/>
      <c r="P882" s="122"/>
      <c r="Q882" s="156"/>
      <c r="R882" s="156"/>
      <c r="S882" s="156"/>
      <c r="T882" s="156"/>
      <c r="U882" s="156"/>
      <c r="V882" s="156"/>
      <c r="W882" s="156"/>
      <c r="X882" s="156"/>
      <c r="Y882" s="156"/>
      <c r="Z882" s="157"/>
      <c r="AA882" s="157"/>
      <c r="AB882" s="156"/>
      <c r="AC882" s="156"/>
      <c r="AD882" s="156"/>
      <c r="AE882" s="156"/>
      <c r="AF882" s="156"/>
      <c r="AG882" s="156"/>
      <c r="AH882" s="156"/>
      <c r="AI882" s="156"/>
      <c r="AJ882" s="156"/>
      <c r="AK882" s="156"/>
      <c r="AL882" s="156"/>
      <c r="AM882" s="158"/>
      <c r="AN882" s="156"/>
      <c r="AO882" s="156"/>
      <c r="AP882" s="156"/>
      <c r="AQ882" s="156"/>
      <c r="AR882" s="156"/>
      <c r="AS882" s="156"/>
      <c r="AT882" s="156"/>
      <c r="AU882" s="156"/>
      <c r="AV882" s="156"/>
      <c r="AW882" s="156"/>
      <c r="AX882" s="156"/>
      <c r="AY882" s="156"/>
      <c r="AZ882" s="156"/>
      <c r="BA882" s="153"/>
      <c r="BD882" s="153"/>
      <c r="BE882" s="147"/>
      <c r="BI882" s="153"/>
      <c r="BO882" s="153"/>
      <c r="BW882" s="153"/>
      <c r="CD882" s="146"/>
      <c r="CF882" s="147"/>
      <c r="CI882" s="146"/>
      <c r="CJ882" s="153"/>
      <c r="CV882" s="154"/>
      <c r="CX882" s="154"/>
      <c r="CZ882" s="154"/>
      <c r="DB882" s="154"/>
      <c r="DD882" s="154"/>
      <c r="DH882" s="474"/>
      <c r="DI882" s="459"/>
      <c r="DJ882" s="459"/>
      <c r="DK882" s="459"/>
      <c r="DL882" s="459"/>
      <c r="DM882" s="459"/>
      <c r="DN882" s="459"/>
      <c r="DO882" s="459"/>
      <c r="DP882" s="459"/>
      <c r="DQ882" s="459"/>
      <c r="DR882" s="459"/>
      <c r="DS882" s="459"/>
      <c r="DT882" s="459"/>
      <c r="DU882" s="459"/>
      <c r="DV882" s="468"/>
      <c r="DW882" s="468"/>
      <c r="DX882" s="459"/>
      <c r="DY882" s="459"/>
    </row>
    <row r="883" spans="1:129" s="128" customFormat="1" ht="54.95" customHeight="1" x14ac:dyDescent="0.25">
      <c r="A883" s="377"/>
      <c r="B883" s="175"/>
      <c r="C883" s="393"/>
      <c r="D883" s="168"/>
      <c r="E883" s="168"/>
      <c r="F883" s="168"/>
      <c r="G883" s="168"/>
      <c r="H883" s="168"/>
      <c r="I883" s="168"/>
      <c r="J883" s="168"/>
      <c r="K883" s="168"/>
      <c r="L883" s="168"/>
      <c r="M883" s="168"/>
      <c r="N883" s="168"/>
      <c r="O883" s="433"/>
      <c r="P883" s="122"/>
      <c r="Q883" s="156"/>
      <c r="R883" s="156"/>
      <c r="S883" s="156"/>
      <c r="T883" s="156"/>
      <c r="U883" s="156"/>
      <c r="V883" s="156"/>
      <c r="W883" s="156"/>
      <c r="X883" s="156"/>
      <c r="Y883" s="156"/>
      <c r="Z883" s="157"/>
      <c r="AA883" s="157"/>
      <c r="AB883" s="156"/>
      <c r="AC883" s="156"/>
      <c r="AD883" s="156"/>
      <c r="AE883" s="156"/>
      <c r="AF883" s="156"/>
      <c r="AG883" s="156"/>
      <c r="AH883" s="156"/>
      <c r="AI883" s="156"/>
      <c r="AJ883" s="156"/>
      <c r="AK883" s="156"/>
      <c r="AL883" s="156"/>
      <c r="AM883" s="158"/>
      <c r="AN883" s="156"/>
      <c r="AO883" s="156"/>
      <c r="AP883" s="156"/>
      <c r="AQ883" s="156"/>
      <c r="AR883" s="156"/>
      <c r="AS883" s="156"/>
      <c r="AT883" s="156"/>
      <c r="AU883" s="156"/>
      <c r="AV883" s="156"/>
      <c r="AW883" s="156"/>
      <c r="AX883" s="156"/>
      <c r="AY883" s="156"/>
      <c r="AZ883" s="156"/>
      <c r="BA883" s="153"/>
      <c r="BD883" s="153"/>
      <c r="BE883" s="147"/>
      <c r="BI883" s="153"/>
      <c r="BO883" s="153"/>
      <c r="BW883" s="153"/>
      <c r="CD883" s="146"/>
      <c r="CF883" s="147"/>
      <c r="CI883" s="146"/>
      <c r="CJ883" s="153"/>
      <c r="CV883" s="154"/>
      <c r="CX883" s="154"/>
      <c r="CZ883" s="154"/>
      <c r="DB883" s="154"/>
      <c r="DD883" s="154"/>
      <c r="DH883" s="474"/>
      <c r="DI883" s="459"/>
      <c r="DJ883" s="459"/>
      <c r="DK883" s="459"/>
      <c r="DL883" s="459"/>
      <c r="DM883" s="459"/>
      <c r="DN883" s="459"/>
      <c r="DO883" s="459"/>
      <c r="DP883" s="459"/>
      <c r="DQ883" s="459"/>
      <c r="DR883" s="459"/>
      <c r="DS883" s="459"/>
      <c r="DT883" s="459"/>
      <c r="DU883" s="459"/>
      <c r="DV883" s="468"/>
      <c r="DW883" s="468"/>
      <c r="DX883" s="459"/>
      <c r="DY883" s="459"/>
    </row>
    <row r="884" spans="1:129" s="128" customFormat="1" ht="54.95" customHeight="1" x14ac:dyDescent="0.25">
      <c r="A884" s="377"/>
      <c r="B884" s="175"/>
      <c r="C884" s="393"/>
      <c r="D884" s="168"/>
      <c r="E884" s="168"/>
      <c r="F884" s="168"/>
      <c r="G884" s="168"/>
      <c r="H884" s="168"/>
      <c r="I884" s="168"/>
      <c r="J884" s="168"/>
      <c r="K884" s="168"/>
      <c r="L884" s="168"/>
      <c r="M884" s="168"/>
      <c r="N884" s="168"/>
      <c r="O884" s="433"/>
      <c r="P884" s="122"/>
      <c r="Q884" s="156"/>
      <c r="R884" s="156"/>
      <c r="S884" s="156"/>
      <c r="T884" s="156"/>
      <c r="U884" s="156"/>
      <c r="V884" s="156"/>
      <c r="W884" s="156"/>
      <c r="X884" s="156"/>
      <c r="Y884" s="156"/>
      <c r="Z884" s="157"/>
      <c r="AA884" s="157"/>
      <c r="AB884" s="156"/>
      <c r="AC884" s="156"/>
      <c r="AD884" s="156"/>
      <c r="AE884" s="156"/>
      <c r="AF884" s="156"/>
      <c r="AG884" s="156"/>
      <c r="AH884" s="156"/>
      <c r="AI884" s="156"/>
      <c r="AJ884" s="156"/>
      <c r="AK884" s="156"/>
      <c r="AL884" s="156"/>
      <c r="AM884" s="158"/>
      <c r="AN884" s="156"/>
      <c r="AO884" s="156"/>
      <c r="AP884" s="156"/>
      <c r="AQ884" s="156"/>
      <c r="AR884" s="156"/>
      <c r="AS884" s="156"/>
      <c r="AT884" s="156"/>
      <c r="AU884" s="156"/>
      <c r="AV884" s="156"/>
      <c r="AW884" s="156"/>
      <c r="AX884" s="156"/>
      <c r="AY884" s="156"/>
      <c r="AZ884" s="156"/>
      <c r="BA884" s="153"/>
      <c r="BD884" s="153"/>
      <c r="BE884" s="147"/>
      <c r="BI884" s="153"/>
      <c r="BO884" s="153"/>
      <c r="BW884" s="153"/>
      <c r="CD884" s="146"/>
      <c r="CF884" s="147"/>
      <c r="CI884" s="146"/>
      <c r="CJ884" s="153"/>
      <c r="CV884" s="154"/>
      <c r="CX884" s="154"/>
      <c r="CZ884" s="154"/>
      <c r="DB884" s="154"/>
      <c r="DD884" s="154"/>
      <c r="DH884" s="474"/>
      <c r="DI884" s="459"/>
      <c r="DJ884" s="459"/>
      <c r="DK884" s="459"/>
      <c r="DL884" s="459"/>
      <c r="DM884" s="459"/>
      <c r="DN884" s="459"/>
      <c r="DO884" s="459"/>
      <c r="DP884" s="459"/>
      <c r="DQ884" s="459"/>
      <c r="DR884" s="459"/>
      <c r="DS884" s="459"/>
      <c r="DT884" s="459"/>
      <c r="DU884" s="459"/>
      <c r="DV884" s="468"/>
      <c r="DW884" s="468"/>
      <c r="DX884" s="459"/>
      <c r="DY884" s="459"/>
    </row>
    <row r="885" spans="1:129" s="128" customFormat="1" ht="54.95" customHeight="1" x14ac:dyDescent="0.25">
      <c r="A885" s="377"/>
      <c r="B885" s="175"/>
      <c r="C885" s="393"/>
      <c r="D885" s="168"/>
      <c r="E885" s="168"/>
      <c r="F885" s="168"/>
      <c r="G885" s="168"/>
      <c r="H885" s="168"/>
      <c r="I885" s="168"/>
      <c r="J885" s="168"/>
      <c r="K885" s="168"/>
      <c r="L885" s="168"/>
      <c r="M885" s="168"/>
      <c r="N885" s="168"/>
      <c r="O885" s="433"/>
      <c r="P885" s="122"/>
      <c r="Q885" s="156"/>
      <c r="R885" s="156"/>
      <c r="S885" s="156"/>
      <c r="T885" s="156"/>
      <c r="U885" s="156"/>
      <c r="V885" s="156"/>
      <c r="W885" s="156"/>
      <c r="X885" s="156"/>
      <c r="Y885" s="156"/>
      <c r="Z885" s="157"/>
      <c r="AA885" s="157"/>
      <c r="AB885" s="156"/>
      <c r="AC885" s="156"/>
      <c r="AD885" s="156"/>
      <c r="AE885" s="156"/>
      <c r="AF885" s="156"/>
      <c r="AG885" s="156"/>
      <c r="AH885" s="156"/>
      <c r="AI885" s="156"/>
      <c r="AJ885" s="156"/>
      <c r="AK885" s="156"/>
      <c r="AL885" s="156"/>
      <c r="AM885" s="158"/>
      <c r="AN885" s="156"/>
      <c r="AO885" s="156"/>
      <c r="AP885" s="156"/>
      <c r="AQ885" s="156"/>
      <c r="AR885" s="156"/>
      <c r="AS885" s="156"/>
      <c r="AT885" s="156"/>
      <c r="AU885" s="156"/>
      <c r="AV885" s="156"/>
      <c r="AW885" s="156"/>
      <c r="AX885" s="156"/>
      <c r="AY885" s="156"/>
      <c r="AZ885" s="156"/>
      <c r="BA885" s="153"/>
      <c r="BD885" s="153"/>
      <c r="BE885" s="147"/>
      <c r="BI885" s="153"/>
      <c r="BO885" s="153"/>
      <c r="BW885" s="153"/>
      <c r="CD885" s="146"/>
      <c r="CF885" s="147"/>
      <c r="CI885" s="146"/>
      <c r="CJ885" s="153"/>
      <c r="CV885" s="154"/>
      <c r="CX885" s="154"/>
      <c r="CZ885" s="154"/>
      <c r="DB885" s="154"/>
      <c r="DD885" s="154"/>
      <c r="DH885" s="474"/>
      <c r="DI885" s="459"/>
      <c r="DJ885" s="459"/>
      <c r="DK885" s="459"/>
      <c r="DL885" s="459"/>
      <c r="DM885" s="459"/>
      <c r="DN885" s="459"/>
      <c r="DO885" s="459"/>
      <c r="DP885" s="459"/>
      <c r="DQ885" s="459"/>
      <c r="DR885" s="459"/>
      <c r="DS885" s="459"/>
      <c r="DT885" s="459"/>
      <c r="DU885" s="459"/>
      <c r="DV885" s="468"/>
      <c r="DW885" s="468"/>
      <c r="DX885" s="459"/>
      <c r="DY885" s="459"/>
    </row>
    <row r="886" spans="1:129" s="128" customFormat="1" ht="54.95" customHeight="1" x14ac:dyDescent="0.25">
      <c r="A886" s="377"/>
      <c r="B886" s="175"/>
      <c r="C886" s="393"/>
      <c r="D886" s="168"/>
      <c r="E886" s="168"/>
      <c r="F886" s="168"/>
      <c r="G886" s="168"/>
      <c r="H886" s="168"/>
      <c r="I886" s="168"/>
      <c r="J886" s="168"/>
      <c r="K886" s="168"/>
      <c r="L886" s="168"/>
      <c r="M886" s="168"/>
      <c r="N886" s="168"/>
      <c r="O886" s="433"/>
      <c r="P886" s="122"/>
      <c r="Q886" s="156"/>
      <c r="R886" s="156"/>
      <c r="S886" s="156"/>
      <c r="T886" s="156"/>
      <c r="U886" s="156"/>
      <c r="V886" s="156"/>
      <c r="W886" s="156"/>
      <c r="X886" s="156"/>
      <c r="Y886" s="156"/>
      <c r="Z886" s="157"/>
      <c r="AA886" s="157"/>
      <c r="AB886" s="156"/>
      <c r="AC886" s="156"/>
      <c r="AD886" s="156"/>
      <c r="AE886" s="156"/>
      <c r="AF886" s="156"/>
      <c r="AG886" s="156"/>
      <c r="AH886" s="156"/>
      <c r="AI886" s="156"/>
      <c r="AJ886" s="156"/>
      <c r="AK886" s="156"/>
      <c r="AL886" s="156"/>
      <c r="AM886" s="158"/>
      <c r="AN886" s="156"/>
      <c r="AO886" s="156"/>
      <c r="AP886" s="156"/>
      <c r="AQ886" s="156"/>
      <c r="AR886" s="156"/>
      <c r="AS886" s="156"/>
      <c r="AT886" s="156"/>
      <c r="AU886" s="156"/>
      <c r="AV886" s="156"/>
      <c r="AW886" s="156"/>
      <c r="AX886" s="156"/>
      <c r="AY886" s="156"/>
      <c r="AZ886" s="156"/>
      <c r="BA886" s="153"/>
      <c r="BD886" s="153"/>
      <c r="BE886" s="147"/>
      <c r="BI886" s="153"/>
      <c r="BO886" s="153"/>
      <c r="BW886" s="153"/>
      <c r="CD886" s="146"/>
      <c r="CF886" s="147"/>
      <c r="CI886" s="146"/>
      <c r="CJ886" s="153"/>
      <c r="CV886" s="154"/>
      <c r="CX886" s="154"/>
      <c r="CZ886" s="154"/>
      <c r="DB886" s="154"/>
      <c r="DD886" s="154"/>
      <c r="DH886" s="474"/>
      <c r="DI886" s="459"/>
      <c r="DJ886" s="459"/>
      <c r="DK886" s="459"/>
      <c r="DL886" s="459"/>
      <c r="DM886" s="459"/>
      <c r="DN886" s="459"/>
      <c r="DO886" s="459"/>
      <c r="DP886" s="459"/>
      <c r="DQ886" s="459"/>
      <c r="DR886" s="459"/>
      <c r="DS886" s="459"/>
      <c r="DT886" s="459"/>
      <c r="DU886" s="459"/>
      <c r="DV886" s="468"/>
      <c r="DW886" s="468"/>
      <c r="DX886" s="459"/>
      <c r="DY886" s="459"/>
    </row>
    <row r="887" spans="1:129" s="128" customFormat="1" ht="54.95" customHeight="1" x14ac:dyDescent="0.25">
      <c r="A887" s="377"/>
      <c r="B887" s="175"/>
      <c r="C887" s="393"/>
      <c r="D887" s="168"/>
      <c r="E887" s="168"/>
      <c r="F887" s="168"/>
      <c r="G887" s="168"/>
      <c r="H887" s="168"/>
      <c r="I887" s="168"/>
      <c r="J887" s="168"/>
      <c r="K887" s="168"/>
      <c r="L887" s="168"/>
      <c r="M887" s="168"/>
      <c r="N887" s="168"/>
      <c r="O887" s="433"/>
      <c r="P887" s="122"/>
      <c r="Q887" s="156"/>
      <c r="R887" s="156"/>
      <c r="S887" s="156"/>
      <c r="T887" s="156"/>
      <c r="U887" s="156"/>
      <c r="V887" s="156"/>
      <c r="W887" s="156"/>
      <c r="X887" s="156"/>
      <c r="Y887" s="156"/>
      <c r="Z887" s="157"/>
      <c r="AA887" s="157"/>
      <c r="AB887" s="156"/>
      <c r="AC887" s="156"/>
      <c r="AD887" s="156"/>
      <c r="AE887" s="156"/>
      <c r="AF887" s="156"/>
      <c r="AG887" s="156"/>
      <c r="AH887" s="156"/>
      <c r="AI887" s="156"/>
      <c r="AJ887" s="156"/>
      <c r="AK887" s="156"/>
      <c r="AL887" s="156"/>
      <c r="AM887" s="158"/>
      <c r="AN887" s="156"/>
      <c r="AO887" s="156"/>
      <c r="AP887" s="156"/>
      <c r="AQ887" s="156"/>
      <c r="AR887" s="156"/>
      <c r="AS887" s="156"/>
      <c r="AT887" s="156"/>
      <c r="AU887" s="156"/>
      <c r="AV887" s="156"/>
      <c r="AW887" s="156"/>
      <c r="AX887" s="156"/>
      <c r="AY887" s="156"/>
      <c r="AZ887" s="156"/>
      <c r="BA887" s="153"/>
      <c r="BD887" s="153"/>
      <c r="BE887" s="147"/>
      <c r="BI887" s="153"/>
      <c r="BO887" s="153"/>
      <c r="BW887" s="153"/>
      <c r="CD887" s="146"/>
      <c r="CF887" s="147"/>
      <c r="CI887" s="146"/>
      <c r="CJ887" s="153"/>
      <c r="CV887" s="154"/>
      <c r="CX887" s="154"/>
      <c r="CZ887" s="154"/>
      <c r="DB887" s="154"/>
      <c r="DD887" s="154"/>
      <c r="DH887" s="474"/>
      <c r="DI887" s="459"/>
      <c r="DJ887" s="459"/>
      <c r="DK887" s="459"/>
      <c r="DL887" s="459"/>
      <c r="DM887" s="459"/>
      <c r="DN887" s="459"/>
      <c r="DO887" s="459"/>
      <c r="DP887" s="459"/>
      <c r="DQ887" s="459"/>
      <c r="DR887" s="459"/>
      <c r="DS887" s="459"/>
      <c r="DT887" s="459"/>
      <c r="DU887" s="459"/>
      <c r="DV887" s="468"/>
      <c r="DW887" s="468"/>
      <c r="DX887" s="459"/>
      <c r="DY887" s="459"/>
    </row>
    <row r="888" spans="1:129" s="128" customFormat="1" ht="54.95" customHeight="1" x14ac:dyDescent="0.25">
      <c r="A888" s="377"/>
      <c r="B888" s="175"/>
      <c r="C888" s="393"/>
      <c r="D888" s="168"/>
      <c r="E888" s="168"/>
      <c r="F888" s="168"/>
      <c r="G888" s="168"/>
      <c r="H888" s="168"/>
      <c r="I888" s="168"/>
      <c r="J888" s="168"/>
      <c r="K888" s="168"/>
      <c r="L888" s="168"/>
      <c r="M888" s="168"/>
      <c r="N888" s="168"/>
      <c r="O888" s="433"/>
      <c r="P888" s="122"/>
      <c r="Q888" s="156"/>
      <c r="R888" s="156"/>
      <c r="S888" s="156"/>
      <c r="T888" s="156"/>
      <c r="U888" s="156"/>
      <c r="V888" s="156"/>
      <c r="W888" s="156"/>
      <c r="X888" s="156"/>
      <c r="Y888" s="156"/>
      <c r="Z888" s="157"/>
      <c r="AA888" s="157"/>
      <c r="AB888" s="156"/>
      <c r="AC888" s="156"/>
      <c r="AD888" s="156"/>
      <c r="AE888" s="156"/>
      <c r="AF888" s="156"/>
      <c r="AG888" s="156"/>
      <c r="AH888" s="156"/>
      <c r="AI888" s="156"/>
      <c r="AJ888" s="156"/>
      <c r="AK888" s="156"/>
      <c r="AL888" s="156"/>
      <c r="AM888" s="158"/>
      <c r="AN888" s="156"/>
      <c r="AO888" s="156"/>
      <c r="AP888" s="156"/>
      <c r="AQ888" s="156"/>
      <c r="AR888" s="156"/>
      <c r="AS888" s="156"/>
      <c r="AT888" s="156"/>
      <c r="AU888" s="156"/>
      <c r="AV888" s="156"/>
      <c r="AW888" s="156"/>
      <c r="AX888" s="156"/>
      <c r="AY888" s="156"/>
      <c r="AZ888" s="156"/>
      <c r="BA888" s="153"/>
      <c r="BD888" s="153"/>
      <c r="BE888" s="147"/>
      <c r="BI888" s="153"/>
      <c r="BO888" s="153"/>
      <c r="BW888" s="153"/>
      <c r="CD888" s="146"/>
      <c r="CF888" s="147"/>
      <c r="CI888" s="146"/>
      <c r="CJ888" s="153"/>
      <c r="CV888" s="154"/>
      <c r="CX888" s="154"/>
      <c r="CZ888" s="154"/>
      <c r="DB888" s="154"/>
      <c r="DD888" s="154"/>
      <c r="DH888" s="474"/>
      <c r="DI888" s="459"/>
      <c r="DJ888" s="459"/>
      <c r="DK888" s="459"/>
      <c r="DL888" s="459"/>
      <c r="DM888" s="459"/>
      <c r="DN888" s="459"/>
      <c r="DO888" s="459"/>
      <c r="DP888" s="459"/>
      <c r="DQ888" s="459"/>
      <c r="DR888" s="459"/>
      <c r="DS888" s="459"/>
      <c r="DT888" s="459"/>
      <c r="DU888" s="459"/>
      <c r="DV888" s="468"/>
      <c r="DW888" s="468"/>
      <c r="DX888" s="459"/>
      <c r="DY888" s="459"/>
    </row>
    <row r="889" spans="1:129" s="128" customFormat="1" ht="54.95" customHeight="1" x14ac:dyDescent="0.25">
      <c r="A889" s="377"/>
      <c r="B889" s="175"/>
      <c r="C889" s="393"/>
      <c r="D889" s="168"/>
      <c r="E889" s="168"/>
      <c r="F889" s="168"/>
      <c r="G889" s="168"/>
      <c r="H889" s="168"/>
      <c r="I889" s="168"/>
      <c r="J889" s="168"/>
      <c r="K889" s="168"/>
      <c r="L889" s="168"/>
      <c r="M889" s="168"/>
      <c r="N889" s="168"/>
      <c r="O889" s="433"/>
      <c r="P889" s="122"/>
      <c r="Q889" s="156"/>
      <c r="R889" s="156"/>
      <c r="S889" s="156"/>
      <c r="T889" s="156"/>
      <c r="U889" s="156"/>
      <c r="V889" s="156"/>
      <c r="W889" s="156"/>
      <c r="X889" s="156"/>
      <c r="Y889" s="156"/>
      <c r="Z889" s="157"/>
      <c r="AA889" s="157"/>
      <c r="AB889" s="156"/>
      <c r="AC889" s="156"/>
      <c r="AD889" s="156"/>
      <c r="AE889" s="156"/>
      <c r="AF889" s="156"/>
      <c r="AG889" s="156"/>
      <c r="AH889" s="156"/>
      <c r="AI889" s="156"/>
      <c r="AJ889" s="156"/>
      <c r="AK889" s="156"/>
      <c r="AL889" s="156"/>
      <c r="AM889" s="158"/>
      <c r="AN889" s="156"/>
      <c r="AO889" s="156"/>
      <c r="AP889" s="156"/>
      <c r="AQ889" s="156"/>
      <c r="AR889" s="156"/>
      <c r="AS889" s="156"/>
      <c r="AT889" s="156"/>
      <c r="AU889" s="156"/>
      <c r="AV889" s="156"/>
      <c r="AW889" s="156"/>
      <c r="AX889" s="156"/>
      <c r="AY889" s="156"/>
      <c r="AZ889" s="156"/>
      <c r="BA889" s="153"/>
      <c r="BD889" s="153"/>
      <c r="BE889" s="147"/>
      <c r="BI889" s="153"/>
      <c r="BO889" s="153"/>
      <c r="BW889" s="153"/>
      <c r="CD889" s="146"/>
      <c r="CF889" s="147"/>
      <c r="CI889" s="146"/>
      <c r="CJ889" s="153"/>
      <c r="CV889" s="154"/>
      <c r="CX889" s="154"/>
      <c r="CZ889" s="154"/>
      <c r="DB889" s="154"/>
      <c r="DD889" s="154"/>
      <c r="DH889" s="474"/>
      <c r="DI889" s="459"/>
      <c r="DJ889" s="459"/>
      <c r="DK889" s="459"/>
      <c r="DL889" s="459"/>
      <c r="DM889" s="459"/>
      <c r="DN889" s="459"/>
      <c r="DO889" s="459"/>
      <c r="DP889" s="459"/>
      <c r="DQ889" s="459"/>
      <c r="DR889" s="459"/>
      <c r="DS889" s="459"/>
      <c r="DT889" s="459"/>
      <c r="DU889" s="459"/>
      <c r="DV889" s="468"/>
      <c r="DW889" s="468"/>
      <c r="DX889" s="459"/>
      <c r="DY889" s="459"/>
    </row>
    <row r="890" spans="1:129" s="128" customFormat="1" ht="54.95" customHeight="1" x14ac:dyDescent="0.25">
      <c r="A890" s="377"/>
      <c r="B890" s="175"/>
      <c r="C890" s="393"/>
      <c r="D890" s="168"/>
      <c r="E890" s="168"/>
      <c r="F890" s="168"/>
      <c r="G890" s="168"/>
      <c r="H890" s="168"/>
      <c r="I890" s="168"/>
      <c r="J890" s="168"/>
      <c r="K890" s="168"/>
      <c r="L890" s="168"/>
      <c r="M890" s="168"/>
      <c r="N890" s="168"/>
      <c r="O890" s="433"/>
      <c r="P890" s="122"/>
      <c r="Q890" s="156"/>
      <c r="R890" s="156"/>
      <c r="S890" s="156"/>
      <c r="T890" s="156"/>
      <c r="U890" s="156"/>
      <c r="V890" s="156"/>
      <c r="W890" s="156"/>
      <c r="X890" s="156"/>
      <c r="Y890" s="156"/>
      <c r="Z890" s="157"/>
      <c r="AA890" s="157"/>
      <c r="AB890" s="156"/>
      <c r="AC890" s="156"/>
      <c r="AD890" s="156"/>
      <c r="AE890" s="156"/>
      <c r="AF890" s="156"/>
      <c r="AG890" s="156"/>
      <c r="AH890" s="156"/>
      <c r="AI890" s="156"/>
      <c r="AJ890" s="156"/>
      <c r="AK890" s="156"/>
      <c r="AL890" s="156"/>
      <c r="AM890" s="158"/>
      <c r="AN890" s="156"/>
      <c r="AO890" s="156"/>
      <c r="AP890" s="156"/>
      <c r="AQ890" s="156"/>
      <c r="AR890" s="156"/>
      <c r="AS890" s="156"/>
      <c r="AT890" s="156"/>
      <c r="AU890" s="156"/>
      <c r="AV890" s="156"/>
      <c r="AW890" s="156"/>
      <c r="AX890" s="156"/>
      <c r="AY890" s="156"/>
      <c r="AZ890" s="156"/>
      <c r="BA890" s="153"/>
      <c r="BD890" s="153"/>
      <c r="BE890" s="147"/>
      <c r="BI890" s="153"/>
      <c r="BO890" s="153"/>
      <c r="BW890" s="153"/>
      <c r="CD890" s="146"/>
      <c r="CF890" s="147"/>
      <c r="CI890" s="146"/>
      <c r="CJ890" s="153"/>
      <c r="CV890" s="154"/>
      <c r="CX890" s="154"/>
      <c r="CZ890" s="154"/>
      <c r="DB890" s="154"/>
      <c r="DD890" s="154"/>
      <c r="DH890" s="474"/>
      <c r="DI890" s="459"/>
      <c r="DJ890" s="459"/>
      <c r="DK890" s="459"/>
      <c r="DL890" s="459"/>
      <c r="DM890" s="459"/>
      <c r="DN890" s="459"/>
      <c r="DO890" s="459"/>
      <c r="DP890" s="459"/>
      <c r="DQ890" s="459"/>
      <c r="DR890" s="459"/>
      <c r="DS890" s="459"/>
      <c r="DT890" s="459"/>
      <c r="DU890" s="459"/>
      <c r="DV890" s="468"/>
      <c r="DW890" s="468"/>
      <c r="DX890" s="459"/>
      <c r="DY890" s="459"/>
    </row>
    <row r="891" spans="1:129" s="128" customFormat="1" ht="54.95" customHeight="1" x14ac:dyDescent="0.25">
      <c r="A891" s="377"/>
      <c r="B891" s="175"/>
      <c r="C891" s="393"/>
      <c r="D891" s="168"/>
      <c r="E891" s="168"/>
      <c r="F891" s="168"/>
      <c r="G891" s="168"/>
      <c r="H891" s="168"/>
      <c r="I891" s="168"/>
      <c r="J891" s="168"/>
      <c r="K891" s="168"/>
      <c r="L891" s="168"/>
      <c r="M891" s="168"/>
      <c r="N891" s="168"/>
      <c r="O891" s="433"/>
      <c r="P891" s="122"/>
      <c r="Q891" s="156"/>
      <c r="R891" s="156"/>
      <c r="S891" s="156"/>
      <c r="T891" s="156"/>
      <c r="U891" s="156"/>
      <c r="V891" s="156"/>
      <c r="W891" s="156"/>
      <c r="X891" s="156"/>
      <c r="Y891" s="156"/>
      <c r="Z891" s="157"/>
      <c r="AA891" s="157"/>
      <c r="AB891" s="156"/>
      <c r="AC891" s="156"/>
      <c r="AD891" s="156"/>
      <c r="AE891" s="156"/>
      <c r="AF891" s="156"/>
      <c r="AG891" s="156"/>
      <c r="AH891" s="156"/>
      <c r="AI891" s="156"/>
      <c r="AJ891" s="156"/>
      <c r="AK891" s="156"/>
      <c r="AL891" s="156"/>
      <c r="AM891" s="158"/>
      <c r="AN891" s="156"/>
      <c r="AO891" s="156"/>
      <c r="AP891" s="156"/>
      <c r="AQ891" s="156"/>
      <c r="AR891" s="156"/>
      <c r="AS891" s="156"/>
      <c r="AT891" s="156"/>
      <c r="AU891" s="156"/>
      <c r="AV891" s="156"/>
      <c r="AW891" s="156"/>
      <c r="AX891" s="156"/>
      <c r="AY891" s="156"/>
      <c r="AZ891" s="156"/>
      <c r="BA891" s="153"/>
      <c r="BD891" s="153"/>
      <c r="BE891" s="147"/>
      <c r="BI891" s="153"/>
      <c r="BO891" s="153"/>
      <c r="BW891" s="153"/>
      <c r="CD891" s="146"/>
      <c r="CF891" s="147"/>
      <c r="CI891" s="146"/>
      <c r="CJ891" s="153"/>
      <c r="CV891" s="154"/>
      <c r="CX891" s="154"/>
      <c r="CZ891" s="154"/>
      <c r="DB891" s="154"/>
      <c r="DD891" s="154"/>
      <c r="DH891" s="474"/>
      <c r="DI891" s="459"/>
      <c r="DJ891" s="459"/>
      <c r="DK891" s="459"/>
      <c r="DL891" s="459"/>
      <c r="DM891" s="459"/>
      <c r="DN891" s="459"/>
      <c r="DO891" s="459"/>
      <c r="DP891" s="459"/>
      <c r="DQ891" s="459"/>
      <c r="DR891" s="459"/>
      <c r="DS891" s="459"/>
      <c r="DT891" s="459"/>
      <c r="DU891" s="459"/>
      <c r="DV891" s="468"/>
      <c r="DW891" s="468"/>
      <c r="DX891" s="459"/>
      <c r="DY891" s="459"/>
    </row>
    <row r="892" spans="1:129" s="128" customFormat="1" ht="54.95" customHeight="1" x14ac:dyDescent="0.25">
      <c r="A892" s="377"/>
      <c r="B892" s="175"/>
      <c r="C892" s="393"/>
      <c r="D892" s="168"/>
      <c r="E892" s="168"/>
      <c r="F892" s="168"/>
      <c r="G892" s="168"/>
      <c r="H892" s="168"/>
      <c r="I892" s="168"/>
      <c r="J892" s="168"/>
      <c r="K892" s="168"/>
      <c r="L892" s="168"/>
      <c r="M892" s="168"/>
      <c r="N892" s="168"/>
      <c r="O892" s="433"/>
      <c r="P892" s="122"/>
      <c r="Q892" s="156"/>
      <c r="R892" s="156"/>
      <c r="S892" s="156"/>
      <c r="T892" s="156"/>
      <c r="U892" s="156"/>
      <c r="V892" s="156"/>
      <c r="W892" s="156"/>
      <c r="X892" s="156"/>
      <c r="Y892" s="156"/>
      <c r="Z892" s="157"/>
      <c r="AA892" s="157"/>
      <c r="AB892" s="156"/>
      <c r="AC892" s="156"/>
      <c r="AD892" s="156"/>
      <c r="AE892" s="156"/>
      <c r="AF892" s="156"/>
      <c r="AG892" s="156"/>
      <c r="AH892" s="156"/>
      <c r="AI892" s="156"/>
      <c r="AJ892" s="156"/>
      <c r="AK892" s="156"/>
      <c r="AL892" s="156"/>
      <c r="AM892" s="158"/>
      <c r="AN892" s="156"/>
      <c r="AO892" s="156"/>
      <c r="AP892" s="156"/>
      <c r="AQ892" s="156"/>
      <c r="AR892" s="156"/>
      <c r="AS892" s="156"/>
      <c r="AT892" s="156"/>
      <c r="AU892" s="156"/>
      <c r="AV892" s="156"/>
      <c r="AW892" s="156"/>
      <c r="AX892" s="156"/>
      <c r="AY892" s="156"/>
      <c r="AZ892" s="156"/>
      <c r="BA892" s="153"/>
      <c r="BD892" s="153"/>
      <c r="BE892" s="147"/>
      <c r="BI892" s="153"/>
      <c r="BO892" s="153"/>
      <c r="BW892" s="153"/>
      <c r="CD892" s="146"/>
      <c r="CF892" s="147"/>
      <c r="CI892" s="146"/>
      <c r="CJ892" s="153"/>
      <c r="CV892" s="154"/>
      <c r="CX892" s="154"/>
      <c r="CZ892" s="154"/>
      <c r="DB892" s="154"/>
      <c r="DD892" s="154"/>
      <c r="DH892" s="474"/>
      <c r="DI892" s="459"/>
      <c r="DJ892" s="459"/>
      <c r="DK892" s="459"/>
      <c r="DL892" s="459"/>
      <c r="DM892" s="459"/>
      <c r="DN892" s="459"/>
      <c r="DO892" s="459"/>
      <c r="DP892" s="459"/>
      <c r="DQ892" s="459"/>
      <c r="DR892" s="459"/>
      <c r="DS892" s="459"/>
      <c r="DT892" s="459"/>
      <c r="DU892" s="459"/>
      <c r="DV892" s="468"/>
      <c r="DW892" s="468"/>
      <c r="DX892" s="459"/>
      <c r="DY892" s="459"/>
    </row>
    <row r="893" spans="1:129" s="128" customFormat="1" ht="54.95" customHeight="1" x14ac:dyDescent="0.25">
      <c r="A893" s="377"/>
      <c r="B893" s="175"/>
      <c r="C893" s="393"/>
      <c r="D893" s="168"/>
      <c r="E893" s="168"/>
      <c r="F893" s="168"/>
      <c r="G893" s="168"/>
      <c r="H893" s="168"/>
      <c r="I893" s="168"/>
      <c r="J893" s="168"/>
      <c r="K893" s="168"/>
      <c r="L893" s="168"/>
      <c r="M893" s="168"/>
      <c r="N893" s="168"/>
      <c r="O893" s="433"/>
      <c r="P893" s="122"/>
      <c r="Q893" s="156"/>
      <c r="R893" s="156"/>
      <c r="S893" s="156"/>
      <c r="T893" s="156"/>
      <c r="U893" s="156"/>
      <c r="V893" s="156"/>
      <c r="W893" s="156"/>
      <c r="X893" s="156"/>
      <c r="Y893" s="156"/>
      <c r="Z893" s="157"/>
      <c r="AA893" s="157"/>
      <c r="AB893" s="156"/>
      <c r="AC893" s="156"/>
      <c r="AD893" s="156"/>
      <c r="AE893" s="156"/>
      <c r="AF893" s="156"/>
      <c r="AG893" s="156"/>
      <c r="AH893" s="156"/>
      <c r="AI893" s="156"/>
      <c r="AJ893" s="156"/>
      <c r="AK893" s="156"/>
      <c r="AL893" s="156"/>
      <c r="AM893" s="158"/>
      <c r="AN893" s="156"/>
      <c r="AO893" s="156"/>
      <c r="AP893" s="156"/>
      <c r="AQ893" s="156"/>
      <c r="AR893" s="156"/>
      <c r="AS893" s="156"/>
      <c r="AT893" s="156"/>
      <c r="AU893" s="156"/>
      <c r="AV893" s="156"/>
      <c r="AW893" s="156"/>
      <c r="AX893" s="156"/>
      <c r="AY893" s="156"/>
      <c r="AZ893" s="156"/>
      <c r="BA893" s="153"/>
      <c r="BD893" s="153"/>
      <c r="BE893" s="147"/>
      <c r="BI893" s="153"/>
      <c r="BO893" s="153"/>
      <c r="BW893" s="153"/>
      <c r="CD893" s="146"/>
      <c r="CF893" s="147"/>
      <c r="CI893" s="146"/>
      <c r="CJ893" s="153"/>
      <c r="CV893" s="154"/>
      <c r="CX893" s="154"/>
      <c r="CZ893" s="154"/>
      <c r="DB893" s="154"/>
      <c r="DD893" s="154"/>
      <c r="DH893" s="474"/>
      <c r="DI893" s="459"/>
      <c r="DJ893" s="459"/>
      <c r="DK893" s="459"/>
      <c r="DL893" s="459"/>
      <c r="DM893" s="459"/>
      <c r="DN893" s="459"/>
      <c r="DO893" s="459"/>
      <c r="DP893" s="459"/>
      <c r="DQ893" s="459"/>
      <c r="DR893" s="459"/>
      <c r="DS893" s="459"/>
      <c r="DT893" s="459"/>
      <c r="DU893" s="459"/>
      <c r="DV893" s="468"/>
      <c r="DW893" s="468"/>
      <c r="DX893" s="459"/>
      <c r="DY893" s="459"/>
    </row>
    <row r="894" spans="1:129" s="128" customFormat="1" ht="54.95" customHeight="1" x14ac:dyDescent="0.25">
      <c r="A894" s="377"/>
      <c r="B894" s="175"/>
      <c r="C894" s="393"/>
      <c r="D894" s="168"/>
      <c r="E894" s="168"/>
      <c r="F894" s="168"/>
      <c r="G894" s="168"/>
      <c r="H894" s="168"/>
      <c r="I894" s="168"/>
      <c r="J894" s="168"/>
      <c r="K894" s="168"/>
      <c r="L894" s="168"/>
      <c r="M894" s="168"/>
      <c r="N894" s="168"/>
      <c r="O894" s="433"/>
      <c r="P894" s="122"/>
      <c r="Q894" s="156"/>
      <c r="R894" s="156"/>
      <c r="S894" s="156"/>
      <c r="T894" s="156"/>
      <c r="U894" s="156"/>
      <c r="V894" s="156"/>
      <c r="W894" s="156"/>
      <c r="X894" s="156"/>
      <c r="Y894" s="156"/>
      <c r="Z894" s="157"/>
      <c r="AA894" s="157"/>
      <c r="AB894" s="156"/>
      <c r="AC894" s="156"/>
      <c r="AD894" s="156"/>
      <c r="AE894" s="156"/>
      <c r="AF894" s="156"/>
      <c r="AG894" s="156"/>
      <c r="AH894" s="156"/>
      <c r="AI894" s="156"/>
      <c r="AJ894" s="156"/>
      <c r="AK894" s="156"/>
      <c r="AL894" s="156"/>
      <c r="AM894" s="158"/>
      <c r="AN894" s="156"/>
      <c r="AO894" s="156"/>
      <c r="AP894" s="156"/>
      <c r="AQ894" s="156"/>
      <c r="AR894" s="156"/>
      <c r="AS894" s="156"/>
      <c r="AT894" s="156"/>
      <c r="AU894" s="156"/>
      <c r="AV894" s="156"/>
      <c r="AW894" s="156"/>
      <c r="AX894" s="156"/>
      <c r="AY894" s="156"/>
      <c r="AZ894" s="156"/>
      <c r="BA894" s="153"/>
      <c r="BD894" s="153"/>
      <c r="BE894" s="147"/>
      <c r="BI894" s="153"/>
      <c r="BO894" s="153"/>
      <c r="BW894" s="153"/>
      <c r="CD894" s="146"/>
      <c r="CF894" s="147"/>
      <c r="CI894" s="146"/>
      <c r="CJ894" s="153"/>
      <c r="CV894" s="154"/>
      <c r="CX894" s="154"/>
      <c r="CZ894" s="154"/>
      <c r="DB894" s="154"/>
      <c r="DD894" s="154"/>
      <c r="DH894" s="474"/>
      <c r="DI894" s="459"/>
      <c r="DJ894" s="459"/>
      <c r="DK894" s="459"/>
      <c r="DL894" s="459"/>
      <c r="DM894" s="459"/>
      <c r="DN894" s="459"/>
      <c r="DO894" s="459"/>
      <c r="DP894" s="459"/>
      <c r="DQ894" s="459"/>
      <c r="DR894" s="459"/>
      <c r="DS894" s="459"/>
      <c r="DT894" s="459"/>
      <c r="DU894" s="459"/>
      <c r="DV894" s="468"/>
      <c r="DW894" s="468"/>
      <c r="DX894" s="459"/>
      <c r="DY894" s="459"/>
    </row>
    <row r="895" spans="1:129" s="128" customFormat="1" ht="54.95" customHeight="1" x14ac:dyDescent="0.25">
      <c r="A895" s="377"/>
      <c r="B895" s="175"/>
      <c r="C895" s="393"/>
      <c r="D895" s="168"/>
      <c r="E895" s="168"/>
      <c r="F895" s="168"/>
      <c r="G895" s="168"/>
      <c r="H895" s="168"/>
      <c r="I895" s="168"/>
      <c r="J895" s="168"/>
      <c r="K895" s="168"/>
      <c r="L895" s="168"/>
      <c r="M895" s="168"/>
      <c r="N895" s="168"/>
      <c r="O895" s="433"/>
      <c r="P895" s="122"/>
      <c r="Q895" s="156"/>
      <c r="R895" s="156"/>
      <c r="S895" s="156"/>
      <c r="T895" s="156"/>
      <c r="U895" s="156"/>
      <c r="V895" s="156"/>
      <c r="W895" s="156"/>
      <c r="X895" s="156"/>
      <c r="Y895" s="156"/>
      <c r="Z895" s="157"/>
      <c r="AA895" s="157"/>
      <c r="AB895" s="156"/>
      <c r="AC895" s="156"/>
      <c r="AD895" s="156"/>
      <c r="AE895" s="156"/>
      <c r="AF895" s="156"/>
      <c r="AG895" s="156"/>
      <c r="AH895" s="156"/>
      <c r="AI895" s="156"/>
      <c r="AJ895" s="156"/>
      <c r="AK895" s="156"/>
      <c r="AL895" s="156"/>
      <c r="AM895" s="158"/>
      <c r="AN895" s="156"/>
      <c r="AO895" s="156"/>
      <c r="AP895" s="156"/>
      <c r="AQ895" s="156"/>
      <c r="AR895" s="156"/>
      <c r="AS895" s="156"/>
      <c r="AT895" s="156"/>
      <c r="AU895" s="156"/>
      <c r="AV895" s="156"/>
      <c r="AW895" s="156"/>
      <c r="AX895" s="156"/>
      <c r="AY895" s="156"/>
      <c r="AZ895" s="156"/>
      <c r="BA895" s="153"/>
      <c r="BD895" s="153"/>
      <c r="BE895" s="147"/>
      <c r="BI895" s="153"/>
      <c r="BO895" s="153"/>
      <c r="BW895" s="153"/>
      <c r="CD895" s="146"/>
      <c r="CF895" s="147"/>
      <c r="CI895" s="146"/>
      <c r="CJ895" s="153"/>
      <c r="CV895" s="154"/>
      <c r="CX895" s="154"/>
      <c r="CZ895" s="154"/>
      <c r="DB895" s="154"/>
      <c r="DD895" s="154"/>
      <c r="DH895" s="474"/>
      <c r="DI895" s="459"/>
      <c r="DJ895" s="459"/>
      <c r="DK895" s="459"/>
      <c r="DL895" s="459"/>
      <c r="DM895" s="459"/>
      <c r="DN895" s="459"/>
      <c r="DO895" s="459"/>
      <c r="DP895" s="459"/>
      <c r="DQ895" s="459"/>
      <c r="DR895" s="459"/>
      <c r="DS895" s="459"/>
      <c r="DT895" s="459"/>
      <c r="DU895" s="459"/>
      <c r="DV895" s="468"/>
      <c r="DW895" s="468"/>
      <c r="DX895" s="459"/>
      <c r="DY895" s="459"/>
    </row>
    <row r="896" spans="1:129" s="128" customFormat="1" ht="54.95" customHeight="1" x14ac:dyDescent="0.25">
      <c r="A896" s="377"/>
      <c r="B896" s="175"/>
      <c r="C896" s="393"/>
      <c r="D896" s="168"/>
      <c r="E896" s="168"/>
      <c r="F896" s="168"/>
      <c r="G896" s="168"/>
      <c r="H896" s="168"/>
      <c r="I896" s="168"/>
      <c r="J896" s="168"/>
      <c r="K896" s="168"/>
      <c r="L896" s="168"/>
      <c r="M896" s="168"/>
      <c r="N896" s="168"/>
      <c r="O896" s="433"/>
      <c r="P896" s="122"/>
      <c r="Q896" s="156"/>
      <c r="R896" s="156"/>
      <c r="S896" s="156"/>
      <c r="T896" s="156"/>
      <c r="U896" s="156"/>
      <c r="V896" s="156"/>
      <c r="W896" s="156"/>
      <c r="X896" s="156"/>
      <c r="Y896" s="156"/>
      <c r="Z896" s="157"/>
      <c r="AA896" s="157"/>
      <c r="AB896" s="156"/>
      <c r="AC896" s="156"/>
      <c r="AD896" s="156"/>
      <c r="AE896" s="156"/>
      <c r="AF896" s="156"/>
      <c r="AG896" s="156"/>
      <c r="AH896" s="156"/>
      <c r="AI896" s="156"/>
      <c r="AJ896" s="156"/>
      <c r="AK896" s="156"/>
      <c r="AL896" s="156"/>
      <c r="AM896" s="158"/>
      <c r="AN896" s="156"/>
      <c r="AO896" s="156"/>
      <c r="AP896" s="156"/>
      <c r="AQ896" s="156"/>
      <c r="AR896" s="156"/>
      <c r="AS896" s="156"/>
      <c r="AT896" s="156"/>
      <c r="AU896" s="156"/>
      <c r="AV896" s="156"/>
      <c r="AW896" s="156"/>
      <c r="AX896" s="156"/>
      <c r="AY896" s="156"/>
      <c r="AZ896" s="156"/>
      <c r="BA896" s="153"/>
      <c r="BD896" s="153"/>
      <c r="BE896" s="147"/>
      <c r="BI896" s="153"/>
      <c r="BO896" s="153"/>
      <c r="BW896" s="153"/>
      <c r="CD896" s="146"/>
      <c r="CF896" s="147"/>
      <c r="CI896" s="146"/>
      <c r="CJ896" s="153"/>
      <c r="CV896" s="154"/>
      <c r="CX896" s="154"/>
      <c r="CZ896" s="154"/>
      <c r="DB896" s="154"/>
      <c r="DD896" s="154"/>
      <c r="DH896" s="474"/>
      <c r="DI896" s="459"/>
      <c r="DJ896" s="459"/>
      <c r="DK896" s="459"/>
      <c r="DL896" s="459"/>
      <c r="DM896" s="459"/>
      <c r="DN896" s="459"/>
      <c r="DO896" s="459"/>
      <c r="DP896" s="459"/>
      <c r="DQ896" s="459"/>
      <c r="DR896" s="459"/>
      <c r="DS896" s="459"/>
      <c r="DT896" s="459"/>
      <c r="DU896" s="459"/>
      <c r="DV896" s="468"/>
      <c r="DW896" s="468"/>
      <c r="DX896" s="459"/>
      <c r="DY896" s="459"/>
    </row>
    <row r="897" spans="1:129" s="128" customFormat="1" ht="54.95" customHeight="1" x14ac:dyDescent="0.25">
      <c r="A897" s="377"/>
      <c r="B897" s="175"/>
      <c r="C897" s="393"/>
      <c r="D897" s="168"/>
      <c r="E897" s="168"/>
      <c r="F897" s="168"/>
      <c r="G897" s="168"/>
      <c r="H897" s="168"/>
      <c r="I897" s="168"/>
      <c r="J897" s="168"/>
      <c r="K897" s="168"/>
      <c r="L897" s="168"/>
      <c r="M897" s="168"/>
      <c r="N897" s="168"/>
      <c r="O897" s="433"/>
      <c r="P897" s="122"/>
      <c r="Q897" s="156"/>
      <c r="R897" s="156"/>
      <c r="S897" s="156"/>
      <c r="T897" s="156"/>
      <c r="U897" s="156"/>
      <c r="V897" s="156"/>
      <c r="W897" s="156"/>
      <c r="X897" s="156"/>
      <c r="Y897" s="156"/>
      <c r="Z897" s="157"/>
      <c r="AA897" s="157"/>
      <c r="AB897" s="156"/>
      <c r="AC897" s="156"/>
      <c r="AD897" s="156"/>
      <c r="AE897" s="156"/>
      <c r="AF897" s="156"/>
      <c r="AG897" s="156"/>
      <c r="AH897" s="156"/>
      <c r="AI897" s="156"/>
      <c r="AJ897" s="156"/>
      <c r="AK897" s="156"/>
      <c r="AL897" s="156"/>
      <c r="AM897" s="158"/>
      <c r="AN897" s="156"/>
      <c r="AO897" s="156"/>
      <c r="AP897" s="156"/>
      <c r="AQ897" s="156"/>
      <c r="AR897" s="156"/>
      <c r="AS897" s="156"/>
      <c r="AT897" s="156"/>
      <c r="AU897" s="156"/>
      <c r="AV897" s="156"/>
      <c r="AW897" s="156"/>
      <c r="AX897" s="156"/>
      <c r="AY897" s="156"/>
      <c r="AZ897" s="156"/>
      <c r="BA897" s="153"/>
      <c r="BD897" s="153"/>
      <c r="BE897" s="147"/>
      <c r="BI897" s="153"/>
      <c r="BO897" s="153"/>
      <c r="BW897" s="153"/>
      <c r="CD897" s="146"/>
      <c r="CF897" s="147"/>
      <c r="CI897" s="146"/>
      <c r="CJ897" s="153"/>
      <c r="CV897" s="154"/>
      <c r="CX897" s="154"/>
      <c r="CZ897" s="154"/>
      <c r="DB897" s="154"/>
      <c r="DD897" s="154"/>
      <c r="DH897" s="474"/>
      <c r="DI897" s="459"/>
      <c r="DJ897" s="459"/>
      <c r="DK897" s="459"/>
      <c r="DL897" s="459"/>
      <c r="DM897" s="459"/>
      <c r="DN897" s="459"/>
      <c r="DO897" s="459"/>
      <c r="DP897" s="459"/>
      <c r="DQ897" s="459"/>
      <c r="DR897" s="459"/>
      <c r="DS897" s="459"/>
      <c r="DT897" s="459"/>
      <c r="DU897" s="459"/>
      <c r="DV897" s="468"/>
      <c r="DW897" s="468"/>
      <c r="DX897" s="459"/>
      <c r="DY897" s="459"/>
    </row>
    <row r="898" spans="1:129" s="128" customFormat="1" ht="54.95" customHeight="1" x14ac:dyDescent="0.25">
      <c r="A898" s="377"/>
      <c r="B898" s="175"/>
      <c r="C898" s="393"/>
      <c r="D898" s="168"/>
      <c r="E898" s="168"/>
      <c r="F898" s="168"/>
      <c r="G898" s="168"/>
      <c r="H898" s="168"/>
      <c r="I898" s="168"/>
      <c r="J898" s="168"/>
      <c r="K898" s="168"/>
      <c r="L898" s="168"/>
      <c r="M898" s="168"/>
      <c r="N898" s="168"/>
      <c r="O898" s="433"/>
      <c r="P898" s="122"/>
      <c r="Q898" s="156"/>
      <c r="R898" s="156"/>
      <c r="S898" s="156"/>
      <c r="T898" s="156"/>
      <c r="U898" s="156"/>
      <c r="V898" s="156"/>
      <c r="W898" s="156"/>
      <c r="X898" s="156"/>
      <c r="Y898" s="156"/>
      <c r="Z898" s="157"/>
      <c r="AA898" s="157"/>
      <c r="AB898" s="156"/>
      <c r="AC898" s="156"/>
      <c r="AD898" s="156"/>
      <c r="AE898" s="156"/>
      <c r="AF898" s="156"/>
      <c r="AG898" s="156"/>
      <c r="AH898" s="156"/>
      <c r="AI898" s="156"/>
      <c r="AJ898" s="156"/>
      <c r="AK898" s="156"/>
      <c r="AL898" s="156"/>
      <c r="AM898" s="158"/>
      <c r="AN898" s="156"/>
      <c r="AO898" s="156"/>
      <c r="AP898" s="156"/>
      <c r="AQ898" s="156"/>
      <c r="AR898" s="156"/>
      <c r="AS898" s="156"/>
      <c r="AT898" s="156"/>
      <c r="AU898" s="156"/>
      <c r="AV898" s="156"/>
      <c r="AW898" s="156"/>
      <c r="AX898" s="156"/>
      <c r="AY898" s="156"/>
      <c r="AZ898" s="156"/>
      <c r="BA898" s="153"/>
      <c r="BD898" s="153"/>
      <c r="BE898" s="147"/>
      <c r="BI898" s="153"/>
      <c r="BO898" s="153"/>
      <c r="BW898" s="153"/>
      <c r="CD898" s="146"/>
      <c r="CF898" s="147"/>
      <c r="CI898" s="146"/>
      <c r="CJ898" s="153"/>
      <c r="CV898" s="154"/>
      <c r="CX898" s="154"/>
      <c r="CZ898" s="154"/>
      <c r="DB898" s="154"/>
      <c r="DD898" s="154"/>
      <c r="DH898" s="474"/>
      <c r="DI898" s="459"/>
      <c r="DJ898" s="459"/>
      <c r="DK898" s="459"/>
      <c r="DL898" s="459"/>
      <c r="DM898" s="459"/>
      <c r="DN898" s="459"/>
      <c r="DO898" s="459"/>
      <c r="DP898" s="459"/>
      <c r="DQ898" s="459"/>
      <c r="DR898" s="459"/>
      <c r="DS898" s="459"/>
      <c r="DT898" s="459"/>
      <c r="DU898" s="459"/>
      <c r="DV898" s="468"/>
      <c r="DW898" s="468"/>
      <c r="DX898" s="459"/>
      <c r="DY898" s="459"/>
    </row>
    <row r="899" spans="1:129" s="128" customFormat="1" ht="54.95" customHeight="1" x14ac:dyDescent="0.25">
      <c r="A899" s="377"/>
      <c r="B899" s="175"/>
      <c r="C899" s="393"/>
      <c r="D899" s="168"/>
      <c r="E899" s="168"/>
      <c r="F899" s="168"/>
      <c r="G899" s="168"/>
      <c r="H899" s="168"/>
      <c r="I899" s="168"/>
      <c r="J899" s="168"/>
      <c r="K899" s="168"/>
      <c r="L899" s="168"/>
      <c r="M899" s="168"/>
      <c r="N899" s="168"/>
      <c r="O899" s="433"/>
      <c r="P899" s="122"/>
      <c r="Q899" s="156"/>
      <c r="R899" s="156"/>
      <c r="S899" s="156"/>
      <c r="T899" s="156"/>
      <c r="U899" s="156"/>
      <c r="V899" s="156"/>
      <c r="W899" s="156"/>
      <c r="X899" s="156"/>
      <c r="Y899" s="156"/>
      <c r="Z899" s="157"/>
      <c r="AA899" s="157"/>
      <c r="AB899" s="156"/>
      <c r="AC899" s="156"/>
      <c r="AD899" s="156"/>
      <c r="AE899" s="156"/>
      <c r="AF899" s="156"/>
      <c r="AG899" s="156"/>
      <c r="AH899" s="156"/>
      <c r="AI899" s="156"/>
      <c r="AJ899" s="156"/>
      <c r="AK899" s="156"/>
      <c r="AL899" s="156"/>
      <c r="AM899" s="158"/>
      <c r="AN899" s="156"/>
      <c r="AO899" s="156"/>
      <c r="AP899" s="156"/>
      <c r="AQ899" s="156"/>
      <c r="AR899" s="156"/>
      <c r="AS899" s="156"/>
      <c r="AT899" s="156"/>
      <c r="AU899" s="156"/>
      <c r="AV899" s="156"/>
      <c r="AW899" s="156"/>
      <c r="AX899" s="156"/>
      <c r="AY899" s="156"/>
      <c r="AZ899" s="156"/>
      <c r="BA899" s="153"/>
      <c r="BD899" s="153"/>
      <c r="BE899" s="147"/>
      <c r="BI899" s="153"/>
      <c r="BO899" s="153"/>
      <c r="BW899" s="153"/>
      <c r="CD899" s="146"/>
      <c r="CF899" s="147"/>
      <c r="CI899" s="146"/>
      <c r="CJ899" s="153"/>
      <c r="CV899" s="154"/>
      <c r="CX899" s="154"/>
      <c r="CZ899" s="154"/>
      <c r="DB899" s="154"/>
      <c r="DD899" s="154"/>
      <c r="DH899" s="474"/>
      <c r="DI899" s="459"/>
      <c r="DJ899" s="459"/>
      <c r="DK899" s="459"/>
      <c r="DL899" s="459"/>
      <c r="DM899" s="459"/>
      <c r="DN899" s="459"/>
      <c r="DO899" s="459"/>
      <c r="DP899" s="459"/>
      <c r="DQ899" s="459"/>
      <c r="DR899" s="459"/>
      <c r="DS899" s="459"/>
      <c r="DT899" s="459"/>
      <c r="DU899" s="459"/>
      <c r="DV899" s="468"/>
      <c r="DW899" s="468"/>
      <c r="DX899" s="459"/>
      <c r="DY899" s="459"/>
    </row>
    <row r="900" spans="1:129" s="128" customFormat="1" ht="54.95" customHeight="1" x14ac:dyDescent="0.25">
      <c r="A900" s="377"/>
      <c r="B900" s="175"/>
      <c r="C900" s="393"/>
      <c r="D900" s="168"/>
      <c r="E900" s="168"/>
      <c r="F900" s="168"/>
      <c r="G900" s="168"/>
      <c r="H900" s="168"/>
      <c r="I900" s="168"/>
      <c r="J900" s="168"/>
      <c r="K900" s="168"/>
      <c r="L900" s="168"/>
      <c r="M900" s="168"/>
      <c r="N900" s="168"/>
      <c r="O900" s="433"/>
      <c r="P900" s="122"/>
      <c r="Q900" s="156"/>
      <c r="R900" s="156"/>
      <c r="S900" s="156"/>
      <c r="T900" s="156"/>
      <c r="U900" s="156"/>
      <c r="V900" s="156"/>
      <c r="W900" s="156"/>
      <c r="X900" s="156"/>
      <c r="Y900" s="156"/>
      <c r="Z900" s="157"/>
      <c r="AA900" s="157"/>
      <c r="AB900" s="156"/>
      <c r="AC900" s="156"/>
      <c r="AD900" s="156"/>
      <c r="AE900" s="156"/>
      <c r="AF900" s="156"/>
      <c r="AG900" s="156"/>
      <c r="AH900" s="156"/>
      <c r="AI900" s="156"/>
      <c r="AJ900" s="156"/>
      <c r="AK900" s="156"/>
      <c r="AL900" s="156"/>
      <c r="AM900" s="158"/>
      <c r="AN900" s="156"/>
      <c r="AO900" s="156"/>
      <c r="AP900" s="156"/>
      <c r="AQ900" s="156"/>
      <c r="AR900" s="156"/>
      <c r="AS900" s="156"/>
      <c r="AT900" s="156"/>
      <c r="AU900" s="156"/>
      <c r="AV900" s="156"/>
      <c r="AW900" s="156"/>
      <c r="AX900" s="156"/>
      <c r="AY900" s="156"/>
      <c r="AZ900" s="156"/>
      <c r="BA900" s="153"/>
      <c r="BD900" s="153"/>
      <c r="BE900" s="147"/>
      <c r="BI900" s="153"/>
      <c r="BO900" s="153"/>
      <c r="BW900" s="153"/>
      <c r="CD900" s="146"/>
      <c r="CF900" s="147"/>
      <c r="CI900" s="146"/>
      <c r="CJ900" s="153"/>
      <c r="CV900" s="154"/>
      <c r="CX900" s="154"/>
      <c r="CZ900" s="154"/>
      <c r="DB900" s="154"/>
      <c r="DD900" s="154"/>
      <c r="DH900" s="474"/>
      <c r="DI900" s="459"/>
      <c r="DJ900" s="459"/>
      <c r="DK900" s="459"/>
      <c r="DL900" s="459"/>
      <c r="DM900" s="459"/>
      <c r="DN900" s="459"/>
      <c r="DO900" s="459"/>
      <c r="DP900" s="459"/>
      <c r="DQ900" s="459"/>
      <c r="DR900" s="459"/>
      <c r="DS900" s="459"/>
      <c r="DT900" s="459"/>
      <c r="DU900" s="459"/>
      <c r="DV900" s="468"/>
      <c r="DW900" s="468"/>
      <c r="DX900" s="459"/>
      <c r="DY900" s="459"/>
    </row>
    <row r="901" spans="1:129" s="128" customFormat="1" ht="54.95" customHeight="1" x14ac:dyDescent="0.25">
      <c r="A901" s="377"/>
      <c r="B901" s="175"/>
      <c r="C901" s="393"/>
      <c r="D901" s="168"/>
      <c r="E901" s="168"/>
      <c r="F901" s="168"/>
      <c r="G901" s="168"/>
      <c r="H901" s="168"/>
      <c r="I901" s="168"/>
      <c r="J901" s="168"/>
      <c r="K901" s="168"/>
      <c r="L901" s="168"/>
      <c r="M901" s="168"/>
      <c r="N901" s="168"/>
      <c r="O901" s="433"/>
      <c r="P901" s="122"/>
      <c r="Q901" s="156"/>
      <c r="R901" s="156"/>
      <c r="S901" s="156"/>
      <c r="T901" s="156"/>
      <c r="U901" s="156"/>
      <c r="V901" s="156"/>
      <c r="W901" s="156"/>
      <c r="X901" s="156"/>
      <c r="Y901" s="156"/>
      <c r="Z901" s="157"/>
      <c r="AA901" s="157"/>
      <c r="AB901" s="156"/>
      <c r="AC901" s="156"/>
      <c r="AD901" s="156"/>
      <c r="AE901" s="156"/>
      <c r="AF901" s="156"/>
      <c r="AG901" s="156"/>
      <c r="AH901" s="156"/>
      <c r="AI901" s="156"/>
      <c r="AJ901" s="156"/>
      <c r="AK901" s="156"/>
      <c r="AL901" s="156"/>
      <c r="AM901" s="158"/>
      <c r="AN901" s="156"/>
      <c r="AO901" s="156"/>
      <c r="AP901" s="156"/>
      <c r="AQ901" s="156"/>
      <c r="AR901" s="156"/>
      <c r="AS901" s="156"/>
      <c r="AT901" s="156"/>
      <c r="AU901" s="156"/>
      <c r="AV901" s="156"/>
      <c r="AW901" s="156"/>
      <c r="AX901" s="156"/>
      <c r="AY901" s="156"/>
      <c r="AZ901" s="156"/>
      <c r="BA901" s="153"/>
      <c r="BD901" s="153"/>
      <c r="BE901" s="147"/>
      <c r="BI901" s="153"/>
      <c r="BO901" s="153"/>
      <c r="BW901" s="153"/>
      <c r="CD901" s="146"/>
      <c r="CF901" s="147"/>
      <c r="CI901" s="146"/>
      <c r="CJ901" s="153"/>
      <c r="CV901" s="154"/>
      <c r="CX901" s="154"/>
      <c r="CZ901" s="154"/>
      <c r="DB901" s="154"/>
      <c r="DD901" s="154"/>
      <c r="DH901" s="474"/>
      <c r="DI901" s="459"/>
      <c r="DJ901" s="459"/>
      <c r="DK901" s="459"/>
      <c r="DL901" s="459"/>
      <c r="DM901" s="459"/>
      <c r="DN901" s="459"/>
      <c r="DO901" s="459"/>
      <c r="DP901" s="459"/>
      <c r="DQ901" s="459"/>
      <c r="DR901" s="459"/>
      <c r="DS901" s="459"/>
      <c r="DT901" s="459"/>
      <c r="DU901" s="459"/>
      <c r="DV901" s="468"/>
      <c r="DW901" s="468"/>
      <c r="DX901" s="459"/>
      <c r="DY901" s="459"/>
    </row>
    <row r="902" spans="1:129" s="128" customFormat="1" ht="54.95" customHeight="1" x14ac:dyDescent="0.25">
      <c r="A902" s="377"/>
      <c r="B902" s="175"/>
      <c r="C902" s="393"/>
      <c r="D902" s="168"/>
      <c r="E902" s="168"/>
      <c r="F902" s="168"/>
      <c r="G902" s="168"/>
      <c r="H902" s="168"/>
      <c r="I902" s="168"/>
      <c r="J902" s="168"/>
      <c r="K902" s="168"/>
      <c r="L902" s="168"/>
      <c r="M902" s="168"/>
      <c r="N902" s="168"/>
      <c r="O902" s="433"/>
      <c r="P902" s="122"/>
      <c r="Q902" s="156"/>
      <c r="R902" s="156"/>
      <c r="S902" s="156"/>
      <c r="T902" s="156"/>
      <c r="U902" s="156"/>
      <c r="V902" s="156"/>
      <c r="W902" s="156"/>
      <c r="X902" s="156"/>
      <c r="Y902" s="156"/>
      <c r="Z902" s="157"/>
      <c r="AA902" s="157"/>
      <c r="AB902" s="156"/>
      <c r="AC902" s="156"/>
      <c r="AD902" s="156"/>
      <c r="AE902" s="156"/>
      <c r="AF902" s="156"/>
      <c r="AG902" s="156"/>
      <c r="AH902" s="156"/>
      <c r="AI902" s="156"/>
      <c r="AJ902" s="156"/>
      <c r="AK902" s="156"/>
      <c r="AL902" s="156"/>
      <c r="AM902" s="158"/>
      <c r="AN902" s="156"/>
      <c r="AO902" s="156"/>
      <c r="AP902" s="156"/>
      <c r="AQ902" s="156"/>
      <c r="AR902" s="156"/>
      <c r="AS902" s="156"/>
      <c r="AT902" s="156"/>
      <c r="AU902" s="156"/>
      <c r="AV902" s="156"/>
      <c r="AW902" s="156"/>
      <c r="AX902" s="156"/>
      <c r="AY902" s="156"/>
      <c r="AZ902" s="156"/>
      <c r="BA902" s="153"/>
      <c r="BD902" s="153"/>
      <c r="BE902" s="147"/>
      <c r="BI902" s="153"/>
      <c r="BO902" s="153"/>
      <c r="BW902" s="153"/>
      <c r="CD902" s="146"/>
      <c r="CF902" s="147"/>
      <c r="CI902" s="146"/>
      <c r="CJ902" s="153"/>
      <c r="CV902" s="154"/>
      <c r="CX902" s="154"/>
      <c r="CZ902" s="154"/>
      <c r="DB902" s="154"/>
      <c r="DD902" s="154"/>
      <c r="DH902" s="474"/>
      <c r="DI902" s="459"/>
      <c r="DJ902" s="459"/>
      <c r="DK902" s="459"/>
      <c r="DL902" s="459"/>
      <c r="DM902" s="459"/>
      <c r="DN902" s="459"/>
      <c r="DO902" s="459"/>
      <c r="DP902" s="459"/>
      <c r="DQ902" s="459"/>
      <c r="DR902" s="459"/>
      <c r="DS902" s="459"/>
      <c r="DT902" s="459"/>
      <c r="DU902" s="459"/>
      <c r="DV902" s="468"/>
      <c r="DW902" s="468"/>
      <c r="DX902" s="459"/>
      <c r="DY902" s="459"/>
    </row>
    <row r="903" spans="1:129" s="128" customFormat="1" ht="54.95" customHeight="1" x14ac:dyDescent="0.25">
      <c r="A903" s="377"/>
      <c r="B903" s="175"/>
      <c r="C903" s="393"/>
      <c r="D903" s="168"/>
      <c r="E903" s="168"/>
      <c r="F903" s="168"/>
      <c r="G903" s="168"/>
      <c r="H903" s="168"/>
      <c r="I903" s="168"/>
      <c r="J903" s="168"/>
      <c r="K903" s="168"/>
      <c r="L903" s="168"/>
      <c r="M903" s="168"/>
      <c r="N903" s="168"/>
      <c r="O903" s="433"/>
      <c r="P903" s="122"/>
      <c r="Q903" s="156"/>
      <c r="R903" s="156"/>
      <c r="S903" s="156"/>
      <c r="T903" s="156"/>
      <c r="U903" s="156"/>
      <c r="V903" s="156"/>
      <c r="W903" s="156"/>
      <c r="X903" s="156"/>
      <c r="Y903" s="156"/>
      <c r="Z903" s="157"/>
      <c r="AA903" s="157"/>
      <c r="AB903" s="156"/>
      <c r="AC903" s="156"/>
      <c r="AD903" s="156"/>
      <c r="AE903" s="156"/>
      <c r="AF903" s="156"/>
      <c r="AG903" s="156"/>
      <c r="AH903" s="156"/>
      <c r="AI903" s="156"/>
      <c r="AJ903" s="156"/>
      <c r="AK903" s="156"/>
      <c r="AL903" s="156"/>
      <c r="AM903" s="158"/>
      <c r="AN903" s="156"/>
      <c r="AO903" s="156"/>
      <c r="AP903" s="156"/>
      <c r="AQ903" s="156"/>
      <c r="AR903" s="156"/>
      <c r="AS903" s="156"/>
      <c r="AT903" s="156"/>
      <c r="AU903" s="156"/>
      <c r="AV903" s="156"/>
      <c r="AW903" s="156"/>
      <c r="AX903" s="156"/>
      <c r="AY903" s="156"/>
      <c r="AZ903" s="156"/>
      <c r="BA903" s="153"/>
      <c r="BD903" s="153"/>
      <c r="BE903" s="147"/>
      <c r="BI903" s="153"/>
      <c r="BO903" s="153"/>
      <c r="BW903" s="153"/>
      <c r="CD903" s="146"/>
      <c r="CF903" s="147"/>
      <c r="CI903" s="146"/>
      <c r="CJ903" s="153"/>
      <c r="CV903" s="154"/>
      <c r="CX903" s="154"/>
      <c r="CZ903" s="154"/>
      <c r="DB903" s="154"/>
      <c r="DD903" s="154"/>
      <c r="DH903" s="474"/>
      <c r="DI903" s="459"/>
      <c r="DJ903" s="459"/>
      <c r="DK903" s="459"/>
      <c r="DL903" s="459"/>
      <c r="DM903" s="459"/>
      <c r="DN903" s="459"/>
      <c r="DO903" s="459"/>
      <c r="DP903" s="459"/>
      <c r="DQ903" s="459"/>
      <c r="DR903" s="459"/>
      <c r="DS903" s="459"/>
      <c r="DT903" s="459"/>
      <c r="DU903" s="459"/>
      <c r="DV903" s="468"/>
      <c r="DW903" s="468"/>
      <c r="DX903" s="459"/>
      <c r="DY903" s="459"/>
    </row>
    <row r="904" spans="1:129" s="128" customFormat="1" ht="54.95" customHeight="1" x14ac:dyDescent="0.25">
      <c r="A904" s="377"/>
      <c r="B904" s="175"/>
      <c r="C904" s="393"/>
      <c r="D904" s="168"/>
      <c r="E904" s="168"/>
      <c r="F904" s="168"/>
      <c r="G904" s="168"/>
      <c r="H904" s="168"/>
      <c r="I904" s="168"/>
      <c r="J904" s="168"/>
      <c r="K904" s="168"/>
      <c r="L904" s="168"/>
      <c r="M904" s="168"/>
      <c r="N904" s="168"/>
      <c r="O904" s="433"/>
      <c r="P904" s="122"/>
      <c r="Q904" s="156"/>
      <c r="R904" s="156"/>
      <c r="S904" s="156"/>
      <c r="T904" s="156"/>
      <c r="U904" s="156"/>
      <c r="V904" s="156"/>
      <c r="W904" s="156"/>
      <c r="X904" s="156"/>
      <c r="Y904" s="156"/>
      <c r="Z904" s="157"/>
      <c r="AA904" s="157"/>
      <c r="AB904" s="156"/>
      <c r="AC904" s="156"/>
      <c r="AD904" s="156"/>
      <c r="AE904" s="156"/>
      <c r="AF904" s="156"/>
      <c r="AG904" s="156"/>
      <c r="AH904" s="156"/>
      <c r="AI904" s="156"/>
      <c r="AJ904" s="156"/>
      <c r="AK904" s="156"/>
      <c r="AL904" s="156"/>
      <c r="AM904" s="158"/>
      <c r="AN904" s="156"/>
      <c r="AO904" s="156"/>
      <c r="AP904" s="156"/>
      <c r="AQ904" s="156"/>
      <c r="AR904" s="156"/>
      <c r="AS904" s="156"/>
      <c r="AT904" s="156"/>
      <c r="AU904" s="156"/>
      <c r="AV904" s="156"/>
      <c r="AW904" s="156"/>
      <c r="AX904" s="156"/>
      <c r="AY904" s="156"/>
      <c r="AZ904" s="156"/>
      <c r="BA904" s="153"/>
      <c r="BD904" s="153"/>
      <c r="BE904" s="147"/>
      <c r="BI904" s="153"/>
      <c r="BO904" s="153"/>
      <c r="BW904" s="153"/>
      <c r="CD904" s="146"/>
      <c r="CF904" s="147"/>
      <c r="CI904" s="146"/>
      <c r="CJ904" s="153"/>
      <c r="CV904" s="154"/>
      <c r="CX904" s="154"/>
      <c r="CZ904" s="154"/>
      <c r="DB904" s="154"/>
      <c r="DD904" s="154"/>
      <c r="DH904" s="474"/>
      <c r="DI904" s="459"/>
      <c r="DJ904" s="459"/>
      <c r="DK904" s="459"/>
      <c r="DL904" s="459"/>
      <c r="DM904" s="459"/>
      <c r="DN904" s="459"/>
      <c r="DO904" s="459"/>
      <c r="DP904" s="459"/>
      <c r="DQ904" s="459"/>
      <c r="DR904" s="459"/>
      <c r="DS904" s="459"/>
      <c r="DT904" s="459"/>
      <c r="DU904" s="459"/>
      <c r="DV904" s="468"/>
      <c r="DW904" s="468"/>
      <c r="DX904" s="459"/>
      <c r="DY904" s="459"/>
    </row>
    <row r="905" spans="1:129" s="128" customFormat="1" ht="54.95" customHeight="1" x14ac:dyDescent="0.25">
      <c r="A905" s="377"/>
      <c r="B905" s="175"/>
      <c r="C905" s="393"/>
      <c r="D905" s="168"/>
      <c r="E905" s="168"/>
      <c r="F905" s="168"/>
      <c r="G905" s="168"/>
      <c r="H905" s="168"/>
      <c r="I905" s="168"/>
      <c r="J905" s="168"/>
      <c r="K905" s="168"/>
      <c r="L905" s="168"/>
      <c r="M905" s="168"/>
      <c r="N905" s="168"/>
      <c r="O905" s="433"/>
      <c r="P905" s="122"/>
      <c r="Q905" s="156"/>
      <c r="R905" s="156"/>
      <c r="S905" s="156"/>
      <c r="T905" s="156"/>
      <c r="U905" s="156"/>
      <c r="V905" s="156"/>
      <c r="W905" s="156"/>
      <c r="X905" s="156"/>
      <c r="Y905" s="156"/>
      <c r="Z905" s="157"/>
      <c r="AA905" s="157"/>
      <c r="AB905" s="156"/>
      <c r="AC905" s="156"/>
      <c r="AD905" s="156"/>
      <c r="AE905" s="156"/>
      <c r="AF905" s="156"/>
      <c r="AG905" s="156"/>
      <c r="AH905" s="156"/>
      <c r="AI905" s="156"/>
      <c r="AJ905" s="156"/>
      <c r="AK905" s="156"/>
      <c r="AL905" s="156"/>
      <c r="AM905" s="158"/>
      <c r="AN905" s="156"/>
      <c r="AO905" s="156"/>
      <c r="AP905" s="156"/>
      <c r="AQ905" s="156"/>
      <c r="AR905" s="156"/>
      <c r="AS905" s="156"/>
      <c r="AT905" s="156"/>
      <c r="AU905" s="156"/>
      <c r="AV905" s="156"/>
      <c r="AW905" s="156"/>
      <c r="AX905" s="156"/>
      <c r="AY905" s="156"/>
      <c r="AZ905" s="156"/>
      <c r="BA905" s="153"/>
      <c r="BD905" s="153"/>
      <c r="BE905" s="147"/>
      <c r="BI905" s="153"/>
      <c r="BO905" s="153"/>
      <c r="BW905" s="153"/>
      <c r="CD905" s="146"/>
      <c r="CF905" s="147"/>
      <c r="CI905" s="146"/>
      <c r="CJ905" s="153"/>
      <c r="CV905" s="154"/>
      <c r="CX905" s="154"/>
      <c r="CZ905" s="154"/>
      <c r="DB905" s="154"/>
      <c r="DD905" s="154"/>
      <c r="DH905" s="474"/>
      <c r="DI905" s="459"/>
      <c r="DJ905" s="459"/>
      <c r="DK905" s="459"/>
      <c r="DL905" s="459"/>
      <c r="DM905" s="459"/>
      <c r="DN905" s="459"/>
      <c r="DO905" s="459"/>
      <c r="DP905" s="459"/>
      <c r="DQ905" s="459"/>
      <c r="DR905" s="459"/>
      <c r="DS905" s="459"/>
      <c r="DT905" s="459"/>
      <c r="DU905" s="459"/>
      <c r="DV905" s="468"/>
      <c r="DW905" s="468"/>
      <c r="DX905" s="459"/>
      <c r="DY905" s="459"/>
    </row>
    <row r="906" spans="1:129" s="128" customFormat="1" ht="54.95" customHeight="1" x14ac:dyDescent="0.25">
      <c r="A906" s="377"/>
      <c r="B906" s="175"/>
      <c r="C906" s="393"/>
      <c r="D906" s="168"/>
      <c r="E906" s="168"/>
      <c r="F906" s="168"/>
      <c r="G906" s="168"/>
      <c r="H906" s="168"/>
      <c r="I906" s="168"/>
      <c r="J906" s="168"/>
      <c r="K906" s="168"/>
      <c r="L906" s="168"/>
      <c r="M906" s="168"/>
      <c r="N906" s="168"/>
      <c r="O906" s="433"/>
      <c r="P906" s="122"/>
      <c r="Q906" s="156"/>
      <c r="R906" s="156"/>
      <c r="S906" s="156"/>
      <c r="T906" s="156"/>
      <c r="U906" s="156"/>
      <c r="V906" s="156"/>
      <c r="W906" s="156"/>
      <c r="X906" s="156"/>
      <c r="Y906" s="156"/>
      <c r="Z906" s="157"/>
      <c r="AA906" s="157"/>
      <c r="AB906" s="156"/>
      <c r="AC906" s="156"/>
      <c r="AD906" s="156"/>
      <c r="AE906" s="156"/>
      <c r="AF906" s="156"/>
      <c r="AG906" s="156"/>
      <c r="AH906" s="156"/>
      <c r="AI906" s="156"/>
      <c r="AJ906" s="156"/>
      <c r="AK906" s="156"/>
      <c r="AL906" s="156"/>
      <c r="AM906" s="158"/>
      <c r="AN906" s="156"/>
      <c r="AO906" s="156"/>
      <c r="AP906" s="156"/>
      <c r="AQ906" s="156"/>
      <c r="AR906" s="156"/>
      <c r="AS906" s="156"/>
      <c r="AT906" s="156"/>
      <c r="AU906" s="156"/>
      <c r="AV906" s="156"/>
      <c r="AW906" s="156"/>
      <c r="AX906" s="156"/>
      <c r="AY906" s="156"/>
      <c r="AZ906" s="156"/>
      <c r="BA906" s="153"/>
      <c r="BD906" s="153"/>
      <c r="BE906" s="147"/>
      <c r="BI906" s="153"/>
      <c r="BO906" s="153"/>
      <c r="BW906" s="153"/>
      <c r="CD906" s="146"/>
      <c r="CF906" s="147"/>
      <c r="CI906" s="146"/>
      <c r="CJ906" s="153"/>
      <c r="CV906" s="154"/>
      <c r="CX906" s="154"/>
      <c r="CZ906" s="154"/>
      <c r="DB906" s="154"/>
      <c r="DD906" s="154"/>
      <c r="DH906" s="474"/>
      <c r="DI906" s="459"/>
      <c r="DJ906" s="459"/>
      <c r="DK906" s="459"/>
      <c r="DL906" s="459"/>
      <c r="DM906" s="459"/>
      <c r="DN906" s="459"/>
      <c r="DO906" s="459"/>
      <c r="DP906" s="459"/>
      <c r="DQ906" s="459"/>
      <c r="DR906" s="459"/>
      <c r="DS906" s="459"/>
      <c r="DT906" s="459"/>
      <c r="DU906" s="459"/>
      <c r="DV906" s="468"/>
      <c r="DW906" s="468"/>
      <c r="DX906" s="459"/>
      <c r="DY906" s="459"/>
    </row>
    <row r="907" spans="1:129" s="128" customFormat="1" ht="54.95" customHeight="1" x14ac:dyDescent="0.25">
      <c r="A907" s="377"/>
      <c r="B907" s="175"/>
      <c r="C907" s="393"/>
      <c r="D907" s="168"/>
      <c r="E907" s="168"/>
      <c r="F907" s="168"/>
      <c r="G907" s="168"/>
      <c r="H907" s="168"/>
      <c r="I907" s="168"/>
      <c r="J907" s="168"/>
      <c r="K907" s="168"/>
      <c r="L907" s="168"/>
      <c r="M907" s="168"/>
      <c r="N907" s="168"/>
      <c r="O907" s="433"/>
      <c r="P907" s="122"/>
      <c r="Q907" s="156"/>
      <c r="R907" s="156"/>
      <c r="S907" s="156"/>
      <c r="T907" s="156"/>
      <c r="U907" s="156"/>
      <c r="V907" s="156"/>
      <c r="W907" s="156"/>
      <c r="X907" s="156"/>
      <c r="Y907" s="156"/>
      <c r="Z907" s="157"/>
      <c r="AA907" s="157"/>
      <c r="AB907" s="156"/>
      <c r="AC907" s="156"/>
      <c r="AD907" s="156"/>
      <c r="AE907" s="156"/>
      <c r="AF907" s="156"/>
      <c r="AG907" s="156"/>
      <c r="AH907" s="156"/>
      <c r="AI907" s="156"/>
      <c r="AJ907" s="156"/>
      <c r="AK907" s="156"/>
      <c r="AL907" s="156"/>
      <c r="AM907" s="158"/>
      <c r="AN907" s="156"/>
      <c r="AO907" s="156"/>
      <c r="AP907" s="156"/>
      <c r="AQ907" s="156"/>
      <c r="AR907" s="156"/>
      <c r="AS907" s="156"/>
      <c r="AT907" s="156"/>
      <c r="AU907" s="156"/>
      <c r="AV907" s="156"/>
      <c r="AW907" s="156"/>
      <c r="AX907" s="156"/>
      <c r="AY907" s="156"/>
      <c r="AZ907" s="156"/>
      <c r="BA907" s="153"/>
      <c r="BD907" s="153"/>
      <c r="BE907" s="147"/>
      <c r="BI907" s="153"/>
      <c r="BO907" s="153"/>
      <c r="BW907" s="153"/>
      <c r="CD907" s="146"/>
      <c r="CF907" s="147"/>
      <c r="CI907" s="146"/>
      <c r="CJ907" s="153"/>
      <c r="CV907" s="154"/>
      <c r="CX907" s="154"/>
      <c r="CZ907" s="154"/>
      <c r="DB907" s="154"/>
      <c r="DD907" s="154"/>
      <c r="DH907" s="474"/>
      <c r="DI907" s="459"/>
      <c r="DJ907" s="459"/>
      <c r="DK907" s="459"/>
      <c r="DL907" s="459"/>
      <c r="DM907" s="459"/>
      <c r="DN907" s="459"/>
      <c r="DO907" s="459"/>
      <c r="DP907" s="459"/>
      <c r="DQ907" s="459"/>
      <c r="DR907" s="459"/>
      <c r="DS907" s="459"/>
      <c r="DT907" s="459"/>
      <c r="DU907" s="459"/>
      <c r="DV907" s="468"/>
      <c r="DW907" s="468"/>
      <c r="DX907" s="459"/>
      <c r="DY907" s="459"/>
    </row>
    <row r="908" spans="1:129" s="128" customFormat="1" ht="54.95" customHeight="1" x14ac:dyDescent="0.25">
      <c r="A908" s="377"/>
      <c r="B908" s="175"/>
      <c r="C908" s="393"/>
      <c r="D908" s="168"/>
      <c r="E908" s="168"/>
      <c r="F908" s="168"/>
      <c r="G908" s="168"/>
      <c r="H908" s="168"/>
      <c r="I908" s="168"/>
      <c r="J908" s="168"/>
      <c r="K908" s="168"/>
      <c r="L908" s="168"/>
      <c r="M908" s="168"/>
      <c r="N908" s="168"/>
      <c r="O908" s="433"/>
      <c r="P908" s="122"/>
      <c r="Q908" s="156"/>
      <c r="R908" s="156"/>
      <c r="S908" s="156"/>
      <c r="T908" s="156"/>
      <c r="U908" s="156"/>
      <c r="V908" s="156"/>
      <c r="W908" s="156"/>
      <c r="X908" s="156"/>
      <c r="Y908" s="156"/>
      <c r="Z908" s="157"/>
      <c r="AA908" s="157"/>
      <c r="AB908" s="156"/>
      <c r="AC908" s="156"/>
      <c r="AD908" s="156"/>
      <c r="AE908" s="156"/>
      <c r="AF908" s="156"/>
      <c r="AG908" s="156"/>
      <c r="AH908" s="156"/>
      <c r="AI908" s="156"/>
      <c r="AJ908" s="156"/>
      <c r="AK908" s="156"/>
      <c r="AL908" s="156"/>
      <c r="AM908" s="158"/>
      <c r="AN908" s="156"/>
      <c r="AO908" s="156"/>
      <c r="AP908" s="156"/>
      <c r="AQ908" s="156"/>
      <c r="AR908" s="156"/>
      <c r="AS908" s="156"/>
      <c r="AT908" s="156"/>
      <c r="AU908" s="156"/>
      <c r="AV908" s="156"/>
      <c r="AW908" s="156"/>
      <c r="AX908" s="156"/>
      <c r="AY908" s="156"/>
      <c r="AZ908" s="156"/>
      <c r="BA908" s="153"/>
      <c r="BD908" s="153"/>
      <c r="BE908" s="147"/>
      <c r="BI908" s="153"/>
      <c r="BO908" s="153"/>
      <c r="BW908" s="153"/>
      <c r="CD908" s="146"/>
      <c r="CF908" s="147"/>
      <c r="CI908" s="146"/>
      <c r="CJ908" s="153"/>
      <c r="CV908" s="154"/>
      <c r="CX908" s="154"/>
      <c r="CZ908" s="154"/>
      <c r="DB908" s="154"/>
      <c r="DD908" s="154"/>
      <c r="DH908" s="474"/>
      <c r="DI908" s="459"/>
      <c r="DJ908" s="459"/>
      <c r="DK908" s="459"/>
      <c r="DL908" s="459"/>
      <c r="DM908" s="459"/>
      <c r="DN908" s="459"/>
      <c r="DO908" s="459"/>
      <c r="DP908" s="459"/>
      <c r="DQ908" s="459"/>
      <c r="DR908" s="459"/>
      <c r="DS908" s="459"/>
      <c r="DT908" s="459"/>
      <c r="DU908" s="459"/>
      <c r="DV908" s="468"/>
      <c r="DW908" s="468"/>
      <c r="DX908" s="459"/>
      <c r="DY908" s="459"/>
    </row>
    <row r="909" spans="1:129" s="128" customFormat="1" ht="54.95" customHeight="1" x14ac:dyDescent="0.25">
      <c r="A909" s="377"/>
      <c r="B909" s="175"/>
      <c r="C909" s="393"/>
      <c r="D909" s="168"/>
      <c r="E909" s="168"/>
      <c r="F909" s="168"/>
      <c r="G909" s="168"/>
      <c r="H909" s="168"/>
      <c r="I909" s="168"/>
      <c r="J909" s="168"/>
      <c r="K909" s="168"/>
      <c r="L909" s="168"/>
      <c r="M909" s="168"/>
      <c r="N909" s="168"/>
      <c r="O909" s="433"/>
      <c r="P909" s="122"/>
      <c r="Q909" s="156"/>
      <c r="R909" s="156"/>
      <c r="S909" s="156"/>
      <c r="T909" s="156"/>
      <c r="U909" s="156"/>
      <c r="V909" s="156"/>
      <c r="W909" s="156"/>
      <c r="X909" s="156"/>
      <c r="Y909" s="156"/>
      <c r="Z909" s="157"/>
      <c r="AA909" s="157"/>
      <c r="AB909" s="156"/>
      <c r="AC909" s="156"/>
      <c r="AD909" s="156"/>
      <c r="AE909" s="156"/>
      <c r="AF909" s="156"/>
      <c r="AG909" s="156"/>
      <c r="AH909" s="156"/>
      <c r="AI909" s="156"/>
      <c r="AJ909" s="156"/>
      <c r="AK909" s="156"/>
      <c r="AL909" s="156"/>
      <c r="AM909" s="158"/>
      <c r="AN909" s="156"/>
      <c r="AO909" s="156"/>
      <c r="AP909" s="156"/>
      <c r="AQ909" s="156"/>
      <c r="AR909" s="156"/>
      <c r="AS909" s="156"/>
      <c r="AT909" s="156"/>
      <c r="AU909" s="156"/>
      <c r="AV909" s="156"/>
      <c r="AW909" s="156"/>
      <c r="AX909" s="156"/>
      <c r="AY909" s="156"/>
      <c r="AZ909" s="156"/>
      <c r="BA909" s="153"/>
      <c r="BD909" s="153"/>
      <c r="BE909" s="147"/>
      <c r="BI909" s="153"/>
      <c r="BO909" s="153"/>
      <c r="BW909" s="153"/>
      <c r="CD909" s="146"/>
      <c r="CF909" s="147"/>
      <c r="CI909" s="146"/>
      <c r="CJ909" s="153"/>
      <c r="CV909" s="154"/>
      <c r="CX909" s="154"/>
      <c r="CZ909" s="154"/>
      <c r="DB909" s="154"/>
      <c r="DD909" s="154"/>
      <c r="DH909" s="474"/>
      <c r="DI909" s="459"/>
      <c r="DJ909" s="459"/>
      <c r="DK909" s="459"/>
      <c r="DL909" s="459"/>
      <c r="DM909" s="459"/>
      <c r="DN909" s="459"/>
      <c r="DO909" s="459"/>
      <c r="DP909" s="459"/>
      <c r="DQ909" s="459"/>
      <c r="DR909" s="459"/>
      <c r="DS909" s="459"/>
      <c r="DT909" s="459"/>
      <c r="DU909" s="459"/>
      <c r="DV909" s="468"/>
      <c r="DW909" s="468"/>
      <c r="DX909" s="459"/>
      <c r="DY909" s="459"/>
    </row>
    <row r="910" spans="1:129" s="128" customFormat="1" ht="54.95" customHeight="1" x14ac:dyDescent="0.25">
      <c r="A910" s="377"/>
      <c r="B910" s="175"/>
      <c r="C910" s="393"/>
      <c r="D910" s="168"/>
      <c r="E910" s="168"/>
      <c r="F910" s="168"/>
      <c r="G910" s="168"/>
      <c r="H910" s="168"/>
      <c r="I910" s="168"/>
      <c r="J910" s="168"/>
      <c r="K910" s="168"/>
      <c r="L910" s="168"/>
      <c r="M910" s="168"/>
      <c r="N910" s="168"/>
      <c r="O910" s="433"/>
      <c r="P910" s="122"/>
      <c r="Q910" s="156"/>
      <c r="R910" s="156"/>
      <c r="S910" s="156"/>
      <c r="T910" s="156"/>
      <c r="U910" s="156"/>
      <c r="V910" s="156"/>
      <c r="W910" s="156"/>
      <c r="X910" s="156"/>
      <c r="Y910" s="156"/>
      <c r="Z910" s="157"/>
      <c r="AA910" s="157"/>
      <c r="AB910" s="156"/>
      <c r="AC910" s="156"/>
      <c r="AD910" s="156"/>
      <c r="AE910" s="156"/>
      <c r="AF910" s="156"/>
      <c r="AG910" s="156"/>
      <c r="AH910" s="156"/>
      <c r="AI910" s="156"/>
      <c r="AJ910" s="156"/>
      <c r="AK910" s="156"/>
      <c r="AL910" s="156"/>
      <c r="AM910" s="158"/>
      <c r="AN910" s="156"/>
      <c r="AO910" s="156"/>
      <c r="AP910" s="156"/>
      <c r="AQ910" s="156"/>
      <c r="AR910" s="156"/>
      <c r="AS910" s="156"/>
      <c r="AT910" s="156"/>
      <c r="AU910" s="156"/>
      <c r="AV910" s="156"/>
      <c r="AW910" s="156"/>
      <c r="AX910" s="156"/>
      <c r="AY910" s="156"/>
      <c r="AZ910" s="156"/>
      <c r="BA910" s="153"/>
      <c r="BD910" s="153"/>
      <c r="BE910" s="147"/>
      <c r="BI910" s="153"/>
      <c r="BO910" s="153"/>
      <c r="BW910" s="153"/>
      <c r="CD910" s="146"/>
      <c r="CF910" s="147"/>
      <c r="CI910" s="146"/>
      <c r="CJ910" s="153"/>
      <c r="CV910" s="154"/>
      <c r="CX910" s="154"/>
      <c r="CZ910" s="154"/>
      <c r="DB910" s="154"/>
      <c r="DD910" s="154"/>
      <c r="DH910" s="474"/>
      <c r="DI910" s="459"/>
      <c r="DJ910" s="459"/>
      <c r="DK910" s="459"/>
      <c r="DL910" s="459"/>
      <c r="DM910" s="459"/>
      <c r="DN910" s="459"/>
      <c r="DO910" s="459"/>
      <c r="DP910" s="459"/>
      <c r="DQ910" s="459"/>
      <c r="DR910" s="459"/>
      <c r="DS910" s="459"/>
      <c r="DT910" s="459"/>
      <c r="DU910" s="459"/>
      <c r="DV910" s="468"/>
      <c r="DW910" s="468"/>
      <c r="DX910" s="459"/>
      <c r="DY910" s="459"/>
    </row>
    <row r="911" spans="1:129" s="128" customFormat="1" ht="54.95" customHeight="1" x14ac:dyDescent="0.25">
      <c r="A911" s="377"/>
      <c r="B911" s="175"/>
      <c r="C911" s="393"/>
      <c r="D911" s="168"/>
      <c r="E911" s="168"/>
      <c r="F911" s="168"/>
      <c r="G911" s="168"/>
      <c r="H911" s="168"/>
      <c r="I911" s="168"/>
      <c r="J911" s="168"/>
      <c r="K911" s="168"/>
      <c r="L911" s="168"/>
      <c r="M911" s="168"/>
      <c r="N911" s="168"/>
      <c r="O911" s="433"/>
      <c r="P911" s="122"/>
      <c r="Q911" s="156"/>
      <c r="R911" s="156"/>
      <c r="S911" s="156"/>
      <c r="T911" s="156"/>
      <c r="U911" s="156"/>
      <c r="V911" s="156"/>
      <c r="W911" s="156"/>
      <c r="X911" s="156"/>
      <c r="Y911" s="156"/>
      <c r="Z911" s="157"/>
      <c r="AA911" s="157"/>
      <c r="AB911" s="156"/>
      <c r="AC911" s="156"/>
      <c r="AD911" s="156"/>
      <c r="AE911" s="156"/>
      <c r="AF911" s="156"/>
      <c r="AG911" s="156"/>
      <c r="AH911" s="156"/>
      <c r="AI911" s="156"/>
      <c r="AJ911" s="156"/>
      <c r="AK911" s="156"/>
      <c r="AL911" s="156"/>
      <c r="AM911" s="158"/>
      <c r="AN911" s="156"/>
      <c r="AO911" s="156"/>
      <c r="AP911" s="156"/>
      <c r="AQ911" s="156"/>
      <c r="AR911" s="156"/>
      <c r="AS911" s="156"/>
      <c r="AT911" s="156"/>
      <c r="AU911" s="156"/>
      <c r="AV911" s="156"/>
      <c r="AW911" s="156"/>
      <c r="AX911" s="156"/>
      <c r="AY911" s="156"/>
      <c r="AZ911" s="156"/>
      <c r="BA911" s="153"/>
      <c r="BD911" s="153"/>
      <c r="BE911" s="147"/>
      <c r="BI911" s="153"/>
      <c r="BO911" s="153"/>
      <c r="BW911" s="153"/>
      <c r="CD911" s="146"/>
      <c r="CF911" s="147"/>
      <c r="CI911" s="146"/>
      <c r="CJ911" s="153"/>
      <c r="CV911" s="154"/>
      <c r="CX911" s="154"/>
      <c r="CZ911" s="154"/>
      <c r="DB911" s="154"/>
      <c r="DD911" s="154"/>
      <c r="DH911" s="474"/>
      <c r="DI911" s="459"/>
      <c r="DJ911" s="459"/>
      <c r="DK911" s="459"/>
      <c r="DL911" s="459"/>
      <c r="DM911" s="459"/>
      <c r="DN911" s="459"/>
      <c r="DO911" s="459"/>
      <c r="DP911" s="459"/>
      <c r="DQ911" s="459"/>
      <c r="DR911" s="459"/>
      <c r="DS911" s="459"/>
      <c r="DT911" s="459"/>
      <c r="DU911" s="459"/>
      <c r="DV911" s="468"/>
      <c r="DW911" s="468"/>
      <c r="DX911" s="459"/>
      <c r="DY911" s="459"/>
    </row>
    <row r="912" spans="1:129" s="128" customFormat="1" ht="54.95" customHeight="1" x14ac:dyDescent="0.25">
      <c r="A912" s="377"/>
      <c r="B912" s="175"/>
      <c r="C912" s="393"/>
      <c r="D912" s="168"/>
      <c r="E912" s="168"/>
      <c r="F912" s="168"/>
      <c r="G912" s="168"/>
      <c r="H912" s="168"/>
      <c r="I912" s="168"/>
      <c r="J912" s="168"/>
      <c r="K912" s="168"/>
      <c r="L912" s="168"/>
      <c r="M912" s="168"/>
      <c r="N912" s="168"/>
      <c r="O912" s="433"/>
      <c r="P912" s="122"/>
      <c r="Q912" s="156"/>
      <c r="R912" s="156"/>
      <c r="S912" s="156"/>
      <c r="T912" s="156"/>
      <c r="U912" s="156"/>
      <c r="V912" s="156"/>
      <c r="W912" s="156"/>
      <c r="X912" s="156"/>
      <c r="Y912" s="156"/>
      <c r="Z912" s="157"/>
      <c r="AA912" s="157"/>
      <c r="AB912" s="156"/>
      <c r="AC912" s="156"/>
      <c r="AD912" s="156"/>
      <c r="AE912" s="156"/>
      <c r="AF912" s="156"/>
      <c r="AG912" s="156"/>
      <c r="AH912" s="156"/>
      <c r="AI912" s="156"/>
      <c r="AJ912" s="156"/>
      <c r="AK912" s="156"/>
      <c r="AL912" s="156"/>
      <c r="AM912" s="158"/>
      <c r="AN912" s="156"/>
      <c r="AO912" s="156"/>
      <c r="AP912" s="156"/>
      <c r="AQ912" s="156"/>
      <c r="AR912" s="156"/>
      <c r="AS912" s="156"/>
      <c r="AT912" s="156"/>
      <c r="AU912" s="156"/>
      <c r="AV912" s="156"/>
      <c r="AW912" s="156"/>
      <c r="AX912" s="156"/>
      <c r="AY912" s="156"/>
      <c r="AZ912" s="156"/>
      <c r="BA912" s="153"/>
      <c r="BD912" s="153"/>
      <c r="BE912" s="147"/>
      <c r="BI912" s="153"/>
      <c r="BO912" s="153"/>
      <c r="BW912" s="153"/>
      <c r="CD912" s="146"/>
      <c r="CF912" s="147"/>
      <c r="CI912" s="146"/>
      <c r="CJ912" s="153"/>
      <c r="CV912" s="154"/>
      <c r="CX912" s="154"/>
      <c r="CZ912" s="154"/>
      <c r="DB912" s="154"/>
      <c r="DD912" s="154"/>
      <c r="DH912" s="474"/>
      <c r="DI912" s="459"/>
      <c r="DJ912" s="459"/>
      <c r="DK912" s="459"/>
      <c r="DL912" s="459"/>
      <c r="DM912" s="459"/>
      <c r="DN912" s="459"/>
      <c r="DO912" s="459"/>
      <c r="DP912" s="459"/>
      <c r="DQ912" s="459"/>
      <c r="DR912" s="459"/>
      <c r="DS912" s="459"/>
      <c r="DT912" s="459"/>
      <c r="DU912" s="459"/>
      <c r="DV912" s="468"/>
      <c r="DW912" s="468"/>
      <c r="DX912" s="459"/>
      <c r="DY912" s="459"/>
    </row>
    <row r="913" spans="1:129" s="128" customFormat="1" ht="54.95" customHeight="1" x14ac:dyDescent="0.25">
      <c r="A913" s="377"/>
      <c r="B913" s="175"/>
      <c r="C913" s="393"/>
      <c r="D913" s="168"/>
      <c r="E913" s="168"/>
      <c r="F913" s="168"/>
      <c r="G913" s="168"/>
      <c r="H913" s="168"/>
      <c r="I913" s="168"/>
      <c r="J913" s="168"/>
      <c r="K913" s="168"/>
      <c r="L913" s="168"/>
      <c r="M913" s="168"/>
      <c r="N913" s="168"/>
      <c r="O913" s="433"/>
      <c r="P913" s="122"/>
      <c r="Q913" s="156"/>
      <c r="R913" s="156"/>
      <c r="S913" s="156"/>
      <c r="T913" s="156"/>
      <c r="U913" s="156"/>
      <c r="V913" s="156"/>
      <c r="W913" s="156"/>
      <c r="X913" s="156"/>
      <c r="Y913" s="156"/>
      <c r="Z913" s="157"/>
      <c r="AA913" s="157"/>
      <c r="AB913" s="156"/>
      <c r="AC913" s="156"/>
      <c r="AD913" s="156"/>
      <c r="AE913" s="156"/>
      <c r="AF913" s="156"/>
      <c r="AG913" s="156"/>
      <c r="AH913" s="156"/>
      <c r="AI913" s="156"/>
      <c r="AJ913" s="156"/>
      <c r="AK913" s="156"/>
      <c r="AL913" s="156"/>
      <c r="AM913" s="158"/>
      <c r="AN913" s="156"/>
      <c r="AO913" s="156"/>
      <c r="AP913" s="156"/>
      <c r="AQ913" s="156"/>
      <c r="AR913" s="156"/>
      <c r="AS913" s="156"/>
      <c r="AT913" s="156"/>
      <c r="AU913" s="156"/>
      <c r="AV913" s="156"/>
      <c r="AW913" s="156"/>
      <c r="AX913" s="156"/>
      <c r="AY913" s="156"/>
      <c r="AZ913" s="156"/>
      <c r="BA913" s="153"/>
      <c r="BD913" s="153"/>
      <c r="BE913" s="147"/>
      <c r="BI913" s="153"/>
      <c r="BO913" s="153"/>
      <c r="BW913" s="153"/>
      <c r="CD913" s="146"/>
      <c r="CF913" s="147"/>
      <c r="CI913" s="146"/>
      <c r="CJ913" s="153"/>
      <c r="CV913" s="154"/>
      <c r="CX913" s="154"/>
      <c r="CZ913" s="154"/>
      <c r="DB913" s="154"/>
      <c r="DD913" s="154"/>
      <c r="DH913" s="474"/>
      <c r="DI913" s="459"/>
      <c r="DJ913" s="459"/>
      <c r="DK913" s="459"/>
      <c r="DL913" s="459"/>
      <c r="DM913" s="459"/>
      <c r="DN913" s="459"/>
      <c r="DO913" s="459"/>
      <c r="DP913" s="459"/>
      <c r="DQ913" s="459"/>
      <c r="DR913" s="459"/>
      <c r="DS913" s="459"/>
      <c r="DT913" s="459"/>
      <c r="DU913" s="459"/>
      <c r="DV913" s="468"/>
      <c r="DW913" s="468"/>
      <c r="DX913" s="459"/>
      <c r="DY913" s="459"/>
    </row>
    <row r="914" spans="1:129" s="128" customFormat="1" ht="54.95" customHeight="1" x14ac:dyDescent="0.25">
      <c r="A914" s="377"/>
      <c r="B914" s="175"/>
      <c r="C914" s="393"/>
      <c r="D914" s="168"/>
      <c r="E914" s="168"/>
      <c r="F914" s="168"/>
      <c r="G914" s="168"/>
      <c r="H914" s="168"/>
      <c r="I914" s="168"/>
      <c r="J914" s="168"/>
      <c r="K914" s="168"/>
      <c r="L914" s="168"/>
      <c r="M914" s="168"/>
      <c r="N914" s="168"/>
      <c r="O914" s="433"/>
      <c r="P914" s="122"/>
      <c r="Q914" s="156"/>
      <c r="R914" s="156"/>
      <c r="S914" s="156"/>
      <c r="T914" s="156"/>
      <c r="U914" s="156"/>
      <c r="V914" s="156"/>
      <c r="W914" s="156"/>
      <c r="X914" s="156"/>
      <c r="Y914" s="156"/>
      <c r="Z914" s="157"/>
      <c r="AA914" s="157"/>
      <c r="AB914" s="156"/>
      <c r="AC914" s="156"/>
      <c r="AD914" s="156"/>
      <c r="AE914" s="156"/>
      <c r="AF914" s="156"/>
      <c r="AG914" s="156"/>
      <c r="AH914" s="156"/>
      <c r="AI914" s="156"/>
      <c r="AJ914" s="156"/>
      <c r="AK914" s="156"/>
      <c r="AL914" s="156"/>
      <c r="AM914" s="158"/>
      <c r="AN914" s="156"/>
      <c r="AO914" s="156"/>
      <c r="AP914" s="156"/>
      <c r="AQ914" s="156"/>
      <c r="AR914" s="156"/>
      <c r="AS914" s="156"/>
      <c r="AT914" s="156"/>
      <c r="AU914" s="156"/>
      <c r="AV914" s="156"/>
      <c r="AW914" s="156"/>
      <c r="AX914" s="156"/>
      <c r="AY914" s="156"/>
      <c r="AZ914" s="156"/>
      <c r="BA914" s="153"/>
      <c r="BD914" s="153"/>
      <c r="BE914" s="147"/>
      <c r="BI914" s="153"/>
      <c r="BO914" s="153"/>
      <c r="BW914" s="153"/>
      <c r="CD914" s="146"/>
      <c r="CF914" s="147"/>
      <c r="CI914" s="146"/>
      <c r="CJ914" s="153"/>
      <c r="CV914" s="154"/>
      <c r="CX914" s="154"/>
      <c r="CZ914" s="154"/>
      <c r="DB914" s="154"/>
      <c r="DD914" s="154"/>
      <c r="DH914" s="474"/>
      <c r="DI914" s="459"/>
      <c r="DJ914" s="459"/>
      <c r="DK914" s="459"/>
      <c r="DL914" s="459"/>
      <c r="DM914" s="459"/>
      <c r="DN914" s="459"/>
      <c r="DO914" s="459"/>
      <c r="DP914" s="459"/>
      <c r="DQ914" s="459"/>
      <c r="DR914" s="459"/>
      <c r="DS914" s="459"/>
      <c r="DT914" s="459"/>
      <c r="DU914" s="459"/>
      <c r="DV914" s="468"/>
      <c r="DW914" s="468"/>
      <c r="DX914" s="459"/>
      <c r="DY914" s="459"/>
    </row>
    <row r="915" spans="1:129" s="128" customFormat="1" ht="54.95" customHeight="1" x14ac:dyDescent="0.25">
      <c r="A915" s="377"/>
      <c r="B915" s="175"/>
      <c r="C915" s="393"/>
      <c r="D915" s="168"/>
      <c r="E915" s="168"/>
      <c r="F915" s="168"/>
      <c r="G915" s="168"/>
      <c r="H915" s="168"/>
      <c r="I915" s="168"/>
      <c r="J915" s="168"/>
      <c r="K915" s="168"/>
      <c r="L915" s="168"/>
      <c r="M915" s="168"/>
      <c r="N915" s="168"/>
      <c r="O915" s="433"/>
      <c r="P915" s="122"/>
      <c r="Q915" s="156"/>
      <c r="R915" s="156"/>
      <c r="S915" s="156"/>
      <c r="T915" s="156"/>
      <c r="U915" s="156"/>
      <c r="V915" s="156"/>
      <c r="W915" s="156"/>
      <c r="X915" s="156"/>
      <c r="Y915" s="156"/>
      <c r="Z915" s="157"/>
      <c r="AA915" s="157"/>
      <c r="AB915" s="156"/>
      <c r="AC915" s="156"/>
      <c r="AD915" s="156"/>
      <c r="AE915" s="156"/>
      <c r="AF915" s="156"/>
      <c r="AG915" s="156"/>
      <c r="AH915" s="156"/>
      <c r="AI915" s="156"/>
      <c r="AJ915" s="156"/>
      <c r="AK915" s="156"/>
      <c r="AL915" s="156"/>
      <c r="AM915" s="158"/>
      <c r="AN915" s="156"/>
      <c r="AO915" s="156"/>
      <c r="AP915" s="156"/>
      <c r="AQ915" s="156"/>
      <c r="AR915" s="156"/>
      <c r="AS915" s="156"/>
      <c r="AT915" s="156"/>
      <c r="AU915" s="156"/>
      <c r="AV915" s="156"/>
      <c r="AW915" s="156"/>
      <c r="AX915" s="156"/>
      <c r="AY915" s="156"/>
      <c r="AZ915" s="156"/>
      <c r="BA915" s="153"/>
      <c r="BD915" s="153"/>
      <c r="BE915" s="147"/>
      <c r="BI915" s="153"/>
      <c r="BO915" s="153"/>
      <c r="BW915" s="153"/>
      <c r="CD915" s="146"/>
      <c r="CF915" s="147"/>
      <c r="CI915" s="146"/>
      <c r="CJ915" s="153"/>
      <c r="CV915" s="154"/>
      <c r="CX915" s="154"/>
      <c r="CZ915" s="154"/>
      <c r="DB915" s="154"/>
      <c r="DD915" s="154"/>
      <c r="DH915" s="474"/>
      <c r="DI915" s="459"/>
      <c r="DJ915" s="459"/>
      <c r="DK915" s="459"/>
      <c r="DL915" s="459"/>
      <c r="DM915" s="459"/>
      <c r="DN915" s="459"/>
      <c r="DO915" s="459"/>
      <c r="DP915" s="459"/>
      <c r="DQ915" s="459"/>
      <c r="DR915" s="459"/>
      <c r="DS915" s="459"/>
      <c r="DT915" s="459"/>
      <c r="DU915" s="459"/>
      <c r="DV915" s="468"/>
      <c r="DW915" s="468"/>
      <c r="DX915" s="459"/>
      <c r="DY915" s="459"/>
    </row>
    <row r="916" spans="1:129" s="128" customFormat="1" ht="54.95" customHeight="1" x14ac:dyDescent="0.25">
      <c r="A916" s="377"/>
      <c r="B916" s="175"/>
      <c r="C916" s="393"/>
      <c r="D916" s="168"/>
      <c r="E916" s="168"/>
      <c r="F916" s="168"/>
      <c r="G916" s="168"/>
      <c r="H916" s="168"/>
      <c r="I916" s="168"/>
      <c r="J916" s="168"/>
      <c r="K916" s="168"/>
      <c r="L916" s="168"/>
      <c r="M916" s="168"/>
      <c r="N916" s="168"/>
      <c r="O916" s="433"/>
      <c r="P916" s="122"/>
      <c r="Q916" s="156"/>
      <c r="R916" s="156"/>
      <c r="S916" s="156"/>
      <c r="T916" s="156"/>
      <c r="U916" s="156"/>
      <c r="V916" s="156"/>
      <c r="W916" s="156"/>
      <c r="X916" s="156"/>
      <c r="Y916" s="156"/>
      <c r="Z916" s="157"/>
      <c r="AA916" s="157"/>
      <c r="AB916" s="156"/>
      <c r="AC916" s="156"/>
      <c r="AD916" s="156"/>
      <c r="AE916" s="156"/>
      <c r="AF916" s="156"/>
      <c r="AG916" s="156"/>
      <c r="AH916" s="156"/>
      <c r="AI916" s="156"/>
      <c r="AJ916" s="156"/>
      <c r="AK916" s="156"/>
      <c r="AL916" s="156"/>
      <c r="AM916" s="158"/>
      <c r="AN916" s="156"/>
      <c r="AO916" s="156"/>
      <c r="AP916" s="156"/>
      <c r="AQ916" s="156"/>
      <c r="AR916" s="156"/>
      <c r="AS916" s="156"/>
      <c r="AT916" s="156"/>
      <c r="AU916" s="156"/>
      <c r="AV916" s="156"/>
      <c r="AW916" s="156"/>
      <c r="AX916" s="156"/>
      <c r="AY916" s="156"/>
      <c r="AZ916" s="156"/>
      <c r="BA916" s="153"/>
      <c r="BD916" s="153"/>
      <c r="BE916" s="147"/>
      <c r="BI916" s="153"/>
      <c r="BO916" s="153"/>
      <c r="BW916" s="153"/>
      <c r="CD916" s="146"/>
      <c r="CF916" s="147"/>
      <c r="CI916" s="146"/>
      <c r="CJ916" s="153"/>
      <c r="CV916" s="154"/>
      <c r="CX916" s="154"/>
      <c r="CZ916" s="154"/>
      <c r="DB916" s="154"/>
      <c r="DD916" s="154"/>
      <c r="DH916" s="474"/>
      <c r="DI916" s="459"/>
      <c r="DJ916" s="459"/>
      <c r="DK916" s="459"/>
      <c r="DL916" s="459"/>
      <c r="DM916" s="459"/>
      <c r="DN916" s="459"/>
      <c r="DO916" s="459"/>
      <c r="DP916" s="459"/>
      <c r="DQ916" s="459"/>
      <c r="DR916" s="459"/>
      <c r="DS916" s="459"/>
      <c r="DT916" s="459"/>
      <c r="DU916" s="459"/>
      <c r="DV916" s="468"/>
      <c r="DW916" s="468"/>
      <c r="DX916" s="459"/>
      <c r="DY916" s="459"/>
    </row>
    <row r="917" spans="1:129" s="128" customFormat="1" ht="54.95" customHeight="1" x14ac:dyDescent="0.25">
      <c r="A917" s="377"/>
      <c r="B917" s="175"/>
      <c r="C917" s="393"/>
      <c r="D917" s="168"/>
      <c r="E917" s="168"/>
      <c r="F917" s="168"/>
      <c r="G917" s="168"/>
      <c r="H917" s="168"/>
      <c r="I917" s="168"/>
      <c r="J917" s="168"/>
      <c r="K917" s="168"/>
      <c r="L917" s="168"/>
      <c r="M917" s="168"/>
      <c r="N917" s="168"/>
      <c r="O917" s="433"/>
      <c r="P917" s="122"/>
      <c r="Q917" s="156"/>
      <c r="R917" s="156"/>
      <c r="S917" s="156"/>
      <c r="T917" s="156"/>
      <c r="U917" s="156"/>
      <c r="V917" s="156"/>
      <c r="W917" s="156"/>
      <c r="X917" s="156"/>
      <c r="Y917" s="156"/>
      <c r="Z917" s="157"/>
      <c r="AA917" s="157"/>
      <c r="AB917" s="156"/>
      <c r="AC917" s="156"/>
      <c r="AD917" s="156"/>
      <c r="AE917" s="156"/>
      <c r="AF917" s="156"/>
      <c r="AG917" s="156"/>
      <c r="AH917" s="156"/>
      <c r="AI917" s="156"/>
      <c r="AJ917" s="156"/>
      <c r="AK917" s="156"/>
      <c r="AL917" s="156"/>
      <c r="AM917" s="158"/>
      <c r="AN917" s="156"/>
      <c r="AO917" s="156"/>
      <c r="AP917" s="156"/>
      <c r="AQ917" s="156"/>
      <c r="AR917" s="156"/>
      <c r="AS917" s="156"/>
      <c r="AT917" s="156"/>
      <c r="AU917" s="156"/>
      <c r="AV917" s="156"/>
      <c r="AW917" s="156"/>
      <c r="AX917" s="156"/>
      <c r="AY917" s="156"/>
      <c r="AZ917" s="156"/>
      <c r="BA917" s="153"/>
      <c r="BD917" s="153"/>
      <c r="BE917" s="147"/>
      <c r="BI917" s="153"/>
      <c r="BO917" s="153"/>
      <c r="BW917" s="153"/>
      <c r="CD917" s="146"/>
      <c r="CF917" s="147"/>
      <c r="CI917" s="146"/>
      <c r="CJ917" s="153"/>
      <c r="CV917" s="154"/>
      <c r="CX917" s="154"/>
      <c r="CZ917" s="154"/>
      <c r="DB917" s="154"/>
      <c r="DD917" s="154"/>
      <c r="DH917" s="474"/>
      <c r="DI917" s="459"/>
      <c r="DJ917" s="459"/>
      <c r="DK917" s="459"/>
      <c r="DL917" s="459"/>
      <c r="DM917" s="459"/>
      <c r="DN917" s="459"/>
      <c r="DO917" s="459"/>
      <c r="DP917" s="459"/>
      <c r="DQ917" s="459"/>
      <c r="DR917" s="459"/>
      <c r="DS917" s="459"/>
      <c r="DT917" s="459"/>
      <c r="DU917" s="459"/>
      <c r="DV917" s="468"/>
      <c r="DW917" s="468"/>
      <c r="DX917" s="459"/>
      <c r="DY917" s="459"/>
    </row>
    <row r="918" spans="1:129" s="128" customFormat="1" ht="54.95" customHeight="1" x14ac:dyDescent="0.25">
      <c r="A918" s="377"/>
      <c r="B918" s="175"/>
      <c r="C918" s="393"/>
      <c r="D918" s="168"/>
      <c r="E918" s="168"/>
      <c r="F918" s="168"/>
      <c r="G918" s="168"/>
      <c r="H918" s="168"/>
      <c r="I918" s="168"/>
      <c r="J918" s="168"/>
      <c r="K918" s="168"/>
      <c r="L918" s="168"/>
      <c r="M918" s="168"/>
      <c r="N918" s="168"/>
      <c r="O918" s="433"/>
      <c r="P918" s="122"/>
      <c r="Q918" s="156"/>
      <c r="R918" s="156"/>
      <c r="S918" s="156"/>
      <c r="T918" s="156"/>
      <c r="U918" s="156"/>
      <c r="V918" s="156"/>
      <c r="W918" s="156"/>
      <c r="X918" s="156"/>
      <c r="Y918" s="156"/>
      <c r="Z918" s="157"/>
      <c r="AA918" s="157"/>
      <c r="AB918" s="156"/>
      <c r="AC918" s="156"/>
      <c r="AD918" s="156"/>
      <c r="AE918" s="156"/>
      <c r="AF918" s="156"/>
      <c r="AG918" s="156"/>
      <c r="AH918" s="156"/>
      <c r="AI918" s="156"/>
      <c r="AJ918" s="156"/>
      <c r="AK918" s="156"/>
      <c r="AL918" s="156"/>
      <c r="AM918" s="158"/>
      <c r="AN918" s="156"/>
      <c r="AO918" s="156"/>
      <c r="AP918" s="156"/>
      <c r="AQ918" s="156"/>
      <c r="AR918" s="156"/>
      <c r="AS918" s="156"/>
      <c r="AT918" s="156"/>
      <c r="AU918" s="156"/>
      <c r="AV918" s="156"/>
      <c r="AW918" s="156"/>
      <c r="AX918" s="156"/>
      <c r="AY918" s="156"/>
      <c r="AZ918" s="156"/>
      <c r="BA918" s="153"/>
      <c r="BD918" s="153"/>
      <c r="BE918" s="147"/>
      <c r="BI918" s="153"/>
      <c r="BO918" s="153"/>
      <c r="BW918" s="153"/>
      <c r="CD918" s="146"/>
      <c r="CF918" s="147"/>
      <c r="CI918" s="146"/>
      <c r="CJ918" s="153"/>
      <c r="CV918" s="154"/>
      <c r="CX918" s="154"/>
      <c r="CZ918" s="154"/>
      <c r="DB918" s="154"/>
      <c r="DD918" s="154"/>
      <c r="DH918" s="474"/>
      <c r="DI918" s="459"/>
      <c r="DJ918" s="459"/>
      <c r="DK918" s="459"/>
      <c r="DL918" s="459"/>
      <c r="DM918" s="459"/>
      <c r="DN918" s="459"/>
      <c r="DO918" s="459"/>
      <c r="DP918" s="459"/>
      <c r="DQ918" s="459"/>
      <c r="DR918" s="459"/>
      <c r="DS918" s="459"/>
      <c r="DT918" s="459"/>
      <c r="DU918" s="459"/>
      <c r="DV918" s="468"/>
      <c r="DW918" s="468"/>
      <c r="DX918" s="459"/>
      <c r="DY918" s="459"/>
    </row>
    <row r="919" spans="1:129" s="128" customFormat="1" ht="54.95" customHeight="1" x14ac:dyDescent="0.25">
      <c r="A919" s="377"/>
      <c r="B919" s="175"/>
      <c r="C919" s="393"/>
      <c r="D919" s="168"/>
      <c r="E919" s="168"/>
      <c r="F919" s="168"/>
      <c r="G919" s="168"/>
      <c r="H919" s="168"/>
      <c r="I919" s="168"/>
      <c r="J919" s="168"/>
      <c r="K919" s="168"/>
      <c r="L919" s="168"/>
      <c r="M919" s="168"/>
      <c r="N919" s="168"/>
      <c r="O919" s="433"/>
      <c r="P919" s="122"/>
      <c r="Q919" s="156"/>
      <c r="R919" s="156"/>
      <c r="S919" s="156"/>
      <c r="T919" s="156"/>
      <c r="U919" s="156"/>
      <c r="V919" s="156"/>
      <c r="W919" s="156"/>
      <c r="X919" s="156"/>
      <c r="Y919" s="156"/>
      <c r="Z919" s="157"/>
      <c r="AA919" s="157"/>
      <c r="AB919" s="156"/>
      <c r="AC919" s="156"/>
      <c r="AD919" s="156"/>
      <c r="AE919" s="156"/>
      <c r="AF919" s="156"/>
      <c r="AG919" s="156"/>
      <c r="AH919" s="156"/>
      <c r="AI919" s="156"/>
      <c r="AJ919" s="156"/>
      <c r="AK919" s="156"/>
      <c r="AL919" s="156"/>
      <c r="AM919" s="158"/>
      <c r="AN919" s="156"/>
      <c r="AO919" s="156"/>
      <c r="AP919" s="156"/>
      <c r="AQ919" s="156"/>
      <c r="AR919" s="156"/>
      <c r="AS919" s="156"/>
      <c r="AT919" s="156"/>
      <c r="AU919" s="156"/>
      <c r="AV919" s="156"/>
      <c r="AW919" s="156"/>
      <c r="AX919" s="156"/>
      <c r="AY919" s="156"/>
      <c r="AZ919" s="156"/>
      <c r="BA919" s="153"/>
      <c r="BD919" s="153"/>
      <c r="BE919" s="147"/>
      <c r="BI919" s="153"/>
      <c r="BO919" s="153"/>
      <c r="BW919" s="153"/>
      <c r="CD919" s="146"/>
      <c r="CF919" s="147"/>
      <c r="CI919" s="146"/>
      <c r="CJ919" s="153"/>
      <c r="CV919" s="154"/>
      <c r="CX919" s="154"/>
      <c r="CZ919" s="154"/>
      <c r="DB919" s="154"/>
      <c r="DD919" s="154"/>
      <c r="DH919" s="474"/>
      <c r="DI919" s="459"/>
      <c r="DJ919" s="459"/>
      <c r="DK919" s="459"/>
      <c r="DL919" s="459"/>
      <c r="DM919" s="459"/>
      <c r="DN919" s="459"/>
      <c r="DO919" s="459"/>
      <c r="DP919" s="459"/>
      <c r="DQ919" s="459"/>
      <c r="DR919" s="459"/>
      <c r="DS919" s="459"/>
      <c r="DT919" s="459"/>
      <c r="DU919" s="459"/>
      <c r="DV919" s="468"/>
      <c r="DW919" s="468"/>
      <c r="DX919" s="459"/>
      <c r="DY919" s="459"/>
    </row>
    <row r="920" spans="1:129" s="128" customFormat="1" ht="54.95" customHeight="1" x14ac:dyDescent="0.25">
      <c r="A920" s="377"/>
      <c r="B920" s="175"/>
      <c r="C920" s="393"/>
      <c r="D920" s="168"/>
      <c r="E920" s="168"/>
      <c r="F920" s="168"/>
      <c r="G920" s="168"/>
      <c r="H920" s="168"/>
      <c r="I920" s="168"/>
      <c r="J920" s="168"/>
      <c r="K920" s="168"/>
      <c r="L920" s="168"/>
      <c r="M920" s="168"/>
      <c r="N920" s="168"/>
      <c r="O920" s="433"/>
      <c r="P920" s="122"/>
      <c r="Q920" s="156"/>
      <c r="R920" s="156"/>
      <c r="S920" s="156"/>
      <c r="T920" s="156"/>
      <c r="U920" s="156"/>
      <c r="V920" s="156"/>
      <c r="W920" s="156"/>
      <c r="X920" s="156"/>
      <c r="Y920" s="156"/>
      <c r="Z920" s="157"/>
      <c r="AA920" s="157"/>
      <c r="AB920" s="156"/>
      <c r="AC920" s="156"/>
      <c r="AD920" s="156"/>
      <c r="AE920" s="156"/>
      <c r="AF920" s="156"/>
      <c r="AG920" s="156"/>
      <c r="AH920" s="156"/>
      <c r="AI920" s="156"/>
      <c r="AJ920" s="156"/>
      <c r="AK920" s="156"/>
      <c r="AL920" s="156"/>
      <c r="AM920" s="158"/>
      <c r="AN920" s="156"/>
      <c r="AO920" s="156"/>
      <c r="AP920" s="156"/>
      <c r="AQ920" s="156"/>
      <c r="AR920" s="156"/>
      <c r="AS920" s="156"/>
      <c r="AT920" s="156"/>
      <c r="AU920" s="156"/>
      <c r="AV920" s="156"/>
      <c r="AW920" s="156"/>
      <c r="AX920" s="156"/>
      <c r="AY920" s="156"/>
      <c r="AZ920" s="156"/>
      <c r="BA920" s="153"/>
      <c r="BD920" s="153"/>
      <c r="BE920" s="147"/>
      <c r="BI920" s="153"/>
      <c r="BO920" s="153"/>
      <c r="BW920" s="153"/>
      <c r="CD920" s="146"/>
      <c r="CF920" s="147"/>
      <c r="CI920" s="146"/>
      <c r="CJ920" s="153"/>
      <c r="CV920" s="154"/>
      <c r="CX920" s="154"/>
      <c r="CZ920" s="154"/>
      <c r="DB920" s="154"/>
      <c r="DD920" s="154"/>
      <c r="DH920" s="474"/>
      <c r="DI920" s="459"/>
      <c r="DJ920" s="459"/>
      <c r="DK920" s="459"/>
      <c r="DL920" s="459"/>
      <c r="DM920" s="459"/>
      <c r="DN920" s="459"/>
      <c r="DO920" s="459"/>
      <c r="DP920" s="459"/>
      <c r="DQ920" s="459"/>
      <c r="DR920" s="459"/>
      <c r="DS920" s="459"/>
      <c r="DT920" s="459"/>
      <c r="DU920" s="459"/>
      <c r="DV920" s="468"/>
      <c r="DW920" s="468"/>
      <c r="DX920" s="459"/>
      <c r="DY920" s="459"/>
    </row>
    <row r="921" spans="1:129" s="128" customFormat="1" ht="54.95" customHeight="1" x14ac:dyDescent="0.25">
      <c r="A921" s="377"/>
      <c r="B921" s="175"/>
      <c r="C921" s="393"/>
      <c r="D921" s="168"/>
      <c r="E921" s="168"/>
      <c r="F921" s="168"/>
      <c r="G921" s="168"/>
      <c r="H921" s="168"/>
      <c r="I921" s="168"/>
      <c r="J921" s="168"/>
      <c r="K921" s="168"/>
      <c r="L921" s="168"/>
      <c r="M921" s="168"/>
      <c r="N921" s="168"/>
      <c r="O921" s="433"/>
      <c r="P921" s="122"/>
      <c r="Q921" s="156"/>
      <c r="R921" s="156"/>
      <c r="S921" s="156"/>
      <c r="T921" s="156"/>
      <c r="U921" s="156"/>
      <c r="V921" s="156"/>
      <c r="W921" s="156"/>
      <c r="X921" s="156"/>
      <c r="Y921" s="156"/>
      <c r="Z921" s="157"/>
      <c r="AA921" s="157"/>
      <c r="AB921" s="156"/>
      <c r="AC921" s="156"/>
      <c r="AD921" s="156"/>
      <c r="AE921" s="156"/>
      <c r="AF921" s="156"/>
      <c r="AG921" s="156"/>
      <c r="AH921" s="156"/>
      <c r="AI921" s="156"/>
      <c r="AJ921" s="156"/>
      <c r="AK921" s="156"/>
      <c r="AL921" s="156"/>
      <c r="AM921" s="158"/>
      <c r="AN921" s="156"/>
      <c r="AO921" s="156"/>
      <c r="AP921" s="156"/>
      <c r="AQ921" s="156"/>
      <c r="AR921" s="156"/>
      <c r="AS921" s="156"/>
      <c r="AT921" s="156"/>
      <c r="AU921" s="156"/>
      <c r="AV921" s="156"/>
      <c r="AW921" s="156"/>
      <c r="AX921" s="156"/>
      <c r="AY921" s="156"/>
      <c r="AZ921" s="156"/>
      <c r="BA921" s="153"/>
      <c r="BD921" s="153"/>
      <c r="BE921" s="147"/>
      <c r="BI921" s="153"/>
      <c r="BO921" s="153"/>
      <c r="BW921" s="153"/>
      <c r="CD921" s="146"/>
      <c r="CF921" s="147"/>
      <c r="CI921" s="146"/>
      <c r="CJ921" s="153"/>
      <c r="CV921" s="154"/>
      <c r="CX921" s="154"/>
      <c r="CZ921" s="154"/>
      <c r="DB921" s="154"/>
      <c r="DD921" s="154"/>
      <c r="DH921" s="474"/>
      <c r="DI921" s="459"/>
      <c r="DJ921" s="459"/>
      <c r="DK921" s="459"/>
      <c r="DL921" s="459"/>
      <c r="DM921" s="459"/>
      <c r="DN921" s="459"/>
      <c r="DO921" s="459"/>
      <c r="DP921" s="459"/>
      <c r="DQ921" s="459"/>
      <c r="DR921" s="459"/>
      <c r="DS921" s="459"/>
      <c r="DT921" s="459"/>
      <c r="DU921" s="459"/>
      <c r="DV921" s="468"/>
      <c r="DW921" s="468"/>
      <c r="DX921" s="459"/>
      <c r="DY921" s="459"/>
    </row>
    <row r="922" spans="1:129" s="128" customFormat="1" ht="54.95" customHeight="1" x14ac:dyDescent="0.25">
      <c r="A922" s="377"/>
      <c r="B922" s="175"/>
      <c r="C922" s="393"/>
      <c r="D922" s="168"/>
      <c r="E922" s="168"/>
      <c r="F922" s="168"/>
      <c r="G922" s="168"/>
      <c r="H922" s="168"/>
      <c r="I922" s="168"/>
      <c r="J922" s="168"/>
      <c r="K922" s="168"/>
      <c r="L922" s="168"/>
      <c r="M922" s="168"/>
      <c r="N922" s="168"/>
      <c r="O922" s="433"/>
      <c r="P922" s="122"/>
      <c r="Q922" s="156"/>
      <c r="R922" s="156"/>
      <c r="S922" s="156"/>
      <c r="T922" s="156"/>
      <c r="U922" s="156"/>
      <c r="V922" s="156"/>
      <c r="W922" s="156"/>
      <c r="X922" s="156"/>
      <c r="Y922" s="156"/>
      <c r="Z922" s="157"/>
      <c r="AA922" s="157"/>
      <c r="AB922" s="156"/>
      <c r="AC922" s="156"/>
      <c r="AD922" s="156"/>
      <c r="AE922" s="156"/>
      <c r="AF922" s="156"/>
      <c r="AG922" s="156"/>
      <c r="AH922" s="156"/>
      <c r="AI922" s="156"/>
      <c r="AJ922" s="156"/>
      <c r="AK922" s="156"/>
      <c r="AL922" s="156"/>
      <c r="AM922" s="158"/>
      <c r="AN922" s="156"/>
      <c r="AO922" s="156"/>
      <c r="AP922" s="156"/>
      <c r="AQ922" s="156"/>
      <c r="AR922" s="156"/>
      <c r="AS922" s="156"/>
      <c r="AT922" s="156"/>
      <c r="AU922" s="156"/>
      <c r="AV922" s="156"/>
      <c r="AW922" s="156"/>
      <c r="AX922" s="156"/>
      <c r="AY922" s="156"/>
      <c r="AZ922" s="156"/>
      <c r="BA922" s="153"/>
      <c r="BD922" s="153"/>
      <c r="BE922" s="147"/>
      <c r="BI922" s="153"/>
      <c r="BO922" s="153"/>
      <c r="BW922" s="153"/>
      <c r="CD922" s="146"/>
      <c r="CF922" s="147"/>
      <c r="CI922" s="146"/>
      <c r="CJ922" s="153"/>
      <c r="CV922" s="154"/>
      <c r="CX922" s="154"/>
      <c r="CZ922" s="154"/>
      <c r="DB922" s="154"/>
      <c r="DD922" s="154"/>
      <c r="DH922" s="474"/>
      <c r="DI922" s="459"/>
      <c r="DJ922" s="459"/>
      <c r="DK922" s="459"/>
      <c r="DL922" s="459"/>
      <c r="DM922" s="459"/>
      <c r="DN922" s="459"/>
      <c r="DO922" s="459"/>
      <c r="DP922" s="459"/>
      <c r="DQ922" s="459"/>
      <c r="DR922" s="459"/>
      <c r="DS922" s="459"/>
      <c r="DT922" s="459"/>
      <c r="DU922" s="459"/>
      <c r="DV922" s="468"/>
      <c r="DW922" s="468"/>
      <c r="DX922" s="459"/>
      <c r="DY922" s="459"/>
    </row>
    <row r="923" spans="1:129" s="128" customFormat="1" ht="54.95" customHeight="1" x14ac:dyDescent="0.25">
      <c r="A923" s="377"/>
      <c r="B923" s="175"/>
      <c r="C923" s="393"/>
      <c r="D923" s="168"/>
      <c r="E923" s="168"/>
      <c r="F923" s="168"/>
      <c r="G923" s="168"/>
      <c r="H923" s="168"/>
      <c r="I923" s="168"/>
      <c r="J923" s="168"/>
      <c r="K923" s="168"/>
      <c r="L923" s="168"/>
      <c r="M923" s="168"/>
      <c r="N923" s="168"/>
      <c r="O923" s="433"/>
      <c r="P923" s="122"/>
      <c r="Q923" s="156"/>
      <c r="R923" s="156"/>
      <c r="S923" s="156"/>
      <c r="T923" s="156"/>
      <c r="U923" s="156"/>
      <c r="V923" s="156"/>
      <c r="W923" s="156"/>
      <c r="X923" s="156"/>
      <c r="Y923" s="156"/>
      <c r="Z923" s="157"/>
      <c r="AA923" s="157"/>
      <c r="AB923" s="156"/>
      <c r="AC923" s="156"/>
      <c r="AD923" s="156"/>
      <c r="AE923" s="156"/>
      <c r="AF923" s="156"/>
      <c r="AG923" s="156"/>
      <c r="AH923" s="156"/>
      <c r="AI923" s="156"/>
      <c r="AJ923" s="156"/>
      <c r="AK923" s="156"/>
      <c r="AL923" s="156"/>
      <c r="AM923" s="158"/>
      <c r="AN923" s="156"/>
      <c r="AO923" s="156"/>
      <c r="AP923" s="156"/>
      <c r="AQ923" s="156"/>
      <c r="AR923" s="156"/>
      <c r="AS923" s="156"/>
      <c r="AT923" s="156"/>
      <c r="AU923" s="156"/>
      <c r="AV923" s="156"/>
      <c r="AW923" s="156"/>
      <c r="AX923" s="156"/>
      <c r="AY923" s="156"/>
      <c r="AZ923" s="156"/>
      <c r="BA923" s="153"/>
      <c r="BD923" s="153"/>
      <c r="BE923" s="147"/>
      <c r="BI923" s="153"/>
      <c r="BO923" s="153"/>
      <c r="BW923" s="153"/>
      <c r="CD923" s="146"/>
      <c r="CF923" s="147"/>
      <c r="CI923" s="146"/>
      <c r="CJ923" s="153"/>
      <c r="CV923" s="154"/>
      <c r="CX923" s="154"/>
      <c r="CZ923" s="154"/>
      <c r="DB923" s="154"/>
      <c r="DD923" s="154"/>
      <c r="DH923" s="474"/>
      <c r="DI923" s="459"/>
      <c r="DJ923" s="459"/>
      <c r="DK923" s="459"/>
      <c r="DL923" s="459"/>
      <c r="DM923" s="459"/>
      <c r="DN923" s="459"/>
      <c r="DO923" s="459"/>
      <c r="DP923" s="459"/>
      <c r="DQ923" s="459"/>
      <c r="DR923" s="459"/>
      <c r="DS923" s="459"/>
      <c r="DT923" s="459"/>
      <c r="DU923" s="459"/>
      <c r="DV923" s="468"/>
      <c r="DW923" s="468"/>
      <c r="DX923" s="459"/>
      <c r="DY923" s="459"/>
    </row>
    <row r="924" spans="1:129" s="128" customFormat="1" ht="54.95" customHeight="1" x14ac:dyDescent="0.25">
      <c r="A924" s="377"/>
      <c r="B924" s="175"/>
      <c r="C924" s="393"/>
      <c r="D924" s="168"/>
      <c r="E924" s="168"/>
      <c r="F924" s="168"/>
      <c r="G924" s="168"/>
      <c r="H924" s="168"/>
      <c r="I924" s="168"/>
      <c r="J924" s="168"/>
      <c r="K924" s="168"/>
      <c r="L924" s="168"/>
      <c r="M924" s="168"/>
      <c r="N924" s="168"/>
      <c r="O924" s="433"/>
      <c r="P924" s="122"/>
      <c r="Q924" s="156"/>
      <c r="R924" s="156"/>
      <c r="S924" s="156"/>
      <c r="T924" s="156"/>
      <c r="U924" s="156"/>
      <c r="V924" s="156"/>
      <c r="W924" s="156"/>
      <c r="X924" s="156"/>
      <c r="Y924" s="156"/>
      <c r="Z924" s="157"/>
      <c r="AA924" s="157"/>
      <c r="AB924" s="156"/>
      <c r="AC924" s="156"/>
      <c r="AD924" s="156"/>
      <c r="AE924" s="156"/>
      <c r="AF924" s="156"/>
      <c r="AG924" s="156"/>
      <c r="AH924" s="156"/>
      <c r="AI924" s="156"/>
      <c r="AJ924" s="156"/>
      <c r="AK924" s="156"/>
      <c r="AL924" s="156"/>
      <c r="AM924" s="158"/>
      <c r="AN924" s="156"/>
      <c r="AO924" s="156"/>
      <c r="AP924" s="156"/>
      <c r="AQ924" s="156"/>
      <c r="AR924" s="156"/>
      <c r="AS924" s="156"/>
      <c r="AT924" s="156"/>
      <c r="AU924" s="156"/>
      <c r="AV924" s="156"/>
      <c r="AW924" s="156"/>
      <c r="AX924" s="156"/>
      <c r="AY924" s="156"/>
      <c r="AZ924" s="156"/>
      <c r="BA924" s="153"/>
      <c r="BD924" s="153"/>
      <c r="BE924" s="147"/>
      <c r="BI924" s="153"/>
      <c r="BO924" s="153"/>
      <c r="BW924" s="153"/>
      <c r="CD924" s="146"/>
      <c r="CF924" s="147"/>
      <c r="CI924" s="146"/>
      <c r="CJ924" s="153"/>
      <c r="CV924" s="154"/>
      <c r="CX924" s="154"/>
      <c r="CZ924" s="154"/>
      <c r="DB924" s="154"/>
      <c r="DD924" s="154"/>
      <c r="DH924" s="474"/>
      <c r="DI924" s="459"/>
      <c r="DJ924" s="459"/>
      <c r="DK924" s="459"/>
      <c r="DL924" s="459"/>
      <c r="DM924" s="459"/>
      <c r="DN924" s="459"/>
      <c r="DO924" s="459"/>
      <c r="DP924" s="459"/>
      <c r="DQ924" s="459"/>
      <c r="DR924" s="459"/>
      <c r="DS924" s="459"/>
      <c r="DT924" s="459"/>
      <c r="DU924" s="459"/>
      <c r="DV924" s="468"/>
      <c r="DW924" s="468"/>
      <c r="DX924" s="459"/>
      <c r="DY924" s="459"/>
    </row>
    <row r="925" spans="1:129" s="128" customFormat="1" ht="54.95" customHeight="1" x14ac:dyDescent="0.25">
      <c r="A925" s="377"/>
      <c r="B925" s="175"/>
      <c r="C925" s="393"/>
      <c r="D925" s="168"/>
      <c r="E925" s="168"/>
      <c r="F925" s="168"/>
      <c r="G925" s="168"/>
      <c r="H925" s="168"/>
      <c r="I925" s="168"/>
      <c r="J925" s="168"/>
      <c r="K925" s="168"/>
      <c r="L925" s="168"/>
      <c r="M925" s="168"/>
      <c r="N925" s="168"/>
      <c r="O925" s="433"/>
      <c r="P925" s="122"/>
      <c r="Q925" s="156"/>
      <c r="R925" s="156"/>
      <c r="S925" s="156"/>
      <c r="T925" s="156"/>
      <c r="U925" s="156"/>
      <c r="V925" s="156"/>
      <c r="W925" s="156"/>
      <c r="X925" s="156"/>
      <c r="Y925" s="156"/>
      <c r="Z925" s="157"/>
      <c r="AA925" s="157"/>
      <c r="AB925" s="156"/>
      <c r="AC925" s="156"/>
      <c r="AD925" s="156"/>
      <c r="AE925" s="156"/>
      <c r="AF925" s="156"/>
      <c r="AG925" s="156"/>
      <c r="AH925" s="156"/>
      <c r="AI925" s="156"/>
      <c r="AJ925" s="156"/>
      <c r="AK925" s="156"/>
      <c r="AL925" s="156"/>
      <c r="AM925" s="158"/>
      <c r="AN925" s="156"/>
      <c r="AO925" s="156"/>
      <c r="AP925" s="156"/>
      <c r="AQ925" s="156"/>
      <c r="AR925" s="156"/>
      <c r="AS925" s="156"/>
      <c r="AT925" s="156"/>
      <c r="AU925" s="156"/>
      <c r="AV925" s="156"/>
      <c r="AW925" s="156"/>
      <c r="AX925" s="156"/>
      <c r="AY925" s="156"/>
      <c r="AZ925" s="156"/>
      <c r="BA925" s="153"/>
      <c r="BD925" s="153"/>
      <c r="BE925" s="147"/>
      <c r="BI925" s="153"/>
      <c r="BO925" s="153"/>
      <c r="BW925" s="153"/>
      <c r="CD925" s="146"/>
      <c r="CF925" s="147"/>
      <c r="CI925" s="146"/>
      <c r="CJ925" s="153"/>
      <c r="CV925" s="154"/>
      <c r="CX925" s="154"/>
      <c r="CZ925" s="154"/>
      <c r="DB925" s="154"/>
      <c r="DD925" s="154"/>
      <c r="DH925" s="474"/>
      <c r="DI925" s="459"/>
      <c r="DJ925" s="459"/>
      <c r="DK925" s="459"/>
      <c r="DL925" s="459"/>
      <c r="DM925" s="459"/>
      <c r="DN925" s="459"/>
      <c r="DO925" s="459"/>
      <c r="DP925" s="459"/>
      <c r="DQ925" s="459"/>
      <c r="DR925" s="459"/>
      <c r="DS925" s="459"/>
      <c r="DT925" s="459"/>
      <c r="DU925" s="459"/>
      <c r="DV925" s="468"/>
      <c r="DW925" s="468"/>
      <c r="DX925" s="459"/>
      <c r="DY925" s="459"/>
    </row>
    <row r="926" spans="1:129" s="128" customFormat="1" ht="54.95" customHeight="1" x14ac:dyDescent="0.25">
      <c r="A926" s="377"/>
      <c r="B926" s="175"/>
      <c r="C926" s="393"/>
      <c r="D926" s="168"/>
      <c r="E926" s="168"/>
      <c r="F926" s="168"/>
      <c r="G926" s="168"/>
      <c r="H926" s="168"/>
      <c r="I926" s="168"/>
      <c r="J926" s="168"/>
      <c r="K926" s="168"/>
      <c r="L926" s="168"/>
      <c r="M926" s="168"/>
      <c r="N926" s="168"/>
      <c r="O926" s="433"/>
      <c r="P926" s="122"/>
      <c r="Q926" s="156"/>
      <c r="R926" s="156"/>
      <c r="S926" s="156"/>
      <c r="T926" s="156"/>
      <c r="U926" s="156"/>
      <c r="V926" s="156"/>
      <c r="W926" s="156"/>
      <c r="X926" s="156"/>
      <c r="Y926" s="156"/>
      <c r="Z926" s="157"/>
      <c r="AA926" s="157"/>
      <c r="AB926" s="156"/>
      <c r="AC926" s="156"/>
      <c r="AD926" s="156"/>
      <c r="AE926" s="156"/>
      <c r="AF926" s="156"/>
      <c r="AG926" s="156"/>
      <c r="AH926" s="156"/>
      <c r="AI926" s="156"/>
      <c r="AJ926" s="156"/>
      <c r="AK926" s="156"/>
      <c r="AL926" s="156"/>
      <c r="AM926" s="158"/>
      <c r="AN926" s="156"/>
      <c r="AO926" s="156"/>
      <c r="AP926" s="156"/>
      <c r="AQ926" s="156"/>
      <c r="AR926" s="156"/>
      <c r="AS926" s="156"/>
      <c r="AT926" s="156"/>
      <c r="AU926" s="156"/>
      <c r="AV926" s="156"/>
      <c r="AW926" s="156"/>
      <c r="AX926" s="156"/>
      <c r="AY926" s="156"/>
      <c r="AZ926" s="156"/>
      <c r="BA926" s="153"/>
      <c r="BD926" s="153"/>
      <c r="BE926" s="147"/>
      <c r="BI926" s="153"/>
      <c r="BO926" s="153"/>
      <c r="BW926" s="153"/>
      <c r="CD926" s="146"/>
      <c r="CF926" s="147"/>
      <c r="CI926" s="146"/>
      <c r="CJ926" s="153"/>
      <c r="CV926" s="154"/>
      <c r="CX926" s="154"/>
      <c r="CZ926" s="154"/>
      <c r="DB926" s="154"/>
      <c r="DD926" s="154"/>
      <c r="DH926" s="474"/>
      <c r="DI926" s="459"/>
      <c r="DJ926" s="459"/>
      <c r="DK926" s="459"/>
      <c r="DL926" s="459"/>
      <c r="DM926" s="459"/>
      <c r="DN926" s="459"/>
      <c r="DO926" s="459"/>
      <c r="DP926" s="459"/>
      <c r="DQ926" s="459"/>
      <c r="DR926" s="459"/>
      <c r="DS926" s="459"/>
      <c r="DT926" s="459"/>
      <c r="DU926" s="459"/>
      <c r="DV926" s="468"/>
      <c r="DW926" s="468"/>
      <c r="DX926" s="459"/>
      <c r="DY926" s="459"/>
    </row>
    <row r="927" spans="1:129" s="128" customFormat="1" ht="54.95" customHeight="1" x14ac:dyDescent="0.25">
      <c r="A927" s="377"/>
      <c r="B927" s="175"/>
      <c r="C927" s="393"/>
      <c r="D927" s="168"/>
      <c r="E927" s="168"/>
      <c r="F927" s="168"/>
      <c r="G927" s="168"/>
      <c r="H927" s="168"/>
      <c r="I927" s="168"/>
      <c r="J927" s="168"/>
      <c r="K927" s="168"/>
      <c r="L927" s="168"/>
      <c r="M927" s="168"/>
      <c r="N927" s="168"/>
      <c r="O927" s="433"/>
      <c r="P927" s="122"/>
      <c r="Q927" s="156"/>
      <c r="R927" s="156"/>
      <c r="S927" s="156"/>
      <c r="T927" s="156"/>
      <c r="U927" s="156"/>
      <c r="V927" s="156"/>
      <c r="W927" s="156"/>
      <c r="X927" s="156"/>
      <c r="Y927" s="156"/>
      <c r="Z927" s="157"/>
      <c r="AA927" s="157"/>
      <c r="AB927" s="156"/>
      <c r="AC927" s="156"/>
      <c r="AD927" s="156"/>
      <c r="AE927" s="156"/>
      <c r="AF927" s="156"/>
      <c r="AG927" s="156"/>
      <c r="AH927" s="156"/>
      <c r="AI927" s="156"/>
      <c r="AJ927" s="156"/>
      <c r="AK927" s="156"/>
      <c r="AL927" s="156"/>
      <c r="AM927" s="158"/>
      <c r="AN927" s="156"/>
      <c r="AO927" s="156"/>
      <c r="AP927" s="156"/>
      <c r="AQ927" s="156"/>
      <c r="AR927" s="156"/>
      <c r="AS927" s="156"/>
      <c r="AT927" s="156"/>
      <c r="AU927" s="156"/>
      <c r="AV927" s="156"/>
      <c r="AW927" s="156"/>
      <c r="AX927" s="156"/>
      <c r="AY927" s="156"/>
      <c r="AZ927" s="156"/>
      <c r="BA927" s="153"/>
      <c r="BD927" s="153"/>
      <c r="BE927" s="147"/>
      <c r="BI927" s="153"/>
      <c r="BO927" s="153"/>
      <c r="BW927" s="153"/>
      <c r="CD927" s="146"/>
      <c r="CF927" s="147"/>
      <c r="CI927" s="146"/>
      <c r="CJ927" s="153"/>
      <c r="CV927" s="154"/>
      <c r="CX927" s="154"/>
      <c r="CZ927" s="154"/>
      <c r="DB927" s="154"/>
      <c r="DD927" s="154"/>
      <c r="DH927" s="474"/>
      <c r="DI927" s="459"/>
      <c r="DJ927" s="459"/>
      <c r="DK927" s="459"/>
      <c r="DL927" s="459"/>
      <c r="DM927" s="459"/>
      <c r="DN927" s="459"/>
      <c r="DO927" s="459"/>
      <c r="DP927" s="459"/>
      <c r="DQ927" s="459"/>
      <c r="DR927" s="459"/>
      <c r="DS927" s="459"/>
      <c r="DT927" s="459"/>
      <c r="DU927" s="459"/>
      <c r="DV927" s="468"/>
      <c r="DW927" s="468"/>
      <c r="DX927" s="459"/>
      <c r="DY927" s="459"/>
    </row>
    <row r="928" spans="1:129" s="128" customFormat="1" ht="54.95" customHeight="1" x14ac:dyDescent="0.25">
      <c r="A928" s="377"/>
      <c r="B928" s="175"/>
      <c r="C928" s="393"/>
      <c r="D928" s="168"/>
      <c r="E928" s="168"/>
      <c r="F928" s="168"/>
      <c r="G928" s="168"/>
      <c r="H928" s="168"/>
      <c r="I928" s="168"/>
      <c r="J928" s="168"/>
      <c r="K928" s="168"/>
      <c r="L928" s="168"/>
      <c r="M928" s="168"/>
      <c r="N928" s="168"/>
      <c r="O928" s="433"/>
      <c r="P928" s="122"/>
      <c r="Q928" s="156"/>
      <c r="R928" s="156"/>
      <c r="S928" s="156"/>
      <c r="T928" s="156"/>
      <c r="U928" s="156"/>
      <c r="V928" s="156"/>
      <c r="W928" s="156"/>
      <c r="X928" s="156"/>
      <c r="Y928" s="156"/>
      <c r="Z928" s="157"/>
      <c r="AA928" s="157"/>
      <c r="AB928" s="156"/>
      <c r="AC928" s="156"/>
      <c r="AD928" s="156"/>
      <c r="AE928" s="156"/>
      <c r="AF928" s="156"/>
      <c r="AG928" s="156"/>
      <c r="AH928" s="156"/>
      <c r="AI928" s="156"/>
      <c r="AJ928" s="156"/>
      <c r="AK928" s="156"/>
      <c r="AL928" s="156"/>
      <c r="AM928" s="158"/>
      <c r="AN928" s="156"/>
      <c r="AO928" s="156"/>
      <c r="AP928" s="156"/>
      <c r="AQ928" s="156"/>
      <c r="AR928" s="156"/>
      <c r="AS928" s="156"/>
      <c r="AT928" s="156"/>
      <c r="AU928" s="156"/>
      <c r="AV928" s="156"/>
      <c r="AW928" s="156"/>
      <c r="AX928" s="156"/>
      <c r="AY928" s="156"/>
      <c r="AZ928" s="156"/>
      <c r="BA928" s="153"/>
      <c r="BD928" s="153"/>
      <c r="BE928" s="147"/>
      <c r="BI928" s="153"/>
      <c r="BO928" s="153"/>
      <c r="BW928" s="153"/>
      <c r="CD928" s="146"/>
      <c r="CF928" s="147"/>
      <c r="CI928" s="146"/>
      <c r="CJ928" s="153"/>
      <c r="CV928" s="154"/>
      <c r="CX928" s="154"/>
      <c r="CZ928" s="154"/>
      <c r="DB928" s="154"/>
      <c r="DD928" s="154"/>
      <c r="DH928" s="474"/>
      <c r="DI928" s="459"/>
      <c r="DJ928" s="459"/>
      <c r="DK928" s="459"/>
      <c r="DL928" s="459"/>
      <c r="DM928" s="459"/>
      <c r="DN928" s="459"/>
      <c r="DO928" s="459"/>
      <c r="DP928" s="459"/>
      <c r="DQ928" s="459"/>
      <c r="DR928" s="459"/>
      <c r="DS928" s="459"/>
      <c r="DT928" s="459"/>
      <c r="DU928" s="459"/>
      <c r="DV928" s="468"/>
      <c r="DW928" s="468"/>
      <c r="DX928" s="459"/>
      <c r="DY928" s="459"/>
    </row>
    <row r="929" spans="1:129" s="128" customFormat="1" ht="54.95" customHeight="1" x14ac:dyDescent="0.25">
      <c r="A929" s="377"/>
      <c r="B929" s="175"/>
      <c r="C929" s="393"/>
      <c r="D929" s="168"/>
      <c r="E929" s="168"/>
      <c r="F929" s="168"/>
      <c r="G929" s="168"/>
      <c r="H929" s="168"/>
      <c r="I929" s="168"/>
      <c r="J929" s="168"/>
      <c r="K929" s="168"/>
      <c r="L929" s="168"/>
      <c r="M929" s="168"/>
      <c r="N929" s="168"/>
      <c r="O929" s="433"/>
      <c r="P929" s="122"/>
      <c r="Q929" s="156"/>
      <c r="R929" s="156"/>
      <c r="S929" s="156"/>
      <c r="T929" s="156"/>
      <c r="U929" s="156"/>
      <c r="V929" s="156"/>
      <c r="W929" s="156"/>
      <c r="X929" s="156"/>
      <c r="Y929" s="156"/>
      <c r="Z929" s="157"/>
      <c r="AA929" s="157"/>
      <c r="AB929" s="156"/>
      <c r="AC929" s="156"/>
      <c r="AD929" s="156"/>
      <c r="AE929" s="156"/>
      <c r="AF929" s="156"/>
      <c r="AG929" s="156"/>
      <c r="AH929" s="156"/>
      <c r="AI929" s="156"/>
      <c r="AJ929" s="156"/>
      <c r="AK929" s="156"/>
      <c r="AL929" s="156"/>
      <c r="AM929" s="158"/>
      <c r="AN929" s="156"/>
      <c r="AO929" s="156"/>
      <c r="AP929" s="156"/>
      <c r="AQ929" s="156"/>
      <c r="AR929" s="156"/>
      <c r="AS929" s="156"/>
      <c r="AT929" s="156"/>
      <c r="AU929" s="156"/>
      <c r="AV929" s="156"/>
      <c r="AW929" s="156"/>
      <c r="AX929" s="156"/>
      <c r="AY929" s="156"/>
      <c r="AZ929" s="156"/>
      <c r="BA929" s="153"/>
      <c r="BD929" s="153"/>
      <c r="BE929" s="147"/>
      <c r="BI929" s="153"/>
      <c r="BO929" s="153"/>
      <c r="BW929" s="153"/>
      <c r="CD929" s="146"/>
      <c r="CF929" s="147"/>
      <c r="CI929" s="146"/>
      <c r="CJ929" s="153"/>
      <c r="CV929" s="154"/>
      <c r="CX929" s="154"/>
      <c r="CZ929" s="154"/>
      <c r="DB929" s="154"/>
      <c r="DD929" s="154"/>
      <c r="DH929" s="474"/>
      <c r="DI929" s="459"/>
      <c r="DJ929" s="459"/>
      <c r="DK929" s="459"/>
      <c r="DL929" s="459"/>
      <c r="DM929" s="459"/>
      <c r="DN929" s="459"/>
      <c r="DO929" s="459"/>
      <c r="DP929" s="459"/>
      <c r="DQ929" s="459"/>
      <c r="DR929" s="459"/>
      <c r="DS929" s="459"/>
      <c r="DT929" s="459"/>
      <c r="DU929" s="459"/>
      <c r="DV929" s="468"/>
      <c r="DW929" s="468"/>
      <c r="DX929" s="459"/>
      <c r="DY929" s="459"/>
    </row>
    <row r="930" spans="1:129" s="128" customFormat="1" ht="54.95" customHeight="1" x14ac:dyDescent="0.25">
      <c r="A930" s="377"/>
      <c r="B930" s="175"/>
      <c r="C930" s="393"/>
      <c r="D930" s="168"/>
      <c r="E930" s="168"/>
      <c r="F930" s="168"/>
      <c r="G930" s="168"/>
      <c r="H930" s="168"/>
      <c r="I930" s="168"/>
      <c r="J930" s="168"/>
      <c r="K930" s="168"/>
      <c r="L930" s="168"/>
      <c r="M930" s="168"/>
      <c r="N930" s="168"/>
      <c r="O930" s="433"/>
      <c r="P930" s="122"/>
      <c r="Q930" s="156"/>
      <c r="R930" s="156"/>
      <c r="S930" s="156"/>
      <c r="T930" s="156"/>
      <c r="U930" s="156"/>
      <c r="V930" s="156"/>
      <c r="W930" s="156"/>
      <c r="X930" s="156"/>
      <c r="Y930" s="156"/>
      <c r="Z930" s="157"/>
      <c r="AA930" s="157"/>
      <c r="AB930" s="156"/>
      <c r="AC930" s="156"/>
      <c r="AD930" s="156"/>
      <c r="AE930" s="156"/>
      <c r="AF930" s="156"/>
      <c r="AG930" s="156"/>
      <c r="AH930" s="156"/>
      <c r="AI930" s="156"/>
      <c r="AJ930" s="156"/>
      <c r="AK930" s="156"/>
      <c r="AL930" s="156"/>
      <c r="AM930" s="158"/>
      <c r="AN930" s="156"/>
      <c r="AO930" s="156"/>
      <c r="AP930" s="156"/>
      <c r="AQ930" s="156"/>
      <c r="AR930" s="156"/>
      <c r="AS930" s="156"/>
      <c r="AT930" s="156"/>
      <c r="AU930" s="156"/>
      <c r="AV930" s="156"/>
      <c r="AW930" s="156"/>
      <c r="AX930" s="156"/>
      <c r="AY930" s="156"/>
      <c r="AZ930" s="156"/>
      <c r="BA930" s="153"/>
      <c r="BD930" s="153"/>
      <c r="BE930" s="147"/>
      <c r="BI930" s="153"/>
      <c r="BO930" s="153"/>
      <c r="BW930" s="153"/>
      <c r="CD930" s="146"/>
      <c r="CF930" s="147"/>
      <c r="CI930" s="146"/>
      <c r="CJ930" s="153"/>
      <c r="CV930" s="154"/>
      <c r="CX930" s="154"/>
      <c r="CZ930" s="154"/>
      <c r="DB930" s="154"/>
      <c r="DD930" s="154"/>
      <c r="DH930" s="474"/>
      <c r="DI930" s="459"/>
      <c r="DJ930" s="459"/>
      <c r="DK930" s="459"/>
      <c r="DL930" s="459"/>
      <c r="DM930" s="459"/>
      <c r="DN930" s="459"/>
      <c r="DO930" s="459"/>
      <c r="DP930" s="459"/>
      <c r="DQ930" s="459"/>
      <c r="DR930" s="459"/>
      <c r="DS930" s="459"/>
      <c r="DT930" s="459"/>
      <c r="DU930" s="459"/>
      <c r="DV930" s="468"/>
      <c r="DW930" s="468"/>
      <c r="DX930" s="459"/>
      <c r="DY930" s="459"/>
    </row>
    <row r="931" spans="1:129" s="128" customFormat="1" ht="54.95" customHeight="1" x14ac:dyDescent="0.25">
      <c r="A931" s="377"/>
      <c r="B931" s="175"/>
      <c r="C931" s="393"/>
      <c r="D931" s="168"/>
      <c r="E931" s="168"/>
      <c r="F931" s="168"/>
      <c r="G931" s="168"/>
      <c r="H931" s="168"/>
      <c r="I931" s="168"/>
      <c r="J931" s="168"/>
      <c r="K931" s="168"/>
      <c r="L931" s="168"/>
      <c r="M931" s="168"/>
      <c r="N931" s="168"/>
      <c r="O931" s="433"/>
      <c r="P931" s="122"/>
      <c r="Q931" s="156"/>
      <c r="R931" s="156"/>
      <c r="S931" s="156"/>
      <c r="T931" s="156"/>
      <c r="U931" s="156"/>
      <c r="V931" s="156"/>
      <c r="W931" s="156"/>
      <c r="X931" s="156"/>
      <c r="Y931" s="156"/>
      <c r="Z931" s="157"/>
      <c r="AA931" s="157"/>
      <c r="AB931" s="156"/>
      <c r="AC931" s="156"/>
      <c r="AD931" s="156"/>
      <c r="AE931" s="156"/>
      <c r="AF931" s="156"/>
      <c r="AG931" s="156"/>
      <c r="AH931" s="156"/>
      <c r="AI931" s="156"/>
      <c r="AJ931" s="156"/>
      <c r="AK931" s="156"/>
      <c r="AL931" s="156"/>
      <c r="AM931" s="158"/>
      <c r="AN931" s="156"/>
      <c r="AO931" s="156"/>
      <c r="AP931" s="156"/>
      <c r="AQ931" s="156"/>
      <c r="AR931" s="156"/>
      <c r="AS931" s="156"/>
      <c r="AT931" s="156"/>
      <c r="AU931" s="156"/>
      <c r="AV931" s="156"/>
      <c r="AW931" s="156"/>
      <c r="AX931" s="156"/>
      <c r="AY931" s="156"/>
      <c r="AZ931" s="156"/>
      <c r="BA931" s="153"/>
      <c r="BD931" s="153"/>
      <c r="BE931" s="147"/>
      <c r="BI931" s="153"/>
      <c r="BO931" s="153"/>
      <c r="BW931" s="153"/>
      <c r="CD931" s="146"/>
      <c r="CF931" s="147"/>
      <c r="CI931" s="146"/>
      <c r="CJ931" s="153"/>
      <c r="CV931" s="154"/>
      <c r="CX931" s="154"/>
      <c r="CZ931" s="154"/>
      <c r="DB931" s="154"/>
      <c r="DD931" s="154"/>
      <c r="DH931" s="474"/>
      <c r="DI931" s="459"/>
      <c r="DJ931" s="459"/>
      <c r="DK931" s="459"/>
      <c r="DL931" s="459"/>
      <c r="DM931" s="459"/>
      <c r="DN931" s="459"/>
      <c r="DO931" s="459"/>
      <c r="DP931" s="459"/>
      <c r="DQ931" s="459"/>
      <c r="DR931" s="459"/>
      <c r="DS931" s="459"/>
      <c r="DT931" s="459"/>
      <c r="DU931" s="459"/>
      <c r="DV931" s="468"/>
      <c r="DW931" s="468"/>
      <c r="DX931" s="459"/>
      <c r="DY931" s="459"/>
    </row>
    <row r="932" spans="1:129" s="128" customFormat="1" ht="54.95" customHeight="1" x14ac:dyDescent="0.25">
      <c r="A932" s="377"/>
      <c r="B932" s="175"/>
      <c r="C932" s="393"/>
      <c r="D932" s="168"/>
      <c r="E932" s="168"/>
      <c r="F932" s="168"/>
      <c r="G932" s="168"/>
      <c r="H932" s="168"/>
      <c r="I932" s="168"/>
      <c r="J932" s="168"/>
      <c r="K932" s="168"/>
      <c r="L932" s="168"/>
      <c r="M932" s="168"/>
      <c r="N932" s="168"/>
      <c r="O932" s="433"/>
      <c r="P932" s="122"/>
      <c r="Q932" s="156"/>
      <c r="R932" s="156"/>
      <c r="S932" s="156"/>
      <c r="T932" s="156"/>
      <c r="U932" s="156"/>
      <c r="V932" s="156"/>
      <c r="W932" s="156"/>
      <c r="X932" s="156"/>
      <c r="Y932" s="156"/>
      <c r="Z932" s="157"/>
      <c r="AA932" s="157"/>
      <c r="AB932" s="156"/>
      <c r="AC932" s="156"/>
      <c r="AD932" s="156"/>
      <c r="AE932" s="156"/>
      <c r="AF932" s="156"/>
      <c r="AG932" s="156"/>
      <c r="AH932" s="156"/>
      <c r="AI932" s="156"/>
      <c r="AJ932" s="156"/>
      <c r="AK932" s="156"/>
      <c r="AL932" s="156"/>
      <c r="AM932" s="158"/>
      <c r="AN932" s="156"/>
      <c r="AO932" s="156"/>
      <c r="AP932" s="156"/>
      <c r="AQ932" s="156"/>
      <c r="AR932" s="156"/>
      <c r="AS932" s="156"/>
      <c r="AT932" s="156"/>
      <c r="AU932" s="156"/>
      <c r="AV932" s="156"/>
      <c r="AW932" s="156"/>
      <c r="AX932" s="156"/>
      <c r="AY932" s="156"/>
      <c r="AZ932" s="156"/>
      <c r="BA932" s="153"/>
      <c r="BD932" s="153"/>
      <c r="BE932" s="147"/>
      <c r="BI932" s="153"/>
      <c r="BO932" s="153"/>
      <c r="BW932" s="153"/>
      <c r="CD932" s="146"/>
      <c r="CF932" s="147"/>
      <c r="CI932" s="146"/>
      <c r="CJ932" s="153"/>
      <c r="CV932" s="154"/>
      <c r="CX932" s="154"/>
      <c r="CZ932" s="154"/>
      <c r="DB932" s="154"/>
      <c r="DD932" s="154"/>
      <c r="DH932" s="474"/>
      <c r="DI932" s="459"/>
      <c r="DJ932" s="459"/>
      <c r="DK932" s="459"/>
      <c r="DL932" s="459"/>
      <c r="DM932" s="459"/>
      <c r="DN932" s="459"/>
      <c r="DO932" s="459"/>
      <c r="DP932" s="459"/>
      <c r="DQ932" s="459"/>
      <c r="DR932" s="459"/>
      <c r="DS932" s="459"/>
      <c r="DT932" s="459"/>
      <c r="DU932" s="459"/>
      <c r="DV932" s="468"/>
      <c r="DW932" s="468"/>
      <c r="DX932" s="459"/>
      <c r="DY932" s="459"/>
    </row>
    <row r="933" spans="1:129" s="128" customFormat="1" ht="54.95" customHeight="1" x14ac:dyDescent="0.25">
      <c r="A933" s="377"/>
      <c r="B933" s="175"/>
      <c r="C933" s="393"/>
      <c r="D933" s="168"/>
      <c r="E933" s="168"/>
      <c r="F933" s="168"/>
      <c r="G933" s="168"/>
      <c r="H933" s="168"/>
      <c r="I933" s="168"/>
      <c r="J933" s="168"/>
      <c r="K933" s="168"/>
      <c r="L933" s="168"/>
      <c r="M933" s="168"/>
      <c r="N933" s="168"/>
      <c r="O933" s="433"/>
      <c r="P933" s="122"/>
      <c r="Q933" s="156"/>
      <c r="R933" s="156"/>
      <c r="S933" s="156"/>
      <c r="T933" s="156"/>
      <c r="U933" s="156"/>
      <c r="V933" s="156"/>
      <c r="W933" s="156"/>
      <c r="X933" s="156"/>
      <c r="Y933" s="156"/>
      <c r="Z933" s="157"/>
      <c r="AA933" s="157"/>
      <c r="AB933" s="156"/>
      <c r="AC933" s="156"/>
      <c r="AD933" s="156"/>
      <c r="AE933" s="156"/>
      <c r="AF933" s="156"/>
      <c r="AG933" s="156"/>
      <c r="AH933" s="156"/>
      <c r="AI933" s="156"/>
      <c r="AJ933" s="156"/>
      <c r="AK933" s="156"/>
      <c r="AL933" s="156"/>
      <c r="AM933" s="158"/>
      <c r="AN933" s="156"/>
      <c r="AO933" s="156"/>
      <c r="AP933" s="156"/>
      <c r="AQ933" s="156"/>
      <c r="AR933" s="156"/>
      <c r="AS933" s="156"/>
      <c r="AT933" s="156"/>
      <c r="AU933" s="156"/>
      <c r="AV933" s="156"/>
      <c r="AW933" s="156"/>
      <c r="AX933" s="156"/>
      <c r="AY933" s="156"/>
      <c r="AZ933" s="156"/>
      <c r="BA933" s="153"/>
      <c r="BD933" s="153"/>
      <c r="BE933" s="147"/>
      <c r="BI933" s="153"/>
      <c r="BO933" s="153"/>
      <c r="BW933" s="153"/>
      <c r="CD933" s="146"/>
      <c r="CF933" s="147"/>
      <c r="CI933" s="146"/>
      <c r="CJ933" s="153"/>
      <c r="CV933" s="154"/>
      <c r="CX933" s="154"/>
      <c r="CZ933" s="154"/>
      <c r="DB933" s="154"/>
      <c r="DD933" s="154"/>
      <c r="DH933" s="474"/>
      <c r="DI933" s="459"/>
      <c r="DJ933" s="459"/>
      <c r="DK933" s="459"/>
      <c r="DL933" s="459"/>
      <c r="DM933" s="459"/>
      <c r="DN933" s="459"/>
      <c r="DO933" s="459"/>
      <c r="DP933" s="459"/>
      <c r="DQ933" s="459"/>
      <c r="DR933" s="459"/>
      <c r="DS933" s="459"/>
      <c r="DT933" s="459"/>
      <c r="DU933" s="459"/>
      <c r="DV933" s="468"/>
      <c r="DW933" s="468"/>
      <c r="DX933" s="459"/>
      <c r="DY933" s="459"/>
    </row>
    <row r="934" spans="1:129" s="128" customFormat="1" ht="54.95" customHeight="1" x14ac:dyDescent="0.25">
      <c r="A934" s="377"/>
      <c r="B934" s="175"/>
      <c r="C934" s="393"/>
      <c r="D934" s="168"/>
      <c r="E934" s="168"/>
      <c r="F934" s="168"/>
      <c r="G934" s="168"/>
      <c r="H934" s="168"/>
      <c r="I934" s="168"/>
      <c r="J934" s="168"/>
      <c r="K934" s="168"/>
      <c r="L934" s="168"/>
      <c r="M934" s="168"/>
      <c r="N934" s="168"/>
      <c r="O934" s="433"/>
      <c r="P934" s="122"/>
      <c r="Q934" s="156"/>
      <c r="R934" s="156"/>
      <c r="S934" s="156"/>
      <c r="T934" s="156"/>
      <c r="U934" s="156"/>
      <c r="V934" s="156"/>
      <c r="W934" s="156"/>
      <c r="X934" s="156"/>
      <c r="Y934" s="156"/>
      <c r="Z934" s="157"/>
      <c r="AA934" s="157"/>
      <c r="AB934" s="156"/>
      <c r="AC934" s="156"/>
      <c r="AD934" s="156"/>
      <c r="AE934" s="156"/>
      <c r="AF934" s="156"/>
      <c r="AG934" s="156"/>
      <c r="AH934" s="156"/>
      <c r="AI934" s="156"/>
      <c r="AJ934" s="156"/>
      <c r="AK934" s="156"/>
      <c r="AL934" s="156"/>
      <c r="AM934" s="158"/>
      <c r="AN934" s="156"/>
      <c r="AO934" s="156"/>
      <c r="AP934" s="156"/>
      <c r="AQ934" s="156"/>
      <c r="AR934" s="156"/>
      <c r="AS934" s="156"/>
      <c r="AT934" s="156"/>
      <c r="AU934" s="156"/>
      <c r="AV934" s="156"/>
      <c r="AW934" s="156"/>
      <c r="AX934" s="156"/>
      <c r="AY934" s="156"/>
      <c r="AZ934" s="156"/>
      <c r="BA934" s="153"/>
      <c r="BD934" s="153"/>
      <c r="BE934" s="147"/>
      <c r="BI934" s="153"/>
      <c r="BO934" s="153"/>
      <c r="BW934" s="153"/>
      <c r="CD934" s="146"/>
      <c r="CF934" s="147"/>
      <c r="CI934" s="146"/>
      <c r="CJ934" s="153"/>
      <c r="CV934" s="154"/>
      <c r="CX934" s="154"/>
      <c r="CZ934" s="154"/>
      <c r="DB934" s="154"/>
      <c r="DD934" s="154"/>
      <c r="DH934" s="474"/>
      <c r="DI934" s="459"/>
      <c r="DJ934" s="459"/>
      <c r="DK934" s="459"/>
      <c r="DL934" s="459"/>
      <c r="DM934" s="459"/>
      <c r="DN934" s="459"/>
      <c r="DO934" s="459"/>
      <c r="DP934" s="459"/>
      <c r="DQ934" s="459"/>
      <c r="DR934" s="459"/>
      <c r="DS934" s="459"/>
      <c r="DT934" s="459"/>
      <c r="DU934" s="459"/>
      <c r="DV934" s="468"/>
      <c r="DW934" s="468"/>
      <c r="DX934" s="459"/>
      <c r="DY934" s="459"/>
    </row>
    <row r="935" spans="1:129" s="128" customFormat="1" ht="54.95" customHeight="1" x14ac:dyDescent="0.25">
      <c r="A935" s="377"/>
      <c r="B935" s="175"/>
      <c r="C935" s="393"/>
      <c r="D935" s="168"/>
      <c r="E935" s="168"/>
      <c r="F935" s="168"/>
      <c r="G935" s="168"/>
      <c r="H935" s="168"/>
      <c r="I935" s="168"/>
      <c r="J935" s="168"/>
      <c r="K935" s="168"/>
      <c r="L935" s="168"/>
      <c r="M935" s="168"/>
      <c r="N935" s="168"/>
      <c r="O935" s="433"/>
      <c r="P935" s="122"/>
      <c r="Q935" s="156"/>
      <c r="R935" s="156"/>
      <c r="S935" s="156"/>
      <c r="T935" s="156"/>
      <c r="U935" s="156"/>
      <c r="V935" s="156"/>
      <c r="W935" s="156"/>
      <c r="X935" s="156"/>
      <c r="Y935" s="156"/>
      <c r="Z935" s="157"/>
      <c r="AA935" s="157"/>
      <c r="AB935" s="156"/>
      <c r="AC935" s="156"/>
      <c r="AD935" s="156"/>
      <c r="AE935" s="156"/>
      <c r="AF935" s="156"/>
      <c r="AG935" s="156"/>
      <c r="AH935" s="156"/>
      <c r="AI935" s="156"/>
      <c r="AJ935" s="156"/>
      <c r="AK935" s="156"/>
      <c r="AL935" s="156"/>
      <c r="AM935" s="158"/>
      <c r="AN935" s="156"/>
      <c r="AO935" s="156"/>
      <c r="AP935" s="156"/>
      <c r="AQ935" s="156"/>
      <c r="AR935" s="156"/>
      <c r="AS935" s="156"/>
      <c r="AT935" s="156"/>
      <c r="AU935" s="156"/>
      <c r="AV935" s="156"/>
      <c r="AW935" s="156"/>
      <c r="AX935" s="156"/>
      <c r="AY935" s="156"/>
      <c r="AZ935" s="156"/>
      <c r="BA935" s="153"/>
      <c r="BD935" s="153"/>
      <c r="BE935" s="147"/>
      <c r="BI935" s="153"/>
      <c r="BO935" s="153"/>
      <c r="BW935" s="153"/>
      <c r="CD935" s="146"/>
      <c r="CF935" s="147"/>
      <c r="CI935" s="146"/>
      <c r="CJ935" s="153"/>
      <c r="CV935" s="154"/>
      <c r="CX935" s="154"/>
      <c r="CZ935" s="154"/>
      <c r="DB935" s="154"/>
      <c r="DD935" s="154"/>
      <c r="DH935" s="474"/>
      <c r="DI935" s="459"/>
      <c r="DJ935" s="459"/>
      <c r="DK935" s="459"/>
      <c r="DL935" s="459"/>
      <c r="DM935" s="459"/>
      <c r="DN935" s="459"/>
      <c r="DO935" s="459"/>
      <c r="DP935" s="459"/>
      <c r="DQ935" s="459"/>
      <c r="DR935" s="459"/>
      <c r="DS935" s="459"/>
      <c r="DT935" s="459"/>
      <c r="DU935" s="459"/>
      <c r="DV935" s="468"/>
      <c r="DW935" s="468"/>
      <c r="DX935" s="459"/>
      <c r="DY935" s="459"/>
    </row>
    <row r="936" spans="1:129" s="128" customFormat="1" ht="54.95" customHeight="1" x14ac:dyDescent="0.25">
      <c r="A936" s="377"/>
      <c r="B936" s="175"/>
      <c r="C936" s="393"/>
      <c r="D936" s="168"/>
      <c r="E936" s="168"/>
      <c r="F936" s="168"/>
      <c r="G936" s="168"/>
      <c r="H936" s="168"/>
      <c r="I936" s="168"/>
      <c r="J936" s="168"/>
      <c r="K936" s="168"/>
      <c r="L936" s="168"/>
      <c r="M936" s="168"/>
      <c r="N936" s="168"/>
      <c r="O936" s="433"/>
      <c r="P936" s="122"/>
      <c r="Q936" s="156"/>
      <c r="R936" s="156"/>
      <c r="S936" s="156"/>
      <c r="T936" s="156"/>
      <c r="U936" s="156"/>
      <c r="V936" s="156"/>
      <c r="W936" s="156"/>
      <c r="X936" s="156"/>
      <c r="Y936" s="156"/>
      <c r="Z936" s="157"/>
      <c r="AA936" s="157"/>
      <c r="AB936" s="156"/>
      <c r="AC936" s="156"/>
      <c r="AD936" s="156"/>
      <c r="AE936" s="156"/>
      <c r="AF936" s="156"/>
      <c r="AG936" s="156"/>
      <c r="AH936" s="156"/>
      <c r="AI936" s="156"/>
      <c r="AJ936" s="156"/>
      <c r="AK936" s="156"/>
      <c r="AL936" s="156"/>
      <c r="AM936" s="158"/>
      <c r="AN936" s="156"/>
      <c r="AO936" s="156"/>
      <c r="AP936" s="156"/>
      <c r="AQ936" s="156"/>
      <c r="AR936" s="156"/>
      <c r="AS936" s="156"/>
      <c r="AT936" s="156"/>
      <c r="AU936" s="156"/>
      <c r="AV936" s="156"/>
      <c r="AW936" s="156"/>
      <c r="AX936" s="156"/>
      <c r="AY936" s="156"/>
      <c r="AZ936" s="156"/>
      <c r="BA936" s="153"/>
      <c r="BD936" s="153"/>
      <c r="BE936" s="147"/>
      <c r="BI936" s="153"/>
      <c r="BO936" s="153"/>
      <c r="BW936" s="153"/>
      <c r="CD936" s="146"/>
      <c r="CF936" s="147"/>
      <c r="CI936" s="146"/>
      <c r="CJ936" s="153"/>
      <c r="CV936" s="154"/>
      <c r="CX936" s="154"/>
      <c r="CZ936" s="154"/>
      <c r="DB936" s="154"/>
      <c r="DD936" s="154"/>
      <c r="DH936" s="474"/>
      <c r="DI936" s="459"/>
      <c r="DJ936" s="459"/>
      <c r="DK936" s="459"/>
      <c r="DL936" s="459"/>
      <c r="DM936" s="459"/>
      <c r="DN936" s="459"/>
      <c r="DO936" s="459"/>
      <c r="DP936" s="459"/>
      <c r="DQ936" s="459"/>
      <c r="DR936" s="459"/>
      <c r="DS936" s="459"/>
      <c r="DT936" s="459"/>
      <c r="DU936" s="459"/>
      <c r="DV936" s="468"/>
      <c r="DW936" s="468"/>
      <c r="DX936" s="459"/>
      <c r="DY936" s="459"/>
    </row>
    <row r="937" spans="1:129" s="128" customFormat="1" ht="54.95" customHeight="1" x14ac:dyDescent="0.25">
      <c r="A937" s="377"/>
      <c r="B937" s="175"/>
      <c r="C937" s="393"/>
      <c r="D937" s="168"/>
      <c r="E937" s="168"/>
      <c r="F937" s="168"/>
      <c r="G937" s="168"/>
      <c r="H937" s="168"/>
      <c r="I937" s="168"/>
      <c r="J937" s="168"/>
      <c r="K937" s="168"/>
      <c r="L937" s="168"/>
      <c r="M937" s="168"/>
      <c r="N937" s="168"/>
      <c r="O937" s="433"/>
      <c r="P937" s="122"/>
      <c r="Q937" s="156"/>
      <c r="R937" s="156"/>
      <c r="S937" s="156"/>
      <c r="T937" s="156"/>
      <c r="U937" s="156"/>
      <c r="V937" s="156"/>
      <c r="W937" s="156"/>
      <c r="X937" s="156"/>
      <c r="Y937" s="156"/>
      <c r="Z937" s="157"/>
      <c r="AA937" s="157"/>
      <c r="AB937" s="156"/>
      <c r="AC937" s="156"/>
      <c r="AD937" s="156"/>
      <c r="AE937" s="156"/>
      <c r="AF937" s="156"/>
      <c r="AG937" s="156"/>
      <c r="AH937" s="156"/>
      <c r="AI937" s="156"/>
      <c r="AJ937" s="156"/>
      <c r="AK937" s="156"/>
      <c r="AL937" s="156"/>
      <c r="AM937" s="158"/>
      <c r="AN937" s="156"/>
      <c r="AO937" s="156"/>
      <c r="AP937" s="156"/>
      <c r="AQ937" s="156"/>
      <c r="AR937" s="156"/>
      <c r="AS937" s="156"/>
      <c r="AT937" s="156"/>
      <c r="AU937" s="156"/>
      <c r="AV937" s="156"/>
      <c r="AW937" s="156"/>
      <c r="AX937" s="156"/>
      <c r="AY937" s="156"/>
      <c r="AZ937" s="156"/>
      <c r="BA937" s="153"/>
      <c r="BD937" s="153"/>
      <c r="BE937" s="147"/>
      <c r="BI937" s="153"/>
      <c r="BO937" s="153"/>
      <c r="BW937" s="153"/>
      <c r="CD937" s="146"/>
      <c r="CF937" s="147"/>
      <c r="CI937" s="146"/>
      <c r="CJ937" s="153"/>
      <c r="CV937" s="154"/>
      <c r="CX937" s="154"/>
      <c r="CZ937" s="154"/>
      <c r="DB937" s="154"/>
      <c r="DD937" s="154"/>
      <c r="DH937" s="474"/>
      <c r="DI937" s="459"/>
      <c r="DJ937" s="459"/>
      <c r="DK937" s="459"/>
      <c r="DL937" s="459"/>
      <c r="DM937" s="459"/>
      <c r="DN937" s="459"/>
      <c r="DO937" s="459"/>
      <c r="DP937" s="459"/>
      <c r="DQ937" s="459"/>
      <c r="DR937" s="459"/>
      <c r="DS937" s="459"/>
      <c r="DT937" s="459"/>
      <c r="DU937" s="459"/>
      <c r="DV937" s="468"/>
      <c r="DW937" s="468"/>
      <c r="DX937" s="459"/>
      <c r="DY937" s="459"/>
    </row>
    <row r="938" spans="1:129" s="128" customFormat="1" ht="54.95" customHeight="1" x14ac:dyDescent="0.25">
      <c r="A938" s="377"/>
      <c r="B938" s="175"/>
      <c r="C938" s="393"/>
      <c r="D938" s="168"/>
      <c r="E938" s="168"/>
      <c r="F938" s="168"/>
      <c r="G938" s="168"/>
      <c r="H938" s="168"/>
      <c r="I938" s="168"/>
      <c r="J938" s="168"/>
      <c r="K938" s="168"/>
      <c r="L938" s="168"/>
      <c r="M938" s="168"/>
      <c r="N938" s="168"/>
      <c r="O938" s="433"/>
      <c r="P938" s="122"/>
      <c r="Q938" s="156"/>
      <c r="R938" s="156"/>
      <c r="S938" s="156"/>
      <c r="T938" s="156"/>
      <c r="U938" s="156"/>
      <c r="V938" s="156"/>
      <c r="W938" s="156"/>
      <c r="X938" s="156"/>
      <c r="Y938" s="156"/>
      <c r="Z938" s="157"/>
      <c r="AA938" s="157"/>
      <c r="AB938" s="156"/>
      <c r="AC938" s="156"/>
      <c r="AD938" s="156"/>
      <c r="AE938" s="156"/>
      <c r="AF938" s="156"/>
      <c r="AG938" s="156"/>
      <c r="AH938" s="156"/>
      <c r="AI938" s="156"/>
      <c r="AJ938" s="156"/>
      <c r="AK938" s="156"/>
      <c r="AL938" s="156"/>
      <c r="AM938" s="158"/>
      <c r="AN938" s="156"/>
      <c r="AO938" s="156"/>
      <c r="AP938" s="156"/>
      <c r="AQ938" s="156"/>
      <c r="AR938" s="156"/>
      <c r="AS938" s="156"/>
      <c r="AT938" s="156"/>
      <c r="AU938" s="156"/>
      <c r="AV938" s="156"/>
      <c r="AW938" s="156"/>
      <c r="AX938" s="156"/>
      <c r="AY938" s="156"/>
      <c r="AZ938" s="156"/>
      <c r="BA938" s="153"/>
      <c r="BD938" s="153"/>
      <c r="BE938" s="147"/>
      <c r="BI938" s="153"/>
      <c r="BO938" s="153"/>
      <c r="BW938" s="153"/>
      <c r="CD938" s="146"/>
      <c r="CF938" s="147"/>
      <c r="CI938" s="146"/>
      <c r="CJ938" s="153"/>
      <c r="CV938" s="154"/>
      <c r="CX938" s="154"/>
      <c r="CZ938" s="154"/>
      <c r="DB938" s="154"/>
      <c r="DD938" s="154"/>
      <c r="DH938" s="474"/>
      <c r="DI938" s="459"/>
      <c r="DJ938" s="459"/>
      <c r="DK938" s="459"/>
      <c r="DL938" s="459"/>
      <c r="DM938" s="459"/>
      <c r="DN938" s="459"/>
      <c r="DO938" s="459"/>
      <c r="DP938" s="459"/>
      <c r="DQ938" s="459"/>
      <c r="DR938" s="459"/>
      <c r="DS938" s="459"/>
      <c r="DT938" s="459"/>
      <c r="DU938" s="459"/>
      <c r="DV938" s="468"/>
      <c r="DW938" s="468"/>
      <c r="DX938" s="459"/>
      <c r="DY938" s="459"/>
    </row>
    <row r="939" spans="1:129" s="128" customFormat="1" ht="54.95" customHeight="1" x14ac:dyDescent="0.25">
      <c r="A939" s="377"/>
      <c r="B939" s="175"/>
      <c r="C939" s="393"/>
      <c r="D939" s="168"/>
      <c r="E939" s="168"/>
      <c r="F939" s="168"/>
      <c r="G939" s="168"/>
      <c r="H939" s="168"/>
      <c r="I939" s="168"/>
      <c r="J939" s="168"/>
      <c r="K939" s="168"/>
      <c r="L939" s="168"/>
      <c r="M939" s="168"/>
      <c r="N939" s="168"/>
      <c r="O939" s="433"/>
      <c r="P939" s="122"/>
      <c r="Q939" s="156"/>
      <c r="R939" s="156"/>
      <c r="S939" s="156"/>
      <c r="T939" s="156"/>
      <c r="U939" s="156"/>
      <c r="V939" s="156"/>
      <c r="W939" s="156"/>
      <c r="X939" s="156"/>
      <c r="Y939" s="156"/>
      <c r="Z939" s="157"/>
      <c r="AA939" s="157"/>
      <c r="AB939" s="156"/>
      <c r="AC939" s="156"/>
      <c r="AD939" s="156"/>
      <c r="AE939" s="156"/>
      <c r="AF939" s="156"/>
      <c r="AG939" s="156"/>
      <c r="AH939" s="156"/>
      <c r="AI939" s="156"/>
      <c r="AJ939" s="156"/>
      <c r="AK939" s="156"/>
      <c r="AL939" s="156"/>
      <c r="AM939" s="158"/>
      <c r="AN939" s="156"/>
      <c r="AO939" s="156"/>
      <c r="AP939" s="156"/>
      <c r="AQ939" s="156"/>
      <c r="AR939" s="156"/>
      <c r="AS939" s="156"/>
      <c r="AT939" s="156"/>
      <c r="AU939" s="156"/>
      <c r="AV939" s="156"/>
      <c r="AW939" s="156"/>
      <c r="AX939" s="156"/>
      <c r="AY939" s="156"/>
      <c r="AZ939" s="156"/>
      <c r="BA939" s="153"/>
      <c r="BD939" s="153"/>
      <c r="BE939" s="147"/>
      <c r="BI939" s="153"/>
      <c r="BO939" s="153"/>
      <c r="BW939" s="153"/>
      <c r="CD939" s="146"/>
      <c r="CF939" s="147"/>
      <c r="CI939" s="146"/>
      <c r="CJ939" s="153"/>
      <c r="CV939" s="154"/>
      <c r="CX939" s="154"/>
      <c r="CZ939" s="154"/>
      <c r="DB939" s="154"/>
      <c r="DD939" s="154"/>
      <c r="DH939" s="474"/>
      <c r="DI939" s="459"/>
      <c r="DJ939" s="459"/>
      <c r="DK939" s="459"/>
      <c r="DL939" s="459"/>
      <c r="DM939" s="459"/>
      <c r="DN939" s="459"/>
      <c r="DO939" s="459"/>
      <c r="DP939" s="459"/>
      <c r="DQ939" s="459"/>
      <c r="DR939" s="459"/>
      <c r="DS939" s="459"/>
      <c r="DT939" s="459"/>
      <c r="DU939" s="459"/>
      <c r="DV939" s="468"/>
      <c r="DW939" s="468"/>
      <c r="DX939" s="459"/>
      <c r="DY939" s="459"/>
    </row>
    <row r="940" spans="1:129" s="128" customFormat="1" ht="54.95" customHeight="1" x14ac:dyDescent="0.25">
      <c r="A940" s="377"/>
      <c r="B940" s="175"/>
      <c r="C940" s="393"/>
      <c r="D940" s="168"/>
      <c r="E940" s="168"/>
      <c r="F940" s="168"/>
      <c r="G940" s="168"/>
      <c r="H940" s="168"/>
      <c r="I940" s="168"/>
      <c r="J940" s="168"/>
      <c r="K940" s="168"/>
      <c r="L940" s="168"/>
      <c r="M940" s="168"/>
      <c r="N940" s="168"/>
      <c r="O940" s="433"/>
      <c r="P940" s="122"/>
      <c r="Q940" s="156"/>
      <c r="R940" s="156"/>
      <c r="S940" s="156"/>
      <c r="T940" s="156"/>
      <c r="U940" s="156"/>
      <c r="V940" s="156"/>
      <c r="W940" s="156"/>
      <c r="X940" s="156"/>
      <c r="Y940" s="156"/>
      <c r="Z940" s="157"/>
      <c r="AA940" s="157"/>
      <c r="AB940" s="156"/>
      <c r="AC940" s="156"/>
      <c r="AD940" s="156"/>
      <c r="AE940" s="156"/>
      <c r="AF940" s="156"/>
      <c r="AG940" s="156"/>
      <c r="AH940" s="156"/>
      <c r="AI940" s="156"/>
      <c r="AJ940" s="156"/>
      <c r="AK940" s="156"/>
      <c r="AL940" s="156"/>
      <c r="AM940" s="158"/>
      <c r="AN940" s="156"/>
      <c r="AO940" s="156"/>
      <c r="AP940" s="156"/>
      <c r="AQ940" s="156"/>
      <c r="AR940" s="156"/>
      <c r="AS940" s="156"/>
      <c r="AT940" s="156"/>
      <c r="AU940" s="156"/>
      <c r="AV940" s="156"/>
      <c r="AW940" s="156"/>
      <c r="AX940" s="156"/>
      <c r="AY940" s="156"/>
      <c r="AZ940" s="156"/>
      <c r="BA940" s="153"/>
      <c r="BD940" s="153"/>
      <c r="BE940" s="147"/>
      <c r="BI940" s="153"/>
      <c r="BO940" s="153"/>
      <c r="BW940" s="153"/>
      <c r="CD940" s="146"/>
      <c r="CF940" s="147"/>
      <c r="CI940" s="146"/>
      <c r="CJ940" s="153"/>
      <c r="CV940" s="154"/>
      <c r="CX940" s="154"/>
      <c r="CZ940" s="154"/>
      <c r="DB940" s="154"/>
      <c r="DD940" s="154"/>
      <c r="DH940" s="474"/>
      <c r="DI940" s="459"/>
      <c r="DJ940" s="459"/>
      <c r="DK940" s="459"/>
      <c r="DL940" s="459"/>
      <c r="DM940" s="459"/>
      <c r="DN940" s="459"/>
      <c r="DO940" s="459"/>
      <c r="DP940" s="459"/>
      <c r="DQ940" s="459"/>
      <c r="DR940" s="459"/>
      <c r="DS940" s="459"/>
      <c r="DT940" s="459"/>
      <c r="DU940" s="459"/>
      <c r="DV940" s="468"/>
      <c r="DW940" s="468"/>
      <c r="DX940" s="459"/>
      <c r="DY940" s="459"/>
    </row>
    <row r="941" spans="1:129" s="128" customFormat="1" ht="54.95" customHeight="1" x14ac:dyDescent="0.25">
      <c r="A941" s="377"/>
      <c r="B941" s="175"/>
      <c r="C941" s="393"/>
      <c r="D941" s="168"/>
      <c r="E941" s="168"/>
      <c r="F941" s="168"/>
      <c r="G941" s="168"/>
      <c r="H941" s="168"/>
      <c r="I941" s="168"/>
      <c r="J941" s="168"/>
      <c r="K941" s="168"/>
      <c r="L941" s="168"/>
      <c r="M941" s="168"/>
      <c r="N941" s="168"/>
      <c r="O941" s="433"/>
      <c r="P941" s="122"/>
      <c r="Q941" s="156"/>
      <c r="R941" s="156"/>
      <c r="S941" s="156"/>
      <c r="T941" s="156"/>
      <c r="U941" s="156"/>
      <c r="V941" s="156"/>
      <c r="W941" s="156"/>
      <c r="X941" s="156"/>
      <c r="Y941" s="156"/>
      <c r="Z941" s="157"/>
      <c r="AA941" s="157"/>
      <c r="AB941" s="156"/>
      <c r="AC941" s="156"/>
      <c r="AD941" s="156"/>
      <c r="AE941" s="156"/>
      <c r="AF941" s="156"/>
      <c r="AG941" s="156"/>
      <c r="AH941" s="156"/>
      <c r="AI941" s="156"/>
      <c r="AJ941" s="156"/>
      <c r="AK941" s="156"/>
      <c r="AL941" s="156"/>
      <c r="AM941" s="158"/>
      <c r="AN941" s="156"/>
      <c r="AO941" s="156"/>
      <c r="AP941" s="156"/>
      <c r="AQ941" s="156"/>
      <c r="AR941" s="156"/>
      <c r="AS941" s="156"/>
      <c r="AT941" s="156"/>
      <c r="AU941" s="156"/>
      <c r="AV941" s="156"/>
      <c r="AW941" s="156"/>
      <c r="AX941" s="156"/>
      <c r="AY941" s="156"/>
      <c r="AZ941" s="156"/>
      <c r="BA941" s="153"/>
      <c r="BD941" s="153"/>
      <c r="BE941" s="147"/>
      <c r="BI941" s="153"/>
      <c r="BO941" s="153"/>
      <c r="BW941" s="153"/>
      <c r="CD941" s="146"/>
      <c r="CF941" s="147"/>
      <c r="CI941" s="146"/>
      <c r="CJ941" s="153"/>
      <c r="CV941" s="154"/>
      <c r="CX941" s="154"/>
      <c r="CZ941" s="154"/>
      <c r="DB941" s="154"/>
      <c r="DD941" s="154"/>
      <c r="DH941" s="474"/>
      <c r="DI941" s="459"/>
      <c r="DJ941" s="459"/>
      <c r="DK941" s="459"/>
      <c r="DL941" s="459"/>
      <c r="DM941" s="459"/>
      <c r="DN941" s="459"/>
      <c r="DO941" s="459"/>
      <c r="DP941" s="459"/>
      <c r="DQ941" s="459"/>
      <c r="DR941" s="459"/>
      <c r="DS941" s="459"/>
      <c r="DT941" s="459"/>
      <c r="DU941" s="459"/>
      <c r="DV941" s="468"/>
      <c r="DW941" s="468"/>
      <c r="DX941" s="459"/>
      <c r="DY941" s="459"/>
    </row>
    <row r="942" spans="1:129" s="128" customFormat="1" ht="54.95" customHeight="1" x14ac:dyDescent="0.25">
      <c r="A942" s="377"/>
      <c r="B942" s="175"/>
      <c r="C942" s="393"/>
      <c r="D942" s="168"/>
      <c r="E942" s="168"/>
      <c r="F942" s="168"/>
      <c r="G942" s="168"/>
      <c r="H942" s="168"/>
      <c r="I942" s="168"/>
      <c r="J942" s="168"/>
      <c r="K942" s="168"/>
      <c r="L942" s="168"/>
      <c r="M942" s="168"/>
      <c r="N942" s="168"/>
      <c r="O942" s="433"/>
      <c r="P942" s="122"/>
      <c r="Q942" s="156"/>
      <c r="R942" s="156"/>
      <c r="S942" s="156"/>
      <c r="T942" s="156"/>
      <c r="U942" s="156"/>
      <c r="V942" s="156"/>
      <c r="W942" s="156"/>
      <c r="X942" s="156"/>
      <c r="Y942" s="156"/>
      <c r="Z942" s="157"/>
      <c r="AA942" s="157"/>
      <c r="AB942" s="156"/>
      <c r="AC942" s="156"/>
      <c r="AD942" s="156"/>
      <c r="AE942" s="156"/>
      <c r="AF942" s="156"/>
      <c r="AG942" s="156"/>
      <c r="AH942" s="156"/>
      <c r="AI942" s="156"/>
      <c r="AJ942" s="156"/>
      <c r="AK942" s="156"/>
      <c r="AL942" s="156"/>
      <c r="AM942" s="158"/>
      <c r="AN942" s="156"/>
      <c r="AO942" s="156"/>
      <c r="AP942" s="156"/>
      <c r="AQ942" s="156"/>
      <c r="AR942" s="156"/>
      <c r="AS942" s="156"/>
      <c r="AT942" s="156"/>
      <c r="AU942" s="156"/>
      <c r="AV942" s="156"/>
      <c r="AW942" s="156"/>
      <c r="AX942" s="156"/>
      <c r="AY942" s="156"/>
      <c r="AZ942" s="156"/>
      <c r="BA942" s="153"/>
      <c r="BD942" s="153"/>
      <c r="BE942" s="147"/>
      <c r="BI942" s="153"/>
      <c r="BO942" s="153"/>
      <c r="BW942" s="153"/>
      <c r="CD942" s="146"/>
      <c r="CF942" s="147"/>
      <c r="CI942" s="146"/>
      <c r="CJ942" s="153"/>
      <c r="CV942" s="154"/>
      <c r="CX942" s="154"/>
      <c r="CZ942" s="154"/>
      <c r="DB942" s="154"/>
      <c r="DD942" s="154"/>
      <c r="DH942" s="474"/>
      <c r="DI942" s="459"/>
      <c r="DJ942" s="459"/>
      <c r="DK942" s="459"/>
      <c r="DL942" s="459"/>
      <c r="DM942" s="459"/>
      <c r="DN942" s="459"/>
      <c r="DO942" s="459"/>
      <c r="DP942" s="459"/>
      <c r="DQ942" s="459"/>
      <c r="DR942" s="459"/>
      <c r="DS942" s="459"/>
      <c r="DT942" s="459"/>
      <c r="DU942" s="459"/>
      <c r="DV942" s="468"/>
      <c r="DW942" s="468"/>
      <c r="DX942" s="459"/>
      <c r="DY942" s="459"/>
    </row>
    <row r="943" spans="1:129" s="128" customFormat="1" ht="54.95" customHeight="1" x14ac:dyDescent="0.25">
      <c r="A943" s="377"/>
      <c r="B943" s="175"/>
      <c r="C943" s="393"/>
      <c r="D943" s="168"/>
      <c r="E943" s="168"/>
      <c r="F943" s="168"/>
      <c r="G943" s="168"/>
      <c r="H943" s="168"/>
      <c r="I943" s="168"/>
      <c r="J943" s="168"/>
      <c r="K943" s="168"/>
      <c r="L943" s="168"/>
      <c r="M943" s="168"/>
      <c r="N943" s="168"/>
      <c r="O943" s="433"/>
      <c r="P943" s="122"/>
      <c r="Q943" s="156"/>
      <c r="R943" s="156"/>
      <c r="S943" s="156"/>
      <c r="T943" s="156"/>
      <c r="U943" s="156"/>
      <c r="V943" s="156"/>
      <c r="W943" s="156"/>
      <c r="X943" s="156"/>
      <c r="Y943" s="156"/>
      <c r="Z943" s="157"/>
      <c r="AA943" s="157"/>
      <c r="AB943" s="156"/>
      <c r="AC943" s="156"/>
      <c r="AD943" s="156"/>
      <c r="AE943" s="156"/>
      <c r="AF943" s="156"/>
      <c r="AG943" s="156"/>
      <c r="AH943" s="156"/>
      <c r="AI943" s="156"/>
      <c r="AJ943" s="156"/>
      <c r="AK943" s="156"/>
      <c r="AL943" s="156"/>
      <c r="AM943" s="158"/>
      <c r="AN943" s="156"/>
      <c r="AO943" s="156"/>
      <c r="AP943" s="156"/>
      <c r="AQ943" s="156"/>
      <c r="AR943" s="156"/>
      <c r="AS943" s="156"/>
      <c r="AT943" s="156"/>
      <c r="AU943" s="156"/>
      <c r="AV943" s="156"/>
      <c r="AW943" s="156"/>
      <c r="AX943" s="156"/>
      <c r="AY943" s="156"/>
      <c r="AZ943" s="156"/>
      <c r="BA943" s="153"/>
      <c r="BD943" s="153"/>
      <c r="BE943" s="147"/>
      <c r="BI943" s="153"/>
      <c r="BO943" s="153"/>
      <c r="BW943" s="153"/>
      <c r="CD943" s="146"/>
      <c r="CF943" s="147"/>
      <c r="CI943" s="146"/>
      <c r="CJ943" s="153"/>
      <c r="CV943" s="154"/>
      <c r="CX943" s="154"/>
      <c r="CZ943" s="154"/>
      <c r="DB943" s="154"/>
      <c r="DD943" s="154"/>
      <c r="DH943" s="474"/>
      <c r="DI943" s="459"/>
      <c r="DJ943" s="459"/>
      <c r="DK943" s="459"/>
      <c r="DL943" s="459"/>
      <c r="DM943" s="459"/>
      <c r="DN943" s="459"/>
      <c r="DO943" s="459"/>
      <c r="DP943" s="459"/>
      <c r="DQ943" s="459"/>
      <c r="DR943" s="459"/>
      <c r="DS943" s="459"/>
      <c r="DT943" s="459"/>
      <c r="DU943" s="459"/>
      <c r="DV943" s="468"/>
      <c r="DW943" s="468"/>
      <c r="DX943" s="459"/>
      <c r="DY943" s="459"/>
    </row>
    <row r="944" spans="1:129" s="128" customFormat="1" ht="54.95" customHeight="1" x14ac:dyDescent="0.25">
      <c r="A944" s="377"/>
      <c r="B944" s="175"/>
      <c r="C944" s="393"/>
      <c r="D944" s="168"/>
      <c r="E944" s="168"/>
      <c r="F944" s="168"/>
      <c r="G944" s="168"/>
      <c r="H944" s="168"/>
      <c r="I944" s="168"/>
      <c r="J944" s="168"/>
      <c r="K944" s="168"/>
      <c r="L944" s="168"/>
      <c r="M944" s="168"/>
      <c r="N944" s="168"/>
      <c r="O944" s="433"/>
      <c r="P944" s="122"/>
      <c r="Q944" s="156"/>
      <c r="R944" s="156"/>
      <c r="S944" s="156"/>
      <c r="T944" s="156"/>
      <c r="U944" s="156"/>
      <c r="V944" s="156"/>
      <c r="W944" s="156"/>
      <c r="X944" s="156"/>
      <c r="Y944" s="156"/>
      <c r="Z944" s="157"/>
      <c r="AA944" s="157"/>
      <c r="AB944" s="156"/>
      <c r="AC944" s="156"/>
      <c r="AD944" s="156"/>
      <c r="AE944" s="156"/>
      <c r="AF944" s="156"/>
      <c r="AG944" s="156"/>
      <c r="AH944" s="156"/>
      <c r="AI944" s="156"/>
      <c r="AJ944" s="156"/>
      <c r="AK944" s="156"/>
      <c r="AL944" s="156"/>
      <c r="AM944" s="158"/>
      <c r="AN944" s="156"/>
      <c r="AO944" s="156"/>
      <c r="AP944" s="156"/>
      <c r="AQ944" s="156"/>
      <c r="AR944" s="156"/>
      <c r="AS944" s="156"/>
      <c r="AT944" s="156"/>
      <c r="AU944" s="156"/>
      <c r="AV944" s="156"/>
      <c r="AW944" s="156"/>
      <c r="AX944" s="156"/>
      <c r="AY944" s="156"/>
      <c r="AZ944" s="156"/>
      <c r="BA944" s="153"/>
      <c r="BD944" s="153"/>
      <c r="BE944" s="147"/>
      <c r="BI944" s="153"/>
      <c r="BO944" s="153"/>
      <c r="BW944" s="153"/>
      <c r="CD944" s="146"/>
      <c r="CF944" s="147"/>
      <c r="CI944" s="146"/>
      <c r="CJ944" s="153"/>
      <c r="CV944" s="154"/>
      <c r="CX944" s="154"/>
      <c r="CZ944" s="154"/>
      <c r="DB944" s="154"/>
      <c r="DD944" s="154"/>
      <c r="DH944" s="474"/>
      <c r="DI944" s="459"/>
      <c r="DJ944" s="459"/>
      <c r="DK944" s="459"/>
      <c r="DL944" s="459"/>
      <c r="DM944" s="459"/>
      <c r="DN944" s="459"/>
      <c r="DO944" s="459"/>
      <c r="DP944" s="459"/>
      <c r="DQ944" s="459"/>
      <c r="DR944" s="459"/>
      <c r="DS944" s="459"/>
      <c r="DT944" s="459"/>
      <c r="DU944" s="459"/>
      <c r="DV944" s="468"/>
      <c r="DW944" s="468"/>
      <c r="DX944" s="459"/>
      <c r="DY944" s="459"/>
    </row>
    <row r="945" spans="1:129" s="128" customFormat="1" ht="54.95" customHeight="1" x14ac:dyDescent="0.25">
      <c r="A945" s="377"/>
      <c r="B945" s="175"/>
      <c r="C945" s="393"/>
      <c r="D945" s="168"/>
      <c r="E945" s="168"/>
      <c r="F945" s="168"/>
      <c r="G945" s="168"/>
      <c r="H945" s="168"/>
      <c r="I945" s="168"/>
      <c r="J945" s="168"/>
      <c r="K945" s="168"/>
      <c r="L945" s="168"/>
      <c r="M945" s="168"/>
      <c r="N945" s="168"/>
      <c r="O945" s="433"/>
      <c r="P945" s="122"/>
      <c r="Q945" s="156"/>
      <c r="R945" s="156"/>
      <c r="S945" s="156"/>
      <c r="T945" s="156"/>
      <c r="U945" s="156"/>
      <c r="V945" s="156"/>
      <c r="W945" s="156"/>
      <c r="X945" s="156"/>
      <c r="Y945" s="156"/>
      <c r="Z945" s="157"/>
      <c r="AA945" s="157"/>
      <c r="AB945" s="156"/>
      <c r="AC945" s="156"/>
      <c r="AD945" s="156"/>
      <c r="AE945" s="156"/>
      <c r="AF945" s="156"/>
      <c r="AG945" s="156"/>
      <c r="AH945" s="156"/>
      <c r="AI945" s="156"/>
      <c r="AJ945" s="156"/>
      <c r="AK945" s="156"/>
      <c r="AL945" s="156"/>
      <c r="AM945" s="158"/>
      <c r="AN945" s="156"/>
      <c r="AO945" s="156"/>
      <c r="AP945" s="156"/>
      <c r="AQ945" s="156"/>
      <c r="AR945" s="156"/>
      <c r="AS945" s="156"/>
      <c r="AT945" s="156"/>
      <c r="AU945" s="156"/>
      <c r="AV945" s="156"/>
      <c r="AW945" s="156"/>
      <c r="AX945" s="156"/>
      <c r="AY945" s="156"/>
      <c r="AZ945" s="156"/>
      <c r="BA945" s="153"/>
      <c r="BD945" s="153"/>
      <c r="BE945" s="147"/>
      <c r="BI945" s="153"/>
      <c r="BO945" s="153"/>
      <c r="BW945" s="153"/>
      <c r="CD945" s="146"/>
      <c r="CF945" s="147"/>
      <c r="CI945" s="146"/>
      <c r="CJ945" s="153"/>
      <c r="CV945" s="154"/>
      <c r="CX945" s="154"/>
      <c r="CZ945" s="154"/>
      <c r="DB945" s="154"/>
      <c r="DD945" s="154"/>
      <c r="DH945" s="474"/>
      <c r="DI945" s="459"/>
      <c r="DJ945" s="459"/>
      <c r="DK945" s="459"/>
      <c r="DL945" s="459"/>
      <c r="DM945" s="459"/>
      <c r="DN945" s="459"/>
      <c r="DO945" s="459"/>
      <c r="DP945" s="459"/>
      <c r="DQ945" s="459"/>
      <c r="DR945" s="459"/>
      <c r="DS945" s="459"/>
      <c r="DT945" s="459"/>
      <c r="DU945" s="459"/>
      <c r="DV945" s="468"/>
      <c r="DW945" s="468"/>
      <c r="DX945" s="459"/>
      <c r="DY945" s="459"/>
    </row>
    <row r="946" spans="1:129" s="128" customFormat="1" ht="54.95" customHeight="1" x14ac:dyDescent="0.25">
      <c r="A946" s="377"/>
      <c r="B946" s="175"/>
      <c r="C946" s="393"/>
      <c r="D946" s="168"/>
      <c r="E946" s="168"/>
      <c r="F946" s="168"/>
      <c r="G946" s="168"/>
      <c r="H946" s="168"/>
      <c r="I946" s="168"/>
      <c r="J946" s="168"/>
      <c r="K946" s="168"/>
      <c r="L946" s="168"/>
      <c r="M946" s="168"/>
      <c r="N946" s="168"/>
      <c r="O946" s="433"/>
      <c r="P946" s="122"/>
      <c r="Q946" s="156"/>
      <c r="R946" s="156"/>
      <c r="S946" s="156"/>
      <c r="T946" s="156"/>
      <c r="U946" s="156"/>
      <c r="V946" s="156"/>
      <c r="W946" s="156"/>
      <c r="X946" s="156"/>
      <c r="Y946" s="156"/>
      <c r="Z946" s="157"/>
      <c r="AA946" s="157"/>
      <c r="AB946" s="156"/>
      <c r="AC946" s="156"/>
      <c r="AD946" s="156"/>
      <c r="AE946" s="156"/>
      <c r="AF946" s="156"/>
      <c r="AG946" s="156"/>
      <c r="AH946" s="156"/>
      <c r="AI946" s="156"/>
      <c r="AJ946" s="156"/>
      <c r="AK946" s="156"/>
      <c r="AL946" s="156"/>
      <c r="AM946" s="158"/>
      <c r="AN946" s="156"/>
      <c r="AO946" s="156"/>
      <c r="AP946" s="156"/>
      <c r="AQ946" s="156"/>
      <c r="AR946" s="156"/>
      <c r="AS946" s="156"/>
      <c r="AT946" s="156"/>
      <c r="AU946" s="156"/>
      <c r="AV946" s="156"/>
      <c r="AW946" s="156"/>
      <c r="AX946" s="156"/>
      <c r="AY946" s="156"/>
      <c r="AZ946" s="156"/>
      <c r="BA946" s="153"/>
      <c r="BD946" s="153"/>
      <c r="BE946" s="147"/>
      <c r="BI946" s="153"/>
      <c r="BO946" s="153"/>
      <c r="BW946" s="153"/>
      <c r="CD946" s="146"/>
      <c r="CF946" s="147"/>
      <c r="CI946" s="146"/>
      <c r="CJ946" s="153"/>
      <c r="CV946" s="154"/>
      <c r="CX946" s="154"/>
      <c r="CZ946" s="154"/>
      <c r="DB946" s="154"/>
      <c r="DD946" s="154"/>
      <c r="DH946" s="474"/>
      <c r="DI946" s="459"/>
      <c r="DJ946" s="459"/>
      <c r="DK946" s="459"/>
      <c r="DL946" s="459"/>
      <c r="DM946" s="459"/>
      <c r="DN946" s="459"/>
      <c r="DO946" s="459"/>
      <c r="DP946" s="459"/>
      <c r="DQ946" s="459"/>
      <c r="DR946" s="459"/>
      <c r="DS946" s="459"/>
      <c r="DT946" s="459"/>
      <c r="DU946" s="459"/>
      <c r="DV946" s="468"/>
      <c r="DW946" s="468"/>
      <c r="DX946" s="459"/>
      <c r="DY946" s="459"/>
    </row>
    <row r="947" spans="1:129" s="128" customFormat="1" ht="54.95" customHeight="1" x14ac:dyDescent="0.25">
      <c r="A947" s="377"/>
      <c r="B947" s="175"/>
      <c r="C947" s="393"/>
      <c r="D947" s="168"/>
      <c r="E947" s="168"/>
      <c r="F947" s="168"/>
      <c r="G947" s="168"/>
      <c r="H947" s="168"/>
      <c r="I947" s="168"/>
      <c r="J947" s="168"/>
      <c r="K947" s="168"/>
      <c r="L947" s="168"/>
      <c r="M947" s="168"/>
      <c r="N947" s="168"/>
      <c r="O947" s="433"/>
      <c r="P947" s="122"/>
      <c r="Q947" s="156"/>
      <c r="R947" s="156"/>
      <c r="S947" s="156"/>
      <c r="T947" s="156"/>
      <c r="U947" s="156"/>
      <c r="V947" s="156"/>
      <c r="W947" s="156"/>
      <c r="X947" s="156"/>
      <c r="Y947" s="156"/>
      <c r="Z947" s="157"/>
      <c r="AA947" s="157"/>
      <c r="AB947" s="156"/>
      <c r="AC947" s="156"/>
      <c r="AD947" s="156"/>
      <c r="AE947" s="156"/>
      <c r="AF947" s="156"/>
      <c r="AG947" s="156"/>
      <c r="AH947" s="156"/>
      <c r="AI947" s="156"/>
      <c r="AJ947" s="156"/>
      <c r="AK947" s="156"/>
      <c r="AL947" s="156"/>
      <c r="AM947" s="158"/>
      <c r="AN947" s="156"/>
      <c r="AO947" s="156"/>
      <c r="AP947" s="156"/>
      <c r="AQ947" s="156"/>
      <c r="AR947" s="156"/>
      <c r="AS947" s="156"/>
      <c r="AT947" s="156"/>
      <c r="AU947" s="156"/>
      <c r="AV947" s="156"/>
      <c r="AW947" s="156"/>
      <c r="AX947" s="156"/>
      <c r="AY947" s="156"/>
      <c r="AZ947" s="156"/>
      <c r="BA947" s="153"/>
      <c r="BD947" s="153"/>
      <c r="BE947" s="147"/>
      <c r="BI947" s="153"/>
      <c r="BO947" s="153"/>
      <c r="BW947" s="153"/>
      <c r="CD947" s="146"/>
      <c r="CF947" s="147"/>
      <c r="CI947" s="146"/>
      <c r="CJ947" s="153"/>
      <c r="CV947" s="154"/>
      <c r="CX947" s="154"/>
      <c r="CZ947" s="154"/>
      <c r="DB947" s="154"/>
      <c r="DD947" s="154"/>
      <c r="DH947" s="474"/>
      <c r="DI947" s="459"/>
      <c r="DJ947" s="459"/>
      <c r="DK947" s="459"/>
      <c r="DL947" s="459"/>
      <c r="DM947" s="459"/>
      <c r="DN947" s="459"/>
      <c r="DO947" s="459"/>
      <c r="DP947" s="459"/>
      <c r="DQ947" s="459"/>
      <c r="DR947" s="459"/>
      <c r="DS947" s="459"/>
      <c r="DT947" s="459"/>
      <c r="DU947" s="459"/>
      <c r="DV947" s="468"/>
      <c r="DW947" s="468"/>
      <c r="DX947" s="459"/>
      <c r="DY947" s="459"/>
    </row>
    <row r="948" spans="1:129" s="128" customFormat="1" ht="54.95" customHeight="1" x14ac:dyDescent="0.25">
      <c r="A948" s="377"/>
      <c r="B948" s="175"/>
      <c r="C948" s="393"/>
      <c r="D948" s="168"/>
      <c r="E948" s="168"/>
      <c r="F948" s="168"/>
      <c r="G948" s="168"/>
      <c r="H948" s="168"/>
      <c r="I948" s="168"/>
      <c r="J948" s="168"/>
      <c r="K948" s="168"/>
      <c r="L948" s="168"/>
      <c r="M948" s="168"/>
      <c r="N948" s="168"/>
      <c r="O948" s="433"/>
      <c r="P948" s="122"/>
      <c r="Q948" s="156"/>
      <c r="R948" s="156"/>
      <c r="S948" s="156"/>
      <c r="T948" s="156"/>
      <c r="U948" s="156"/>
      <c r="V948" s="156"/>
      <c r="W948" s="156"/>
      <c r="X948" s="156"/>
      <c r="Y948" s="156"/>
      <c r="Z948" s="157"/>
      <c r="AA948" s="157"/>
      <c r="AB948" s="156"/>
      <c r="AC948" s="156"/>
      <c r="AD948" s="156"/>
      <c r="AE948" s="156"/>
      <c r="AF948" s="156"/>
      <c r="AG948" s="156"/>
      <c r="AH948" s="156"/>
      <c r="AI948" s="156"/>
      <c r="AJ948" s="156"/>
      <c r="AK948" s="156"/>
      <c r="AL948" s="156"/>
      <c r="AM948" s="158"/>
      <c r="AN948" s="156"/>
      <c r="AO948" s="156"/>
      <c r="AP948" s="156"/>
      <c r="AQ948" s="156"/>
      <c r="AR948" s="156"/>
      <c r="AS948" s="156"/>
      <c r="AT948" s="156"/>
      <c r="AU948" s="156"/>
      <c r="AV948" s="156"/>
      <c r="AW948" s="156"/>
      <c r="AX948" s="156"/>
      <c r="AY948" s="156"/>
      <c r="AZ948" s="156"/>
      <c r="BA948" s="153"/>
      <c r="BD948" s="153"/>
      <c r="BE948" s="147"/>
      <c r="BI948" s="153"/>
      <c r="BO948" s="153"/>
      <c r="BW948" s="153"/>
      <c r="CD948" s="146"/>
      <c r="CF948" s="147"/>
      <c r="CI948" s="146"/>
      <c r="CJ948" s="153"/>
      <c r="CV948" s="154"/>
      <c r="CX948" s="154"/>
      <c r="CZ948" s="154"/>
      <c r="DB948" s="154"/>
      <c r="DD948" s="154"/>
      <c r="DH948" s="474"/>
      <c r="DI948" s="459"/>
      <c r="DJ948" s="459"/>
      <c r="DK948" s="459"/>
      <c r="DL948" s="459"/>
      <c r="DM948" s="459"/>
      <c r="DN948" s="459"/>
      <c r="DO948" s="459"/>
      <c r="DP948" s="459"/>
      <c r="DQ948" s="459"/>
      <c r="DR948" s="459"/>
      <c r="DS948" s="459"/>
      <c r="DT948" s="459"/>
      <c r="DU948" s="459"/>
      <c r="DV948" s="468"/>
      <c r="DW948" s="468"/>
      <c r="DX948" s="459"/>
      <c r="DY948" s="459"/>
    </row>
    <row r="949" spans="1:129" s="128" customFormat="1" ht="54.95" customHeight="1" x14ac:dyDescent="0.25">
      <c r="A949" s="377"/>
      <c r="B949" s="175"/>
      <c r="C949" s="393"/>
      <c r="D949" s="168"/>
      <c r="E949" s="168"/>
      <c r="F949" s="168"/>
      <c r="G949" s="168"/>
      <c r="H949" s="168"/>
      <c r="I949" s="168"/>
      <c r="J949" s="168"/>
      <c r="K949" s="168"/>
      <c r="L949" s="168"/>
      <c r="M949" s="168"/>
      <c r="N949" s="168"/>
      <c r="O949" s="433"/>
      <c r="P949" s="122"/>
      <c r="Q949" s="156"/>
      <c r="R949" s="156"/>
      <c r="S949" s="156"/>
      <c r="T949" s="156"/>
      <c r="U949" s="156"/>
      <c r="V949" s="156"/>
      <c r="W949" s="156"/>
      <c r="X949" s="156"/>
      <c r="Y949" s="156"/>
      <c r="Z949" s="157"/>
      <c r="AA949" s="157"/>
      <c r="AB949" s="156"/>
      <c r="AC949" s="156"/>
      <c r="AD949" s="156"/>
      <c r="AE949" s="156"/>
      <c r="AF949" s="156"/>
      <c r="AG949" s="156"/>
      <c r="AH949" s="156"/>
      <c r="AI949" s="156"/>
      <c r="AJ949" s="156"/>
      <c r="AK949" s="156"/>
      <c r="AL949" s="156"/>
      <c r="AM949" s="158"/>
      <c r="AN949" s="156"/>
      <c r="AO949" s="156"/>
      <c r="AP949" s="156"/>
      <c r="AQ949" s="156"/>
      <c r="AR949" s="156"/>
      <c r="AS949" s="156"/>
      <c r="AT949" s="156"/>
      <c r="AU949" s="156"/>
      <c r="AV949" s="156"/>
      <c r="AW949" s="156"/>
      <c r="AX949" s="156"/>
      <c r="AY949" s="156"/>
      <c r="AZ949" s="156"/>
      <c r="BA949" s="153"/>
      <c r="BD949" s="153"/>
      <c r="BE949" s="147"/>
      <c r="BI949" s="153"/>
      <c r="BO949" s="153"/>
      <c r="BW949" s="153"/>
      <c r="CD949" s="146"/>
      <c r="CF949" s="147"/>
      <c r="CI949" s="146"/>
      <c r="CJ949" s="153"/>
      <c r="CV949" s="154"/>
      <c r="CX949" s="154"/>
      <c r="CZ949" s="154"/>
      <c r="DB949" s="154"/>
      <c r="DD949" s="154"/>
      <c r="DH949" s="474"/>
      <c r="DI949" s="459"/>
      <c r="DJ949" s="459"/>
      <c r="DK949" s="459"/>
      <c r="DL949" s="459"/>
      <c r="DM949" s="459"/>
      <c r="DN949" s="459"/>
      <c r="DO949" s="459"/>
      <c r="DP949" s="459"/>
      <c r="DQ949" s="459"/>
      <c r="DR949" s="459"/>
      <c r="DS949" s="459"/>
      <c r="DT949" s="459"/>
      <c r="DU949" s="459"/>
      <c r="DV949" s="468"/>
      <c r="DW949" s="468"/>
      <c r="DX949" s="459"/>
      <c r="DY949" s="459"/>
    </row>
    <row r="950" spans="1:129" s="128" customFormat="1" ht="54.95" customHeight="1" x14ac:dyDescent="0.25">
      <c r="A950" s="377"/>
      <c r="B950" s="175"/>
      <c r="C950" s="393"/>
      <c r="D950" s="168"/>
      <c r="E950" s="168"/>
      <c r="F950" s="168"/>
      <c r="G950" s="168"/>
      <c r="H950" s="168"/>
      <c r="I950" s="168"/>
      <c r="J950" s="168"/>
      <c r="K950" s="168"/>
      <c r="L950" s="168"/>
      <c r="M950" s="168"/>
      <c r="N950" s="168"/>
      <c r="O950" s="433"/>
      <c r="P950" s="122"/>
      <c r="Q950" s="156"/>
      <c r="R950" s="156"/>
      <c r="S950" s="156"/>
      <c r="T950" s="156"/>
      <c r="U950" s="156"/>
      <c r="V950" s="156"/>
      <c r="W950" s="156"/>
      <c r="X950" s="156"/>
      <c r="Y950" s="156"/>
      <c r="Z950" s="157"/>
      <c r="AA950" s="157"/>
      <c r="AB950" s="156"/>
      <c r="AC950" s="156"/>
      <c r="AD950" s="156"/>
      <c r="AE950" s="156"/>
      <c r="AF950" s="156"/>
      <c r="AG950" s="156"/>
      <c r="AH950" s="156"/>
      <c r="AI950" s="156"/>
      <c r="AJ950" s="156"/>
      <c r="AK950" s="156"/>
      <c r="AL950" s="156"/>
      <c r="AM950" s="158"/>
      <c r="AN950" s="156"/>
      <c r="AO950" s="156"/>
      <c r="AP950" s="156"/>
      <c r="AQ950" s="156"/>
      <c r="AR950" s="156"/>
      <c r="AS950" s="156"/>
      <c r="AT950" s="156"/>
      <c r="AU950" s="156"/>
      <c r="AV950" s="156"/>
      <c r="AW950" s="156"/>
      <c r="AX950" s="156"/>
      <c r="AY950" s="156"/>
      <c r="AZ950" s="156"/>
      <c r="BA950" s="153"/>
      <c r="BD950" s="153"/>
      <c r="BE950" s="147"/>
      <c r="BI950" s="153"/>
      <c r="BO950" s="153"/>
      <c r="BW950" s="153"/>
      <c r="CD950" s="146"/>
      <c r="CF950" s="147"/>
      <c r="CI950" s="146"/>
      <c r="CJ950" s="153"/>
      <c r="CV950" s="154"/>
      <c r="CX950" s="154"/>
      <c r="CZ950" s="154"/>
      <c r="DB950" s="154"/>
      <c r="DD950" s="154"/>
      <c r="DH950" s="474"/>
      <c r="DI950" s="459"/>
      <c r="DJ950" s="459"/>
      <c r="DK950" s="459"/>
      <c r="DL950" s="459"/>
      <c r="DM950" s="459"/>
      <c r="DN950" s="459"/>
      <c r="DO950" s="459"/>
      <c r="DP950" s="459"/>
      <c r="DQ950" s="459"/>
      <c r="DR950" s="459"/>
      <c r="DS950" s="459"/>
      <c r="DT950" s="459"/>
      <c r="DU950" s="459"/>
      <c r="DV950" s="468"/>
      <c r="DW950" s="468"/>
      <c r="DX950" s="459"/>
      <c r="DY950" s="459"/>
    </row>
    <row r="951" spans="1:129" s="128" customFormat="1" ht="54.95" customHeight="1" x14ac:dyDescent="0.25">
      <c r="A951" s="377"/>
      <c r="B951" s="175"/>
      <c r="C951" s="393"/>
      <c r="D951" s="168"/>
      <c r="E951" s="168"/>
      <c r="F951" s="168"/>
      <c r="G951" s="168"/>
      <c r="H951" s="168"/>
      <c r="I951" s="168"/>
      <c r="J951" s="168"/>
      <c r="K951" s="168"/>
      <c r="L951" s="168"/>
      <c r="M951" s="168"/>
      <c r="N951" s="168"/>
      <c r="O951" s="433"/>
      <c r="P951" s="122"/>
      <c r="Q951" s="156"/>
      <c r="R951" s="156"/>
      <c r="S951" s="156"/>
      <c r="T951" s="156"/>
      <c r="U951" s="156"/>
      <c r="V951" s="156"/>
      <c r="W951" s="156"/>
      <c r="X951" s="156"/>
      <c r="Y951" s="156"/>
      <c r="Z951" s="157"/>
      <c r="AA951" s="157"/>
      <c r="AB951" s="156"/>
      <c r="AC951" s="156"/>
      <c r="AD951" s="156"/>
      <c r="AE951" s="156"/>
      <c r="AF951" s="156"/>
      <c r="AG951" s="156"/>
      <c r="AH951" s="156"/>
      <c r="AI951" s="156"/>
      <c r="AJ951" s="156"/>
      <c r="AK951" s="156"/>
      <c r="AL951" s="156"/>
      <c r="AM951" s="158"/>
      <c r="AN951" s="156"/>
      <c r="AO951" s="156"/>
      <c r="AP951" s="156"/>
      <c r="AQ951" s="156"/>
      <c r="AR951" s="156"/>
      <c r="AS951" s="156"/>
      <c r="AT951" s="156"/>
      <c r="AU951" s="156"/>
      <c r="AV951" s="156"/>
      <c r="AW951" s="156"/>
      <c r="AX951" s="156"/>
      <c r="AY951" s="156"/>
      <c r="AZ951" s="156"/>
      <c r="BA951" s="153"/>
      <c r="BD951" s="153"/>
      <c r="BE951" s="147"/>
      <c r="BI951" s="153"/>
      <c r="BO951" s="153"/>
      <c r="BW951" s="153"/>
      <c r="CD951" s="146"/>
      <c r="CF951" s="147"/>
      <c r="CI951" s="146"/>
      <c r="CJ951" s="153"/>
      <c r="CV951" s="154"/>
      <c r="CX951" s="154"/>
      <c r="CZ951" s="154"/>
      <c r="DB951" s="154"/>
      <c r="DD951" s="154"/>
      <c r="DH951" s="474"/>
      <c r="DI951" s="459"/>
      <c r="DJ951" s="459"/>
      <c r="DK951" s="459"/>
      <c r="DL951" s="459"/>
      <c r="DM951" s="459"/>
      <c r="DN951" s="459"/>
      <c r="DO951" s="459"/>
      <c r="DP951" s="459"/>
      <c r="DQ951" s="459"/>
      <c r="DR951" s="459"/>
      <c r="DS951" s="459"/>
      <c r="DT951" s="459"/>
      <c r="DU951" s="459"/>
      <c r="DV951" s="468"/>
      <c r="DW951" s="468"/>
      <c r="DX951" s="459"/>
      <c r="DY951" s="459"/>
    </row>
    <row r="952" spans="1:129" s="128" customFormat="1" ht="54.95" customHeight="1" x14ac:dyDescent="0.25">
      <c r="A952" s="377"/>
      <c r="B952" s="175"/>
      <c r="C952" s="393"/>
      <c r="D952" s="168"/>
      <c r="E952" s="168"/>
      <c r="F952" s="168"/>
      <c r="G952" s="168"/>
      <c r="H952" s="168"/>
      <c r="I952" s="168"/>
      <c r="J952" s="168"/>
      <c r="K952" s="168"/>
      <c r="L952" s="168"/>
      <c r="M952" s="168"/>
      <c r="N952" s="168"/>
      <c r="O952" s="433"/>
      <c r="P952" s="122"/>
      <c r="Q952" s="156"/>
      <c r="R952" s="156"/>
      <c r="S952" s="156"/>
      <c r="T952" s="156"/>
      <c r="U952" s="156"/>
      <c r="V952" s="156"/>
      <c r="W952" s="156"/>
      <c r="X952" s="156"/>
      <c r="Y952" s="156"/>
      <c r="Z952" s="157"/>
      <c r="AA952" s="157"/>
      <c r="AB952" s="156"/>
      <c r="AC952" s="156"/>
      <c r="AD952" s="156"/>
      <c r="AE952" s="156"/>
      <c r="AF952" s="156"/>
      <c r="AG952" s="156"/>
      <c r="AH952" s="156"/>
      <c r="AI952" s="156"/>
      <c r="AJ952" s="156"/>
      <c r="AK952" s="156"/>
      <c r="AL952" s="156"/>
      <c r="AM952" s="158"/>
      <c r="AN952" s="156"/>
      <c r="AO952" s="156"/>
      <c r="AP952" s="156"/>
      <c r="AQ952" s="156"/>
      <c r="AR952" s="156"/>
      <c r="AS952" s="156"/>
      <c r="AT952" s="156"/>
      <c r="AU952" s="156"/>
      <c r="AV952" s="156"/>
      <c r="AW952" s="156"/>
      <c r="AX952" s="156"/>
      <c r="AY952" s="156"/>
      <c r="AZ952" s="156"/>
      <c r="BA952" s="153"/>
      <c r="BD952" s="153"/>
      <c r="BE952" s="147"/>
      <c r="BI952" s="153"/>
      <c r="BO952" s="153"/>
      <c r="BW952" s="153"/>
      <c r="CD952" s="146"/>
      <c r="CF952" s="147"/>
      <c r="CI952" s="146"/>
      <c r="CJ952" s="153"/>
      <c r="CV952" s="154"/>
      <c r="CX952" s="154"/>
      <c r="CZ952" s="154"/>
      <c r="DB952" s="154"/>
      <c r="DD952" s="154"/>
      <c r="DH952" s="474"/>
      <c r="DI952" s="459"/>
      <c r="DJ952" s="459"/>
      <c r="DK952" s="459"/>
      <c r="DL952" s="459"/>
      <c r="DM952" s="459"/>
      <c r="DN952" s="459"/>
      <c r="DO952" s="459"/>
      <c r="DP952" s="459"/>
      <c r="DQ952" s="459"/>
      <c r="DR952" s="459"/>
      <c r="DS952" s="459"/>
      <c r="DT952" s="459"/>
      <c r="DU952" s="459"/>
      <c r="DV952" s="468"/>
      <c r="DW952" s="468"/>
      <c r="DX952" s="459"/>
      <c r="DY952" s="459"/>
    </row>
    <row r="953" spans="1:129" s="128" customFormat="1" ht="54.95" customHeight="1" x14ac:dyDescent="0.25">
      <c r="A953" s="377"/>
      <c r="B953" s="175"/>
      <c r="C953" s="393"/>
      <c r="D953" s="168"/>
      <c r="E953" s="168"/>
      <c r="F953" s="168"/>
      <c r="G953" s="168"/>
      <c r="H953" s="168"/>
      <c r="I953" s="168"/>
      <c r="J953" s="168"/>
      <c r="K953" s="168"/>
      <c r="L953" s="168"/>
      <c r="M953" s="168"/>
      <c r="N953" s="168"/>
      <c r="O953" s="433"/>
      <c r="P953" s="122"/>
      <c r="Q953" s="156"/>
      <c r="R953" s="156"/>
      <c r="S953" s="156"/>
      <c r="T953" s="156"/>
      <c r="U953" s="156"/>
      <c r="V953" s="156"/>
      <c r="W953" s="156"/>
      <c r="X953" s="156"/>
      <c r="Y953" s="156"/>
      <c r="Z953" s="157"/>
      <c r="AA953" s="157"/>
      <c r="AB953" s="156"/>
      <c r="AC953" s="156"/>
      <c r="AD953" s="156"/>
      <c r="AE953" s="156"/>
      <c r="AF953" s="156"/>
      <c r="AG953" s="156"/>
      <c r="AH953" s="156"/>
      <c r="AI953" s="156"/>
      <c r="AJ953" s="156"/>
      <c r="AK953" s="156"/>
      <c r="AL953" s="156"/>
      <c r="AM953" s="158"/>
      <c r="AN953" s="156"/>
      <c r="AO953" s="156"/>
      <c r="AP953" s="156"/>
      <c r="AQ953" s="156"/>
      <c r="AR953" s="156"/>
      <c r="AS953" s="156"/>
      <c r="AT953" s="156"/>
      <c r="AU953" s="156"/>
      <c r="AV953" s="156"/>
      <c r="AW953" s="156"/>
      <c r="AX953" s="156"/>
      <c r="AY953" s="156"/>
      <c r="AZ953" s="156"/>
      <c r="BA953" s="153"/>
      <c r="BD953" s="153"/>
      <c r="BE953" s="147"/>
      <c r="BI953" s="153"/>
      <c r="BO953" s="153"/>
      <c r="BW953" s="153"/>
      <c r="CD953" s="146"/>
      <c r="CF953" s="147"/>
      <c r="CI953" s="146"/>
      <c r="CJ953" s="153"/>
      <c r="CV953" s="154"/>
      <c r="CX953" s="154"/>
      <c r="CZ953" s="154"/>
      <c r="DB953" s="154"/>
      <c r="DD953" s="154"/>
      <c r="DH953" s="474"/>
      <c r="DI953" s="459"/>
      <c r="DJ953" s="459"/>
      <c r="DK953" s="459"/>
      <c r="DL953" s="459"/>
      <c r="DM953" s="459"/>
      <c r="DN953" s="459"/>
      <c r="DO953" s="459"/>
      <c r="DP953" s="459"/>
      <c r="DQ953" s="459"/>
      <c r="DR953" s="459"/>
      <c r="DS953" s="459"/>
      <c r="DT953" s="459"/>
      <c r="DU953" s="459"/>
      <c r="DV953" s="468"/>
      <c r="DW953" s="468"/>
      <c r="DX953" s="459"/>
      <c r="DY953" s="459"/>
    </row>
    <row r="954" spans="1:129" s="128" customFormat="1" ht="54.95" customHeight="1" x14ac:dyDescent="0.25">
      <c r="A954" s="377"/>
      <c r="B954" s="175"/>
      <c r="C954" s="393"/>
      <c r="D954" s="168"/>
      <c r="E954" s="168"/>
      <c r="F954" s="168"/>
      <c r="G954" s="168"/>
      <c r="H954" s="168"/>
      <c r="I954" s="168"/>
      <c r="J954" s="168"/>
      <c r="K954" s="168"/>
      <c r="L954" s="168"/>
      <c r="M954" s="168"/>
      <c r="N954" s="168"/>
      <c r="O954" s="433"/>
      <c r="P954" s="122"/>
      <c r="Q954" s="156"/>
      <c r="R954" s="156"/>
      <c r="S954" s="156"/>
      <c r="T954" s="156"/>
      <c r="U954" s="156"/>
      <c r="V954" s="156"/>
      <c r="W954" s="156"/>
      <c r="X954" s="156"/>
      <c r="Y954" s="156"/>
      <c r="Z954" s="157"/>
      <c r="AA954" s="157"/>
      <c r="AB954" s="156"/>
      <c r="AC954" s="156"/>
      <c r="AD954" s="156"/>
      <c r="AE954" s="156"/>
      <c r="AF954" s="156"/>
      <c r="AG954" s="156"/>
      <c r="AH954" s="156"/>
      <c r="AI954" s="156"/>
      <c r="AJ954" s="156"/>
      <c r="AK954" s="156"/>
      <c r="AL954" s="156"/>
      <c r="AM954" s="158"/>
      <c r="AN954" s="156"/>
      <c r="AO954" s="156"/>
      <c r="AP954" s="156"/>
      <c r="AQ954" s="156"/>
      <c r="AR954" s="156"/>
      <c r="AS954" s="156"/>
      <c r="AT954" s="156"/>
      <c r="AU954" s="156"/>
      <c r="AV954" s="156"/>
      <c r="AW954" s="156"/>
      <c r="AX954" s="156"/>
      <c r="AY954" s="156"/>
      <c r="AZ954" s="156"/>
      <c r="BA954" s="153"/>
      <c r="BD954" s="153"/>
      <c r="BE954" s="147"/>
      <c r="BI954" s="153"/>
      <c r="BO954" s="153"/>
      <c r="BW954" s="153"/>
      <c r="CD954" s="146"/>
      <c r="CF954" s="147"/>
      <c r="CI954" s="146"/>
      <c r="CJ954" s="153"/>
      <c r="CV954" s="154"/>
      <c r="CX954" s="154"/>
      <c r="CZ954" s="154"/>
      <c r="DB954" s="154"/>
      <c r="DD954" s="154"/>
      <c r="DH954" s="474"/>
      <c r="DI954" s="459"/>
      <c r="DJ954" s="459"/>
      <c r="DK954" s="459"/>
      <c r="DL954" s="459"/>
      <c r="DM954" s="459"/>
      <c r="DN954" s="459"/>
      <c r="DO954" s="459"/>
      <c r="DP954" s="459"/>
      <c r="DQ954" s="459"/>
      <c r="DR954" s="459"/>
      <c r="DS954" s="459"/>
      <c r="DT954" s="459"/>
      <c r="DU954" s="459"/>
      <c r="DV954" s="468"/>
      <c r="DW954" s="468"/>
      <c r="DX954" s="459"/>
      <c r="DY954" s="459"/>
    </row>
    <row r="955" spans="1:129" s="128" customFormat="1" ht="54.95" customHeight="1" x14ac:dyDescent="0.25">
      <c r="A955" s="377"/>
      <c r="B955" s="175"/>
      <c r="C955" s="393"/>
      <c r="D955" s="168"/>
      <c r="E955" s="168"/>
      <c r="F955" s="168"/>
      <c r="G955" s="168"/>
      <c r="H955" s="168"/>
      <c r="I955" s="168"/>
      <c r="J955" s="168"/>
      <c r="K955" s="168"/>
      <c r="L955" s="168"/>
      <c r="M955" s="168"/>
      <c r="N955" s="168"/>
      <c r="O955" s="433"/>
      <c r="P955" s="122"/>
      <c r="Q955" s="156"/>
      <c r="R955" s="156"/>
      <c r="S955" s="156"/>
      <c r="T955" s="156"/>
      <c r="U955" s="156"/>
      <c r="V955" s="156"/>
      <c r="W955" s="156"/>
      <c r="X955" s="156"/>
      <c r="Y955" s="156"/>
      <c r="Z955" s="157"/>
      <c r="AA955" s="157"/>
      <c r="AB955" s="156"/>
      <c r="AC955" s="156"/>
      <c r="AD955" s="156"/>
      <c r="AE955" s="156"/>
      <c r="AF955" s="156"/>
      <c r="AG955" s="156"/>
      <c r="AH955" s="156"/>
      <c r="AI955" s="156"/>
      <c r="AJ955" s="156"/>
      <c r="AK955" s="156"/>
      <c r="AL955" s="156"/>
      <c r="AM955" s="158"/>
      <c r="AN955" s="156"/>
      <c r="AO955" s="156"/>
      <c r="AP955" s="156"/>
      <c r="AQ955" s="156"/>
      <c r="AR955" s="156"/>
      <c r="AS955" s="156"/>
      <c r="AT955" s="156"/>
      <c r="AU955" s="156"/>
      <c r="AV955" s="156"/>
      <c r="AW955" s="156"/>
      <c r="AX955" s="156"/>
      <c r="AY955" s="156"/>
      <c r="AZ955" s="156"/>
      <c r="BA955" s="153"/>
      <c r="BD955" s="153"/>
      <c r="BE955" s="147"/>
      <c r="BI955" s="153"/>
      <c r="BO955" s="153"/>
      <c r="BW955" s="153"/>
      <c r="CD955" s="146"/>
      <c r="CF955" s="147"/>
      <c r="CI955" s="146"/>
      <c r="CJ955" s="153"/>
      <c r="CV955" s="154"/>
      <c r="CX955" s="154"/>
      <c r="CZ955" s="154"/>
      <c r="DB955" s="154"/>
      <c r="DD955" s="154"/>
      <c r="DH955" s="474"/>
      <c r="DI955" s="459"/>
      <c r="DJ955" s="459"/>
      <c r="DK955" s="459"/>
      <c r="DL955" s="459"/>
      <c r="DM955" s="459"/>
      <c r="DN955" s="459"/>
      <c r="DO955" s="459"/>
      <c r="DP955" s="459"/>
      <c r="DQ955" s="459"/>
      <c r="DR955" s="459"/>
      <c r="DS955" s="459"/>
      <c r="DT955" s="459"/>
      <c r="DU955" s="459"/>
      <c r="DV955" s="468"/>
      <c r="DW955" s="468"/>
      <c r="DX955" s="459"/>
      <c r="DY955" s="459"/>
    </row>
    <row r="956" spans="1:129" s="128" customFormat="1" ht="54.95" customHeight="1" x14ac:dyDescent="0.25">
      <c r="A956" s="377"/>
      <c r="B956" s="175"/>
      <c r="C956" s="393"/>
      <c r="D956" s="168"/>
      <c r="E956" s="168"/>
      <c r="F956" s="168"/>
      <c r="G956" s="168"/>
      <c r="H956" s="168"/>
      <c r="I956" s="168"/>
      <c r="J956" s="168"/>
      <c r="K956" s="168"/>
      <c r="L956" s="168"/>
      <c r="M956" s="168"/>
      <c r="N956" s="168"/>
      <c r="O956" s="433"/>
      <c r="P956" s="122"/>
      <c r="Q956" s="156"/>
      <c r="R956" s="156"/>
      <c r="S956" s="156"/>
      <c r="T956" s="156"/>
      <c r="U956" s="156"/>
      <c r="V956" s="156"/>
      <c r="W956" s="156"/>
      <c r="X956" s="156"/>
      <c r="Y956" s="156"/>
      <c r="Z956" s="157"/>
      <c r="AA956" s="157"/>
      <c r="AB956" s="156"/>
      <c r="AC956" s="156"/>
      <c r="AD956" s="156"/>
      <c r="AE956" s="156"/>
      <c r="AF956" s="156"/>
      <c r="AG956" s="156"/>
      <c r="AH956" s="156"/>
      <c r="AI956" s="156"/>
      <c r="AJ956" s="156"/>
      <c r="AK956" s="156"/>
      <c r="AL956" s="156"/>
      <c r="AM956" s="158"/>
      <c r="AN956" s="156"/>
      <c r="AO956" s="156"/>
      <c r="AP956" s="156"/>
      <c r="AQ956" s="156"/>
      <c r="AR956" s="156"/>
      <c r="AS956" s="156"/>
      <c r="AT956" s="156"/>
      <c r="AU956" s="156"/>
      <c r="AV956" s="156"/>
      <c r="AW956" s="156"/>
      <c r="AX956" s="156"/>
      <c r="AY956" s="156"/>
      <c r="AZ956" s="156"/>
      <c r="BA956" s="153"/>
      <c r="BD956" s="153"/>
      <c r="BE956" s="147"/>
      <c r="BI956" s="153"/>
      <c r="BO956" s="153"/>
      <c r="BW956" s="153"/>
      <c r="CD956" s="146"/>
      <c r="CF956" s="147"/>
      <c r="CI956" s="146"/>
      <c r="CJ956" s="153"/>
      <c r="CV956" s="154"/>
      <c r="CX956" s="154"/>
      <c r="CZ956" s="154"/>
      <c r="DB956" s="154"/>
      <c r="DD956" s="154"/>
      <c r="DH956" s="474"/>
      <c r="DI956" s="459"/>
      <c r="DJ956" s="459"/>
      <c r="DK956" s="459"/>
      <c r="DL956" s="459"/>
      <c r="DM956" s="459"/>
      <c r="DN956" s="459"/>
      <c r="DO956" s="459"/>
      <c r="DP956" s="459"/>
      <c r="DQ956" s="459"/>
      <c r="DR956" s="459"/>
      <c r="DS956" s="459"/>
      <c r="DT956" s="459"/>
      <c r="DU956" s="459"/>
      <c r="DV956" s="468"/>
      <c r="DW956" s="468"/>
      <c r="DX956" s="459"/>
      <c r="DY956" s="459"/>
    </row>
    <row r="957" spans="1:129" s="128" customFormat="1" ht="54.95" customHeight="1" x14ac:dyDescent="0.25">
      <c r="A957" s="377"/>
      <c r="B957" s="175"/>
      <c r="C957" s="393"/>
      <c r="D957" s="168"/>
      <c r="E957" s="168"/>
      <c r="F957" s="168"/>
      <c r="G957" s="168"/>
      <c r="H957" s="168"/>
      <c r="I957" s="168"/>
      <c r="J957" s="168"/>
      <c r="K957" s="168"/>
      <c r="L957" s="168"/>
      <c r="M957" s="168"/>
      <c r="N957" s="168"/>
      <c r="O957" s="433"/>
      <c r="P957" s="122"/>
      <c r="Q957" s="156"/>
      <c r="R957" s="156"/>
      <c r="S957" s="156"/>
      <c r="T957" s="156"/>
      <c r="U957" s="156"/>
      <c r="V957" s="156"/>
      <c r="W957" s="156"/>
      <c r="X957" s="156"/>
      <c r="Y957" s="156"/>
      <c r="Z957" s="157"/>
      <c r="AA957" s="157"/>
      <c r="AB957" s="156"/>
      <c r="AC957" s="156"/>
      <c r="AD957" s="156"/>
      <c r="AE957" s="156"/>
      <c r="AF957" s="156"/>
      <c r="AG957" s="156"/>
      <c r="AH957" s="156"/>
      <c r="AI957" s="156"/>
      <c r="AJ957" s="156"/>
      <c r="AK957" s="156"/>
      <c r="AL957" s="156"/>
      <c r="AM957" s="158"/>
      <c r="AN957" s="156"/>
      <c r="AO957" s="156"/>
      <c r="AP957" s="156"/>
      <c r="AQ957" s="156"/>
      <c r="AR957" s="156"/>
      <c r="AS957" s="156"/>
      <c r="AT957" s="156"/>
      <c r="AU957" s="156"/>
      <c r="AV957" s="156"/>
      <c r="AW957" s="156"/>
      <c r="AX957" s="156"/>
      <c r="AY957" s="156"/>
      <c r="AZ957" s="156"/>
      <c r="BA957" s="153"/>
      <c r="BD957" s="153"/>
      <c r="BE957" s="147"/>
      <c r="BI957" s="153"/>
      <c r="BO957" s="153"/>
      <c r="BW957" s="153"/>
      <c r="CD957" s="146"/>
      <c r="CF957" s="147"/>
      <c r="CI957" s="146"/>
      <c r="CJ957" s="153"/>
      <c r="CV957" s="154"/>
      <c r="CX957" s="154"/>
      <c r="CZ957" s="154"/>
      <c r="DB957" s="154"/>
      <c r="DD957" s="154"/>
      <c r="DH957" s="474"/>
      <c r="DI957" s="459"/>
      <c r="DJ957" s="459"/>
      <c r="DK957" s="459"/>
      <c r="DL957" s="459"/>
      <c r="DM957" s="459"/>
      <c r="DN957" s="459"/>
      <c r="DO957" s="459"/>
      <c r="DP957" s="459"/>
      <c r="DQ957" s="459"/>
      <c r="DR957" s="459"/>
      <c r="DS957" s="459"/>
      <c r="DT957" s="459"/>
      <c r="DU957" s="459"/>
      <c r="DV957" s="468"/>
      <c r="DW957" s="468"/>
      <c r="DX957" s="459"/>
      <c r="DY957" s="459"/>
    </row>
    <row r="958" spans="1:129" s="128" customFormat="1" ht="54.95" customHeight="1" x14ac:dyDescent="0.25">
      <c r="A958" s="377"/>
      <c r="B958" s="175"/>
      <c r="C958" s="393"/>
      <c r="D958" s="168"/>
      <c r="E958" s="168"/>
      <c r="F958" s="168"/>
      <c r="G958" s="168"/>
      <c r="H958" s="168"/>
      <c r="I958" s="168"/>
      <c r="J958" s="168"/>
      <c r="K958" s="168"/>
      <c r="L958" s="168"/>
      <c r="M958" s="168"/>
      <c r="N958" s="168"/>
      <c r="O958" s="433"/>
      <c r="P958" s="122"/>
      <c r="Q958" s="156"/>
      <c r="R958" s="156"/>
      <c r="S958" s="156"/>
      <c r="T958" s="156"/>
      <c r="U958" s="156"/>
      <c r="V958" s="156"/>
      <c r="W958" s="156"/>
      <c r="X958" s="156"/>
      <c r="Y958" s="156"/>
      <c r="Z958" s="157"/>
      <c r="AA958" s="157"/>
      <c r="AB958" s="156"/>
      <c r="AC958" s="156"/>
      <c r="AD958" s="156"/>
      <c r="AE958" s="156"/>
      <c r="AF958" s="156"/>
      <c r="AG958" s="156"/>
      <c r="AH958" s="156"/>
      <c r="AI958" s="156"/>
      <c r="AJ958" s="156"/>
      <c r="AK958" s="156"/>
      <c r="AL958" s="156"/>
      <c r="AM958" s="158"/>
      <c r="AN958" s="156"/>
      <c r="AO958" s="156"/>
      <c r="AP958" s="156"/>
      <c r="AQ958" s="156"/>
      <c r="AR958" s="156"/>
      <c r="AS958" s="156"/>
      <c r="AT958" s="156"/>
      <c r="AU958" s="156"/>
      <c r="AV958" s="156"/>
      <c r="AW958" s="156"/>
      <c r="AX958" s="156"/>
      <c r="AY958" s="156"/>
      <c r="AZ958" s="156"/>
      <c r="BA958" s="153"/>
      <c r="BD958" s="153"/>
      <c r="BE958" s="147"/>
      <c r="BI958" s="153"/>
      <c r="BO958" s="153"/>
      <c r="BW958" s="153"/>
      <c r="CD958" s="146"/>
      <c r="CF958" s="147"/>
      <c r="CI958" s="146"/>
      <c r="CJ958" s="153"/>
      <c r="CV958" s="154"/>
      <c r="CX958" s="154"/>
      <c r="CZ958" s="154"/>
      <c r="DB958" s="154"/>
      <c r="DD958" s="154"/>
      <c r="DH958" s="474"/>
      <c r="DI958" s="459"/>
      <c r="DJ958" s="459"/>
      <c r="DK958" s="459"/>
      <c r="DL958" s="459"/>
      <c r="DM958" s="459"/>
      <c r="DN958" s="459"/>
      <c r="DO958" s="459"/>
      <c r="DP958" s="459"/>
      <c r="DQ958" s="459"/>
      <c r="DR958" s="459"/>
      <c r="DS958" s="459"/>
      <c r="DT958" s="459"/>
      <c r="DU958" s="459"/>
      <c r="DV958" s="468"/>
      <c r="DW958" s="468"/>
      <c r="DX958" s="459"/>
      <c r="DY958" s="459"/>
    </row>
    <row r="959" spans="1:129" s="128" customFormat="1" ht="54.95" customHeight="1" x14ac:dyDescent="0.25">
      <c r="A959" s="377"/>
      <c r="B959" s="175"/>
      <c r="C959" s="393"/>
      <c r="D959" s="168"/>
      <c r="E959" s="168"/>
      <c r="F959" s="168"/>
      <c r="G959" s="168"/>
      <c r="H959" s="168"/>
      <c r="I959" s="168"/>
      <c r="J959" s="168"/>
      <c r="K959" s="168"/>
      <c r="L959" s="168"/>
      <c r="M959" s="168"/>
      <c r="N959" s="168"/>
      <c r="O959" s="433"/>
      <c r="P959" s="122"/>
      <c r="Q959" s="156"/>
      <c r="R959" s="156"/>
      <c r="S959" s="156"/>
      <c r="T959" s="156"/>
      <c r="U959" s="156"/>
      <c r="V959" s="156"/>
      <c r="W959" s="156"/>
      <c r="X959" s="156"/>
      <c r="Y959" s="156"/>
      <c r="Z959" s="157"/>
      <c r="AA959" s="157"/>
      <c r="AB959" s="156"/>
      <c r="AC959" s="156"/>
      <c r="AD959" s="156"/>
      <c r="AE959" s="156"/>
      <c r="AF959" s="156"/>
      <c r="AG959" s="156"/>
      <c r="AH959" s="156"/>
      <c r="AI959" s="156"/>
      <c r="AJ959" s="156"/>
      <c r="AK959" s="156"/>
      <c r="AL959" s="156"/>
      <c r="AM959" s="158"/>
      <c r="AN959" s="156"/>
      <c r="AO959" s="156"/>
      <c r="AP959" s="156"/>
      <c r="AQ959" s="156"/>
      <c r="AR959" s="156"/>
      <c r="AS959" s="156"/>
      <c r="AT959" s="156"/>
      <c r="AU959" s="156"/>
      <c r="AV959" s="156"/>
      <c r="AW959" s="156"/>
      <c r="AX959" s="156"/>
      <c r="AY959" s="156"/>
      <c r="AZ959" s="156"/>
      <c r="BA959" s="153"/>
      <c r="BD959" s="153"/>
      <c r="BE959" s="147"/>
      <c r="BI959" s="153"/>
      <c r="BO959" s="153"/>
      <c r="BW959" s="153"/>
      <c r="CD959" s="146"/>
      <c r="CF959" s="147"/>
      <c r="CI959" s="146"/>
      <c r="CJ959" s="153"/>
      <c r="CV959" s="154"/>
      <c r="CX959" s="154"/>
      <c r="CZ959" s="154"/>
      <c r="DB959" s="154"/>
      <c r="DD959" s="154"/>
      <c r="DH959" s="474"/>
      <c r="DI959" s="459"/>
      <c r="DJ959" s="459"/>
      <c r="DK959" s="459"/>
      <c r="DL959" s="459"/>
      <c r="DM959" s="459"/>
      <c r="DN959" s="459"/>
      <c r="DO959" s="459"/>
      <c r="DP959" s="459"/>
      <c r="DQ959" s="459"/>
      <c r="DR959" s="459"/>
      <c r="DS959" s="459"/>
      <c r="DT959" s="459"/>
      <c r="DU959" s="459"/>
      <c r="DV959" s="468"/>
      <c r="DW959" s="468"/>
      <c r="DX959" s="459"/>
      <c r="DY959" s="459"/>
    </row>
    <row r="960" spans="1:129" s="128" customFormat="1" ht="54.95" customHeight="1" x14ac:dyDescent="0.25">
      <c r="A960" s="377"/>
      <c r="B960" s="175"/>
      <c r="C960" s="393"/>
      <c r="D960" s="168"/>
      <c r="E960" s="168"/>
      <c r="F960" s="168"/>
      <c r="G960" s="168"/>
      <c r="H960" s="168"/>
      <c r="I960" s="168"/>
      <c r="J960" s="168"/>
      <c r="K960" s="168"/>
      <c r="L960" s="168"/>
      <c r="M960" s="168"/>
      <c r="N960" s="168"/>
      <c r="O960" s="433"/>
      <c r="P960" s="122"/>
      <c r="Q960" s="156"/>
      <c r="R960" s="156"/>
      <c r="S960" s="156"/>
      <c r="T960" s="156"/>
      <c r="U960" s="156"/>
      <c r="V960" s="156"/>
      <c r="W960" s="156"/>
      <c r="X960" s="156"/>
      <c r="Y960" s="156"/>
      <c r="Z960" s="157"/>
      <c r="AA960" s="157"/>
      <c r="AB960" s="156"/>
      <c r="AC960" s="156"/>
      <c r="AD960" s="156"/>
      <c r="AE960" s="156"/>
      <c r="AF960" s="156"/>
      <c r="AG960" s="156"/>
      <c r="AH960" s="156"/>
      <c r="AI960" s="156"/>
      <c r="AJ960" s="156"/>
      <c r="AK960" s="156"/>
      <c r="AL960" s="156"/>
      <c r="AM960" s="158"/>
      <c r="AN960" s="156"/>
      <c r="AO960" s="156"/>
      <c r="AP960" s="156"/>
      <c r="AQ960" s="156"/>
      <c r="AR960" s="156"/>
      <c r="AS960" s="156"/>
      <c r="AT960" s="156"/>
      <c r="AU960" s="156"/>
      <c r="AV960" s="156"/>
      <c r="AW960" s="156"/>
      <c r="AX960" s="156"/>
      <c r="AY960" s="156"/>
      <c r="AZ960" s="156"/>
      <c r="BA960" s="153"/>
      <c r="BD960" s="153"/>
      <c r="BE960" s="147"/>
      <c r="BI960" s="153"/>
      <c r="BO960" s="153"/>
      <c r="BW960" s="153"/>
      <c r="CD960" s="146"/>
      <c r="CF960" s="147"/>
      <c r="CI960" s="146"/>
      <c r="CJ960" s="153"/>
      <c r="CV960" s="154"/>
      <c r="CX960" s="154"/>
      <c r="CZ960" s="154"/>
      <c r="DB960" s="154"/>
      <c r="DD960" s="154"/>
      <c r="DH960" s="474"/>
      <c r="DI960" s="459"/>
      <c r="DJ960" s="459"/>
      <c r="DK960" s="459"/>
      <c r="DL960" s="459"/>
      <c r="DM960" s="459"/>
      <c r="DN960" s="459"/>
      <c r="DO960" s="459"/>
      <c r="DP960" s="459"/>
      <c r="DQ960" s="459"/>
      <c r="DR960" s="459"/>
      <c r="DS960" s="459"/>
      <c r="DT960" s="459"/>
      <c r="DU960" s="459"/>
      <c r="DV960" s="468"/>
      <c r="DW960" s="468"/>
      <c r="DX960" s="459"/>
      <c r="DY960" s="459"/>
    </row>
    <row r="961" spans="1:129" s="128" customFormat="1" ht="54.95" customHeight="1" x14ac:dyDescent="0.25">
      <c r="A961" s="377"/>
      <c r="B961" s="175"/>
      <c r="C961" s="393"/>
      <c r="D961" s="168"/>
      <c r="E961" s="168"/>
      <c r="F961" s="168"/>
      <c r="G961" s="168"/>
      <c r="H961" s="168"/>
      <c r="I961" s="168"/>
      <c r="J961" s="168"/>
      <c r="K961" s="168"/>
      <c r="L961" s="168"/>
      <c r="M961" s="168"/>
      <c r="N961" s="168"/>
      <c r="O961" s="433"/>
      <c r="P961" s="122"/>
      <c r="Q961" s="156"/>
      <c r="R961" s="156"/>
      <c r="S961" s="156"/>
      <c r="T961" s="156"/>
      <c r="U961" s="156"/>
      <c r="V961" s="156"/>
      <c r="W961" s="156"/>
      <c r="X961" s="156"/>
      <c r="Y961" s="156"/>
      <c r="Z961" s="157"/>
      <c r="AA961" s="157"/>
      <c r="AB961" s="156"/>
      <c r="AC961" s="156"/>
      <c r="AD961" s="156"/>
      <c r="AE961" s="156"/>
      <c r="AF961" s="156"/>
      <c r="AG961" s="156"/>
      <c r="AH961" s="156"/>
      <c r="AI961" s="156"/>
      <c r="AJ961" s="156"/>
      <c r="AK961" s="156"/>
      <c r="AL961" s="156"/>
      <c r="AM961" s="158"/>
      <c r="AN961" s="156"/>
      <c r="AO961" s="156"/>
      <c r="AP961" s="156"/>
      <c r="AQ961" s="156"/>
      <c r="AR961" s="156"/>
      <c r="AS961" s="156"/>
      <c r="AT961" s="156"/>
      <c r="AU961" s="156"/>
      <c r="AV961" s="156"/>
      <c r="AW961" s="156"/>
      <c r="AX961" s="156"/>
      <c r="AY961" s="156"/>
      <c r="AZ961" s="156"/>
      <c r="BA961" s="153"/>
      <c r="BD961" s="153"/>
      <c r="BE961" s="147"/>
      <c r="BI961" s="153"/>
      <c r="BO961" s="153"/>
      <c r="BW961" s="153"/>
      <c r="CD961" s="146"/>
      <c r="CF961" s="147"/>
      <c r="CI961" s="146"/>
      <c r="CJ961" s="153"/>
      <c r="CV961" s="154"/>
      <c r="CX961" s="154"/>
      <c r="CZ961" s="154"/>
      <c r="DB961" s="154"/>
      <c r="DD961" s="154"/>
      <c r="DH961" s="474"/>
      <c r="DI961" s="459"/>
      <c r="DJ961" s="459"/>
      <c r="DK961" s="459"/>
      <c r="DL961" s="459"/>
      <c r="DM961" s="459"/>
      <c r="DN961" s="459"/>
      <c r="DO961" s="459"/>
      <c r="DP961" s="459"/>
      <c r="DQ961" s="459"/>
      <c r="DR961" s="459"/>
      <c r="DS961" s="459"/>
      <c r="DT961" s="459"/>
      <c r="DU961" s="459"/>
      <c r="DV961" s="468"/>
      <c r="DW961" s="468"/>
      <c r="DX961" s="459"/>
      <c r="DY961" s="459"/>
    </row>
    <row r="962" spans="1:129" s="128" customFormat="1" ht="54.95" customHeight="1" x14ac:dyDescent="0.25">
      <c r="A962" s="377"/>
      <c r="B962" s="175"/>
      <c r="C962" s="393"/>
      <c r="D962" s="168"/>
      <c r="E962" s="168"/>
      <c r="F962" s="168"/>
      <c r="G962" s="168"/>
      <c r="H962" s="168"/>
      <c r="I962" s="168"/>
      <c r="J962" s="168"/>
      <c r="K962" s="168"/>
      <c r="L962" s="168"/>
      <c r="M962" s="168"/>
      <c r="N962" s="168"/>
      <c r="O962" s="433"/>
      <c r="P962" s="122"/>
      <c r="Q962" s="156"/>
      <c r="R962" s="156"/>
      <c r="S962" s="156"/>
      <c r="T962" s="156"/>
      <c r="U962" s="156"/>
      <c r="V962" s="156"/>
      <c r="W962" s="156"/>
      <c r="X962" s="156"/>
      <c r="Y962" s="156"/>
      <c r="Z962" s="157"/>
      <c r="AA962" s="157"/>
      <c r="AB962" s="156"/>
      <c r="AC962" s="156"/>
      <c r="AD962" s="156"/>
      <c r="AE962" s="156"/>
      <c r="AF962" s="156"/>
      <c r="AG962" s="156"/>
      <c r="AH962" s="156"/>
      <c r="AI962" s="156"/>
      <c r="AJ962" s="156"/>
      <c r="AK962" s="156"/>
      <c r="AL962" s="156"/>
      <c r="AM962" s="158"/>
      <c r="AN962" s="156"/>
      <c r="AO962" s="156"/>
      <c r="AP962" s="156"/>
      <c r="AQ962" s="156"/>
      <c r="AR962" s="156"/>
      <c r="AS962" s="156"/>
      <c r="AT962" s="156"/>
      <c r="AU962" s="156"/>
      <c r="AV962" s="156"/>
      <c r="AW962" s="156"/>
      <c r="AX962" s="156"/>
      <c r="AY962" s="156"/>
      <c r="AZ962" s="156"/>
      <c r="BA962" s="153"/>
      <c r="BD962" s="153"/>
      <c r="BE962" s="147"/>
      <c r="BI962" s="153"/>
      <c r="BO962" s="153"/>
      <c r="BW962" s="153"/>
      <c r="CD962" s="146"/>
      <c r="CF962" s="147"/>
      <c r="CI962" s="146"/>
      <c r="CJ962" s="153"/>
      <c r="CV962" s="154"/>
      <c r="CX962" s="154"/>
      <c r="CZ962" s="154"/>
      <c r="DB962" s="154"/>
      <c r="DD962" s="154"/>
      <c r="DH962" s="474"/>
      <c r="DI962" s="459"/>
      <c r="DJ962" s="459"/>
      <c r="DK962" s="459"/>
      <c r="DL962" s="459"/>
      <c r="DM962" s="459"/>
      <c r="DN962" s="459"/>
      <c r="DO962" s="459"/>
      <c r="DP962" s="459"/>
      <c r="DQ962" s="459"/>
      <c r="DR962" s="459"/>
      <c r="DS962" s="459"/>
      <c r="DT962" s="459"/>
      <c r="DU962" s="459"/>
      <c r="DV962" s="468"/>
      <c r="DW962" s="468"/>
      <c r="DX962" s="459"/>
      <c r="DY962" s="459"/>
    </row>
    <row r="963" spans="1:129" s="128" customFormat="1" ht="54.95" customHeight="1" x14ac:dyDescent="0.25">
      <c r="A963" s="377"/>
      <c r="B963" s="175"/>
      <c r="C963" s="393"/>
      <c r="D963" s="168"/>
      <c r="E963" s="168"/>
      <c r="F963" s="168"/>
      <c r="G963" s="168"/>
      <c r="H963" s="168"/>
      <c r="I963" s="168"/>
      <c r="J963" s="168"/>
      <c r="K963" s="168"/>
      <c r="L963" s="168"/>
      <c r="M963" s="168"/>
      <c r="N963" s="168"/>
      <c r="O963" s="433"/>
      <c r="P963" s="122"/>
      <c r="Q963" s="156"/>
      <c r="R963" s="156"/>
      <c r="S963" s="156"/>
      <c r="T963" s="156"/>
      <c r="U963" s="156"/>
      <c r="V963" s="156"/>
      <c r="W963" s="156"/>
      <c r="X963" s="156"/>
      <c r="Y963" s="156"/>
      <c r="Z963" s="157"/>
      <c r="AA963" s="157"/>
      <c r="AB963" s="156"/>
      <c r="AC963" s="156"/>
      <c r="AD963" s="156"/>
      <c r="AE963" s="156"/>
      <c r="AF963" s="156"/>
      <c r="AG963" s="156"/>
      <c r="AH963" s="156"/>
      <c r="AI963" s="156"/>
      <c r="AJ963" s="156"/>
      <c r="AK963" s="156"/>
      <c r="AL963" s="156"/>
      <c r="AM963" s="158"/>
      <c r="AN963" s="156"/>
      <c r="AO963" s="156"/>
      <c r="AP963" s="156"/>
      <c r="AQ963" s="156"/>
      <c r="AR963" s="156"/>
      <c r="AS963" s="156"/>
      <c r="AT963" s="156"/>
      <c r="AU963" s="156"/>
      <c r="AV963" s="156"/>
      <c r="AW963" s="156"/>
      <c r="AX963" s="156"/>
      <c r="AY963" s="156"/>
      <c r="AZ963" s="156"/>
      <c r="BA963" s="153"/>
      <c r="BD963" s="153"/>
      <c r="BE963" s="147"/>
      <c r="BI963" s="153"/>
      <c r="BO963" s="153"/>
      <c r="BW963" s="153"/>
      <c r="CD963" s="146"/>
      <c r="CF963" s="147"/>
      <c r="CI963" s="146"/>
      <c r="CJ963" s="153"/>
      <c r="CV963" s="154"/>
      <c r="CX963" s="154"/>
      <c r="CZ963" s="154"/>
      <c r="DB963" s="154"/>
      <c r="DD963" s="154"/>
      <c r="DH963" s="474"/>
      <c r="DI963" s="459"/>
      <c r="DJ963" s="459"/>
      <c r="DK963" s="459"/>
      <c r="DL963" s="459"/>
      <c r="DM963" s="459"/>
      <c r="DN963" s="459"/>
      <c r="DO963" s="459"/>
      <c r="DP963" s="459"/>
      <c r="DQ963" s="459"/>
      <c r="DR963" s="459"/>
      <c r="DS963" s="459"/>
      <c r="DT963" s="459"/>
      <c r="DU963" s="459"/>
      <c r="DV963" s="468"/>
      <c r="DW963" s="468"/>
      <c r="DX963" s="459"/>
      <c r="DY963" s="459"/>
    </row>
    <row r="964" spans="1:129" s="128" customFormat="1" ht="54.95" customHeight="1" x14ac:dyDescent="0.25">
      <c r="A964" s="377"/>
      <c r="B964" s="175"/>
      <c r="C964" s="393"/>
      <c r="D964" s="168"/>
      <c r="E964" s="168"/>
      <c r="F964" s="168"/>
      <c r="G964" s="168"/>
      <c r="H964" s="168"/>
      <c r="I964" s="168"/>
      <c r="J964" s="168"/>
      <c r="K964" s="168"/>
      <c r="L964" s="168"/>
      <c r="M964" s="168"/>
      <c r="N964" s="168"/>
      <c r="O964" s="433"/>
      <c r="P964" s="122"/>
      <c r="Q964" s="156"/>
      <c r="R964" s="156"/>
      <c r="S964" s="156"/>
      <c r="T964" s="156"/>
      <c r="U964" s="156"/>
      <c r="V964" s="156"/>
      <c r="W964" s="156"/>
      <c r="X964" s="156"/>
      <c r="Y964" s="156"/>
      <c r="Z964" s="157"/>
      <c r="AA964" s="157"/>
      <c r="AB964" s="156"/>
      <c r="AC964" s="156"/>
      <c r="AD964" s="156"/>
      <c r="AE964" s="156"/>
      <c r="AF964" s="156"/>
      <c r="AG964" s="156"/>
      <c r="AH964" s="156"/>
      <c r="AI964" s="156"/>
      <c r="AJ964" s="156"/>
      <c r="AK964" s="156"/>
      <c r="AL964" s="156"/>
      <c r="AM964" s="158"/>
      <c r="AN964" s="156"/>
      <c r="AO964" s="156"/>
      <c r="AP964" s="156"/>
      <c r="AQ964" s="156"/>
      <c r="AR964" s="156"/>
      <c r="AS964" s="156"/>
      <c r="AT964" s="156"/>
      <c r="AU964" s="156"/>
      <c r="AV964" s="156"/>
      <c r="AW964" s="156"/>
      <c r="AX964" s="156"/>
      <c r="AY964" s="156"/>
      <c r="AZ964" s="156"/>
      <c r="BA964" s="153"/>
      <c r="BD964" s="153"/>
      <c r="BE964" s="147"/>
      <c r="BI964" s="153"/>
      <c r="BO964" s="153"/>
      <c r="BW964" s="153"/>
      <c r="CD964" s="146"/>
      <c r="CF964" s="147"/>
      <c r="CI964" s="146"/>
      <c r="CJ964" s="153"/>
      <c r="CV964" s="154"/>
      <c r="CX964" s="154"/>
      <c r="CZ964" s="154"/>
      <c r="DB964" s="154"/>
      <c r="DD964" s="154"/>
      <c r="DH964" s="474"/>
      <c r="DI964" s="459"/>
      <c r="DJ964" s="459"/>
      <c r="DK964" s="459"/>
      <c r="DL964" s="459"/>
      <c r="DM964" s="459"/>
      <c r="DN964" s="459"/>
      <c r="DO964" s="459"/>
      <c r="DP964" s="459"/>
      <c r="DQ964" s="459"/>
      <c r="DR964" s="459"/>
      <c r="DS964" s="459"/>
      <c r="DT964" s="459"/>
      <c r="DU964" s="459"/>
      <c r="DV964" s="468"/>
      <c r="DW964" s="468"/>
      <c r="DX964" s="459"/>
      <c r="DY964" s="459"/>
    </row>
    <row r="965" spans="1:129" s="128" customFormat="1" ht="54.95" customHeight="1" x14ac:dyDescent="0.25">
      <c r="A965" s="377"/>
      <c r="B965" s="175"/>
      <c r="C965" s="393"/>
      <c r="D965" s="168"/>
      <c r="E965" s="168"/>
      <c r="F965" s="168"/>
      <c r="G965" s="168"/>
      <c r="H965" s="168"/>
      <c r="I965" s="168"/>
      <c r="J965" s="168"/>
      <c r="K965" s="168"/>
      <c r="L965" s="168"/>
      <c r="M965" s="168"/>
      <c r="N965" s="168"/>
      <c r="O965" s="433"/>
      <c r="P965" s="122"/>
      <c r="Q965" s="156"/>
      <c r="R965" s="156"/>
      <c r="S965" s="156"/>
      <c r="T965" s="156"/>
      <c r="U965" s="156"/>
      <c r="V965" s="156"/>
      <c r="W965" s="156"/>
      <c r="X965" s="156"/>
      <c r="Y965" s="156"/>
      <c r="Z965" s="157"/>
      <c r="AA965" s="157"/>
      <c r="AB965" s="156"/>
      <c r="AC965" s="156"/>
      <c r="AD965" s="156"/>
      <c r="AE965" s="156"/>
      <c r="AF965" s="156"/>
      <c r="AG965" s="156"/>
      <c r="AH965" s="156"/>
      <c r="AI965" s="156"/>
      <c r="AJ965" s="156"/>
      <c r="AK965" s="156"/>
      <c r="AL965" s="156"/>
      <c r="AM965" s="158"/>
      <c r="AN965" s="156"/>
      <c r="AO965" s="156"/>
      <c r="AP965" s="156"/>
      <c r="AQ965" s="156"/>
      <c r="AR965" s="156"/>
      <c r="AS965" s="156"/>
      <c r="AT965" s="156"/>
      <c r="AU965" s="156"/>
      <c r="AV965" s="156"/>
      <c r="AW965" s="156"/>
      <c r="AX965" s="156"/>
      <c r="AY965" s="156"/>
      <c r="AZ965" s="156"/>
      <c r="BA965" s="153"/>
      <c r="BD965" s="153"/>
      <c r="BE965" s="147"/>
      <c r="BI965" s="153"/>
      <c r="BO965" s="153"/>
      <c r="BW965" s="153"/>
      <c r="CD965" s="146"/>
      <c r="CF965" s="147"/>
      <c r="CI965" s="146"/>
      <c r="CJ965" s="153"/>
      <c r="CV965" s="154"/>
      <c r="CX965" s="154"/>
      <c r="CZ965" s="154"/>
      <c r="DB965" s="154"/>
      <c r="DD965" s="154"/>
      <c r="DH965" s="474"/>
      <c r="DI965" s="459"/>
      <c r="DJ965" s="459"/>
      <c r="DK965" s="459"/>
      <c r="DL965" s="459"/>
      <c r="DM965" s="459"/>
      <c r="DN965" s="459"/>
      <c r="DO965" s="459"/>
      <c r="DP965" s="459"/>
      <c r="DQ965" s="459"/>
      <c r="DR965" s="459"/>
      <c r="DS965" s="459"/>
      <c r="DT965" s="459"/>
      <c r="DU965" s="459"/>
      <c r="DV965" s="468"/>
      <c r="DW965" s="468"/>
      <c r="DX965" s="459"/>
      <c r="DY965" s="459"/>
    </row>
    <row r="966" spans="1:129" s="128" customFormat="1" ht="54.95" customHeight="1" x14ac:dyDescent="0.25">
      <c r="A966" s="377"/>
      <c r="B966" s="175"/>
      <c r="C966" s="393"/>
      <c r="D966" s="168"/>
      <c r="E966" s="168"/>
      <c r="F966" s="168"/>
      <c r="G966" s="168"/>
      <c r="H966" s="168"/>
      <c r="I966" s="168"/>
      <c r="J966" s="168"/>
      <c r="K966" s="168"/>
      <c r="L966" s="168"/>
      <c r="M966" s="168"/>
      <c r="N966" s="168"/>
      <c r="O966" s="433"/>
      <c r="P966" s="122"/>
      <c r="Q966" s="156"/>
      <c r="R966" s="156"/>
      <c r="S966" s="156"/>
      <c r="T966" s="156"/>
      <c r="U966" s="156"/>
      <c r="V966" s="156"/>
      <c r="W966" s="156"/>
      <c r="X966" s="156"/>
      <c r="Y966" s="156"/>
      <c r="Z966" s="157"/>
      <c r="AA966" s="157"/>
      <c r="AB966" s="156"/>
      <c r="AC966" s="156"/>
      <c r="AD966" s="156"/>
      <c r="AE966" s="156"/>
      <c r="AF966" s="156"/>
      <c r="AG966" s="156"/>
      <c r="AH966" s="156"/>
      <c r="AI966" s="156"/>
      <c r="AJ966" s="156"/>
      <c r="AK966" s="156"/>
      <c r="AL966" s="156"/>
      <c r="AM966" s="158"/>
      <c r="AN966" s="156"/>
      <c r="AO966" s="156"/>
      <c r="AP966" s="156"/>
      <c r="AQ966" s="156"/>
      <c r="AR966" s="156"/>
      <c r="AS966" s="156"/>
      <c r="AT966" s="156"/>
      <c r="AU966" s="156"/>
      <c r="AV966" s="156"/>
      <c r="AW966" s="156"/>
      <c r="AX966" s="156"/>
      <c r="AY966" s="156"/>
      <c r="AZ966" s="156"/>
      <c r="BA966" s="153"/>
      <c r="BD966" s="153"/>
      <c r="BE966" s="147"/>
      <c r="BI966" s="153"/>
      <c r="BO966" s="153"/>
      <c r="BW966" s="153"/>
      <c r="CD966" s="146"/>
      <c r="CF966" s="147"/>
      <c r="CI966" s="146"/>
      <c r="CJ966" s="153"/>
      <c r="CV966" s="154"/>
      <c r="CX966" s="154"/>
      <c r="CZ966" s="154"/>
      <c r="DB966" s="154"/>
      <c r="DD966" s="154"/>
      <c r="DH966" s="474"/>
      <c r="DI966" s="459"/>
      <c r="DJ966" s="459"/>
      <c r="DK966" s="459"/>
      <c r="DL966" s="459"/>
      <c r="DM966" s="459"/>
      <c r="DN966" s="459"/>
      <c r="DO966" s="459"/>
      <c r="DP966" s="459"/>
      <c r="DQ966" s="459"/>
      <c r="DR966" s="459"/>
      <c r="DS966" s="459"/>
      <c r="DT966" s="459"/>
      <c r="DU966" s="459"/>
      <c r="DV966" s="468"/>
      <c r="DW966" s="468"/>
      <c r="DX966" s="459"/>
      <c r="DY966" s="459"/>
    </row>
    <row r="967" spans="1:129" s="128" customFormat="1" ht="54.95" customHeight="1" x14ac:dyDescent="0.25">
      <c r="A967" s="377"/>
      <c r="B967" s="175"/>
      <c r="C967" s="393"/>
      <c r="D967" s="168"/>
      <c r="E967" s="168"/>
      <c r="F967" s="168"/>
      <c r="G967" s="168"/>
      <c r="H967" s="168"/>
      <c r="I967" s="168"/>
      <c r="J967" s="168"/>
      <c r="K967" s="168"/>
      <c r="L967" s="168"/>
      <c r="M967" s="168"/>
      <c r="N967" s="168"/>
      <c r="O967" s="433"/>
      <c r="P967" s="122"/>
      <c r="Q967" s="156"/>
      <c r="R967" s="156"/>
      <c r="S967" s="156"/>
      <c r="T967" s="156"/>
      <c r="U967" s="156"/>
      <c r="V967" s="156"/>
      <c r="W967" s="156"/>
      <c r="X967" s="156"/>
      <c r="Y967" s="156"/>
      <c r="Z967" s="157"/>
      <c r="AA967" s="157"/>
      <c r="AB967" s="156"/>
      <c r="AC967" s="156"/>
      <c r="AD967" s="156"/>
      <c r="AE967" s="156"/>
      <c r="AF967" s="156"/>
      <c r="AG967" s="156"/>
      <c r="AH967" s="156"/>
      <c r="AI967" s="156"/>
      <c r="AJ967" s="156"/>
      <c r="AK967" s="156"/>
      <c r="AL967" s="156"/>
      <c r="AM967" s="158"/>
      <c r="AN967" s="156"/>
      <c r="AO967" s="156"/>
      <c r="AP967" s="156"/>
      <c r="AQ967" s="156"/>
      <c r="AR967" s="156"/>
      <c r="AS967" s="156"/>
      <c r="AT967" s="156"/>
      <c r="AU967" s="156"/>
      <c r="AV967" s="156"/>
      <c r="AW967" s="156"/>
      <c r="AX967" s="156"/>
      <c r="AY967" s="156"/>
      <c r="AZ967" s="156"/>
      <c r="BA967" s="153"/>
      <c r="BD967" s="153"/>
      <c r="BE967" s="147"/>
      <c r="BI967" s="153"/>
      <c r="BO967" s="153"/>
      <c r="BW967" s="153"/>
      <c r="CD967" s="146"/>
      <c r="CF967" s="147"/>
      <c r="CI967" s="146"/>
      <c r="CJ967" s="153"/>
      <c r="CV967" s="154"/>
      <c r="CX967" s="154"/>
      <c r="CZ967" s="154"/>
      <c r="DB967" s="154"/>
      <c r="DD967" s="154"/>
      <c r="DH967" s="474"/>
      <c r="DI967" s="459"/>
      <c r="DJ967" s="459"/>
      <c r="DK967" s="459"/>
      <c r="DL967" s="459"/>
      <c r="DM967" s="459"/>
      <c r="DN967" s="459"/>
      <c r="DO967" s="459"/>
      <c r="DP967" s="459"/>
      <c r="DQ967" s="459"/>
      <c r="DR967" s="459"/>
      <c r="DS967" s="459"/>
      <c r="DT967" s="459"/>
      <c r="DU967" s="459"/>
      <c r="DV967" s="468"/>
      <c r="DW967" s="468"/>
      <c r="DX967" s="459"/>
      <c r="DY967" s="459"/>
    </row>
    <row r="968" spans="1:129" s="128" customFormat="1" ht="54.95" customHeight="1" x14ac:dyDescent="0.25">
      <c r="A968" s="377"/>
      <c r="B968" s="175"/>
      <c r="C968" s="393"/>
      <c r="D968" s="168"/>
      <c r="E968" s="168"/>
      <c r="F968" s="168"/>
      <c r="G968" s="168"/>
      <c r="H968" s="168"/>
      <c r="I968" s="168"/>
      <c r="J968" s="168"/>
      <c r="K968" s="168"/>
      <c r="L968" s="168"/>
      <c r="M968" s="168"/>
      <c r="N968" s="168"/>
      <c r="O968" s="433"/>
      <c r="P968" s="122"/>
      <c r="Q968" s="156"/>
      <c r="R968" s="156"/>
      <c r="S968" s="156"/>
      <c r="T968" s="156"/>
      <c r="U968" s="156"/>
      <c r="V968" s="156"/>
      <c r="W968" s="156"/>
      <c r="X968" s="156"/>
      <c r="Y968" s="156"/>
      <c r="Z968" s="157"/>
      <c r="AA968" s="157"/>
      <c r="AB968" s="156"/>
      <c r="AC968" s="156"/>
      <c r="AD968" s="156"/>
      <c r="AE968" s="156"/>
      <c r="AF968" s="156"/>
      <c r="AG968" s="156"/>
      <c r="AH968" s="156"/>
      <c r="AI968" s="156"/>
      <c r="AJ968" s="156"/>
      <c r="AK968" s="156"/>
      <c r="AL968" s="156"/>
      <c r="AM968" s="158"/>
      <c r="AN968" s="156"/>
      <c r="AO968" s="156"/>
      <c r="AP968" s="156"/>
      <c r="AQ968" s="156"/>
      <c r="AR968" s="156"/>
      <c r="AS968" s="156"/>
      <c r="AT968" s="156"/>
      <c r="AU968" s="156"/>
      <c r="AV968" s="156"/>
      <c r="AW968" s="156"/>
      <c r="AX968" s="156"/>
      <c r="AY968" s="156"/>
      <c r="AZ968" s="156"/>
      <c r="BA968" s="153"/>
      <c r="BD968" s="153"/>
      <c r="BE968" s="147"/>
      <c r="BI968" s="153"/>
      <c r="BO968" s="153"/>
      <c r="BW968" s="153"/>
      <c r="CD968" s="146"/>
      <c r="CF968" s="147"/>
      <c r="CI968" s="146"/>
      <c r="CJ968" s="153"/>
      <c r="CV968" s="154"/>
      <c r="CX968" s="154"/>
      <c r="CZ968" s="154"/>
      <c r="DB968" s="154"/>
      <c r="DD968" s="154"/>
      <c r="DH968" s="474"/>
      <c r="DI968" s="459"/>
      <c r="DJ968" s="459"/>
      <c r="DK968" s="459"/>
      <c r="DL968" s="459"/>
      <c r="DM968" s="459"/>
      <c r="DN968" s="459"/>
      <c r="DO968" s="459"/>
      <c r="DP968" s="459"/>
      <c r="DQ968" s="459"/>
      <c r="DR968" s="459"/>
      <c r="DS968" s="459"/>
      <c r="DT968" s="459"/>
      <c r="DU968" s="459"/>
      <c r="DV968" s="468"/>
      <c r="DW968" s="468"/>
      <c r="DX968" s="459"/>
      <c r="DY968" s="459"/>
    </row>
    <row r="969" spans="1:129" s="128" customFormat="1" ht="54.95" customHeight="1" x14ac:dyDescent="0.25">
      <c r="A969" s="377"/>
      <c r="B969" s="175"/>
      <c r="C969" s="393"/>
      <c r="D969" s="168"/>
      <c r="E969" s="168"/>
      <c r="F969" s="168"/>
      <c r="G969" s="168"/>
      <c r="H969" s="168"/>
      <c r="I969" s="168"/>
      <c r="J969" s="168"/>
      <c r="K969" s="168"/>
      <c r="L969" s="168"/>
      <c r="M969" s="168"/>
      <c r="N969" s="168"/>
      <c r="O969" s="433"/>
      <c r="P969" s="122"/>
      <c r="Q969" s="156"/>
      <c r="R969" s="156"/>
      <c r="S969" s="156"/>
      <c r="T969" s="156"/>
      <c r="U969" s="156"/>
      <c r="V969" s="156"/>
      <c r="W969" s="156"/>
      <c r="X969" s="156"/>
      <c r="Y969" s="156"/>
      <c r="Z969" s="157"/>
      <c r="AA969" s="157"/>
      <c r="AB969" s="156"/>
      <c r="AC969" s="156"/>
      <c r="AD969" s="156"/>
      <c r="AE969" s="156"/>
      <c r="AF969" s="156"/>
      <c r="AG969" s="156"/>
      <c r="AH969" s="156"/>
      <c r="AI969" s="156"/>
      <c r="AJ969" s="156"/>
      <c r="AK969" s="156"/>
      <c r="AL969" s="156"/>
      <c r="AM969" s="158"/>
      <c r="AN969" s="156"/>
      <c r="AO969" s="156"/>
      <c r="AP969" s="156"/>
      <c r="AQ969" s="156"/>
      <c r="AR969" s="156"/>
      <c r="AS969" s="156"/>
      <c r="AT969" s="156"/>
      <c r="AU969" s="156"/>
      <c r="AV969" s="156"/>
      <c r="AW969" s="156"/>
      <c r="AX969" s="156"/>
      <c r="AY969" s="156"/>
      <c r="AZ969" s="156"/>
      <c r="BA969" s="153"/>
      <c r="BD969" s="153"/>
      <c r="BE969" s="147"/>
      <c r="BI969" s="153"/>
      <c r="BO969" s="153"/>
      <c r="BW969" s="153"/>
      <c r="CD969" s="146"/>
      <c r="CF969" s="147"/>
      <c r="CI969" s="146"/>
      <c r="CJ969" s="153"/>
      <c r="CV969" s="154"/>
      <c r="CX969" s="154"/>
      <c r="CZ969" s="154"/>
      <c r="DB969" s="154"/>
      <c r="DD969" s="154"/>
      <c r="DH969" s="474"/>
      <c r="DI969" s="459"/>
      <c r="DJ969" s="459"/>
      <c r="DK969" s="459"/>
      <c r="DL969" s="459"/>
      <c r="DM969" s="459"/>
      <c r="DN969" s="459"/>
      <c r="DO969" s="459"/>
      <c r="DP969" s="459"/>
      <c r="DQ969" s="459"/>
      <c r="DR969" s="459"/>
      <c r="DS969" s="459"/>
      <c r="DT969" s="459"/>
      <c r="DU969" s="459"/>
      <c r="DV969" s="468"/>
      <c r="DW969" s="468"/>
      <c r="DX969" s="459"/>
      <c r="DY969" s="459"/>
    </row>
    <row r="970" spans="1:129" s="128" customFormat="1" ht="54.95" customHeight="1" x14ac:dyDescent="0.25">
      <c r="A970" s="377"/>
      <c r="B970" s="175"/>
      <c r="C970" s="393"/>
      <c r="D970" s="168"/>
      <c r="E970" s="168"/>
      <c r="F970" s="168"/>
      <c r="G970" s="168"/>
      <c r="H970" s="168"/>
      <c r="I970" s="168"/>
      <c r="J970" s="168"/>
      <c r="K970" s="168"/>
      <c r="L970" s="168"/>
      <c r="M970" s="168"/>
      <c r="N970" s="168"/>
      <c r="O970" s="433"/>
      <c r="P970" s="122"/>
      <c r="Q970" s="156"/>
      <c r="R970" s="156"/>
      <c r="S970" s="156"/>
      <c r="T970" s="156"/>
      <c r="U970" s="156"/>
      <c r="V970" s="156"/>
      <c r="W970" s="156"/>
      <c r="X970" s="156"/>
      <c r="Y970" s="156"/>
      <c r="Z970" s="157"/>
      <c r="AA970" s="157"/>
      <c r="AB970" s="156"/>
      <c r="AC970" s="156"/>
      <c r="AD970" s="156"/>
      <c r="AE970" s="156"/>
      <c r="AF970" s="156"/>
      <c r="AG970" s="156"/>
      <c r="AH970" s="156"/>
      <c r="AI970" s="156"/>
      <c r="AJ970" s="156"/>
      <c r="AK970" s="156"/>
      <c r="AL970" s="156"/>
      <c r="AM970" s="158"/>
      <c r="AN970" s="156"/>
      <c r="AO970" s="156"/>
      <c r="AP970" s="156"/>
      <c r="AQ970" s="156"/>
      <c r="AR970" s="156"/>
      <c r="AS970" s="156"/>
      <c r="AT970" s="156"/>
      <c r="AU970" s="156"/>
      <c r="AV970" s="156"/>
      <c r="AW970" s="156"/>
      <c r="AX970" s="156"/>
      <c r="AY970" s="156"/>
      <c r="AZ970" s="156"/>
      <c r="BA970" s="153"/>
      <c r="BD970" s="153"/>
      <c r="BE970" s="147"/>
      <c r="BI970" s="153"/>
      <c r="BO970" s="153"/>
      <c r="BW970" s="153"/>
      <c r="CD970" s="146"/>
      <c r="CF970" s="147"/>
      <c r="CI970" s="146"/>
      <c r="CJ970" s="153"/>
      <c r="CV970" s="154"/>
      <c r="CX970" s="154"/>
      <c r="CZ970" s="154"/>
      <c r="DB970" s="154"/>
      <c r="DD970" s="154"/>
      <c r="DH970" s="474"/>
      <c r="DI970" s="459"/>
      <c r="DJ970" s="459"/>
      <c r="DK970" s="459"/>
      <c r="DL970" s="459"/>
      <c r="DM970" s="459"/>
      <c r="DN970" s="459"/>
      <c r="DO970" s="459"/>
      <c r="DP970" s="459"/>
      <c r="DQ970" s="459"/>
      <c r="DR970" s="459"/>
      <c r="DS970" s="459"/>
      <c r="DT970" s="459"/>
      <c r="DU970" s="459"/>
      <c r="DV970" s="468"/>
      <c r="DW970" s="468"/>
      <c r="DX970" s="459"/>
      <c r="DY970" s="459"/>
    </row>
    <row r="971" spans="1:129" s="128" customFormat="1" ht="54.95" customHeight="1" x14ac:dyDescent="0.25">
      <c r="A971" s="377"/>
      <c r="B971" s="175"/>
      <c r="C971" s="393"/>
      <c r="D971" s="168"/>
      <c r="E971" s="168"/>
      <c r="F971" s="168"/>
      <c r="G971" s="168"/>
      <c r="H971" s="168"/>
      <c r="I971" s="168"/>
      <c r="J971" s="168"/>
      <c r="K971" s="168"/>
      <c r="L971" s="168"/>
      <c r="M971" s="168"/>
      <c r="N971" s="168"/>
      <c r="O971" s="433"/>
      <c r="P971" s="122"/>
      <c r="Q971" s="156"/>
      <c r="R971" s="156"/>
      <c r="S971" s="156"/>
      <c r="T971" s="156"/>
      <c r="U971" s="156"/>
      <c r="V971" s="156"/>
      <c r="W971" s="156"/>
      <c r="X971" s="156"/>
      <c r="Y971" s="156"/>
      <c r="Z971" s="157"/>
      <c r="AA971" s="157"/>
      <c r="AB971" s="156"/>
      <c r="AC971" s="156"/>
      <c r="AD971" s="156"/>
      <c r="AE971" s="156"/>
      <c r="AF971" s="156"/>
      <c r="AG971" s="156"/>
      <c r="AH971" s="156"/>
      <c r="AI971" s="156"/>
      <c r="AJ971" s="156"/>
      <c r="AK971" s="156"/>
      <c r="AL971" s="156"/>
      <c r="AM971" s="158"/>
      <c r="AN971" s="156"/>
      <c r="AO971" s="156"/>
      <c r="AP971" s="156"/>
      <c r="AQ971" s="156"/>
      <c r="AR971" s="156"/>
      <c r="AS971" s="156"/>
      <c r="AT971" s="156"/>
      <c r="AU971" s="156"/>
      <c r="AV971" s="156"/>
      <c r="AW971" s="156"/>
      <c r="AX971" s="156"/>
      <c r="AY971" s="156"/>
      <c r="AZ971" s="156"/>
      <c r="BA971" s="153"/>
      <c r="BD971" s="153"/>
      <c r="BE971" s="147"/>
      <c r="BI971" s="153"/>
      <c r="BO971" s="153"/>
      <c r="BW971" s="153"/>
      <c r="CD971" s="146"/>
      <c r="CF971" s="147"/>
      <c r="CI971" s="146"/>
      <c r="CJ971" s="153"/>
      <c r="CV971" s="154"/>
      <c r="CX971" s="154"/>
      <c r="CZ971" s="154"/>
      <c r="DB971" s="154"/>
      <c r="DD971" s="154"/>
      <c r="DH971" s="474"/>
      <c r="DI971" s="459"/>
      <c r="DJ971" s="459"/>
      <c r="DK971" s="459"/>
      <c r="DL971" s="459"/>
      <c r="DM971" s="459"/>
      <c r="DN971" s="459"/>
      <c r="DO971" s="459"/>
      <c r="DP971" s="459"/>
      <c r="DQ971" s="459"/>
      <c r="DR971" s="459"/>
      <c r="DS971" s="459"/>
      <c r="DT971" s="459"/>
      <c r="DU971" s="459"/>
      <c r="DV971" s="468"/>
      <c r="DW971" s="468"/>
      <c r="DX971" s="459"/>
      <c r="DY971" s="459"/>
    </row>
    <row r="972" spans="1:129" s="128" customFormat="1" ht="54.95" customHeight="1" x14ac:dyDescent="0.25">
      <c r="A972" s="377"/>
      <c r="B972" s="175"/>
      <c r="C972" s="393"/>
      <c r="D972" s="168"/>
      <c r="E972" s="168"/>
      <c r="F972" s="168"/>
      <c r="G972" s="168"/>
      <c r="H972" s="168"/>
      <c r="I972" s="168"/>
      <c r="J972" s="168"/>
      <c r="K972" s="168"/>
      <c r="L972" s="168"/>
      <c r="M972" s="168"/>
      <c r="N972" s="168"/>
      <c r="O972" s="433"/>
      <c r="P972" s="122"/>
      <c r="Q972" s="156"/>
      <c r="R972" s="156"/>
      <c r="S972" s="156"/>
      <c r="T972" s="156"/>
      <c r="U972" s="156"/>
      <c r="V972" s="156"/>
      <c r="W972" s="156"/>
      <c r="X972" s="156"/>
      <c r="Y972" s="156"/>
      <c r="Z972" s="157"/>
      <c r="AA972" s="157"/>
      <c r="AB972" s="156"/>
      <c r="AC972" s="156"/>
      <c r="AD972" s="156"/>
      <c r="AE972" s="156"/>
      <c r="AF972" s="156"/>
      <c r="AG972" s="156"/>
      <c r="AH972" s="156"/>
      <c r="AI972" s="156"/>
      <c r="AJ972" s="156"/>
      <c r="AK972" s="156"/>
      <c r="AL972" s="156"/>
      <c r="AM972" s="158"/>
      <c r="AN972" s="156"/>
      <c r="AO972" s="156"/>
      <c r="AP972" s="156"/>
      <c r="AQ972" s="156"/>
      <c r="AR972" s="156"/>
      <c r="AS972" s="156"/>
      <c r="AT972" s="156"/>
      <c r="AU972" s="156"/>
      <c r="AV972" s="156"/>
      <c r="AW972" s="156"/>
      <c r="AX972" s="156"/>
      <c r="AY972" s="156"/>
      <c r="AZ972" s="156"/>
      <c r="BA972" s="153"/>
      <c r="BD972" s="153"/>
      <c r="BE972" s="147"/>
      <c r="BI972" s="153"/>
      <c r="BO972" s="153"/>
      <c r="BW972" s="153"/>
      <c r="CD972" s="146"/>
      <c r="CF972" s="147"/>
      <c r="CI972" s="146"/>
      <c r="CJ972" s="153"/>
      <c r="CV972" s="154"/>
      <c r="CX972" s="154"/>
      <c r="CZ972" s="154"/>
      <c r="DB972" s="154"/>
      <c r="DD972" s="154"/>
      <c r="DH972" s="474"/>
      <c r="DI972" s="459"/>
      <c r="DJ972" s="459"/>
      <c r="DK972" s="459"/>
      <c r="DL972" s="459"/>
      <c r="DM972" s="459"/>
      <c r="DN972" s="459"/>
      <c r="DO972" s="459"/>
      <c r="DP972" s="459"/>
      <c r="DQ972" s="459"/>
      <c r="DR972" s="459"/>
      <c r="DS972" s="459"/>
      <c r="DT972" s="459"/>
      <c r="DU972" s="459"/>
      <c r="DV972" s="468"/>
      <c r="DW972" s="468"/>
      <c r="DX972" s="459"/>
      <c r="DY972" s="459"/>
    </row>
    <row r="973" spans="1:129" s="128" customFormat="1" ht="54.95" customHeight="1" x14ac:dyDescent="0.25">
      <c r="A973" s="377"/>
      <c r="B973" s="175"/>
      <c r="C973" s="393"/>
      <c r="D973" s="168"/>
      <c r="E973" s="168"/>
      <c r="F973" s="168"/>
      <c r="G973" s="168"/>
      <c r="H973" s="168"/>
      <c r="I973" s="168"/>
      <c r="J973" s="168"/>
      <c r="K973" s="168"/>
      <c r="L973" s="168"/>
      <c r="M973" s="168"/>
      <c r="N973" s="168"/>
      <c r="O973" s="433"/>
      <c r="P973" s="122"/>
      <c r="Q973" s="156"/>
      <c r="R973" s="156"/>
      <c r="S973" s="156"/>
      <c r="T973" s="156"/>
      <c r="U973" s="156"/>
      <c r="V973" s="156"/>
      <c r="W973" s="156"/>
      <c r="X973" s="156"/>
      <c r="Y973" s="156"/>
      <c r="Z973" s="157"/>
      <c r="AA973" s="157"/>
      <c r="AB973" s="156"/>
      <c r="AC973" s="156"/>
      <c r="AD973" s="156"/>
      <c r="AE973" s="156"/>
      <c r="AF973" s="156"/>
      <c r="AG973" s="156"/>
      <c r="AH973" s="156"/>
      <c r="AI973" s="156"/>
      <c r="AJ973" s="156"/>
      <c r="AK973" s="156"/>
      <c r="AL973" s="156"/>
      <c r="AM973" s="158"/>
      <c r="AN973" s="156"/>
      <c r="AO973" s="156"/>
      <c r="AP973" s="156"/>
      <c r="AQ973" s="156"/>
      <c r="AR973" s="156"/>
      <c r="AS973" s="156"/>
      <c r="AT973" s="156"/>
      <c r="AU973" s="156"/>
      <c r="AV973" s="156"/>
      <c r="AW973" s="156"/>
      <c r="AX973" s="156"/>
      <c r="AY973" s="156"/>
      <c r="AZ973" s="156"/>
      <c r="BA973" s="153"/>
      <c r="BD973" s="153"/>
      <c r="BE973" s="147"/>
      <c r="BI973" s="153"/>
      <c r="BO973" s="153"/>
      <c r="BW973" s="153"/>
      <c r="CD973" s="146"/>
      <c r="CF973" s="147"/>
      <c r="CI973" s="146"/>
      <c r="CJ973" s="153"/>
      <c r="CV973" s="154"/>
      <c r="CX973" s="154"/>
      <c r="CZ973" s="154"/>
      <c r="DB973" s="154"/>
      <c r="DD973" s="154"/>
      <c r="DH973" s="474"/>
      <c r="DI973" s="459"/>
      <c r="DJ973" s="459"/>
      <c r="DK973" s="459"/>
      <c r="DL973" s="459"/>
      <c r="DM973" s="459"/>
      <c r="DN973" s="459"/>
      <c r="DO973" s="459"/>
      <c r="DP973" s="459"/>
      <c r="DQ973" s="459"/>
      <c r="DR973" s="459"/>
      <c r="DS973" s="459"/>
      <c r="DT973" s="459"/>
      <c r="DU973" s="459"/>
      <c r="DV973" s="468"/>
      <c r="DW973" s="468"/>
      <c r="DX973" s="459"/>
      <c r="DY973" s="459"/>
    </row>
    <row r="974" spans="1:129" s="128" customFormat="1" ht="54.95" customHeight="1" x14ac:dyDescent="0.25">
      <c r="A974" s="377"/>
      <c r="B974" s="175"/>
      <c r="C974" s="393"/>
      <c r="D974" s="168"/>
      <c r="E974" s="168"/>
      <c r="F974" s="168"/>
      <c r="G974" s="168"/>
      <c r="H974" s="168"/>
      <c r="I974" s="168"/>
      <c r="J974" s="168"/>
      <c r="K974" s="168"/>
      <c r="L974" s="168"/>
      <c r="M974" s="168"/>
      <c r="N974" s="168"/>
      <c r="O974" s="433"/>
      <c r="P974" s="122"/>
      <c r="Q974" s="156"/>
      <c r="R974" s="156"/>
      <c r="S974" s="156"/>
      <c r="T974" s="156"/>
      <c r="U974" s="156"/>
      <c r="V974" s="156"/>
      <c r="W974" s="156"/>
      <c r="X974" s="156"/>
      <c r="Y974" s="156"/>
      <c r="Z974" s="157"/>
      <c r="AA974" s="157"/>
      <c r="AB974" s="156"/>
      <c r="AC974" s="156"/>
      <c r="AD974" s="156"/>
      <c r="AE974" s="156"/>
      <c r="AF974" s="156"/>
      <c r="AG974" s="156"/>
      <c r="AH974" s="156"/>
      <c r="AI974" s="156"/>
      <c r="AJ974" s="156"/>
      <c r="AK974" s="156"/>
      <c r="AL974" s="156"/>
      <c r="AM974" s="158"/>
      <c r="AN974" s="156"/>
      <c r="AO974" s="156"/>
      <c r="AP974" s="156"/>
      <c r="AQ974" s="156"/>
      <c r="AR974" s="156"/>
      <c r="AS974" s="156"/>
      <c r="AT974" s="156"/>
      <c r="AU974" s="156"/>
      <c r="AV974" s="156"/>
      <c r="AW974" s="156"/>
      <c r="AX974" s="156"/>
      <c r="AY974" s="156"/>
      <c r="AZ974" s="156"/>
      <c r="BA974" s="153"/>
      <c r="BD974" s="153"/>
      <c r="BE974" s="147"/>
      <c r="BI974" s="153"/>
      <c r="BO974" s="153"/>
      <c r="BW974" s="153"/>
      <c r="CD974" s="146"/>
      <c r="CF974" s="147"/>
      <c r="CI974" s="146"/>
      <c r="CJ974" s="153"/>
      <c r="CV974" s="154"/>
      <c r="CX974" s="154"/>
      <c r="CZ974" s="154"/>
      <c r="DB974" s="154"/>
      <c r="DD974" s="154"/>
      <c r="DH974" s="474"/>
      <c r="DI974" s="459"/>
      <c r="DJ974" s="459"/>
      <c r="DK974" s="459"/>
      <c r="DL974" s="459"/>
      <c r="DM974" s="459"/>
      <c r="DN974" s="459"/>
      <c r="DO974" s="459"/>
      <c r="DP974" s="459"/>
      <c r="DQ974" s="459"/>
      <c r="DR974" s="459"/>
      <c r="DS974" s="459"/>
      <c r="DT974" s="459"/>
      <c r="DU974" s="459"/>
      <c r="DV974" s="468"/>
      <c r="DW974" s="468"/>
      <c r="DX974" s="459"/>
      <c r="DY974" s="459"/>
    </row>
    <row r="975" spans="1:129" s="128" customFormat="1" ht="54.95" customHeight="1" x14ac:dyDescent="0.25">
      <c r="A975" s="377"/>
      <c r="B975" s="175"/>
      <c r="C975" s="393"/>
      <c r="D975" s="168"/>
      <c r="E975" s="168"/>
      <c r="F975" s="168"/>
      <c r="G975" s="168"/>
      <c r="H975" s="168"/>
      <c r="I975" s="168"/>
      <c r="J975" s="168"/>
      <c r="K975" s="168"/>
      <c r="L975" s="168"/>
      <c r="M975" s="168"/>
      <c r="N975" s="168"/>
      <c r="O975" s="433"/>
      <c r="P975" s="122"/>
      <c r="Q975" s="156"/>
      <c r="R975" s="156"/>
      <c r="S975" s="156"/>
      <c r="T975" s="156"/>
      <c r="U975" s="156"/>
      <c r="V975" s="156"/>
      <c r="W975" s="156"/>
      <c r="X975" s="156"/>
      <c r="Y975" s="156"/>
      <c r="Z975" s="157"/>
      <c r="AA975" s="157"/>
      <c r="AB975" s="156"/>
      <c r="AC975" s="156"/>
      <c r="AD975" s="156"/>
      <c r="AE975" s="156"/>
      <c r="AF975" s="156"/>
      <c r="AG975" s="156"/>
      <c r="AH975" s="156"/>
      <c r="AI975" s="156"/>
      <c r="AJ975" s="156"/>
      <c r="AK975" s="156"/>
      <c r="AL975" s="156"/>
      <c r="AM975" s="158"/>
      <c r="AN975" s="156"/>
      <c r="AO975" s="156"/>
      <c r="AP975" s="156"/>
      <c r="AQ975" s="156"/>
      <c r="AR975" s="156"/>
      <c r="AS975" s="156"/>
      <c r="AT975" s="156"/>
      <c r="AU975" s="156"/>
      <c r="AV975" s="156"/>
      <c r="AW975" s="156"/>
      <c r="AX975" s="156"/>
      <c r="AY975" s="156"/>
      <c r="AZ975" s="156"/>
      <c r="BA975" s="153"/>
      <c r="BD975" s="153"/>
      <c r="BE975" s="147"/>
      <c r="BI975" s="153"/>
      <c r="BO975" s="153"/>
      <c r="BW975" s="153"/>
      <c r="CD975" s="146"/>
      <c r="CF975" s="147"/>
      <c r="CI975" s="146"/>
      <c r="CJ975" s="153"/>
      <c r="CV975" s="154"/>
      <c r="CX975" s="154"/>
      <c r="CZ975" s="154"/>
      <c r="DB975" s="154"/>
      <c r="DD975" s="154"/>
      <c r="DH975" s="474"/>
      <c r="DI975" s="459"/>
      <c r="DJ975" s="459"/>
      <c r="DK975" s="459"/>
      <c r="DL975" s="459"/>
      <c r="DM975" s="459"/>
      <c r="DN975" s="459"/>
      <c r="DO975" s="459"/>
      <c r="DP975" s="459"/>
      <c r="DQ975" s="459"/>
      <c r="DR975" s="459"/>
      <c r="DS975" s="459"/>
      <c r="DT975" s="459"/>
      <c r="DU975" s="459"/>
      <c r="DV975" s="468"/>
      <c r="DW975" s="468"/>
      <c r="DX975" s="459"/>
      <c r="DY975" s="459"/>
    </row>
    <row r="976" spans="1:129" s="128" customFormat="1" ht="54.95" customHeight="1" x14ac:dyDescent="0.25">
      <c r="A976" s="377"/>
      <c r="B976" s="175"/>
      <c r="C976" s="393"/>
      <c r="D976" s="168"/>
      <c r="E976" s="168"/>
      <c r="F976" s="168"/>
      <c r="G976" s="168"/>
      <c r="H976" s="168"/>
      <c r="I976" s="168"/>
      <c r="J976" s="168"/>
      <c r="K976" s="168"/>
      <c r="L976" s="168"/>
      <c r="M976" s="168"/>
      <c r="N976" s="168"/>
      <c r="O976" s="433"/>
      <c r="P976" s="122"/>
      <c r="Q976" s="156"/>
      <c r="R976" s="156"/>
      <c r="S976" s="156"/>
      <c r="T976" s="156"/>
      <c r="U976" s="156"/>
      <c r="V976" s="156"/>
      <c r="W976" s="156"/>
      <c r="X976" s="156"/>
      <c r="Y976" s="156"/>
      <c r="Z976" s="157"/>
      <c r="AA976" s="157"/>
      <c r="AB976" s="156"/>
      <c r="AC976" s="156"/>
      <c r="AD976" s="156"/>
      <c r="AE976" s="156"/>
      <c r="AF976" s="156"/>
      <c r="AG976" s="156"/>
      <c r="AH976" s="156"/>
      <c r="AI976" s="156"/>
      <c r="AJ976" s="156"/>
      <c r="AK976" s="156"/>
      <c r="AL976" s="156"/>
      <c r="AM976" s="158"/>
      <c r="AN976" s="156"/>
      <c r="AO976" s="156"/>
      <c r="AP976" s="156"/>
      <c r="AQ976" s="156"/>
      <c r="AR976" s="156"/>
      <c r="AS976" s="156"/>
      <c r="AT976" s="156"/>
      <c r="AU976" s="156"/>
      <c r="AV976" s="156"/>
      <c r="AW976" s="156"/>
      <c r="AX976" s="156"/>
      <c r="AY976" s="156"/>
      <c r="AZ976" s="156"/>
      <c r="BA976" s="153"/>
      <c r="BD976" s="153"/>
      <c r="BE976" s="147"/>
      <c r="BI976" s="153"/>
      <c r="BO976" s="153"/>
      <c r="BW976" s="153"/>
      <c r="CD976" s="146"/>
      <c r="CF976" s="147"/>
      <c r="CI976" s="146"/>
      <c r="CJ976" s="153"/>
      <c r="CV976" s="154"/>
      <c r="CX976" s="154"/>
      <c r="CZ976" s="154"/>
      <c r="DB976" s="154"/>
      <c r="DD976" s="154"/>
      <c r="DH976" s="474"/>
      <c r="DI976" s="459"/>
      <c r="DJ976" s="459"/>
      <c r="DK976" s="459"/>
      <c r="DL976" s="459"/>
      <c r="DM976" s="459"/>
      <c r="DN976" s="459"/>
      <c r="DO976" s="459"/>
      <c r="DP976" s="459"/>
      <c r="DQ976" s="459"/>
      <c r="DR976" s="459"/>
      <c r="DS976" s="459"/>
      <c r="DT976" s="459"/>
      <c r="DU976" s="459"/>
      <c r="DV976" s="468"/>
      <c r="DW976" s="468"/>
      <c r="DX976" s="459"/>
      <c r="DY976" s="459"/>
    </row>
    <row r="977" spans="1:129" s="128" customFormat="1" ht="54.95" customHeight="1" x14ac:dyDescent="0.25">
      <c r="A977" s="377"/>
      <c r="B977" s="175"/>
      <c r="C977" s="393"/>
      <c r="D977" s="168"/>
      <c r="E977" s="168"/>
      <c r="F977" s="168"/>
      <c r="G977" s="168"/>
      <c r="H977" s="168"/>
      <c r="I977" s="168"/>
      <c r="J977" s="168"/>
      <c r="K977" s="168"/>
      <c r="L977" s="168"/>
      <c r="M977" s="168"/>
      <c r="N977" s="168"/>
      <c r="O977" s="433"/>
      <c r="P977" s="122"/>
      <c r="Q977" s="156"/>
      <c r="R977" s="156"/>
      <c r="S977" s="156"/>
      <c r="T977" s="156"/>
      <c r="U977" s="156"/>
      <c r="V977" s="156"/>
      <c r="W977" s="156"/>
      <c r="X977" s="156"/>
      <c r="Y977" s="156"/>
      <c r="Z977" s="157"/>
      <c r="AA977" s="157"/>
      <c r="AB977" s="156"/>
      <c r="AC977" s="156"/>
      <c r="AD977" s="156"/>
      <c r="AE977" s="156"/>
      <c r="AF977" s="156"/>
      <c r="AG977" s="156"/>
      <c r="AH977" s="156"/>
      <c r="AI977" s="156"/>
      <c r="AJ977" s="156"/>
      <c r="AK977" s="156"/>
      <c r="AL977" s="156"/>
      <c r="AM977" s="158"/>
      <c r="AN977" s="156"/>
      <c r="AO977" s="156"/>
      <c r="AP977" s="156"/>
      <c r="AQ977" s="156"/>
      <c r="AR977" s="156"/>
      <c r="AS977" s="156"/>
      <c r="AT977" s="156"/>
      <c r="AU977" s="156"/>
      <c r="AV977" s="156"/>
      <c r="AW977" s="156"/>
      <c r="AX977" s="156"/>
      <c r="AY977" s="156"/>
      <c r="AZ977" s="156"/>
      <c r="BA977" s="153"/>
      <c r="BD977" s="153"/>
      <c r="BE977" s="147"/>
      <c r="BI977" s="153"/>
      <c r="BO977" s="153"/>
      <c r="BW977" s="153"/>
      <c r="CD977" s="146"/>
      <c r="CF977" s="147"/>
      <c r="CI977" s="146"/>
      <c r="CJ977" s="153"/>
      <c r="CV977" s="154"/>
      <c r="CX977" s="154"/>
      <c r="CZ977" s="154"/>
      <c r="DB977" s="154"/>
      <c r="DD977" s="154"/>
      <c r="DH977" s="474"/>
      <c r="DI977" s="459"/>
      <c r="DJ977" s="459"/>
      <c r="DK977" s="459"/>
      <c r="DL977" s="459"/>
      <c r="DM977" s="459"/>
      <c r="DN977" s="459"/>
      <c r="DO977" s="459"/>
      <c r="DP977" s="459"/>
      <c r="DQ977" s="459"/>
      <c r="DR977" s="459"/>
      <c r="DS977" s="459"/>
      <c r="DT977" s="459"/>
      <c r="DU977" s="459"/>
      <c r="DV977" s="468"/>
      <c r="DW977" s="468"/>
      <c r="DX977" s="459"/>
      <c r="DY977" s="459"/>
    </row>
    <row r="978" spans="1:129" s="128" customFormat="1" ht="54.95" customHeight="1" x14ac:dyDescent="0.25">
      <c r="A978" s="377"/>
      <c r="B978" s="175"/>
      <c r="C978" s="393"/>
      <c r="D978" s="168"/>
      <c r="E978" s="168"/>
      <c r="F978" s="168"/>
      <c r="G978" s="168"/>
      <c r="H978" s="168"/>
      <c r="I978" s="168"/>
      <c r="J978" s="168"/>
      <c r="K978" s="168"/>
      <c r="L978" s="168"/>
      <c r="M978" s="168"/>
      <c r="N978" s="168"/>
      <c r="O978" s="433"/>
      <c r="P978" s="122"/>
      <c r="Q978" s="156"/>
      <c r="R978" s="156"/>
      <c r="S978" s="156"/>
      <c r="T978" s="156"/>
      <c r="U978" s="156"/>
      <c r="V978" s="156"/>
      <c r="W978" s="156"/>
      <c r="X978" s="156"/>
      <c r="Y978" s="156"/>
      <c r="Z978" s="157"/>
      <c r="AA978" s="157"/>
      <c r="AB978" s="156"/>
      <c r="AC978" s="156"/>
      <c r="AD978" s="156"/>
      <c r="AE978" s="156"/>
      <c r="AF978" s="156"/>
      <c r="AG978" s="156"/>
      <c r="AH978" s="156"/>
      <c r="AI978" s="156"/>
      <c r="AJ978" s="156"/>
      <c r="AK978" s="156"/>
      <c r="AL978" s="156"/>
      <c r="AM978" s="158"/>
      <c r="AN978" s="156"/>
      <c r="AO978" s="156"/>
      <c r="AP978" s="156"/>
      <c r="AQ978" s="156"/>
      <c r="AR978" s="156"/>
      <c r="AS978" s="156"/>
      <c r="AT978" s="156"/>
      <c r="AU978" s="156"/>
      <c r="AV978" s="156"/>
      <c r="AW978" s="156"/>
      <c r="AX978" s="156"/>
      <c r="AY978" s="156"/>
      <c r="AZ978" s="156"/>
      <c r="BA978" s="153"/>
      <c r="BD978" s="153"/>
      <c r="BE978" s="147"/>
      <c r="BI978" s="153"/>
      <c r="BO978" s="153"/>
      <c r="BW978" s="153"/>
      <c r="CD978" s="146"/>
      <c r="CF978" s="147"/>
      <c r="CI978" s="146"/>
      <c r="CJ978" s="153"/>
      <c r="CV978" s="154"/>
      <c r="CX978" s="154"/>
      <c r="CZ978" s="154"/>
      <c r="DB978" s="154"/>
      <c r="DD978" s="154"/>
      <c r="DH978" s="474"/>
      <c r="DI978" s="459"/>
      <c r="DJ978" s="459"/>
      <c r="DK978" s="459"/>
      <c r="DL978" s="459"/>
      <c r="DM978" s="459"/>
      <c r="DN978" s="459"/>
      <c r="DO978" s="459"/>
      <c r="DP978" s="459"/>
      <c r="DQ978" s="459"/>
      <c r="DR978" s="459"/>
      <c r="DS978" s="459"/>
      <c r="DT978" s="459"/>
      <c r="DU978" s="459"/>
      <c r="DV978" s="468"/>
      <c r="DW978" s="468"/>
      <c r="DX978" s="459"/>
      <c r="DY978" s="459"/>
    </row>
    <row r="979" spans="1:129" s="128" customFormat="1" ht="54.95" customHeight="1" x14ac:dyDescent="0.25">
      <c r="A979" s="377"/>
      <c r="B979" s="175"/>
      <c r="C979" s="393"/>
      <c r="D979" s="168"/>
      <c r="E979" s="168"/>
      <c r="F979" s="168"/>
      <c r="G979" s="168"/>
      <c r="H979" s="168"/>
      <c r="I979" s="168"/>
      <c r="J979" s="168"/>
      <c r="K979" s="168"/>
      <c r="L979" s="168"/>
      <c r="M979" s="168"/>
      <c r="N979" s="168"/>
      <c r="O979" s="433"/>
      <c r="P979" s="122"/>
      <c r="Q979" s="156"/>
      <c r="R979" s="156"/>
      <c r="S979" s="156"/>
      <c r="T979" s="156"/>
      <c r="U979" s="156"/>
      <c r="V979" s="156"/>
      <c r="W979" s="156"/>
      <c r="X979" s="156"/>
      <c r="Y979" s="156"/>
      <c r="Z979" s="157"/>
      <c r="AA979" s="157"/>
      <c r="AB979" s="156"/>
      <c r="AC979" s="156"/>
      <c r="AD979" s="156"/>
      <c r="AE979" s="156"/>
      <c r="AF979" s="156"/>
      <c r="AG979" s="156"/>
      <c r="AH979" s="156"/>
      <c r="AI979" s="156"/>
      <c r="AJ979" s="156"/>
      <c r="AK979" s="156"/>
      <c r="AL979" s="156"/>
      <c r="AM979" s="158"/>
      <c r="AN979" s="156"/>
      <c r="AO979" s="156"/>
      <c r="AP979" s="156"/>
      <c r="AQ979" s="156"/>
      <c r="AR979" s="156"/>
      <c r="AS979" s="156"/>
      <c r="AT979" s="156"/>
      <c r="AU979" s="156"/>
      <c r="AV979" s="156"/>
      <c r="AW979" s="156"/>
      <c r="AX979" s="156"/>
      <c r="AY979" s="156"/>
      <c r="AZ979" s="156"/>
      <c r="BA979" s="153"/>
      <c r="BD979" s="153"/>
      <c r="BE979" s="147"/>
      <c r="BI979" s="153"/>
      <c r="BO979" s="153"/>
      <c r="BW979" s="153"/>
      <c r="CD979" s="146"/>
      <c r="CF979" s="147"/>
      <c r="CI979" s="146"/>
      <c r="CJ979" s="153"/>
      <c r="CV979" s="154"/>
      <c r="CX979" s="154"/>
      <c r="CZ979" s="154"/>
      <c r="DB979" s="154"/>
      <c r="DD979" s="154"/>
      <c r="DH979" s="474"/>
      <c r="DI979" s="459"/>
      <c r="DJ979" s="459"/>
      <c r="DK979" s="459"/>
      <c r="DL979" s="459"/>
      <c r="DM979" s="459"/>
      <c r="DN979" s="459"/>
      <c r="DO979" s="459"/>
      <c r="DP979" s="459"/>
      <c r="DQ979" s="459"/>
      <c r="DR979" s="459"/>
      <c r="DS979" s="459"/>
      <c r="DT979" s="459"/>
      <c r="DU979" s="459"/>
      <c r="DV979" s="468"/>
      <c r="DW979" s="468"/>
      <c r="DX979" s="459"/>
      <c r="DY979" s="459"/>
    </row>
    <row r="980" spans="1:129" s="128" customFormat="1" ht="54.95" customHeight="1" x14ac:dyDescent="0.25">
      <c r="A980" s="377"/>
      <c r="B980" s="175"/>
      <c r="C980" s="393"/>
      <c r="D980" s="168"/>
      <c r="E980" s="168"/>
      <c r="F980" s="168"/>
      <c r="G980" s="168"/>
      <c r="H980" s="168"/>
      <c r="I980" s="168"/>
      <c r="J980" s="168"/>
      <c r="K980" s="168"/>
      <c r="L980" s="168"/>
      <c r="M980" s="168"/>
      <c r="N980" s="168"/>
      <c r="O980" s="433"/>
      <c r="P980" s="122"/>
      <c r="Q980" s="156"/>
      <c r="R980" s="156"/>
      <c r="S980" s="156"/>
      <c r="T980" s="156"/>
      <c r="U980" s="156"/>
      <c r="V980" s="156"/>
      <c r="W980" s="156"/>
      <c r="X980" s="156"/>
      <c r="Y980" s="156"/>
      <c r="Z980" s="157"/>
      <c r="AA980" s="157"/>
      <c r="AB980" s="156"/>
      <c r="AC980" s="156"/>
      <c r="AD980" s="156"/>
      <c r="AE980" s="156"/>
      <c r="AF980" s="156"/>
      <c r="AG980" s="156"/>
      <c r="AH980" s="156"/>
      <c r="AI980" s="156"/>
      <c r="AJ980" s="156"/>
      <c r="AK980" s="156"/>
      <c r="AL980" s="156"/>
      <c r="AM980" s="158"/>
      <c r="AN980" s="156"/>
      <c r="AO980" s="156"/>
      <c r="AP980" s="156"/>
      <c r="AQ980" s="156"/>
      <c r="AR980" s="156"/>
      <c r="AS980" s="156"/>
      <c r="AT980" s="156"/>
      <c r="AU980" s="156"/>
      <c r="AV980" s="156"/>
      <c r="AW980" s="156"/>
      <c r="AX980" s="156"/>
      <c r="AY980" s="156"/>
      <c r="AZ980" s="156"/>
      <c r="BA980" s="153"/>
      <c r="BD980" s="153"/>
      <c r="BE980" s="147"/>
      <c r="BI980" s="153"/>
      <c r="BO980" s="153"/>
      <c r="BW980" s="153"/>
      <c r="CD980" s="146"/>
      <c r="CF980" s="147"/>
      <c r="CI980" s="146"/>
      <c r="CJ980" s="153"/>
      <c r="CV980" s="154"/>
      <c r="CX980" s="154"/>
      <c r="CZ980" s="154"/>
      <c r="DB980" s="154"/>
      <c r="DD980" s="154"/>
      <c r="DH980" s="474"/>
      <c r="DI980" s="459"/>
      <c r="DJ980" s="459"/>
      <c r="DK980" s="459"/>
      <c r="DL980" s="459"/>
      <c r="DM980" s="459"/>
      <c r="DN980" s="459"/>
      <c r="DO980" s="459"/>
      <c r="DP980" s="459"/>
      <c r="DQ980" s="459"/>
      <c r="DR980" s="459"/>
      <c r="DS980" s="459"/>
      <c r="DT980" s="459"/>
      <c r="DU980" s="459"/>
      <c r="DV980" s="468"/>
      <c r="DW980" s="468"/>
      <c r="DX980" s="459"/>
      <c r="DY980" s="459"/>
    </row>
    <row r="981" spans="1:129" s="128" customFormat="1" ht="54.95" customHeight="1" x14ac:dyDescent="0.25">
      <c r="A981" s="377"/>
      <c r="B981" s="175"/>
      <c r="C981" s="393"/>
      <c r="D981" s="168"/>
      <c r="E981" s="168"/>
      <c r="F981" s="168"/>
      <c r="G981" s="168"/>
      <c r="H981" s="168"/>
      <c r="I981" s="168"/>
      <c r="J981" s="168"/>
      <c r="K981" s="168"/>
      <c r="L981" s="168"/>
      <c r="M981" s="168"/>
      <c r="N981" s="168"/>
      <c r="O981" s="433"/>
      <c r="P981" s="122"/>
      <c r="Q981" s="156"/>
      <c r="R981" s="156"/>
      <c r="S981" s="156"/>
      <c r="T981" s="156"/>
      <c r="U981" s="156"/>
      <c r="V981" s="156"/>
      <c r="W981" s="156"/>
      <c r="X981" s="156"/>
      <c r="Y981" s="156"/>
      <c r="Z981" s="157"/>
      <c r="AA981" s="157"/>
      <c r="AB981" s="156"/>
      <c r="AC981" s="156"/>
      <c r="AD981" s="156"/>
      <c r="AE981" s="156"/>
      <c r="AF981" s="156"/>
      <c r="AG981" s="156"/>
      <c r="AH981" s="156"/>
      <c r="AI981" s="156"/>
      <c r="AJ981" s="156"/>
      <c r="AK981" s="156"/>
      <c r="AL981" s="156"/>
      <c r="AM981" s="158"/>
      <c r="AN981" s="156"/>
      <c r="AO981" s="156"/>
      <c r="AP981" s="156"/>
      <c r="AQ981" s="156"/>
      <c r="AR981" s="156"/>
      <c r="AS981" s="156"/>
      <c r="AT981" s="156"/>
      <c r="AU981" s="156"/>
      <c r="AV981" s="156"/>
      <c r="AW981" s="156"/>
      <c r="AX981" s="156"/>
      <c r="AY981" s="156"/>
      <c r="AZ981" s="156"/>
      <c r="BA981" s="153"/>
      <c r="BD981" s="153"/>
      <c r="BE981" s="147"/>
      <c r="BI981" s="153"/>
      <c r="BO981" s="153"/>
      <c r="BW981" s="153"/>
      <c r="CD981" s="146"/>
      <c r="CF981" s="147"/>
      <c r="CI981" s="146"/>
      <c r="CJ981" s="153"/>
      <c r="CV981" s="154"/>
      <c r="CX981" s="154"/>
      <c r="CZ981" s="154"/>
      <c r="DB981" s="154"/>
      <c r="DD981" s="154"/>
      <c r="DH981" s="474"/>
      <c r="DI981" s="459"/>
      <c r="DJ981" s="459"/>
      <c r="DK981" s="459"/>
      <c r="DL981" s="459"/>
      <c r="DM981" s="459"/>
      <c r="DN981" s="459"/>
      <c r="DO981" s="459"/>
      <c r="DP981" s="459"/>
      <c r="DQ981" s="459"/>
      <c r="DR981" s="459"/>
      <c r="DS981" s="459"/>
      <c r="DT981" s="459"/>
      <c r="DU981" s="459"/>
      <c r="DV981" s="468"/>
      <c r="DW981" s="468"/>
      <c r="DX981" s="459"/>
      <c r="DY981" s="459"/>
    </row>
    <row r="982" spans="1:129" s="128" customFormat="1" ht="54.95" customHeight="1" x14ac:dyDescent="0.25">
      <c r="A982" s="377"/>
      <c r="B982" s="175"/>
      <c r="C982" s="393"/>
      <c r="D982" s="168"/>
      <c r="E982" s="168"/>
      <c r="F982" s="168"/>
      <c r="G982" s="168"/>
      <c r="H982" s="168"/>
      <c r="I982" s="168"/>
      <c r="J982" s="168"/>
      <c r="K982" s="168"/>
      <c r="L982" s="168"/>
      <c r="M982" s="168"/>
      <c r="N982" s="168"/>
      <c r="O982" s="433"/>
      <c r="P982" s="122"/>
      <c r="Q982" s="156"/>
      <c r="R982" s="156"/>
      <c r="S982" s="156"/>
      <c r="T982" s="156"/>
      <c r="U982" s="156"/>
      <c r="V982" s="156"/>
      <c r="W982" s="156"/>
      <c r="X982" s="156"/>
      <c r="Y982" s="156"/>
      <c r="Z982" s="157"/>
      <c r="AA982" s="157"/>
      <c r="AB982" s="156"/>
      <c r="AC982" s="156"/>
      <c r="AD982" s="156"/>
      <c r="AE982" s="156"/>
      <c r="AF982" s="156"/>
      <c r="AG982" s="156"/>
      <c r="AH982" s="156"/>
      <c r="AI982" s="156"/>
      <c r="AJ982" s="156"/>
      <c r="AK982" s="156"/>
      <c r="AL982" s="156"/>
      <c r="AM982" s="158"/>
      <c r="AN982" s="156"/>
      <c r="AO982" s="156"/>
      <c r="AP982" s="156"/>
      <c r="AQ982" s="156"/>
      <c r="AR982" s="156"/>
      <c r="AS982" s="156"/>
      <c r="AT982" s="156"/>
      <c r="AU982" s="156"/>
      <c r="AV982" s="156"/>
      <c r="AW982" s="156"/>
      <c r="AX982" s="156"/>
      <c r="AY982" s="156"/>
      <c r="AZ982" s="156"/>
      <c r="BA982" s="153"/>
      <c r="BD982" s="153"/>
      <c r="BE982" s="147"/>
      <c r="BI982" s="153"/>
      <c r="BO982" s="153"/>
      <c r="BW982" s="153"/>
      <c r="CD982" s="146"/>
      <c r="CF982" s="147"/>
      <c r="CI982" s="146"/>
      <c r="CJ982" s="153"/>
      <c r="CV982" s="154"/>
      <c r="CX982" s="154"/>
      <c r="CZ982" s="154"/>
      <c r="DB982" s="154"/>
      <c r="DD982" s="154"/>
      <c r="DH982" s="474"/>
      <c r="DI982" s="459"/>
      <c r="DJ982" s="459"/>
      <c r="DK982" s="459"/>
      <c r="DL982" s="459"/>
      <c r="DM982" s="459"/>
      <c r="DN982" s="459"/>
      <c r="DO982" s="459"/>
      <c r="DP982" s="459"/>
      <c r="DQ982" s="459"/>
      <c r="DR982" s="459"/>
      <c r="DS982" s="459"/>
      <c r="DT982" s="459"/>
      <c r="DU982" s="459"/>
      <c r="DV982" s="468"/>
      <c r="DW982" s="468"/>
      <c r="DX982" s="459"/>
      <c r="DY982" s="459"/>
    </row>
    <row r="983" spans="1:129" s="128" customFormat="1" ht="54.95" customHeight="1" x14ac:dyDescent="0.25">
      <c r="A983" s="377"/>
      <c r="B983" s="175"/>
      <c r="C983" s="393"/>
      <c r="D983" s="168"/>
      <c r="E983" s="168"/>
      <c r="F983" s="168"/>
      <c r="G983" s="168"/>
      <c r="H983" s="168"/>
      <c r="I983" s="168"/>
      <c r="J983" s="168"/>
      <c r="K983" s="168"/>
      <c r="L983" s="168"/>
      <c r="M983" s="168"/>
      <c r="N983" s="168"/>
      <c r="O983" s="433"/>
      <c r="P983" s="122"/>
      <c r="Q983" s="156"/>
      <c r="R983" s="156"/>
      <c r="S983" s="156"/>
      <c r="T983" s="156"/>
      <c r="U983" s="156"/>
      <c r="V983" s="156"/>
      <c r="W983" s="156"/>
      <c r="X983" s="156"/>
      <c r="Y983" s="156"/>
      <c r="Z983" s="157"/>
      <c r="AA983" s="157"/>
      <c r="AB983" s="156"/>
      <c r="AC983" s="156"/>
      <c r="AD983" s="156"/>
      <c r="AE983" s="156"/>
      <c r="AF983" s="156"/>
      <c r="AG983" s="156"/>
      <c r="AH983" s="156"/>
      <c r="AI983" s="156"/>
      <c r="AJ983" s="156"/>
      <c r="AK983" s="156"/>
      <c r="AL983" s="156"/>
      <c r="AM983" s="158"/>
      <c r="AN983" s="156"/>
      <c r="AO983" s="156"/>
      <c r="AP983" s="156"/>
      <c r="AQ983" s="156"/>
      <c r="AR983" s="156"/>
      <c r="AS983" s="156"/>
      <c r="AT983" s="156"/>
      <c r="AU983" s="156"/>
      <c r="AV983" s="156"/>
      <c r="AW983" s="156"/>
      <c r="AX983" s="156"/>
      <c r="AY983" s="156"/>
      <c r="AZ983" s="156"/>
      <c r="BA983" s="153"/>
      <c r="BD983" s="153"/>
      <c r="BE983" s="147"/>
      <c r="BI983" s="153"/>
      <c r="BO983" s="153"/>
      <c r="BW983" s="153"/>
      <c r="CD983" s="146"/>
      <c r="CF983" s="147"/>
      <c r="CI983" s="146"/>
      <c r="CJ983" s="153"/>
      <c r="CV983" s="154"/>
      <c r="CX983" s="154"/>
      <c r="CZ983" s="154"/>
      <c r="DB983" s="154"/>
      <c r="DD983" s="154"/>
      <c r="DH983" s="474"/>
      <c r="DI983" s="459"/>
      <c r="DJ983" s="459"/>
      <c r="DK983" s="459"/>
      <c r="DL983" s="459"/>
      <c r="DM983" s="459"/>
      <c r="DN983" s="459"/>
      <c r="DO983" s="459"/>
      <c r="DP983" s="459"/>
      <c r="DQ983" s="459"/>
      <c r="DR983" s="459"/>
      <c r="DS983" s="459"/>
      <c r="DT983" s="459"/>
      <c r="DU983" s="459"/>
      <c r="DV983" s="468"/>
      <c r="DW983" s="468"/>
      <c r="DX983" s="459"/>
      <c r="DY983" s="459"/>
    </row>
    <row r="984" spans="1:129" s="128" customFormat="1" ht="54.95" customHeight="1" x14ac:dyDescent="0.25">
      <c r="A984" s="377"/>
      <c r="B984" s="175"/>
      <c r="C984" s="393"/>
      <c r="D984" s="168"/>
      <c r="E984" s="168"/>
      <c r="F984" s="168"/>
      <c r="G984" s="168"/>
      <c r="H984" s="168"/>
      <c r="I984" s="168"/>
      <c r="J984" s="168"/>
      <c r="K984" s="168"/>
      <c r="L984" s="168"/>
      <c r="M984" s="168"/>
      <c r="N984" s="168"/>
      <c r="O984" s="433"/>
      <c r="P984" s="122"/>
      <c r="Q984" s="156"/>
      <c r="R984" s="156"/>
      <c r="S984" s="156"/>
      <c r="T984" s="156"/>
      <c r="U984" s="156"/>
      <c r="V984" s="156"/>
      <c r="W984" s="156"/>
      <c r="X984" s="156"/>
      <c r="Y984" s="156"/>
      <c r="Z984" s="157"/>
      <c r="AA984" s="157"/>
      <c r="AB984" s="156"/>
      <c r="AC984" s="156"/>
      <c r="AD984" s="156"/>
      <c r="AE984" s="156"/>
      <c r="AF984" s="156"/>
      <c r="AG984" s="156"/>
      <c r="AH984" s="156"/>
      <c r="AI984" s="156"/>
      <c r="AJ984" s="156"/>
      <c r="AK984" s="156"/>
      <c r="AL984" s="156"/>
      <c r="AM984" s="158"/>
      <c r="AN984" s="156"/>
      <c r="AO984" s="156"/>
      <c r="AP984" s="156"/>
      <c r="AQ984" s="156"/>
      <c r="AR984" s="156"/>
      <c r="AS984" s="156"/>
      <c r="AT984" s="156"/>
      <c r="AU984" s="156"/>
      <c r="AV984" s="156"/>
      <c r="AW984" s="156"/>
      <c r="AX984" s="156"/>
      <c r="AY984" s="156"/>
      <c r="AZ984" s="156"/>
      <c r="BA984" s="153"/>
      <c r="BD984" s="153"/>
      <c r="BE984" s="147"/>
      <c r="BI984" s="153"/>
      <c r="BO984" s="153"/>
      <c r="BW984" s="153"/>
      <c r="CD984" s="146"/>
      <c r="CF984" s="147"/>
      <c r="CI984" s="146"/>
      <c r="CJ984" s="153"/>
      <c r="CV984" s="154"/>
      <c r="CX984" s="154"/>
      <c r="CZ984" s="154"/>
      <c r="DB984" s="154"/>
      <c r="DD984" s="154"/>
      <c r="DH984" s="474"/>
      <c r="DI984" s="459"/>
      <c r="DJ984" s="459"/>
      <c r="DK984" s="459"/>
      <c r="DL984" s="459"/>
      <c r="DM984" s="459"/>
      <c r="DN984" s="459"/>
      <c r="DO984" s="459"/>
      <c r="DP984" s="459"/>
      <c r="DQ984" s="459"/>
      <c r="DR984" s="459"/>
      <c r="DS984" s="459"/>
      <c r="DT984" s="459"/>
      <c r="DU984" s="459"/>
      <c r="DV984" s="468"/>
      <c r="DW984" s="468"/>
      <c r="DX984" s="459"/>
      <c r="DY984" s="459"/>
    </row>
    <row r="985" spans="1:129" s="128" customFormat="1" ht="54.95" customHeight="1" x14ac:dyDescent="0.25">
      <c r="A985" s="377"/>
      <c r="B985" s="175"/>
      <c r="C985" s="393"/>
      <c r="D985" s="168"/>
      <c r="E985" s="168"/>
      <c r="F985" s="168"/>
      <c r="G985" s="168"/>
      <c r="H985" s="168"/>
      <c r="I985" s="168"/>
      <c r="J985" s="168"/>
      <c r="K985" s="168"/>
      <c r="L985" s="168"/>
      <c r="M985" s="168"/>
      <c r="N985" s="168"/>
      <c r="O985" s="433"/>
      <c r="P985" s="122"/>
      <c r="Q985" s="156"/>
      <c r="R985" s="156"/>
      <c r="S985" s="156"/>
      <c r="T985" s="156"/>
      <c r="U985" s="156"/>
      <c r="V985" s="156"/>
      <c r="W985" s="156"/>
      <c r="X985" s="156"/>
      <c r="Y985" s="156"/>
      <c r="Z985" s="157"/>
      <c r="AA985" s="157"/>
      <c r="AB985" s="156"/>
      <c r="AC985" s="156"/>
      <c r="AD985" s="156"/>
      <c r="AE985" s="156"/>
      <c r="AF985" s="156"/>
      <c r="AG985" s="156"/>
      <c r="AH985" s="156"/>
      <c r="AI985" s="156"/>
      <c r="AJ985" s="156"/>
      <c r="AK985" s="156"/>
      <c r="AL985" s="156"/>
      <c r="AM985" s="158"/>
      <c r="AN985" s="156"/>
      <c r="AO985" s="156"/>
      <c r="AP985" s="156"/>
      <c r="AQ985" s="156"/>
      <c r="AR985" s="156"/>
      <c r="AS985" s="156"/>
      <c r="AT985" s="156"/>
      <c r="AU985" s="156"/>
      <c r="AV985" s="156"/>
      <c r="AW985" s="156"/>
      <c r="AX985" s="156"/>
      <c r="AY985" s="156"/>
      <c r="AZ985" s="156"/>
      <c r="BA985" s="153"/>
      <c r="BD985" s="153"/>
      <c r="BE985" s="147"/>
      <c r="BI985" s="153"/>
      <c r="BO985" s="153"/>
      <c r="BW985" s="153"/>
      <c r="CD985" s="146"/>
      <c r="CF985" s="147"/>
      <c r="CI985" s="146"/>
      <c r="CJ985" s="153"/>
      <c r="CV985" s="154"/>
      <c r="CX985" s="154"/>
      <c r="CZ985" s="154"/>
      <c r="DB985" s="154"/>
      <c r="DD985" s="154"/>
      <c r="DH985" s="474"/>
      <c r="DI985" s="459"/>
      <c r="DJ985" s="459"/>
      <c r="DK985" s="459"/>
      <c r="DL985" s="459"/>
      <c r="DM985" s="459"/>
      <c r="DN985" s="459"/>
      <c r="DO985" s="459"/>
      <c r="DP985" s="459"/>
      <c r="DQ985" s="459"/>
      <c r="DR985" s="459"/>
      <c r="DS985" s="459"/>
      <c r="DT985" s="459"/>
      <c r="DU985" s="459"/>
      <c r="DV985" s="468"/>
      <c r="DW985" s="468"/>
      <c r="DX985" s="459"/>
      <c r="DY985" s="459"/>
    </row>
    <row r="986" spans="1:129" s="128" customFormat="1" ht="54.95" customHeight="1" x14ac:dyDescent="0.25">
      <c r="A986" s="377"/>
      <c r="B986" s="175"/>
      <c r="C986" s="393"/>
      <c r="D986" s="168"/>
      <c r="E986" s="168"/>
      <c r="F986" s="168"/>
      <c r="G986" s="168"/>
      <c r="H986" s="168"/>
      <c r="I986" s="168"/>
      <c r="J986" s="168"/>
      <c r="K986" s="168"/>
      <c r="L986" s="168"/>
      <c r="M986" s="168"/>
      <c r="N986" s="168"/>
      <c r="O986" s="433"/>
      <c r="P986" s="122"/>
      <c r="Q986" s="156"/>
      <c r="R986" s="156"/>
      <c r="S986" s="156"/>
      <c r="T986" s="156"/>
      <c r="U986" s="156"/>
      <c r="V986" s="156"/>
      <c r="W986" s="156"/>
      <c r="X986" s="156"/>
      <c r="Y986" s="156"/>
      <c r="Z986" s="157"/>
      <c r="AA986" s="157"/>
      <c r="AB986" s="156"/>
      <c r="AC986" s="156"/>
      <c r="AD986" s="156"/>
      <c r="AE986" s="156"/>
      <c r="AF986" s="156"/>
      <c r="AG986" s="156"/>
      <c r="AH986" s="156"/>
      <c r="AI986" s="156"/>
      <c r="AJ986" s="156"/>
      <c r="AK986" s="156"/>
      <c r="AL986" s="156"/>
      <c r="AM986" s="158"/>
      <c r="AN986" s="156"/>
      <c r="AO986" s="156"/>
      <c r="AP986" s="156"/>
      <c r="AQ986" s="156"/>
      <c r="AR986" s="156"/>
      <c r="AS986" s="156"/>
      <c r="AT986" s="156"/>
      <c r="AU986" s="156"/>
      <c r="AV986" s="156"/>
      <c r="AW986" s="156"/>
      <c r="AX986" s="156"/>
      <c r="AY986" s="156"/>
      <c r="AZ986" s="156"/>
      <c r="BA986" s="153"/>
      <c r="BD986" s="153"/>
      <c r="BE986" s="147"/>
      <c r="BI986" s="153"/>
      <c r="BO986" s="153"/>
      <c r="BW986" s="153"/>
      <c r="CD986" s="146"/>
      <c r="CF986" s="147"/>
      <c r="CI986" s="146"/>
      <c r="CJ986" s="153"/>
      <c r="CV986" s="154"/>
      <c r="CX986" s="154"/>
      <c r="CZ986" s="154"/>
      <c r="DB986" s="154"/>
      <c r="DD986" s="154"/>
      <c r="DH986" s="474"/>
      <c r="DI986" s="459"/>
      <c r="DJ986" s="459"/>
      <c r="DK986" s="459"/>
      <c r="DL986" s="459"/>
      <c r="DM986" s="459"/>
      <c r="DN986" s="459"/>
      <c r="DO986" s="459"/>
      <c r="DP986" s="459"/>
      <c r="DQ986" s="459"/>
      <c r="DR986" s="459"/>
      <c r="DS986" s="459"/>
      <c r="DT986" s="459"/>
      <c r="DU986" s="459"/>
      <c r="DV986" s="468"/>
      <c r="DW986" s="468"/>
      <c r="DX986" s="459"/>
      <c r="DY986" s="459"/>
    </row>
    <row r="987" spans="1:129" s="128" customFormat="1" ht="54.95" customHeight="1" x14ac:dyDescent="0.25">
      <c r="A987" s="377"/>
      <c r="B987" s="175"/>
      <c r="C987" s="393"/>
      <c r="D987" s="168"/>
      <c r="E987" s="168"/>
      <c r="F987" s="168"/>
      <c r="G987" s="168"/>
      <c r="H987" s="168"/>
      <c r="I987" s="168"/>
      <c r="J987" s="168"/>
      <c r="K987" s="168"/>
      <c r="L987" s="168"/>
      <c r="M987" s="168"/>
      <c r="N987" s="168"/>
      <c r="O987" s="433"/>
      <c r="P987" s="122"/>
      <c r="Q987" s="156"/>
      <c r="R987" s="156"/>
      <c r="S987" s="156"/>
      <c r="T987" s="156"/>
      <c r="U987" s="156"/>
      <c r="V987" s="156"/>
      <c r="W987" s="156"/>
      <c r="X987" s="156"/>
      <c r="Y987" s="156"/>
      <c r="Z987" s="157"/>
      <c r="AA987" s="157"/>
      <c r="AB987" s="156"/>
      <c r="AC987" s="156"/>
      <c r="AD987" s="156"/>
      <c r="AE987" s="156"/>
      <c r="AF987" s="156"/>
      <c r="AG987" s="156"/>
      <c r="AH987" s="156"/>
      <c r="AI987" s="156"/>
      <c r="AJ987" s="156"/>
      <c r="AK987" s="156"/>
      <c r="AL987" s="156"/>
      <c r="AM987" s="158"/>
      <c r="AN987" s="156"/>
      <c r="AO987" s="156"/>
      <c r="AP987" s="156"/>
      <c r="AQ987" s="156"/>
      <c r="AR987" s="156"/>
      <c r="AS987" s="156"/>
      <c r="AT987" s="156"/>
      <c r="AU987" s="156"/>
      <c r="AV987" s="156"/>
      <c r="AW987" s="156"/>
      <c r="AX987" s="156"/>
      <c r="AY987" s="156"/>
      <c r="AZ987" s="156"/>
      <c r="BA987" s="153"/>
      <c r="BD987" s="153"/>
      <c r="BE987" s="147"/>
      <c r="BI987" s="153"/>
      <c r="BO987" s="153"/>
      <c r="BW987" s="153"/>
      <c r="CD987" s="146"/>
      <c r="CF987" s="147"/>
      <c r="CI987" s="146"/>
      <c r="CJ987" s="153"/>
      <c r="CV987" s="154"/>
      <c r="CX987" s="154"/>
      <c r="CZ987" s="154"/>
      <c r="DB987" s="154"/>
      <c r="DD987" s="154"/>
      <c r="DH987" s="474"/>
      <c r="DI987" s="459"/>
      <c r="DJ987" s="459"/>
      <c r="DK987" s="459"/>
      <c r="DL987" s="459"/>
      <c r="DM987" s="459"/>
      <c r="DN987" s="459"/>
      <c r="DO987" s="459"/>
      <c r="DP987" s="459"/>
      <c r="DQ987" s="459"/>
      <c r="DR987" s="459"/>
      <c r="DS987" s="459"/>
      <c r="DT987" s="459"/>
      <c r="DU987" s="459"/>
      <c r="DV987" s="468"/>
      <c r="DW987" s="468"/>
      <c r="DX987" s="459"/>
      <c r="DY987" s="459"/>
    </row>
    <row r="988" spans="1:129" s="128" customFormat="1" ht="54.95" customHeight="1" x14ac:dyDescent="0.25">
      <c r="A988" s="377"/>
      <c r="B988" s="175"/>
      <c r="C988" s="393"/>
      <c r="D988" s="168"/>
      <c r="E988" s="168"/>
      <c r="F988" s="168"/>
      <c r="G988" s="168"/>
      <c r="H988" s="168"/>
      <c r="I988" s="168"/>
      <c r="J988" s="168"/>
      <c r="K988" s="168"/>
      <c r="L988" s="168"/>
      <c r="M988" s="168"/>
      <c r="N988" s="168"/>
      <c r="O988" s="433"/>
      <c r="P988" s="122"/>
      <c r="Q988" s="156"/>
      <c r="R988" s="156"/>
      <c r="S988" s="156"/>
      <c r="T988" s="156"/>
      <c r="U988" s="156"/>
      <c r="V988" s="156"/>
      <c r="W988" s="156"/>
      <c r="X988" s="156"/>
      <c r="Y988" s="156"/>
      <c r="Z988" s="157"/>
      <c r="AA988" s="157"/>
      <c r="AB988" s="156"/>
      <c r="AC988" s="156"/>
      <c r="AD988" s="156"/>
      <c r="AE988" s="156"/>
      <c r="AF988" s="156"/>
      <c r="AG988" s="156"/>
      <c r="AH988" s="156"/>
      <c r="AI988" s="156"/>
      <c r="AJ988" s="156"/>
      <c r="AK988" s="156"/>
      <c r="AL988" s="156"/>
      <c r="AM988" s="158"/>
      <c r="AN988" s="156"/>
      <c r="AO988" s="156"/>
      <c r="AP988" s="156"/>
      <c r="AQ988" s="156"/>
      <c r="AR988" s="156"/>
      <c r="AS988" s="156"/>
      <c r="AT988" s="156"/>
      <c r="AU988" s="156"/>
      <c r="AV988" s="156"/>
      <c r="AW988" s="156"/>
      <c r="AX988" s="156"/>
      <c r="AY988" s="156"/>
      <c r="AZ988" s="156"/>
      <c r="BA988" s="153"/>
      <c r="BD988" s="153"/>
      <c r="BE988" s="147"/>
      <c r="BI988" s="153"/>
      <c r="BO988" s="153"/>
      <c r="BW988" s="153"/>
      <c r="CD988" s="146"/>
      <c r="CF988" s="147"/>
      <c r="CI988" s="146"/>
      <c r="CJ988" s="153"/>
      <c r="CV988" s="154"/>
      <c r="CX988" s="154"/>
      <c r="CZ988" s="154"/>
      <c r="DB988" s="154"/>
      <c r="DD988" s="154"/>
      <c r="DH988" s="474"/>
      <c r="DI988" s="459"/>
      <c r="DJ988" s="459"/>
      <c r="DK988" s="459"/>
      <c r="DL988" s="459"/>
      <c r="DM988" s="459"/>
      <c r="DN988" s="459"/>
      <c r="DO988" s="459"/>
      <c r="DP988" s="459"/>
      <c r="DQ988" s="459"/>
      <c r="DR988" s="459"/>
      <c r="DS988" s="459"/>
      <c r="DT988" s="459"/>
      <c r="DU988" s="459"/>
      <c r="DV988" s="468"/>
      <c r="DW988" s="468"/>
      <c r="DX988" s="459"/>
      <c r="DY988" s="459"/>
    </row>
    <row r="989" spans="1:129" s="128" customFormat="1" ht="54.95" customHeight="1" x14ac:dyDescent="0.25">
      <c r="A989" s="377"/>
      <c r="B989" s="175"/>
      <c r="C989" s="393"/>
      <c r="D989" s="168"/>
      <c r="E989" s="168"/>
      <c r="F989" s="168"/>
      <c r="G989" s="168"/>
      <c r="H989" s="168"/>
      <c r="I989" s="168"/>
      <c r="J989" s="168"/>
      <c r="K989" s="168"/>
      <c r="L989" s="168"/>
      <c r="M989" s="168"/>
      <c r="N989" s="168"/>
      <c r="O989" s="433"/>
      <c r="P989" s="122"/>
      <c r="Q989" s="156"/>
      <c r="R989" s="156"/>
      <c r="S989" s="156"/>
      <c r="T989" s="156"/>
      <c r="U989" s="156"/>
      <c r="V989" s="156"/>
      <c r="W989" s="156"/>
      <c r="X989" s="156"/>
      <c r="Y989" s="156"/>
      <c r="Z989" s="157"/>
      <c r="AA989" s="157"/>
      <c r="AB989" s="156"/>
      <c r="AC989" s="156"/>
      <c r="AD989" s="156"/>
      <c r="AE989" s="156"/>
      <c r="AF989" s="156"/>
      <c r="AG989" s="156"/>
      <c r="AH989" s="156"/>
      <c r="AI989" s="156"/>
      <c r="AJ989" s="156"/>
      <c r="AK989" s="156"/>
      <c r="AL989" s="156"/>
      <c r="AM989" s="158"/>
      <c r="AN989" s="156"/>
      <c r="AO989" s="156"/>
      <c r="AP989" s="156"/>
      <c r="AQ989" s="156"/>
      <c r="AR989" s="156"/>
      <c r="AS989" s="156"/>
      <c r="AT989" s="156"/>
      <c r="AU989" s="156"/>
      <c r="AV989" s="156"/>
      <c r="AW989" s="156"/>
      <c r="AX989" s="156"/>
      <c r="AY989" s="156"/>
      <c r="AZ989" s="156"/>
      <c r="BA989" s="153"/>
      <c r="BD989" s="153"/>
      <c r="BE989" s="147"/>
      <c r="BI989" s="153"/>
      <c r="BO989" s="153"/>
      <c r="BW989" s="153"/>
      <c r="CD989" s="146"/>
      <c r="CF989" s="147"/>
      <c r="CI989" s="146"/>
      <c r="CJ989" s="153"/>
      <c r="CV989" s="154"/>
      <c r="CX989" s="154"/>
      <c r="CZ989" s="154"/>
      <c r="DB989" s="154"/>
      <c r="DD989" s="154"/>
      <c r="DH989" s="474"/>
      <c r="DI989" s="459"/>
      <c r="DJ989" s="459"/>
      <c r="DK989" s="459"/>
      <c r="DL989" s="459"/>
      <c r="DM989" s="459"/>
      <c r="DN989" s="459"/>
      <c r="DO989" s="459"/>
      <c r="DP989" s="459"/>
      <c r="DQ989" s="459"/>
      <c r="DR989" s="459"/>
      <c r="DS989" s="459"/>
      <c r="DT989" s="459"/>
      <c r="DU989" s="459"/>
      <c r="DV989" s="468"/>
      <c r="DW989" s="468"/>
      <c r="DX989" s="459"/>
      <c r="DY989" s="459"/>
    </row>
    <row r="990" spans="1:129" s="128" customFormat="1" ht="54.95" customHeight="1" x14ac:dyDescent="0.25">
      <c r="A990" s="377"/>
      <c r="B990" s="175"/>
      <c r="C990" s="393"/>
      <c r="D990" s="168"/>
      <c r="E990" s="168"/>
      <c r="F990" s="168"/>
      <c r="G990" s="168"/>
      <c r="H990" s="168"/>
      <c r="I990" s="168"/>
      <c r="J990" s="168"/>
      <c r="K990" s="168"/>
      <c r="L990" s="168"/>
      <c r="M990" s="168"/>
      <c r="N990" s="168"/>
      <c r="O990" s="433"/>
      <c r="P990" s="122"/>
      <c r="Q990" s="156"/>
      <c r="R990" s="156"/>
      <c r="S990" s="156"/>
      <c r="T990" s="156"/>
      <c r="U990" s="156"/>
      <c r="V990" s="156"/>
      <c r="W990" s="156"/>
      <c r="X990" s="156"/>
      <c r="Y990" s="156"/>
      <c r="Z990" s="157"/>
      <c r="AA990" s="157"/>
      <c r="AB990" s="156"/>
      <c r="AC990" s="156"/>
      <c r="AD990" s="156"/>
      <c r="AE990" s="156"/>
      <c r="AF990" s="156"/>
      <c r="AG990" s="156"/>
      <c r="AH990" s="156"/>
      <c r="AI990" s="156"/>
      <c r="AJ990" s="156"/>
      <c r="AK990" s="156"/>
      <c r="AL990" s="156"/>
      <c r="AM990" s="158"/>
      <c r="AN990" s="156"/>
      <c r="AO990" s="156"/>
      <c r="AP990" s="156"/>
      <c r="AQ990" s="156"/>
      <c r="AR990" s="156"/>
      <c r="AS990" s="156"/>
      <c r="AT990" s="156"/>
      <c r="AU990" s="156"/>
      <c r="AV990" s="156"/>
      <c r="AW990" s="156"/>
      <c r="AX990" s="156"/>
      <c r="AY990" s="156"/>
      <c r="AZ990" s="156"/>
      <c r="BA990" s="153"/>
      <c r="BD990" s="153"/>
      <c r="BE990" s="147"/>
      <c r="BI990" s="153"/>
      <c r="BO990" s="153"/>
      <c r="BW990" s="153"/>
      <c r="CD990" s="146"/>
      <c r="CF990" s="147"/>
      <c r="CI990" s="146"/>
      <c r="CJ990" s="153"/>
      <c r="CV990" s="154"/>
      <c r="CX990" s="154"/>
      <c r="CZ990" s="154"/>
      <c r="DB990" s="154"/>
      <c r="DD990" s="154"/>
      <c r="DH990" s="474"/>
      <c r="DI990" s="459"/>
      <c r="DJ990" s="459"/>
      <c r="DK990" s="459"/>
      <c r="DL990" s="459"/>
      <c r="DM990" s="459"/>
      <c r="DN990" s="459"/>
      <c r="DO990" s="459"/>
      <c r="DP990" s="459"/>
      <c r="DQ990" s="459"/>
      <c r="DR990" s="459"/>
      <c r="DS990" s="459"/>
      <c r="DT990" s="459"/>
      <c r="DU990" s="459"/>
      <c r="DV990" s="468"/>
      <c r="DW990" s="468"/>
      <c r="DX990" s="459"/>
      <c r="DY990" s="459"/>
    </row>
    <row r="991" spans="1:129" s="128" customFormat="1" ht="54.95" customHeight="1" x14ac:dyDescent="0.25">
      <c r="A991" s="377"/>
      <c r="B991" s="175"/>
      <c r="C991" s="393"/>
      <c r="D991" s="168"/>
      <c r="E991" s="168"/>
      <c r="F991" s="168"/>
      <c r="G991" s="168"/>
      <c r="H991" s="168"/>
      <c r="I991" s="168"/>
      <c r="J991" s="168"/>
      <c r="K991" s="168"/>
      <c r="L991" s="168"/>
      <c r="M991" s="168"/>
      <c r="N991" s="168"/>
      <c r="O991" s="433"/>
      <c r="P991" s="122"/>
      <c r="Q991" s="156"/>
      <c r="R991" s="156"/>
      <c r="S991" s="156"/>
      <c r="T991" s="156"/>
      <c r="U991" s="156"/>
      <c r="V991" s="156"/>
      <c r="W991" s="156"/>
      <c r="X991" s="156"/>
      <c r="Y991" s="156"/>
      <c r="Z991" s="157"/>
      <c r="AA991" s="157"/>
      <c r="AB991" s="156"/>
      <c r="AC991" s="156"/>
      <c r="AD991" s="156"/>
      <c r="AE991" s="156"/>
      <c r="AF991" s="156"/>
      <c r="AG991" s="156"/>
      <c r="AH991" s="156"/>
      <c r="AI991" s="156"/>
      <c r="AJ991" s="156"/>
      <c r="AK991" s="156"/>
      <c r="AL991" s="156"/>
      <c r="AM991" s="158"/>
      <c r="AN991" s="156"/>
      <c r="AO991" s="156"/>
      <c r="AP991" s="156"/>
      <c r="AQ991" s="156"/>
      <c r="AR991" s="156"/>
      <c r="AS991" s="156"/>
      <c r="AT991" s="156"/>
      <c r="AU991" s="156"/>
      <c r="AV991" s="156"/>
      <c r="AW991" s="156"/>
      <c r="AX991" s="156"/>
      <c r="AY991" s="156"/>
      <c r="AZ991" s="156"/>
      <c r="BA991" s="153"/>
      <c r="BD991" s="153"/>
      <c r="BE991" s="147"/>
      <c r="BI991" s="153"/>
      <c r="BO991" s="153"/>
      <c r="BW991" s="153"/>
      <c r="CD991" s="146"/>
      <c r="CF991" s="147"/>
      <c r="CI991" s="146"/>
      <c r="CJ991" s="153"/>
      <c r="CV991" s="154"/>
      <c r="CX991" s="154"/>
      <c r="CZ991" s="154"/>
      <c r="DB991" s="154"/>
      <c r="DD991" s="154"/>
      <c r="DH991" s="474"/>
      <c r="DI991" s="459"/>
      <c r="DJ991" s="459"/>
      <c r="DK991" s="459"/>
      <c r="DL991" s="459"/>
      <c r="DM991" s="459"/>
      <c r="DN991" s="459"/>
      <c r="DO991" s="459"/>
      <c r="DP991" s="459"/>
      <c r="DQ991" s="459"/>
      <c r="DR991" s="459"/>
      <c r="DS991" s="459"/>
      <c r="DT991" s="459"/>
      <c r="DU991" s="459"/>
      <c r="DV991" s="468"/>
      <c r="DW991" s="468"/>
      <c r="DX991" s="459"/>
      <c r="DY991" s="459"/>
    </row>
    <row r="992" spans="1:129" s="128" customFormat="1" ht="54.95" customHeight="1" x14ac:dyDescent="0.25">
      <c r="A992" s="377"/>
      <c r="B992" s="175"/>
      <c r="C992" s="393"/>
      <c r="D992" s="168"/>
      <c r="E992" s="168"/>
      <c r="F992" s="168"/>
      <c r="G992" s="168"/>
      <c r="H992" s="168"/>
      <c r="I992" s="168"/>
      <c r="J992" s="168"/>
      <c r="K992" s="168"/>
      <c r="L992" s="168"/>
      <c r="M992" s="168"/>
      <c r="N992" s="168"/>
      <c r="O992" s="433"/>
      <c r="P992" s="122"/>
      <c r="Q992" s="156"/>
      <c r="R992" s="156"/>
      <c r="S992" s="156"/>
      <c r="T992" s="156"/>
      <c r="U992" s="156"/>
      <c r="V992" s="156"/>
      <c r="W992" s="156"/>
      <c r="X992" s="156"/>
      <c r="Y992" s="156"/>
      <c r="Z992" s="157"/>
      <c r="AA992" s="157"/>
      <c r="AB992" s="156"/>
      <c r="AC992" s="156"/>
      <c r="AD992" s="156"/>
      <c r="AE992" s="156"/>
      <c r="AF992" s="156"/>
      <c r="AG992" s="156"/>
      <c r="AH992" s="156"/>
      <c r="AI992" s="156"/>
      <c r="AJ992" s="156"/>
      <c r="AK992" s="156"/>
      <c r="AL992" s="156"/>
      <c r="AM992" s="158"/>
      <c r="AN992" s="156"/>
      <c r="AO992" s="156"/>
      <c r="AP992" s="156"/>
      <c r="AQ992" s="156"/>
      <c r="AR992" s="156"/>
      <c r="AS992" s="156"/>
      <c r="AT992" s="156"/>
      <c r="AU992" s="156"/>
      <c r="AV992" s="156"/>
      <c r="AW992" s="156"/>
      <c r="AX992" s="156"/>
      <c r="AY992" s="156"/>
      <c r="AZ992" s="156"/>
      <c r="BA992" s="153"/>
      <c r="BD992" s="153"/>
      <c r="BE992" s="147"/>
      <c r="BI992" s="153"/>
      <c r="BO992" s="153"/>
      <c r="BW992" s="153"/>
      <c r="CD992" s="146"/>
      <c r="CF992" s="147"/>
      <c r="CI992" s="146"/>
      <c r="CJ992" s="153"/>
      <c r="CV992" s="154"/>
      <c r="CX992" s="154"/>
      <c r="CZ992" s="154"/>
      <c r="DB992" s="154"/>
      <c r="DD992" s="154"/>
      <c r="DH992" s="474"/>
      <c r="DI992" s="459"/>
      <c r="DJ992" s="459"/>
      <c r="DK992" s="459"/>
      <c r="DL992" s="459"/>
      <c r="DM992" s="459"/>
      <c r="DN992" s="459"/>
      <c r="DO992" s="459"/>
      <c r="DP992" s="459"/>
      <c r="DQ992" s="459"/>
      <c r="DR992" s="459"/>
      <c r="DS992" s="459"/>
      <c r="DT992" s="459"/>
      <c r="DU992" s="459"/>
      <c r="DV992" s="468"/>
      <c r="DW992" s="468"/>
      <c r="DX992" s="459"/>
      <c r="DY992" s="459"/>
    </row>
    <row r="993" spans="1:129" s="128" customFormat="1" ht="54.95" customHeight="1" x14ac:dyDescent="0.25">
      <c r="A993" s="377"/>
      <c r="B993" s="175"/>
      <c r="C993" s="393"/>
      <c r="D993" s="168"/>
      <c r="E993" s="168"/>
      <c r="F993" s="168"/>
      <c r="G993" s="168"/>
      <c r="H993" s="168"/>
      <c r="I993" s="168"/>
      <c r="J993" s="168"/>
      <c r="K993" s="168"/>
      <c r="L993" s="168"/>
      <c r="M993" s="168"/>
      <c r="N993" s="168"/>
      <c r="O993" s="433"/>
      <c r="P993" s="122"/>
      <c r="Q993" s="156"/>
      <c r="R993" s="156"/>
      <c r="S993" s="156"/>
      <c r="T993" s="156"/>
      <c r="U993" s="156"/>
      <c r="V993" s="156"/>
      <c r="W993" s="156"/>
      <c r="X993" s="156"/>
      <c r="Y993" s="156"/>
      <c r="Z993" s="157"/>
      <c r="AA993" s="157"/>
      <c r="AB993" s="156"/>
      <c r="AC993" s="156"/>
      <c r="AD993" s="156"/>
      <c r="AE993" s="156"/>
      <c r="AF993" s="156"/>
      <c r="AG993" s="156"/>
      <c r="AH993" s="156"/>
      <c r="AI993" s="156"/>
      <c r="AJ993" s="156"/>
      <c r="AK993" s="156"/>
      <c r="AL993" s="156"/>
      <c r="AM993" s="158"/>
      <c r="AN993" s="156"/>
      <c r="AO993" s="156"/>
      <c r="AP993" s="156"/>
      <c r="AQ993" s="156"/>
      <c r="AR993" s="156"/>
      <c r="AS993" s="156"/>
      <c r="AT993" s="156"/>
      <c r="AU993" s="156"/>
      <c r="AV993" s="156"/>
      <c r="AW993" s="156"/>
      <c r="AX993" s="156"/>
      <c r="AY993" s="156"/>
      <c r="AZ993" s="156"/>
      <c r="BA993" s="153"/>
      <c r="BD993" s="153"/>
      <c r="BE993" s="147"/>
      <c r="BI993" s="153"/>
      <c r="BO993" s="153"/>
      <c r="BW993" s="153"/>
      <c r="CD993" s="146"/>
      <c r="CF993" s="147"/>
      <c r="CI993" s="146"/>
      <c r="CJ993" s="153"/>
      <c r="CV993" s="154"/>
      <c r="CX993" s="154"/>
      <c r="CZ993" s="154"/>
      <c r="DB993" s="154"/>
      <c r="DD993" s="154"/>
      <c r="DH993" s="474"/>
      <c r="DI993" s="459"/>
      <c r="DJ993" s="459"/>
      <c r="DK993" s="459"/>
      <c r="DL993" s="459"/>
      <c r="DM993" s="459"/>
      <c r="DN993" s="459"/>
      <c r="DO993" s="459"/>
      <c r="DP993" s="459"/>
      <c r="DQ993" s="459"/>
      <c r="DR993" s="459"/>
      <c r="DS993" s="459"/>
      <c r="DT993" s="459"/>
      <c r="DU993" s="459"/>
      <c r="DV993" s="468"/>
      <c r="DW993" s="468"/>
      <c r="DX993" s="459"/>
      <c r="DY993" s="459"/>
    </row>
    <row r="994" spans="1:129" s="128" customFormat="1" ht="54.95" customHeight="1" x14ac:dyDescent="0.25">
      <c r="A994" s="377"/>
      <c r="B994" s="175"/>
      <c r="C994" s="393"/>
      <c r="D994" s="168"/>
      <c r="E994" s="168"/>
      <c r="F994" s="168"/>
      <c r="G994" s="168"/>
      <c r="H994" s="168"/>
      <c r="I994" s="168"/>
      <c r="J994" s="168"/>
      <c r="K994" s="168"/>
      <c r="L994" s="168"/>
      <c r="M994" s="168"/>
      <c r="N994" s="168"/>
      <c r="O994" s="433"/>
      <c r="P994" s="122"/>
      <c r="Q994" s="156"/>
      <c r="R994" s="156"/>
      <c r="S994" s="156"/>
      <c r="T994" s="156"/>
      <c r="U994" s="156"/>
      <c r="V994" s="156"/>
      <c r="W994" s="156"/>
      <c r="X994" s="156"/>
      <c r="Y994" s="156"/>
      <c r="Z994" s="157"/>
      <c r="AA994" s="157"/>
      <c r="AB994" s="156"/>
      <c r="AC994" s="156"/>
      <c r="AD994" s="156"/>
      <c r="AE994" s="156"/>
      <c r="AF994" s="156"/>
      <c r="AG994" s="156"/>
      <c r="AH994" s="156"/>
      <c r="AI994" s="156"/>
      <c r="AJ994" s="156"/>
      <c r="AK994" s="156"/>
      <c r="AL994" s="156"/>
      <c r="AM994" s="158"/>
      <c r="AN994" s="156"/>
      <c r="AO994" s="156"/>
      <c r="AP994" s="156"/>
      <c r="AQ994" s="156"/>
      <c r="AR994" s="156"/>
      <c r="AS994" s="156"/>
      <c r="AT994" s="156"/>
      <c r="AU994" s="156"/>
      <c r="AV994" s="156"/>
      <c r="AW994" s="156"/>
      <c r="AX994" s="156"/>
      <c r="AY994" s="156"/>
      <c r="AZ994" s="156"/>
      <c r="BA994" s="153"/>
      <c r="BD994" s="153"/>
      <c r="BE994" s="147"/>
      <c r="BI994" s="153"/>
      <c r="BO994" s="153"/>
      <c r="BW994" s="153"/>
      <c r="CD994" s="146"/>
      <c r="CF994" s="147"/>
      <c r="CI994" s="146"/>
      <c r="CJ994" s="153"/>
      <c r="CV994" s="154"/>
      <c r="CX994" s="154"/>
      <c r="CZ994" s="154"/>
      <c r="DB994" s="154"/>
      <c r="DD994" s="154"/>
      <c r="DH994" s="474"/>
      <c r="DI994" s="459"/>
      <c r="DJ994" s="459"/>
      <c r="DK994" s="459"/>
      <c r="DL994" s="459"/>
      <c r="DM994" s="459"/>
      <c r="DN994" s="459"/>
      <c r="DO994" s="459"/>
      <c r="DP994" s="459"/>
      <c r="DQ994" s="459"/>
      <c r="DR994" s="459"/>
      <c r="DS994" s="459"/>
      <c r="DT994" s="459"/>
      <c r="DU994" s="459"/>
      <c r="DV994" s="468"/>
      <c r="DW994" s="468"/>
      <c r="DX994" s="459"/>
      <c r="DY994" s="459"/>
    </row>
    <row r="995" spans="1:129" s="128" customFormat="1" ht="54.95" customHeight="1" x14ac:dyDescent="0.25">
      <c r="A995" s="377"/>
      <c r="B995" s="175"/>
      <c r="C995" s="393"/>
      <c r="D995" s="168"/>
      <c r="E995" s="168"/>
      <c r="F995" s="168"/>
      <c r="G995" s="168"/>
      <c r="H995" s="168"/>
      <c r="I995" s="168"/>
      <c r="J995" s="168"/>
      <c r="K995" s="168"/>
      <c r="L995" s="168"/>
      <c r="M995" s="168"/>
      <c r="N995" s="168"/>
      <c r="O995" s="433"/>
      <c r="P995" s="122"/>
      <c r="Q995" s="156"/>
      <c r="R995" s="156"/>
      <c r="S995" s="156"/>
      <c r="T995" s="156"/>
      <c r="U995" s="156"/>
      <c r="V995" s="156"/>
      <c r="W995" s="156"/>
      <c r="X995" s="156"/>
      <c r="Y995" s="156"/>
      <c r="Z995" s="157"/>
      <c r="AA995" s="157"/>
      <c r="AB995" s="156"/>
      <c r="AC995" s="156"/>
      <c r="AD995" s="156"/>
      <c r="AE995" s="156"/>
      <c r="AF995" s="156"/>
      <c r="AG995" s="156"/>
      <c r="AH995" s="156"/>
      <c r="AI995" s="156"/>
      <c r="AJ995" s="156"/>
      <c r="AK995" s="156"/>
      <c r="AL995" s="156"/>
      <c r="AM995" s="158"/>
      <c r="AN995" s="156"/>
      <c r="AO995" s="156"/>
      <c r="AP995" s="156"/>
      <c r="AQ995" s="156"/>
      <c r="AR995" s="156"/>
      <c r="AS995" s="156"/>
      <c r="AT995" s="156"/>
      <c r="AU995" s="156"/>
      <c r="AV995" s="156"/>
      <c r="AW995" s="156"/>
      <c r="AX995" s="156"/>
      <c r="AY995" s="156"/>
      <c r="AZ995" s="156"/>
      <c r="BA995" s="153"/>
      <c r="BD995" s="153"/>
      <c r="BE995" s="147"/>
      <c r="BI995" s="153"/>
      <c r="BO995" s="153"/>
      <c r="BW995" s="153"/>
      <c r="CD995" s="146"/>
      <c r="CF995" s="147"/>
      <c r="CI995" s="146"/>
      <c r="CJ995" s="153"/>
      <c r="CV995" s="154"/>
      <c r="CX995" s="154"/>
      <c r="CZ995" s="154"/>
      <c r="DB995" s="154"/>
      <c r="DD995" s="154"/>
      <c r="DH995" s="474"/>
      <c r="DI995" s="459"/>
      <c r="DJ995" s="459"/>
      <c r="DK995" s="459"/>
      <c r="DL995" s="459"/>
      <c r="DM995" s="459"/>
      <c r="DN995" s="459"/>
      <c r="DO995" s="459"/>
      <c r="DP995" s="459"/>
      <c r="DQ995" s="459"/>
      <c r="DR995" s="459"/>
      <c r="DS995" s="459"/>
      <c r="DT995" s="459"/>
      <c r="DU995" s="459"/>
      <c r="DV995" s="468"/>
      <c r="DW995" s="468"/>
      <c r="DX995" s="459"/>
      <c r="DY995" s="459"/>
    </row>
    <row r="996" spans="1:129" s="128" customFormat="1" ht="54.95" customHeight="1" x14ac:dyDescent="0.25">
      <c r="A996" s="377"/>
      <c r="B996" s="175"/>
      <c r="C996" s="393"/>
      <c r="D996" s="168"/>
      <c r="E996" s="168"/>
      <c r="F996" s="168"/>
      <c r="G996" s="168"/>
      <c r="H996" s="168"/>
      <c r="I996" s="168"/>
      <c r="J996" s="168"/>
      <c r="K996" s="168"/>
      <c r="L996" s="168"/>
      <c r="M996" s="168"/>
      <c r="N996" s="168"/>
      <c r="O996" s="433"/>
      <c r="P996" s="122"/>
      <c r="Q996" s="156"/>
      <c r="R996" s="156"/>
      <c r="S996" s="156"/>
      <c r="T996" s="156"/>
      <c r="U996" s="156"/>
      <c r="V996" s="156"/>
      <c r="W996" s="156"/>
      <c r="X996" s="156"/>
      <c r="Y996" s="156"/>
      <c r="Z996" s="157"/>
      <c r="AA996" s="157"/>
      <c r="AB996" s="156"/>
      <c r="AC996" s="156"/>
      <c r="AD996" s="156"/>
      <c r="AE996" s="156"/>
      <c r="AF996" s="156"/>
      <c r="AG996" s="156"/>
      <c r="AH996" s="156"/>
      <c r="AI996" s="156"/>
      <c r="AJ996" s="156"/>
      <c r="AK996" s="156"/>
      <c r="AL996" s="156"/>
      <c r="AM996" s="158"/>
      <c r="AN996" s="156"/>
      <c r="AO996" s="156"/>
      <c r="AP996" s="156"/>
      <c r="AQ996" s="156"/>
      <c r="AR996" s="156"/>
      <c r="AS996" s="156"/>
      <c r="AT996" s="156"/>
      <c r="AU996" s="156"/>
      <c r="AV996" s="156"/>
      <c r="AW996" s="156"/>
      <c r="AX996" s="156"/>
      <c r="AY996" s="156"/>
      <c r="AZ996" s="156"/>
      <c r="BA996" s="153"/>
      <c r="BD996" s="153"/>
      <c r="BE996" s="147"/>
      <c r="BI996" s="153"/>
      <c r="BO996" s="153"/>
      <c r="BW996" s="153"/>
      <c r="CD996" s="146"/>
      <c r="CF996" s="147"/>
      <c r="CI996" s="146"/>
      <c r="CJ996" s="153"/>
      <c r="CV996" s="154"/>
      <c r="CX996" s="154"/>
      <c r="CZ996" s="154"/>
      <c r="DB996" s="154"/>
      <c r="DD996" s="154"/>
      <c r="DH996" s="474"/>
      <c r="DI996" s="459"/>
      <c r="DJ996" s="459"/>
      <c r="DK996" s="459"/>
      <c r="DL996" s="459"/>
      <c r="DM996" s="459"/>
      <c r="DN996" s="459"/>
      <c r="DO996" s="459"/>
      <c r="DP996" s="459"/>
      <c r="DQ996" s="459"/>
      <c r="DR996" s="459"/>
      <c r="DS996" s="459"/>
      <c r="DT996" s="459"/>
      <c r="DU996" s="459"/>
      <c r="DV996" s="468"/>
      <c r="DW996" s="468"/>
      <c r="DX996" s="459"/>
      <c r="DY996" s="459"/>
    </row>
    <row r="997" spans="1:129" s="128" customFormat="1" ht="54.95" customHeight="1" x14ac:dyDescent="0.25">
      <c r="A997" s="377"/>
      <c r="B997" s="175"/>
      <c r="C997" s="393"/>
      <c r="D997" s="168"/>
      <c r="E997" s="168"/>
      <c r="F997" s="168"/>
      <c r="G997" s="168"/>
      <c r="H997" s="168"/>
      <c r="I997" s="168"/>
      <c r="J997" s="168"/>
      <c r="K997" s="168"/>
      <c r="L997" s="168"/>
      <c r="M997" s="168"/>
      <c r="N997" s="168"/>
      <c r="O997" s="433"/>
      <c r="P997" s="122"/>
      <c r="Q997" s="156"/>
      <c r="R997" s="156"/>
      <c r="S997" s="156"/>
      <c r="T997" s="156"/>
      <c r="U997" s="156"/>
      <c r="V997" s="156"/>
      <c r="W997" s="156"/>
      <c r="X997" s="156"/>
      <c r="Y997" s="156"/>
      <c r="Z997" s="157"/>
      <c r="AA997" s="157"/>
      <c r="AB997" s="156"/>
      <c r="AC997" s="156"/>
      <c r="AD997" s="156"/>
      <c r="AE997" s="156"/>
      <c r="AF997" s="156"/>
      <c r="AG997" s="156"/>
      <c r="AH997" s="156"/>
      <c r="AI997" s="156"/>
      <c r="AJ997" s="156"/>
      <c r="AK997" s="156"/>
      <c r="AL997" s="156"/>
      <c r="AM997" s="158"/>
      <c r="AN997" s="156"/>
      <c r="AO997" s="156"/>
      <c r="AP997" s="156"/>
      <c r="AQ997" s="156"/>
      <c r="AR997" s="156"/>
      <c r="AS997" s="156"/>
      <c r="AT997" s="156"/>
      <c r="AU997" s="156"/>
      <c r="AV997" s="156"/>
      <c r="AW997" s="156"/>
      <c r="AX997" s="156"/>
      <c r="AY997" s="156"/>
      <c r="AZ997" s="156"/>
      <c r="BA997" s="153"/>
      <c r="BD997" s="153"/>
      <c r="BE997" s="147"/>
      <c r="BI997" s="153"/>
      <c r="BO997" s="153"/>
      <c r="BW997" s="153"/>
      <c r="CD997" s="146"/>
      <c r="CF997" s="147"/>
      <c r="CI997" s="146"/>
      <c r="CJ997" s="153"/>
      <c r="CV997" s="154"/>
      <c r="CX997" s="154"/>
      <c r="CZ997" s="154"/>
      <c r="DB997" s="154"/>
      <c r="DD997" s="154"/>
      <c r="DH997" s="474"/>
      <c r="DI997" s="459"/>
      <c r="DJ997" s="459"/>
      <c r="DK997" s="459"/>
      <c r="DL997" s="459"/>
      <c r="DM997" s="459"/>
      <c r="DN997" s="459"/>
      <c r="DO997" s="459"/>
      <c r="DP997" s="459"/>
      <c r="DQ997" s="459"/>
      <c r="DR997" s="459"/>
      <c r="DS997" s="459"/>
      <c r="DT997" s="459"/>
      <c r="DU997" s="459"/>
      <c r="DV997" s="468"/>
      <c r="DW997" s="468"/>
      <c r="DX997" s="459"/>
      <c r="DY997" s="459"/>
    </row>
    <row r="998" spans="1:129" s="128" customFormat="1" ht="54.95" customHeight="1" x14ac:dyDescent="0.25">
      <c r="A998" s="377"/>
      <c r="B998" s="175"/>
      <c r="C998" s="393"/>
      <c r="D998" s="168"/>
      <c r="E998" s="168"/>
      <c r="F998" s="168"/>
      <c r="G998" s="168"/>
      <c r="H998" s="168"/>
      <c r="I998" s="168"/>
      <c r="J998" s="168"/>
      <c r="K998" s="168"/>
      <c r="L998" s="168"/>
      <c r="M998" s="168"/>
      <c r="N998" s="168"/>
      <c r="O998" s="433"/>
      <c r="P998" s="122"/>
      <c r="Q998" s="156"/>
      <c r="R998" s="156"/>
      <c r="S998" s="156"/>
      <c r="T998" s="156"/>
      <c r="U998" s="156"/>
      <c r="V998" s="156"/>
      <c r="W998" s="156"/>
      <c r="X998" s="156"/>
      <c r="Y998" s="156"/>
      <c r="Z998" s="157"/>
      <c r="AA998" s="157"/>
      <c r="AB998" s="156"/>
      <c r="AC998" s="156"/>
      <c r="AD998" s="156"/>
      <c r="AE998" s="156"/>
      <c r="AF998" s="156"/>
      <c r="AG998" s="156"/>
      <c r="AH998" s="156"/>
      <c r="AI998" s="156"/>
      <c r="AJ998" s="156"/>
      <c r="AK998" s="156"/>
      <c r="AL998" s="156"/>
      <c r="AM998" s="158"/>
      <c r="AN998" s="156"/>
      <c r="AO998" s="156"/>
      <c r="AP998" s="156"/>
      <c r="AQ998" s="156"/>
      <c r="AR998" s="156"/>
      <c r="AS998" s="156"/>
      <c r="AT998" s="156"/>
      <c r="AU998" s="156"/>
      <c r="AV998" s="156"/>
      <c r="AW998" s="156"/>
      <c r="AX998" s="156"/>
      <c r="AY998" s="156"/>
      <c r="AZ998" s="156"/>
      <c r="BA998" s="153"/>
      <c r="BD998" s="153"/>
      <c r="BE998" s="147"/>
      <c r="BI998" s="153"/>
      <c r="BO998" s="153"/>
      <c r="BW998" s="153"/>
      <c r="CD998" s="146"/>
      <c r="CF998" s="147"/>
      <c r="CI998" s="146"/>
      <c r="CJ998" s="153"/>
      <c r="CV998" s="154"/>
      <c r="CX998" s="154"/>
      <c r="CZ998" s="154"/>
      <c r="DB998" s="154"/>
      <c r="DD998" s="154"/>
      <c r="DH998" s="474"/>
      <c r="DI998" s="459"/>
      <c r="DJ998" s="459"/>
      <c r="DK998" s="459"/>
      <c r="DL998" s="459"/>
      <c r="DM998" s="459"/>
      <c r="DN998" s="459"/>
      <c r="DO998" s="459"/>
      <c r="DP998" s="459"/>
      <c r="DQ998" s="459"/>
      <c r="DR998" s="459"/>
      <c r="DS998" s="459"/>
      <c r="DT998" s="459"/>
      <c r="DU998" s="459"/>
      <c r="DV998" s="468"/>
      <c r="DW998" s="468"/>
      <c r="DX998" s="459"/>
      <c r="DY998" s="459"/>
    </row>
    <row r="999" spans="1:129" s="128" customFormat="1" ht="54.95" customHeight="1" x14ac:dyDescent="0.25">
      <c r="A999" s="377"/>
      <c r="B999" s="175"/>
      <c r="C999" s="393"/>
      <c r="D999" s="168"/>
      <c r="E999" s="168"/>
      <c r="F999" s="168"/>
      <c r="G999" s="168"/>
      <c r="H999" s="168"/>
      <c r="I999" s="168"/>
      <c r="J999" s="168"/>
      <c r="K999" s="168"/>
      <c r="L999" s="168"/>
      <c r="M999" s="168"/>
      <c r="N999" s="168"/>
      <c r="O999" s="433"/>
      <c r="P999" s="122"/>
      <c r="Q999" s="156"/>
      <c r="R999" s="156"/>
      <c r="S999" s="156"/>
      <c r="T999" s="156"/>
      <c r="U999" s="156"/>
      <c r="V999" s="156"/>
      <c r="W999" s="156"/>
      <c r="X999" s="156"/>
      <c r="Y999" s="156"/>
      <c r="Z999" s="157"/>
      <c r="AA999" s="157"/>
      <c r="AB999" s="156"/>
      <c r="AC999" s="156"/>
      <c r="AD999" s="156"/>
      <c r="AE999" s="156"/>
      <c r="AF999" s="156"/>
      <c r="AG999" s="156"/>
      <c r="AH999" s="156"/>
      <c r="AI999" s="156"/>
      <c r="AJ999" s="156"/>
      <c r="AK999" s="156"/>
      <c r="AL999" s="156"/>
      <c r="AM999" s="158"/>
      <c r="AN999" s="156"/>
      <c r="AO999" s="156"/>
      <c r="AP999" s="156"/>
      <c r="AQ999" s="156"/>
      <c r="AR999" s="156"/>
      <c r="AS999" s="156"/>
      <c r="AT999" s="156"/>
      <c r="AU999" s="156"/>
      <c r="AV999" s="156"/>
      <c r="AW999" s="156"/>
      <c r="AX999" s="156"/>
      <c r="AY999" s="156"/>
      <c r="AZ999" s="156"/>
      <c r="BA999" s="153"/>
      <c r="BD999" s="153"/>
      <c r="BE999" s="147"/>
      <c r="BI999" s="153"/>
      <c r="BO999" s="153"/>
      <c r="BW999" s="153"/>
      <c r="CD999" s="146"/>
      <c r="CF999" s="147"/>
      <c r="CI999" s="146"/>
      <c r="CJ999" s="153"/>
      <c r="CV999" s="154"/>
      <c r="CX999" s="154"/>
      <c r="CZ999" s="154"/>
      <c r="DB999" s="154"/>
      <c r="DD999" s="154"/>
      <c r="DH999" s="474"/>
      <c r="DI999" s="459"/>
      <c r="DJ999" s="459"/>
      <c r="DK999" s="459"/>
      <c r="DL999" s="459"/>
      <c r="DM999" s="459"/>
      <c r="DN999" s="459"/>
      <c r="DO999" s="459"/>
      <c r="DP999" s="459"/>
      <c r="DQ999" s="459"/>
      <c r="DR999" s="459"/>
      <c r="DS999" s="459"/>
      <c r="DT999" s="459"/>
      <c r="DU999" s="459"/>
      <c r="DV999" s="468"/>
      <c r="DW999" s="468"/>
      <c r="DX999" s="459"/>
      <c r="DY999" s="459"/>
    </row>
    <row r="1000" spans="1:129" s="128" customFormat="1" ht="54.95" customHeight="1" x14ac:dyDescent="0.25">
      <c r="A1000" s="377"/>
      <c r="B1000" s="175"/>
      <c r="C1000" s="393"/>
      <c r="D1000" s="168"/>
      <c r="E1000" s="168"/>
      <c r="F1000" s="168"/>
      <c r="G1000" s="168"/>
      <c r="H1000" s="168"/>
      <c r="I1000" s="168"/>
      <c r="J1000" s="168"/>
      <c r="K1000" s="168"/>
      <c r="L1000" s="168"/>
      <c r="M1000" s="168"/>
      <c r="N1000" s="168"/>
      <c r="O1000" s="433"/>
      <c r="P1000" s="122"/>
      <c r="Q1000" s="156"/>
      <c r="R1000" s="156"/>
      <c r="S1000" s="156"/>
      <c r="T1000" s="156"/>
      <c r="U1000" s="156"/>
      <c r="V1000" s="156"/>
      <c r="W1000" s="156"/>
      <c r="X1000" s="156"/>
      <c r="Y1000" s="156"/>
      <c r="Z1000" s="157"/>
      <c r="AA1000" s="157"/>
      <c r="AB1000" s="156"/>
      <c r="AC1000" s="156"/>
      <c r="AD1000" s="156"/>
      <c r="AE1000" s="156"/>
      <c r="AF1000" s="156"/>
      <c r="AG1000" s="156"/>
      <c r="AH1000" s="156"/>
      <c r="AI1000" s="156"/>
      <c r="AJ1000" s="156"/>
      <c r="AK1000" s="156"/>
      <c r="AL1000" s="156"/>
      <c r="AM1000" s="158"/>
      <c r="AN1000" s="156"/>
      <c r="AO1000" s="156"/>
      <c r="AP1000" s="156"/>
      <c r="AQ1000" s="156"/>
      <c r="AR1000" s="156"/>
      <c r="AS1000" s="156"/>
      <c r="AT1000" s="156"/>
      <c r="AU1000" s="156"/>
      <c r="AV1000" s="156"/>
      <c r="AW1000" s="156"/>
      <c r="AX1000" s="156"/>
      <c r="AY1000" s="156"/>
      <c r="AZ1000" s="156"/>
      <c r="BA1000" s="153"/>
      <c r="BD1000" s="153"/>
      <c r="BE1000" s="147"/>
      <c r="BI1000" s="153"/>
      <c r="BO1000" s="153"/>
      <c r="BW1000" s="153"/>
      <c r="CD1000" s="146"/>
      <c r="CF1000" s="147"/>
      <c r="CI1000" s="146"/>
      <c r="CJ1000" s="153"/>
      <c r="CV1000" s="154"/>
      <c r="CX1000" s="154"/>
      <c r="CZ1000" s="154"/>
      <c r="DB1000" s="154"/>
      <c r="DD1000" s="154"/>
      <c r="DH1000" s="474"/>
      <c r="DI1000" s="459"/>
      <c r="DJ1000" s="459"/>
      <c r="DK1000" s="459"/>
      <c r="DL1000" s="459"/>
      <c r="DM1000" s="459"/>
      <c r="DN1000" s="459"/>
      <c r="DO1000" s="459"/>
      <c r="DP1000" s="459"/>
      <c r="DQ1000" s="459"/>
      <c r="DR1000" s="459"/>
      <c r="DS1000" s="459"/>
      <c r="DT1000" s="459"/>
      <c r="DU1000" s="459"/>
      <c r="DV1000" s="468"/>
      <c r="DW1000" s="468"/>
      <c r="DX1000" s="459"/>
      <c r="DY1000" s="459"/>
    </row>
    <row r="1001" spans="1:129" s="128" customFormat="1" ht="54.95" customHeight="1" x14ac:dyDescent="0.25">
      <c r="A1001" s="377"/>
      <c r="B1001" s="175"/>
      <c r="C1001" s="393"/>
      <c r="D1001" s="168"/>
      <c r="E1001" s="168"/>
      <c r="F1001" s="168"/>
      <c r="G1001" s="168"/>
      <c r="H1001" s="168"/>
      <c r="I1001" s="168"/>
      <c r="J1001" s="168"/>
      <c r="K1001" s="168"/>
      <c r="L1001" s="168"/>
      <c r="M1001" s="168"/>
      <c r="N1001" s="168"/>
      <c r="O1001" s="433"/>
      <c r="P1001" s="122"/>
      <c r="Q1001" s="156"/>
      <c r="R1001" s="156"/>
      <c r="S1001" s="156"/>
      <c r="T1001" s="156"/>
      <c r="U1001" s="156"/>
      <c r="V1001" s="156"/>
      <c r="W1001" s="156"/>
      <c r="X1001" s="156"/>
      <c r="Y1001" s="156"/>
      <c r="Z1001" s="157"/>
      <c r="AA1001" s="157"/>
      <c r="AB1001" s="156"/>
      <c r="AC1001" s="156"/>
      <c r="AD1001" s="156"/>
      <c r="AE1001" s="156"/>
      <c r="AF1001" s="156"/>
      <c r="AG1001" s="156"/>
      <c r="AH1001" s="156"/>
      <c r="AI1001" s="156"/>
      <c r="AJ1001" s="156"/>
      <c r="AK1001" s="156"/>
      <c r="AL1001" s="156"/>
      <c r="AM1001" s="158"/>
      <c r="AN1001" s="156"/>
      <c r="AO1001" s="156"/>
      <c r="AP1001" s="156"/>
      <c r="AQ1001" s="156"/>
      <c r="AR1001" s="156"/>
      <c r="AS1001" s="156"/>
      <c r="AT1001" s="156"/>
      <c r="AU1001" s="156"/>
      <c r="AV1001" s="156"/>
      <c r="AW1001" s="156"/>
      <c r="AX1001" s="156"/>
      <c r="AY1001" s="156"/>
      <c r="AZ1001" s="156"/>
      <c r="BA1001" s="153"/>
      <c r="BD1001" s="153"/>
      <c r="BE1001" s="147"/>
      <c r="BI1001" s="153"/>
      <c r="BO1001" s="153"/>
      <c r="BW1001" s="153"/>
      <c r="CD1001" s="146"/>
      <c r="CF1001" s="147"/>
      <c r="CI1001" s="146"/>
      <c r="CJ1001" s="153"/>
      <c r="CV1001" s="154"/>
      <c r="CX1001" s="154"/>
      <c r="CZ1001" s="154"/>
      <c r="DB1001" s="154"/>
      <c r="DD1001" s="154"/>
      <c r="DH1001" s="474"/>
      <c r="DI1001" s="459"/>
      <c r="DJ1001" s="459"/>
      <c r="DK1001" s="459"/>
      <c r="DL1001" s="459"/>
      <c r="DM1001" s="459"/>
      <c r="DN1001" s="459"/>
      <c r="DO1001" s="459"/>
      <c r="DP1001" s="459"/>
      <c r="DQ1001" s="459"/>
      <c r="DR1001" s="459"/>
      <c r="DS1001" s="459"/>
      <c r="DT1001" s="459"/>
      <c r="DU1001" s="459"/>
      <c r="DV1001" s="468"/>
      <c r="DW1001" s="468"/>
      <c r="DX1001" s="459"/>
      <c r="DY1001" s="459"/>
    </row>
    <row r="1002" spans="1:129" s="128" customFormat="1" ht="54.95" customHeight="1" x14ac:dyDescent="0.25">
      <c r="A1002" s="377"/>
      <c r="B1002" s="175"/>
      <c r="C1002" s="393"/>
      <c r="D1002" s="168"/>
      <c r="E1002" s="168"/>
      <c r="F1002" s="168"/>
      <c r="G1002" s="168"/>
      <c r="H1002" s="168"/>
      <c r="I1002" s="168"/>
      <c r="J1002" s="168"/>
      <c r="K1002" s="168"/>
      <c r="L1002" s="168"/>
      <c r="M1002" s="168"/>
      <c r="N1002" s="168"/>
      <c r="O1002" s="433"/>
      <c r="P1002" s="122"/>
      <c r="Q1002" s="156"/>
      <c r="R1002" s="156"/>
      <c r="S1002" s="156"/>
      <c r="T1002" s="156"/>
      <c r="U1002" s="156"/>
      <c r="V1002" s="156"/>
      <c r="W1002" s="156"/>
      <c r="X1002" s="156"/>
      <c r="Y1002" s="156"/>
      <c r="Z1002" s="157"/>
      <c r="AA1002" s="157"/>
      <c r="AB1002" s="156"/>
      <c r="AC1002" s="156"/>
      <c r="AD1002" s="156"/>
      <c r="AE1002" s="156"/>
      <c r="AF1002" s="156"/>
      <c r="AG1002" s="156"/>
      <c r="AH1002" s="156"/>
      <c r="AI1002" s="156"/>
      <c r="AJ1002" s="156"/>
      <c r="AK1002" s="156"/>
      <c r="AL1002" s="156"/>
      <c r="AM1002" s="158"/>
      <c r="AN1002" s="156"/>
      <c r="AO1002" s="156"/>
      <c r="AP1002" s="156"/>
      <c r="AQ1002" s="156"/>
      <c r="AR1002" s="156"/>
      <c r="AS1002" s="156"/>
      <c r="AT1002" s="156"/>
      <c r="AU1002" s="156"/>
      <c r="AV1002" s="156"/>
      <c r="AW1002" s="156"/>
      <c r="AX1002" s="156"/>
      <c r="AY1002" s="156"/>
      <c r="AZ1002" s="156"/>
      <c r="BA1002" s="153"/>
      <c r="BD1002" s="153"/>
      <c r="BE1002" s="147"/>
      <c r="BI1002" s="153"/>
      <c r="BO1002" s="153"/>
      <c r="BW1002" s="153"/>
      <c r="CD1002" s="146"/>
      <c r="CF1002" s="147"/>
      <c r="CI1002" s="146"/>
      <c r="CJ1002" s="153"/>
      <c r="CV1002" s="154"/>
      <c r="CX1002" s="154"/>
      <c r="CZ1002" s="154"/>
      <c r="DB1002" s="154"/>
      <c r="DD1002" s="154"/>
      <c r="DH1002" s="474"/>
      <c r="DI1002" s="459"/>
      <c r="DJ1002" s="459"/>
      <c r="DK1002" s="459"/>
      <c r="DL1002" s="459"/>
      <c r="DM1002" s="459"/>
      <c r="DN1002" s="459"/>
      <c r="DO1002" s="459"/>
      <c r="DP1002" s="459"/>
      <c r="DQ1002" s="459"/>
      <c r="DR1002" s="459"/>
      <c r="DS1002" s="459"/>
      <c r="DT1002" s="459"/>
      <c r="DU1002" s="459"/>
      <c r="DV1002" s="468"/>
      <c r="DW1002" s="468"/>
      <c r="DX1002" s="459"/>
      <c r="DY1002" s="459"/>
    </row>
    <row r="1003" spans="1:129" s="128" customFormat="1" ht="54.95" customHeight="1" x14ac:dyDescent="0.25">
      <c r="A1003" s="377"/>
      <c r="B1003" s="175"/>
      <c r="C1003" s="393"/>
      <c r="D1003" s="168"/>
      <c r="E1003" s="168"/>
      <c r="F1003" s="168"/>
      <c r="G1003" s="168"/>
      <c r="H1003" s="168"/>
      <c r="I1003" s="168"/>
      <c r="J1003" s="168"/>
      <c r="K1003" s="168"/>
      <c r="L1003" s="168"/>
      <c r="M1003" s="168"/>
      <c r="N1003" s="168"/>
      <c r="O1003" s="433"/>
      <c r="P1003" s="122"/>
      <c r="Q1003" s="156"/>
      <c r="R1003" s="156"/>
      <c r="S1003" s="156"/>
      <c r="T1003" s="156"/>
      <c r="U1003" s="156"/>
      <c r="V1003" s="156"/>
      <c r="W1003" s="156"/>
      <c r="X1003" s="156"/>
      <c r="Y1003" s="156"/>
      <c r="Z1003" s="157"/>
      <c r="AA1003" s="157"/>
      <c r="AB1003" s="156"/>
      <c r="AC1003" s="156"/>
      <c r="AD1003" s="156"/>
      <c r="AE1003" s="156"/>
      <c r="AF1003" s="156"/>
      <c r="AG1003" s="156"/>
      <c r="AH1003" s="156"/>
      <c r="AI1003" s="156"/>
      <c r="AJ1003" s="156"/>
      <c r="AK1003" s="156"/>
      <c r="AL1003" s="156"/>
      <c r="AM1003" s="158"/>
      <c r="AN1003" s="156"/>
      <c r="AO1003" s="156"/>
      <c r="AP1003" s="156"/>
      <c r="AQ1003" s="156"/>
      <c r="AR1003" s="156"/>
      <c r="AS1003" s="156"/>
      <c r="AT1003" s="156"/>
      <c r="AU1003" s="156"/>
      <c r="AV1003" s="156"/>
      <c r="AW1003" s="156"/>
      <c r="AX1003" s="156"/>
      <c r="AY1003" s="156"/>
      <c r="AZ1003" s="156"/>
      <c r="BA1003" s="153"/>
      <c r="BD1003" s="153"/>
      <c r="BE1003" s="147"/>
      <c r="BI1003" s="153"/>
      <c r="BO1003" s="153"/>
      <c r="BW1003" s="153"/>
      <c r="CD1003" s="146"/>
      <c r="CF1003" s="147"/>
      <c r="CI1003" s="146"/>
      <c r="CJ1003" s="153"/>
      <c r="CV1003" s="154"/>
      <c r="CX1003" s="154"/>
      <c r="CZ1003" s="154"/>
      <c r="DB1003" s="154"/>
      <c r="DD1003" s="154"/>
      <c r="DH1003" s="474"/>
      <c r="DI1003" s="459"/>
      <c r="DJ1003" s="459"/>
      <c r="DK1003" s="459"/>
      <c r="DL1003" s="459"/>
      <c r="DM1003" s="459"/>
      <c r="DN1003" s="459"/>
      <c r="DO1003" s="459"/>
      <c r="DP1003" s="459"/>
      <c r="DQ1003" s="459"/>
      <c r="DR1003" s="459"/>
      <c r="DS1003" s="459"/>
      <c r="DT1003" s="459"/>
      <c r="DU1003" s="459"/>
      <c r="DV1003" s="468"/>
      <c r="DW1003" s="468"/>
      <c r="DX1003" s="459"/>
      <c r="DY1003" s="459"/>
    </row>
    <row r="1004" spans="1:129" s="128" customFormat="1" ht="54.95" customHeight="1" x14ac:dyDescent="0.25">
      <c r="A1004" s="377"/>
      <c r="B1004" s="175"/>
      <c r="C1004" s="393"/>
      <c r="D1004" s="168"/>
      <c r="E1004" s="168"/>
      <c r="F1004" s="168"/>
      <c r="G1004" s="168"/>
      <c r="H1004" s="168"/>
      <c r="I1004" s="168"/>
      <c r="J1004" s="168"/>
      <c r="K1004" s="168"/>
      <c r="L1004" s="168"/>
      <c r="M1004" s="168"/>
      <c r="N1004" s="168"/>
      <c r="O1004" s="433"/>
      <c r="P1004" s="122"/>
      <c r="Q1004" s="156"/>
      <c r="R1004" s="156"/>
      <c r="S1004" s="156"/>
      <c r="T1004" s="156"/>
      <c r="U1004" s="156"/>
      <c r="V1004" s="156"/>
      <c r="W1004" s="156"/>
      <c r="X1004" s="156"/>
      <c r="Y1004" s="156"/>
      <c r="Z1004" s="157"/>
      <c r="AA1004" s="157"/>
      <c r="AB1004" s="156"/>
      <c r="AC1004" s="156"/>
      <c r="AD1004" s="156"/>
      <c r="AE1004" s="156"/>
      <c r="AF1004" s="156"/>
      <c r="AG1004" s="156"/>
      <c r="AH1004" s="156"/>
      <c r="AI1004" s="156"/>
      <c r="AJ1004" s="156"/>
      <c r="AK1004" s="156"/>
      <c r="AL1004" s="156"/>
      <c r="AM1004" s="158"/>
      <c r="AN1004" s="156"/>
      <c r="AO1004" s="156"/>
      <c r="AP1004" s="156"/>
      <c r="AQ1004" s="156"/>
      <c r="AR1004" s="156"/>
      <c r="AS1004" s="156"/>
      <c r="AT1004" s="156"/>
      <c r="AU1004" s="156"/>
      <c r="AV1004" s="156"/>
      <c r="AW1004" s="156"/>
      <c r="AX1004" s="156"/>
      <c r="AY1004" s="156"/>
      <c r="AZ1004" s="156"/>
      <c r="BA1004" s="153"/>
      <c r="BD1004" s="153"/>
      <c r="BE1004" s="147"/>
      <c r="BI1004" s="153"/>
      <c r="BO1004" s="153"/>
      <c r="BW1004" s="153"/>
      <c r="CD1004" s="146"/>
      <c r="CF1004" s="147"/>
      <c r="CI1004" s="146"/>
      <c r="CJ1004" s="153"/>
      <c r="CV1004" s="154"/>
      <c r="CX1004" s="154"/>
      <c r="CZ1004" s="154"/>
      <c r="DB1004" s="154"/>
      <c r="DD1004" s="154"/>
      <c r="DH1004" s="474"/>
      <c r="DI1004" s="459"/>
      <c r="DJ1004" s="459"/>
      <c r="DK1004" s="459"/>
      <c r="DL1004" s="459"/>
      <c r="DM1004" s="459"/>
      <c r="DN1004" s="459"/>
      <c r="DO1004" s="459"/>
      <c r="DP1004" s="459"/>
      <c r="DQ1004" s="459"/>
      <c r="DR1004" s="459"/>
      <c r="DS1004" s="459"/>
      <c r="DT1004" s="459"/>
      <c r="DU1004" s="459"/>
      <c r="DV1004" s="468"/>
      <c r="DW1004" s="468"/>
      <c r="DX1004" s="459"/>
      <c r="DY1004" s="459"/>
    </row>
    <row r="1005" spans="1:129" s="128" customFormat="1" ht="54.95" customHeight="1" x14ac:dyDescent="0.25">
      <c r="A1005" s="377"/>
      <c r="B1005" s="175"/>
      <c r="C1005" s="393"/>
      <c r="D1005" s="168"/>
      <c r="E1005" s="168"/>
      <c r="F1005" s="168"/>
      <c r="G1005" s="168"/>
      <c r="H1005" s="168"/>
      <c r="I1005" s="168"/>
      <c r="J1005" s="168"/>
      <c r="K1005" s="168"/>
      <c r="L1005" s="168"/>
      <c r="M1005" s="168"/>
      <c r="N1005" s="168"/>
      <c r="O1005" s="433"/>
      <c r="P1005" s="122"/>
      <c r="Q1005" s="156"/>
      <c r="R1005" s="156"/>
      <c r="S1005" s="156"/>
      <c r="T1005" s="156"/>
      <c r="U1005" s="156"/>
      <c r="V1005" s="156"/>
      <c r="W1005" s="156"/>
      <c r="X1005" s="156"/>
      <c r="Y1005" s="156"/>
      <c r="Z1005" s="157"/>
      <c r="AA1005" s="157"/>
      <c r="AB1005" s="156"/>
      <c r="AC1005" s="156"/>
      <c r="AD1005" s="156"/>
      <c r="AE1005" s="156"/>
      <c r="AF1005" s="156"/>
      <c r="AG1005" s="156"/>
      <c r="AH1005" s="156"/>
      <c r="AI1005" s="156"/>
      <c r="AJ1005" s="156"/>
      <c r="AK1005" s="156"/>
      <c r="AL1005" s="156"/>
      <c r="AM1005" s="158"/>
      <c r="AN1005" s="156"/>
      <c r="AO1005" s="156"/>
      <c r="AP1005" s="156"/>
      <c r="AQ1005" s="156"/>
      <c r="AR1005" s="156"/>
      <c r="AS1005" s="156"/>
      <c r="AT1005" s="156"/>
      <c r="AU1005" s="156"/>
      <c r="AV1005" s="156"/>
      <c r="AW1005" s="156"/>
      <c r="AX1005" s="156"/>
      <c r="AY1005" s="156"/>
      <c r="AZ1005" s="156"/>
      <c r="BA1005" s="153"/>
      <c r="BD1005" s="153"/>
      <c r="BE1005" s="147"/>
      <c r="BI1005" s="153"/>
      <c r="BO1005" s="153"/>
      <c r="BW1005" s="153"/>
      <c r="CD1005" s="146"/>
      <c r="CF1005" s="147"/>
      <c r="CI1005" s="146"/>
      <c r="CJ1005" s="153"/>
      <c r="CV1005" s="154"/>
      <c r="CX1005" s="154"/>
      <c r="CZ1005" s="154"/>
      <c r="DB1005" s="154"/>
      <c r="DD1005" s="154"/>
      <c r="DH1005" s="474"/>
      <c r="DI1005" s="459"/>
      <c r="DJ1005" s="459"/>
      <c r="DK1005" s="459"/>
      <c r="DL1005" s="459"/>
      <c r="DM1005" s="459"/>
      <c r="DN1005" s="459"/>
      <c r="DO1005" s="459"/>
      <c r="DP1005" s="459"/>
      <c r="DQ1005" s="459"/>
      <c r="DR1005" s="459"/>
      <c r="DS1005" s="459"/>
      <c r="DT1005" s="459"/>
      <c r="DU1005" s="459"/>
      <c r="DV1005" s="468"/>
      <c r="DW1005" s="468"/>
      <c r="DX1005" s="459"/>
      <c r="DY1005" s="459"/>
    </row>
    <row r="1006" spans="1:129" s="128" customFormat="1" ht="54.95" customHeight="1" x14ac:dyDescent="0.25">
      <c r="A1006" s="377"/>
      <c r="B1006" s="175"/>
      <c r="C1006" s="393"/>
      <c r="D1006" s="168"/>
      <c r="E1006" s="168"/>
      <c r="F1006" s="168"/>
      <c r="G1006" s="168"/>
      <c r="H1006" s="168"/>
      <c r="I1006" s="168"/>
      <c r="J1006" s="168"/>
      <c r="K1006" s="168"/>
      <c r="L1006" s="168"/>
      <c r="M1006" s="168"/>
      <c r="N1006" s="168"/>
      <c r="O1006" s="433"/>
      <c r="P1006" s="122"/>
      <c r="Q1006" s="156"/>
      <c r="R1006" s="156"/>
      <c r="S1006" s="156"/>
      <c r="T1006" s="156"/>
      <c r="U1006" s="156"/>
      <c r="V1006" s="156"/>
      <c r="W1006" s="156"/>
      <c r="X1006" s="156"/>
      <c r="Y1006" s="156"/>
      <c r="Z1006" s="157"/>
      <c r="AA1006" s="157"/>
      <c r="AB1006" s="156"/>
      <c r="AC1006" s="156"/>
      <c r="AD1006" s="156"/>
      <c r="AE1006" s="156"/>
      <c r="AF1006" s="156"/>
      <c r="AG1006" s="156"/>
      <c r="AH1006" s="156"/>
      <c r="AI1006" s="156"/>
      <c r="AJ1006" s="156"/>
      <c r="AK1006" s="156"/>
      <c r="AL1006" s="156"/>
      <c r="AM1006" s="158"/>
      <c r="AN1006" s="156"/>
      <c r="AO1006" s="156"/>
      <c r="AP1006" s="156"/>
      <c r="AQ1006" s="156"/>
      <c r="AR1006" s="156"/>
      <c r="AS1006" s="156"/>
      <c r="AT1006" s="156"/>
      <c r="AU1006" s="156"/>
      <c r="AV1006" s="156"/>
      <c r="AW1006" s="156"/>
      <c r="AX1006" s="156"/>
      <c r="AY1006" s="156"/>
      <c r="AZ1006" s="156"/>
      <c r="BA1006" s="153"/>
      <c r="BD1006" s="153"/>
      <c r="BE1006" s="147"/>
      <c r="BI1006" s="153"/>
      <c r="BO1006" s="153"/>
      <c r="BW1006" s="153"/>
      <c r="CD1006" s="146"/>
      <c r="CF1006" s="147"/>
      <c r="CI1006" s="146"/>
      <c r="CJ1006" s="153"/>
      <c r="CV1006" s="154"/>
      <c r="CX1006" s="154"/>
      <c r="CZ1006" s="154"/>
      <c r="DB1006" s="154"/>
      <c r="DD1006" s="154"/>
      <c r="DH1006" s="474"/>
      <c r="DI1006" s="459"/>
      <c r="DJ1006" s="459"/>
      <c r="DK1006" s="459"/>
      <c r="DL1006" s="459"/>
      <c r="DM1006" s="459"/>
      <c r="DN1006" s="459"/>
      <c r="DO1006" s="459"/>
      <c r="DP1006" s="459"/>
      <c r="DQ1006" s="459"/>
      <c r="DR1006" s="459"/>
      <c r="DS1006" s="459"/>
      <c r="DT1006" s="459"/>
      <c r="DU1006" s="459"/>
      <c r="DV1006" s="468"/>
      <c r="DW1006" s="468"/>
      <c r="DX1006" s="459"/>
      <c r="DY1006" s="459"/>
    </row>
    <row r="1007" spans="1:129" s="128" customFormat="1" ht="54.95" customHeight="1" x14ac:dyDescent="0.25">
      <c r="A1007" s="377"/>
      <c r="B1007" s="175"/>
      <c r="C1007" s="393"/>
      <c r="D1007" s="168"/>
      <c r="E1007" s="168"/>
      <c r="F1007" s="168"/>
      <c r="G1007" s="168"/>
      <c r="H1007" s="168"/>
      <c r="I1007" s="168"/>
      <c r="J1007" s="168"/>
      <c r="K1007" s="168"/>
      <c r="L1007" s="168"/>
      <c r="M1007" s="168"/>
      <c r="N1007" s="168"/>
      <c r="O1007" s="433"/>
      <c r="P1007" s="122"/>
      <c r="Q1007" s="156"/>
      <c r="R1007" s="156"/>
      <c r="S1007" s="156"/>
      <c r="T1007" s="156"/>
      <c r="U1007" s="156"/>
      <c r="V1007" s="156"/>
      <c r="W1007" s="156"/>
      <c r="X1007" s="156"/>
      <c r="Y1007" s="156"/>
      <c r="Z1007" s="157"/>
      <c r="AA1007" s="157"/>
      <c r="AB1007" s="156"/>
      <c r="AC1007" s="156"/>
      <c r="AD1007" s="156"/>
      <c r="AE1007" s="156"/>
      <c r="AF1007" s="156"/>
      <c r="AG1007" s="156"/>
      <c r="AH1007" s="156"/>
      <c r="AI1007" s="156"/>
      <c r="AJ1007" s="156"/>
      <c r="AK1007" s="156"/>
      <c r="AL1007" s="156"/>
      <c r="AM1007" s="158"/>
      <c r="AN1007" s="156"/>
      <c r="AO1007" s="156"/>
      <c r="AP1007" s="156"/>
      <c r="AQ1007" s="156"/>
      <c r="AR1007" s="156"/>
      <c r="AS1007" s="156"/>
      <c r="AT1007" s="156"/>
      <c r="AU1007" s="156"/>
      <c r="AV1007" s="156"/>
      <c r="AW1007" s="156"/>
      <c r="AX1007" s="156"/>
      <c r="AY1007" s="156"/>
      <c r="AZ1007" s="156"/>
      <c r="BA1007" s="153"/>
      <c r="BD1007" s="153"/>
      <c r="BE1007" s="147"/>
      <c r="BI1007" s="153"/>
      <c r="BO1007" s="153"/>
      <c r="BW1007" s="153"/>
      <c r="CD1007" s="146"/>
      <c r="CF1007" s="147"/>
      <c r="CI1007" s="146"/>
      <c r="CJ1007" s="153"/>
      <c r="CV1007" s="154"/>
      <c r="CX1007" s="154"/>
      <c r="CZ1007" s="154"/>
      <c r="DB1007" s="154"/>
      <c r="DD1007" s="154"/>
      <c r="DH1007" s="474"/>
      <c r="DI1007" s="459"/>
      <c r="DJ1007" s="459"/>
      <c r="DK1007" s="459"/>
      <c r="DL1007" s="459"/>
      <c r="DM1007" s="459"/>
      <c r="DN1007" s="459"/>
      <c r="DO1007" s="459"/>
      <c r="DP1007" s="459"/>
      <c r="DQ1007" s="459"/>
      <c r="DR1007" s="459"/>
      <c r="DS1007" s="459"/>
      <c r="DT1007" s="459"/>
      <c r="DU1007" s="459"/>
      <c r="DV1007" s="468"/>
      <c r="DW1007" s="468"/>
      <c r="DX1007" s="459"/>
      <c r="DY1007" s="459"/>
    </row>
    <row r="1008" spans="1:129" s="128" customFormat="1" ht="54.95" customHeight="1" x14ac:dyDescent="0.25">
      <c r="A1008" s="377"/>
      <c r="B1008" s="175"/>
      <c r="C1008" s="393"/>
      <c r="D1008" s="168"/>
      <c r="E1008" s="168"/>
      <c r="F1008" s="168"/>
      <c r="G1008" s="168"/>
      <c r="H1008" s="168"/>
      <c r="I1008" s="168"/>
      <c r="J1008" s="168"/>
      <c r="K1008" s="168"/>
      <c r="L1008" s="168"/>
      <c r="M1008" s="168"/>
      <c r="N1008" s="168"/>
      <c r="O1008" s="433"/>
      <c r="P1008" s="122"/>
      <c r="Q1008" s="156"/>
      <c r="R1008" s="156"/>
      <c r="S1008" s="156"/>
      <c r="T1008" s="156"/>
      <c r="U1008" s="156"/>
      <c r="V1008" s="156"/>
      <c r="W1008" s="156"/>
      <c r="X1008" s="156"/>
      <c r="Y1008" s="156"/>
      <c r="Z1008" s="157"/>
      <c r="AA1008" s="157"/>
      <c r="AB1008" s="156"/>
      <c r="AC1008" s="156"/>
      <c r="AD1008" s="156"/>
      <c r="AE1008" s="156"/>
      <c r="AF1008" s="156"/>
      <c r="AG1008" s="156"/>
      <c r="AH1008" s="156"/>
      <c r="AI1008" s="156"/>
      <c r="AJ1008" s="156"/>
      <c r="AK1008" s="156"/>
      <c r="AL1008" s="156"/>
      <c r="AM1008" s="158"/>
      <c r="AN1008" s="156"/>
      <c r="AO1008" s="156"/>
      <c r="AP1008" s="156"/>
      <c r="AQ1008" s="156"/>
      <c r="AR1008" s="156"/>
      <c r="AS1008" s="156"/>
      <c r="AT1008" s="156"/>
      <c r="AU1008" s="156"/>
      <c r="AV1008" s="156"/>
      <c r="AW1008" s="156"/>
      <c r="AX1008" s="156"/>
      <c r="AY1008" s="156"/>
      <c r="AZ1008" s="156"/>
      <c r="BA1008" s="153"/>
      <c r="BD1008" s="153"/>
      <c r="BE1008" s="147"/>
      <c r="BI1008" s="153"/>
      <c r="BO1008" s="153"/>
      <c r="BW1008" s="153"/>
      <c r="CD1008" s="146"/>
      <c r="CF1008" s="147"/>
      <c r="CI1008" s="146"/>
      <c r="CJ1008" s="153"/>
      <c r="CV1008" s="154"/>
      <c r="CX1008" s="154"/>
      <c r="CZ1008" s="154"/>
      <c r="DB1008" s="154"/>
      <c r="DD1008" s="154"/>
      <c r="DH1008" s="474"/>
      <c r="DI1008" s="459"/>
      <c r="DJ1008" s="459"/>
      <c r="DK1008" s="459"/>
      <c r="DL1008" s="459"/>
      <c r="DM1008" s="459"/>
      <c r="DN1008" s="459"/>
      <c r="DO1008" s="459"/>
      <c r="DP1008" s="459"/>
      <c r="DQ1008" s="459"/>
      <c r="DR1008" s="459"/>
      <c r="DS1008" s="459"/>
      <c r="DT1008" s="459"/>
      <c r="DU1008" s="459"/>
      <c r="DV1008" s="468"/>
      <c r="DW1008" s="468"/>
      <c r="DX1008" s="459"/>
      <c r="DY1008" s="459"/>
    </row>
    <row r="1009" spans="1:129" s="128" customFormat="1" ht="54.95" customHeight="1" x14ac:dyDescent="0.25">
      <c r="A1009" s="377"/>
      <c r="B1009" s="175"/>
      <c r="C1009" s="393"/>
      <c r="D1009" s="168"/>
      <c r="E1009" s="168"/>
      <c r="F1009" s="168"/>
      <c r="G1009" s="168"/>
      <c r="H1009" s="168"/>
      <c r="I1009" s="168"/>
      <c r="J1009" s="168"/>
      <c r="K1009" s="168"/>
      <c r="L1009" s="168"/>
      <c r="M1009" s="168"/>
      <c r="N1009" s="168"/>
      <c r="O1009" s="433"/>
      <c r="P1009" s="122"/>
      <c r="Q1009" s="156"/>
      <c r="R1009" s="156"/>
      <c r="S1009" s="156"/>
      <c r="T1009" s="156"/>
      <c r="U1009" s="156"/>
      <c r="V1009" s="156"/>
      <c r="W1009" s="156"/>
      <c r="X1009" s="156"/>
      <c r="Y1009" s="156"/>
      <c r="Z1009" s="157"/>
      <c r="AA1009" s="157"/>
      <c r="AB1009" s="156"/>
      <c r="AC1009" s="156"/>
      <c r="AD1009" s="156"/>
      <c r="AE1009" s="156"/>
      <c r="AF1009" s="156"/>
      <c r="AG1009" s="156"/>
      <c r="AH1009" s="156"/>
      <c r="AI1009" s="156"/>
      <c r="AJ1009" s="156"/>
      <c r="AK1009" s="156"/>
      <c r="AL1009" s="156"/>
      <c r="AM1009" s="158"/>
      <c r="AN1009" s="156"/>
      <c r="AO1009" s="156"/>
      <c r="AP1009" s="156"/>
      <c r="AQ1009" s="156"/>
      <c r="AR1009" s="156"/>
      <c r="AS1009" s="156"/>
      <c r="AT1009" s="156"/>
      <c r="AU1009" s="156"/>
      <c r="AV1009" s="156"/>
      <c r="AW1009" s="156"/>
      <c r="AX1009" s="156"/>
      <c r="AY1009" s="156"/>
      <c r="AZ1009" s="156"/>
      <c r="BA1009" s="153"/>
      <c r="BD1009" s="153"/>
      <c r="BE1009" s="147"/>
      <c r="BI1009" s="153"/>
      <c r="BO1009" s="153"/>
      <c r="BW1009" s="153"/>
      <c r="CD1009" s="146"/>
      <c r="CF1009" s="147"/>
      <c r="CI1009" s="146"/>
      <c r="CJ1009" s="153"/>
      <c r="CV1009" s="154"/>
      <c r="CX1009" s="154"/>
      <c r="CZ1009" s="154"/>
      <c r="DB1009" s="154"/>
      <c r="DD1009" s="154"/>
      <c r="DH1009" s="474"/>
      <c r="DI1009" s="459"/>
      <c r="DJ1009" s="459"/>
      <c r="DK1009" s="459"/>
      <c r="DL1009" s="459"/>
      <c r="DM1009" s="459"/>
      <c r="DN1009" s="459"/>
      <c r="DO1009" s="459"/>
      <c r="DP1009" s="459"/>
      <c r="DQ1009" s="459"/>
      <c r="DR1009" s="459"/>
      <c r="DS1009" s="459"/>
      <c r="DT1009" s="459"/>
      <c r="DU1009" s="459"/>
      <c r="DV1009" s="468"/>
      <c r="DW1009" s="468"/>
      <c r="DX1009" s="459"/>
      <c r="DY1009" s="459"/>
    </row>
    <row r="1010" spans="1:129" s="128" customFormat="1" ht="54.95" customHeight="1" x14ac:dyDescent="0.25">
      <c r="A1010" s="377"/>
      <c r="B1010" s="175"/>
      <c r="C1010" s="393"/>
      <c r="D1010" s="168"/>
      <c r="E1010" s="168"/>
      <c r="F1010" s="168"/>
      <c r="G1010" s="168"/>
      <c r="H1010" s="168"/>
      <c r="I1010" s="168"/>
      <c r="J1010" s="168"/>
      <c r="K1010" s="168"/>
      <c r="L1010" s="168"/>
      <c r="M1010" s="168"/>
      <c r="N1010" s="168"/>
      <c r="O1010" s="433"/>
      <c r="P1010" s="122"/>
      <c r="Q1010" s="156"/>
      <c r="R1010" s="156"/>
      <c r="S1010" s="156"/>
      <c r="T1010" s="156"/>
      <c r="U1010" s="156"/>
      <c r="V1010" s="156"/>
      <c r="W1010" s="156"/>
      <c r="X1010" s="156"/>
      <c r="Y1010" s="156"/>
      <c r="Z1010" s="157"/>
      <c r="AA1010" s="157"/>
      <c r="AB1010" s="156"/>
      <c r="AC1010" s="156"/>
      <c r="AD1010" s="156"/>
      <c r="AE1010" s="156"/>
      <c r="AF1010" s="156"/>
      <c r="AG1010" s="156"/>
      <c r="AH1010" s="156"/>
      <c r="AI1010" s="156"/>
      <c r="AJ1010" s="156"/>
      <c r="AK1010" s="156"/>
      <c r="AL1010" s="156"/>
      <c r="AM1010" s="158"/>
      <c r="AN1010" s="156"/>
      <c r="AO1010" s="156"/>
      <c r="AP1010" s="156"/>
      <c r="AQ1010" s="156"/>
      <c r="AR1010" s="156"/>
      <c r="AS1010" s="156"/>
      <c r="AT1010" s="156"/>
      <c r="AU1010" s="156"/>
      <c r="AV1010" s="156"/>
      <c r="AW1010" s="156"/>
      <c r="AX1010" s="156"/>
      <c r="AY1010" s="156"/>
      <c r="AZ1010" s="156"/>
      <c r="BA1010" s="153"/>
      <c r="BD1010" s="153"/>
      <c r="BE1010" s="147"/>
      <c r="BI1010" s="153"/>
      <c r="BO1010" s="153"/>
      <c r="BW1010" s="153"/>
      <c r="CD1010" s="146"/>
      <c r="CF1010" s="147"/>
      <c r="CI1010" s="146"/>
      <c r="CJ1010" s="153"/>
      <c r="CV1010" s="154"/>
      <c r="CX1010" s="154"/>
      <c r="CZ1010" s="154"/>
      <c r="DB1010" s="154"/>
      <c r="DD1010" s="154"/>
      <c r="DH1010" s="474"/>
      <c r="DI1010" s="459"/>
      <c r="DJ1010" s="459"/>
      <c r="DK1010" s="459"/>
      <c r="DL1010" s="459"/>
      <c r="DM1010" s="459"/>
      <c r="DN1010" s="459"/>
      <c r="DO1010" s="459"/>
      <c r="DP1010" s="459"/>
      <c r="DQ1010" s="459"/>
      <c r="DR1010" s="459"/>
      <c r="DS1010" s="459"/>
      <c r="DT1010" s="459"/>
      <c r="DU1010" s="459"/>
      <c r="DV1010" s="468"/>
      <c r="DW1010" s="468"/>
      <c r="DX1010" s="459"/>
      <c r="DY1010" s="459"/>
    </row>
    <row r="1011" spans="1:129" s="128" customFormat="1" ht="54.95" customHeight="1" x14ac:dyDescent="0.25">
      <c r="A1011" s="377"/>
      <c r="B1011" s="175"/>
      <c r="C1011" s="393"/>
      <c r="D1011" s="168"/>
      <c r="E1011" s="168"/>
      <c r="F1011" s="168"/>
      <c r="G1011" s="168"/>
      <c r="H1011" s="168"/>
      <c r="I1011" s="168"/>
      <c r="J1011" s="168"/>
      <c r="K1011" s="168"/>
      <c r="L1011" s="168"/>
      <c r="M1011" s="168"/>
      <c r="N1011" s="168"/>
      <c r="O1011" s="433"/>
      <c r="P1011" s="122"/>
      <c r="Q1011" s="156"/>
      <c r="R1011" s="156"/>
      <c r="S1011" s="156"/>
      <c r="T1011" s="156"/>
      <c r="U1011" s="156"/>
      <c r="V1011" s="156"/>
      <c r="W1011" s="156"/>
      <c r="X1011" s="156"/>
      <c r="Y1011" s="156"/>
      <c r="Z1011" s="157"/>
      <c r="AA1011" s="157"/>
      <c r="AB1011" s="156"/>
      <c r="AC1011" s="156"/>
      <c r="AD1011" s="156"/>
      <c r="AE1011" s="156"/>
      <c r="AF1011" s="156"/>
      <c r="AG1011" s="156"/>
      <c r="AH1011" s="156"/>
      <c r="AI1011" s="156"/>
      <c r="AJ1011" s="156"/>
      <c r="AK1011" s="156"/>
      <c r="AL1011" s="156"/>
      <c r="AM1011" s="158"/>
      <c r="AN1011" s="156"/>
      <c r="AO1011" s="156"/>
      <c r="AP1011" s="156"/>
      <c r="AQ1011" s="156"/>
      <c r="AR1011" s="156"/>
      <c r="AS1011" s="156"/>
      <c r="AT1011" s="156"/>
      <c r="AU1011" s="156"/>
      <c r="AV1011" s="156"/>
      <c r="AW1011" s="156"/>
      <c r="AX1011" s="156"/>
      <c r="AY1011" s="156"/>
      <c r="AZ1011" s="156"/>
      <c r="BA1011" s="153"/>
      <c r="BD1011" s="153"/>
      <c r="BE1011" s="147"/>
      <c r="BI1011" s="153"/>
      <c r="BO1011" s="153"/>
      <c r="BW1011" s="153"/>
      <c r="CD1011" s="146"/>
      <c r="CF1011" s="147"/>
      <c r="CI1011" s="146"/>
      <c r="CJ1011" s="153"/>
      <c r="CV1011" s="154"/>
      <c r="CX1011" s="154"/>
      <c r="CZ1011" s="154"/>
      <c r="DB1011" s="154"/>
      <c r="DD1011" s="154"/>
      <c r="DH1011" s="474"/>
      <c r="DI1011" s="459"/>
      <c r="DJ1011" s="459"/>
      <c r="DK1011" s="459"/>
      <c r="DL1011" s="459"/>
      <c r="DM1011" s="459"/>
      <c r="DN1011" s="459"/>
      <c r="DO1011" s="459"/>
      <c r="DP1011" s="459"/>
      <c r="DQ1011" s="459"/>
      <c r="DR1011" s="459"/>
      <c r="DS1011" s="459"/>
      <c r="DT1011" s="459"/>
      <c r="DU1011" s="459"/>
      <c r="DV1011" s="468"/>
      <c r="DW1011" s="468"/>
      <c r="DX1011" s="459"/>
      <c r="DY1011" s="459"/>
    </row>
    <row r="1012" spans="1:129" s="128" customFormat="1" ht="54.95" customHeight="1" x14ac:dyDescent="0.25">
      <c r="A1012" s="377"/>
      <c r="B1012" s="175"/>
      <c r="C1012" s="393"/>
      <c r="D1012" s="168"/>
      <c r="E1012" s="168"/>
      <c r="F1012" s="168"/>
      <c r="G1012" s="168"/>
      <c r="H1012" s="168"/>
      <c r="I1012" s="168"/>
      <c r="J1012" s="168"/>
      <c r="K1012" s="168"/>
      <c r="L1012" s="168"/>
      <c r="M1012" s="168"/>
      <c r="N1012" s="168"/>
      <c r="O1012" s="433"/>
      <c r="P1012" s="122"/>
      <c r="Q1012" s="156"/>
      <c r="R1012" s="156"/>
      <c r="S1012" s="156"/>
      <c r="T1012" s="156"/>
      <c r="U1012" s="156"/>
      <c r="V1012" s="156"/>
      <c r="W1012" s="156"/>
      <c r="X1012" s="156"/>
      <c r="Y1012" s="156"/>
      <c r="Z1012" s="157"/>
      <c r="AA1012" s="157"/>
      <c r="AB1012" s="156"/>
      <c r="AC1012" s="156"/>
      <c r="AD1012" s="156"/>
      <c r="AE1012" s="156"/>
      <c r="AF1012" s="156"/>
      <c r="AG1012" s="156"/>
      <c r="AH1012" s="156"/>
      <c r="AI1012" s="156"/>
      <c r="AJ1012" s="156"/>
      <c r="AK1012" s="156"/>
      <c r="AL1012" s="156"/>
      <c r="AM1012" s="158"/>
      <c r="AN1012" s="156"/>
      <c r="AO1012" s="156"/>
      <c r="AP1012" s="156"/>
      <c r="AQ1012" s="156"/>
      <c r="AR1012" s="156"/>
      <c r="AS1012" s="156"/>
      <c r="AT1012" s="156"/>
      <c r="AU1012" s="156"/>
      <c r="AV1012" s="156"/>
      <c r="AW1012" s="156"/>
      <c r="AX1012" s="156"/>
      <c r="AY1012" s="156"/>
      <c r="AZ1012" s="156"/>
      <c r="BA1012" s="153"/>
      <c r="BD1012" s="153"/>
      <c r="BE1012" s="147"/>
      <c r="BI1012" s="153"/>
      <c r="BO1012" s="153"/>
      <c r="BW1012" s="153"/>
      <c r="CD1012" s="146"/>
      <c r="CF1012" s="147"/>
      <c r="CI1012" s="146"/>
      <c r="CJ1012" s="153"/>
      <c r="CV1012" s="154"/>
      <c r="CX1012" s="154"/>
      <c r="CZ1012" s="154"/>
      <c r="DB1012" s="154"/>
      <c r="DD1012" s="154"/>
      <c r="DH1012" s="474"/>
      <c r="DI1012" s="459"/>
      <c r="DJ1012" s="459"/>
      <c r="DK1012" s="459"/>
      <c r="DL1012" s="459"/>
      <c r="DM1012" s="459"/>
      <c r="DN1012" s="459"/>
      <c r="DO1012" s="459"/>
      <c r="DP1012" s="459"/>
      <c r="DQ1012" s="459"/>
      <c r="DR1012" s="459"/>
      <c r="DS1012" s="459"/>
      <c r="DT1012" s="459"/>
      <c r="DU1012" s="459"/>
      <c r="DV1012" s="468"/>
      <c r="DW1012" s="468"/>
      <c r="DX1012" s="459"/>
      <c r="DY1012" s="459"/>
    </row>
    <row r="1013" spans="1:129" s="128" customFormat="1" ht="54.95" customHeight="1" x14ac:dyDescent="0.25">
      <c r="A1013" s="377"/>
      <c r="B1013" s="175"/>
      <c r="C1013" s="393"/>
      <c r="D1013" s="168"/>
      <c r="E1013" s="168"/>
      <c r="F1013" s="168"/>
      <c r="G1013" s="168"/>
      <c r="H1013" s="168"/>
      <c r="I1013" s="168"/>
      <c r="J1013" s="168"/>
      <c r="K1013" s="168"/>
      <c r="L1013" s="168"/>
      <c r="M1013" s="168"/>
      <c r="N1013" s="168"/>
      <c r="O1013" s="433"/>
      <c r="P1013" s="122"/>
      <c r="Q1013" s="156"/>
      <c r="R1013" s="156"/>
      <c r="S1013" s="156"/>
      <c r="T1013" s="156"/>
      <c r="U1013" s="156"/>
      <c r="V1013" s="156"/>
      <c r="W1013" s="156"/>
      <c r="X1013" s="156"/>
      <c r="Y1013" s="156"/>
      <c r="Z1013" s="157"/>
      <c r="AA1013" s="157"/>
      <c r="AB1013" s="156"/>
      <c r="AC1013" s="156"/>
      <c r="AD1013" s="156"/>
      <c r="AE1013" s="156"/>
      <c r="AF1013" s="156"/>
      <c r="AG1013" s="156"/>
      <c r="AH1013" s="156"/>
      <c r="AI1013" s="156"/>
      <c r="AJ1013" s="156"/>
      <c r="AK1013" s="156"/>
      <c r="AL1013" s="156"/>
      <c r="AM1013" s="158"/>
      <c r="AN1013" s="156"/>
      <c r="AO1013" s="156"/>
      <c r="AP1013" s="156"/>
      <c r="AQ1013" s="156"/>
      <c r="AR1013" s="156"/>
      <c r="AS1013" s="156"/>
      <c r="AT1013" s="156"/>
      <c r="AU1013" s="156"/>
      <c r="AV1013" s="156"/>
      <c r="AW1013" s="156"/>
      <c r="AX1013" s="156"/>
      <c r="AY1013" s="156"/>
      <c r="AZ1013" s="156"/>
      <c r="BA1013" s="153"/>
      <c r="BD1013" s="153"/>
      <c r="BE1013" s="147"/>
      <c r="BI1013" s="153"/>
      <c r="BO1013" s="153"/>
      <c r="BW1013" s="153"/>
      <c r="CD1013" s="146"/>
      <c r="CF1013" s="147"/>
      <c r="CI1013" s="146"/>
      <c r="CJ1013" s="153"/>
      <c r="CV1013" s="154"/>
      <c r="CX1013" s="154"/>
      <c r="CZ1013" s="154"/>
      <c r="DB1013" s="154"/>
      <c r="DD1013" s="154"/>
      <c r="DH1013" s="474"/>
      <c r="DI1013" s="459"/>
      <c r="DJ1013" s="459"/>
      <c r="DK1013" s="459"/>
      <c r="DL1013" s="459"/>
      <c r="DM1013" s="459"/>
      <c r="DN1013" s="459"/>
      <c r="DO1013" s="459"/>
      <c r="DP1013" s="459"/>
      <c r="DQ1013" s="459"/>
      <c r="DR1013" s="459"/>
      <c r="DS1013" s="459"/>
      <c r="DT1013" s="459"/>
      <c r="DU1013" s="459"/>
      <c r="DV1013" s="468"/>
      <c r="DW1013" s="468"/>
      <c r="DX1013" s="459"/>
      <c r="DY1013" s="459"/>
    </row>
    <row r="1014" spans="1:129" s="128" customFormat="1" ht="54.95" customHeight="1" x14ac:dyDescent="0.25">
      <c r="A1014" s="377"/>
      <c r="B1014" s="175"/>
      <c r="C1014" s="393"/>
      <c r="D1014" s="168"/>
      <c r="E1014" s="168"/>
      <c r="F1014" s="168"/>
      <c r="G1014" s="168"/>
      <c r="H1014" s="168"/>
      <c r="I1014" s="168"/>
      <c r="J1014" s="168"/>
      <c r="K1014" s="168"/>
      <c r="L1014" s="168"/>
      <c r="M1014" s="168"/>
      <c r="N1014" s="168"/>
      <c r="O1014" s="433"/>
      <c r="P1014" s="122"/>
      <c r="Q1014" s="156"/>
      <c r="R1014" s="156"/>
      <c r="S1014" s="156"/>
      <c r="T1014" s="156"/>
      <c r="U1014" s="156"/>
      <c r="V1014" s="156"/>
      <c r="W1014" s="156"/>
      <c r="X1014" s="156"/>
      <c r="Y1014" s="156"/>
      <c r="Z1014" s="157"/>
      <c r="AA1014" s="157"/>
      <c r="AB1014" s="156"/>
      <c r="AC1014" s="156"/>
      <c r="AD1014" s="156"/>
      <c r="AE1014" s="156"/>
      <c r="AF1014" s="156"/>
      <c r="AG1014" s="156"/>
      <c r="AH1014" s="156"/>
      <c r="AI1014" s="156"/>
      <c r="AJ1014" s="156"/>
      <c r="AK1014" s="156"/>
      <c r="AL1014" s="156"/>
      <c r="AM1014" s="158"/>
      <c r="AN1014" s="156"/>
      <c r="AO1014" s="156"/>
      <c r="AP1014" s="156"/>
      <c r="AQ1014" s="156"/>
      <c r="AR1014" s="156"/>
      <c r="AS1014" s="156"/>
      <c r="AT1014" s="156"/>
      <c r="AU1014" s="156"/>
      <c r="AV1014" s="156"/>
      <c r="AW1014" s="156"/>
      <c r="AX1014" s="156"/>
      <c r="AY1014" s="156"/>
      <c r="AZ1014" s="156"/>
      <c r="BA1014" s="153"/>
      <c r="BD1014" s="153"/>
      <c r="BE1014" s="147"/>
      <c r="BI1014" s="153"/>
      <c r="BO1014" s="153"/>
      <c r="BW1014" s="153"/>
      <c r="CD1014" s="146"/>
      <c r="CF1014" s="147"/>
      <c r="CI1014" s="146"/>
      <c r="CJ1014" s="153"/>
      <c r="CV1014" s="154"/>
      <c r="CX1014" s="154"/>
      <c r="CZ1014" s="154"/>
      <c r="DB1014" s="154"/>
      <c r="DD1014" s="154"/>
      <c r="DH1014" s="474"/>
      <c r="DI1014" s="459"/>
      <c r="DJ1014" s="459"/>
      <c r="DK1014" s="459"/>
      <c r="DL1014" s="459"/>
      <c r="DM1014" s="459"/>
      <c r="DN1014" s="459"/>
      <c r="DO1014" s="459"/>
      <c r="DP1014" s="459"/>
      <c r="DQ1014" s="459"/>
      <c r="DR1014" s="459"/>
      <c r="DS1014" s="459"/>
      <c r="DT1014" s="459"/>
      <c r="DU1014" s="459"/>
      <c r="DV1014" s="468"/>
      <c r="DW1014" s="468"/>
      <c r="DX1014" s="459"/>
      <c r="DY1014" s="459"/>
    </row>
    <row r="1015" spans="1:129" s="128" customFormat="1" ht="54.95" customHeight="1" x14ac:dyDescent="0.25">
      <c r="A1015" s="377"/>
      <c r="B1015" s="175"/>
      <c r="C1015" s="393"/>
      <c r="D1015" s="168"/>
      <c r="E1015" s="168"/>
      <c r="F1015" s="168"/>
      <c r="G1015" s="168"/>
      <c r="H1015" s="168"/>
      <c r="I1015" s="168"/>
      <c r="J1015" s="168"/>
      <c r="K1015" s="168"/>
      <c r="L1015" s="168"/>
      <c r="M1015" s="168"/>
      <c r="N1015" s="168"/>
      <c r="O1015" s="433"/>
      <c r="P1015" s="122"/>
      <c r="Q1015" s="156"/>
      <c r="R1015" s="156"/>
      <c r="S1015" s="156"/>
      <c r="T1015" s="156"/>
      <c r="U1015" s="156"/>
      <c r="V1015" s="156"/>
      <c r="W1015" s="156"/>
      <c r="X1015" s="156"/>
      <c r="Y1015" s="156"/>
      <c r="Z1015" s="157"/>
      <c r="AA1015" s="157"/>
      <c r="AB1015" s="156"/>
      <c r="AC1015" s="156"/>
      <c r="AD1015" s="156"/>
      <c r="AE1015" s="156"/>
      <c r="AF1015" s="156"/>
      <c r="AG1015" s="156"/>
      <c r="AH1015" s="156"/>
      <c r="AI1015" s="156"/>
      <c r="AJ1015" s="156"/>
      <c r="AK1015" s="156"/>
      <c r="AL1015" s="156"/>
      <c r="AM1015" s="158"/>
      <c r="AN1015" s="156"/>
      <c r="AO1015" s="156"/>
      <c r="AP1015" s="156"/>
      <c r="AQ1015" s="156"/>
      <c r="AR1015" s="156"/>
      <c r="AS1015" s="156"/>
      <c r="AT1015" s="156"/>
      <c r="AU1015" s="156"/>
      <c r="AV1015" s="156"/>
      <c r="AW1015" s="156"/>
      <c r="AX1015" s="156"/>
      <c r="AY1015" s="156"/>
      <c r="AZ1015" s="156"/>
      <c r="BA1015" s="153"/>
      <c r="BD1015" s="153"/>
      <c r="BE1015" s="147"/>
      <c r="BI1015" s="153"/>
      <c r="BO1015" s="153"/>
      <c r="BW1015" s="153"/>
      <c r="CD1015" s="146"/>
      <c r="CF1015" s="147"/>
      <c r="CI1015" s="146"/>
      <c r="CJ1015" s="153"/>
      <c r="CV1015" s="154"/>
      <c r="CX1015" s="154"/>
      <c r="CZ1015" s="154"/>
      <c r="DB1015" s="154"/>
      <c r="DD1015" s="154"/>
      <c r="DH1015" s="474"/>
      <c r="DI1015" s="459"/>
      <c r="DJ1015" s="459"/>
      <c r="DK1015" s="459"/>
      <c r="DL1015" s="459"/>
      <c r="DM1015" s="459"/>
      <c r="DN1015" s="459"/>
      <c r="DO1015" s="459"/>
      <c r="DP1015" s="459"/>
      <c r="DQ1015" s="459"/>
      <c r="DR1015" s="459"/>
      <c r="DS1015" s="459"/>
      <c r="DT1015" s="459"/>
      <c r="DU1015" s="459"/>
      <c r="DV1015" s="468"/>
      <c r="DW1015" s="468"/>
      <c r="DX1015" s="459"/>
      <c r="DY1015" s="459"/>
    </row>
    <row r="1016" spans="1:129" s="128" customFormat="1" ht="54.95" customHeight="1" x14ac:dyDescent="0.25">
      <c r="A1016" s="377"/>
      <c r="B1016" s="175"/>
      <c r="C1016" s="393"/>
      <c r="D1016" s="168"/>
      <c r="E1016" s="168"/>
      <c r="F1016" s="168"/>
      <c r="G1016" s="168"/>
      <c r="H1016" s="168"/>
      <c r="I1016" s="168"/>
      <c r="J1016" s="168"/>
      <c r="K1016" s="168"/>
      <c r="L1016" s="168"/>
      <c r="M1016" s="168"/>
      <c r="N1016" s="168"/>
      <c r="O1016" s="433"/>
      <c r="P1016" s="122"/>
      <c r="Q1016" s="156"/>
      <c r="R1016" s="156"/>
      <c r="S1016" s="156"/>
      <c r="T1016" s="156"/>
      <c r="U1016" s="156"/>
      <c r="V1016" s="156"/>
      <c r="W1016" s="156"/>
      <c r="X1016" s="156"/>
      <c r="Y1016" s="156"/>
      <c r="Z1016" s="157"/>
      <c r="AA1016" s="157"/>
      <c r="AB1016" s="156"/>
      <c r="AC1016" s="156"/>
      <c r="AD1016" s="156"/>
      <c r="AE1016" s="156"/>
      <c r="AF1016" s="156"/>
      <c r="AG1016" s="156"/>
      <c r="AH1016" s="156"/>
      <c r="AI1016" s="156"/>
      <c r="AJ1016" s="156"/>
      <c r="AK1016" s="156"/>
      <c r="AL1016" s="156"/>
      <c r="AM1016" s="158"/>
      <c r="AN1016" s="156"/>
      <c r="AO1016" s="156"/>
      <c r="AP1016" s="156"/>
      <c r="AQ1016" s="156"/>
      <c r="AR1016" s="156"/>
      <c r="AS1016" s="156"/>
      <c r="AT1016" s="156"/>
      <c r="AU1016" s="156"/>
      <c r="AV1016" s="156"/>
      <c r="AW1016" s="156"/>
      <c r="AX1016" s="156"/>
      <c r="AY1016" s="156"/>
      <c r="AZ1016" s="156"/>
      <c r="BA1016" s="153"/>
      <c r="BD1016" s="153"/>
      <c r="BE1016" s="147"/>
      <c r="BI1016" s="153"/>
      <c r="BO1016" s="153"/>
      <c r="BW1016" s="153"/>
      <c r="CD1016" s="146"/>
      <c r="CF1016" s="147"/>
      <c r="CI1016" s="146"/>
      <c r="CJ1016" s="153"/>
      <c r="CV1016" s="154"/>
      <c r="CX1016" s="154"/>
      <c r="CZ1016" s="154"/>
      <c r="DB1016" s="154"/>
      <c r="DD1016" s="154"/>
      <c r="DH1016" s="474"/>
      <c r="DI1016" s="459"/>
      <c r="DJ1016" s="459"/>
      <c r="DK1016" s="459"/>
      <c r="DL1016" s="459"/>
      <c r="DM1016" s="459"/>
      <c r="DN1016" s="459"/>
      <c r="DO1016" s="459"/>
      <c r="DP1016" s="459"/>
      <c r="DQ1016" s="459"/>
      <c r="DR1016" s="459"/>
      <c r="DS1016" s="459"/>
      <c r="DT1016" s="459"/>
      <c r="DU1016" s="459"/>
      <c r="DV1016" s="468"/>
      <c r="DW1016" s="468"/>
      <c r="DX1016" s="459"/>
      <c r="DY1016" s="459"/>
    </row>
    <row r="1017" spans="1:129" s="128" customFormat="1" ht="54.95" customHeight="1" x14ac:dyDescent="0.25">
      <c r="A1017" s="377"/>
      <c r="B1017" s="175"/>
      <c r="C1017" s="393"/>
      <c r="D1017" s="168"/>
      <c r="E1017" s="168"/>
      <c r="F1017" s="168"/>
      <c r="G1017" s="168"/>
      <c r="H1017" s="168"/>
      <c r="I1017" s="168"/>
      <c r="J1017" s="168"/>
      <c r="K1017" s="168"/>
      <c r="L1017" s="168"/>
      <c r="M1017" s="168"/>
      <c r="N1017" s="168"/>
      <c r="O1017" s="433"/>
      <c r="P1017" s="122"/>
      <c r="Q1017" s="156"/>
      <c r="R1017" s="156"/>
      <c r="S1017" s="156"/>
      <c r="T1017" s="156"/>
      <c r="U1017" s="156"/>
      <c r="V1017" s="156"/>
      <c r="W1017" s="156"/>
      <c r="X1017" s="156"/>
      <c r="Y1017" s="156"/>
      <c r="Z1017" s="157"/>
      <c r="AA1017" s="157"/>
      <c r="AB1017" s="156"/>
      <c r="AC1017" s="156"/>
      <c r="AD1017" s="156"/>
      <c r="AE1017" s="156"/>
      <c r="AF1017" s="156"/>
      <c r="AG1017" s="156"/>
      <c r="AH1017" s="156"/>
      <c r="AI1017" s="156"/>
      <c r="AJ1017" s="156"/>
      <c r="AK1017" s="156"/>
      <c r="AL1017" s="156"/>
      <c r="AM1017" s="158"/>
      <c r="AN1017" s="156"/>
      <c r="AO1017" s="156"/>
      <c r="AP1017" s="156"/>
      <c r="AQ1017" s="156"/>
      <c r="AR1017" s="156"/>
      <c r="AS1017" s="156"/>
      <c r="AT1017" s="156"/>
      <c r="AU1017" s="156"/>
      <c r="AV1017" s="156"/>
      <c r="AW1017" s="156"/>
      <c r="AX1017" s="156"/>
      <c r="AY1017" s="156"/>
      <c r="AZ1017" s="156"/>
      <c r="BA1017" s="153"/>
      <c r="BD1017" s="153"/>
      <c r="BE1017" s="147"/>
      <c r="BI1017" s="153"/>
      <c r="BO1017" s="153"/>
      <c r="BW1017" s="153"/>
      <c r="CD1017" s="146"/>
      <c r="CF1017" s="147"/>
      <c r="CI1017" s="146"/>
      <c r="CJ1017" s="153"/>
      <c r="CV1017" s="154"/>
      <c r="CX1017" s="154"/>
      <c r="CZ1017" s="154"/>
      <c r="DB1017" s="154"/>
      <c r="DD1017" s="154"/>
      <c r="DH1017" s="474"/>
      <c r="DI1017" s="459"/>
      <c r="DJ1017" s="459"/>
      <c r="DK1017" s="459"/>
      <c r="DL1017" s="459"/>
      <c r="DM1017" s="459"/>
      <c r="DN1017" s="459"/>
      <c r="DO1017" s="459"/>
      <c r="DP1017" s="459"/>
      <c r="DQ1017" s="459"/>
      <c r="DR1017" s="459"/>
      <c r="DS1017" s="459"/>
      <c r="DT1017" s="459"/>
      <c r="DU1017" s="459"/>
      <c r="DV1017" s="468"/>
      <c r="DW1017" s="468"/>
      <c r="DX1017" s="459"/>
      <c r="DY1017" s="459"/>
    </row>
    <row r="1018" spans="1:129" s="128" customFormat="1" ht="54.95" customHeight="1" x14ac:dyDescent="0.25">
      <c r="A1018" s="377"/>
      <c r="B1018" s="175"/>
      <c r="C1018" s="393"/>
      <c r="D1018" s="168"/>
      <c r="E1018" s="168"/>
      <c r="F1018" s="168"/>
      <c r="G1018" s="168"/>
      <c r="H1018" s="168"/>
      <c r="I1018" s="168"/>
      <c r="J1018" s="168"/>
      <c r="K1018" s="168"/>
      <c r="L1018" s="168"/>
      <c r="M1018" s="168"/>
      <c r="N1018" s="168"/>
      <c r="O1018" s="433"/>
      <c r="P1018" s="122"/>
      <c r="Q1018" s="156"/>
      <c r="R1018" s="156"/>
      <c r="S1018" s="156"/>
      <c r="T1018" s="156"/>
      <c r="U1018" s="156"/>
      <c r="V1018" s="156"/>
      <c r="W1018" s="156"/>
      <c r="X1018" s="156"/>
      <c r="Y1018" s="156"/>
      <c r="Z1018" s="157"/>
      <c r="AA1018" s="157"/>
      <c r="AB1018" s="156"/>
      <c r="AC1018" s="156"/>
      <c r="AD1018" s="156"/>
      <c r="AE1018" s="156"/>
      <c r="AF1018" s="156"/>
      <c r="AG1018" s="156"/>
      <c r="AH1018" s="156"/>
      <c r="AI1018" s="156"/>
      <c r="AJ1018" s="156"/>
      <c r="AK1018" s="156"/>
      <c r="AL1018" s="156"/>
      <c r="AM1018" s="158"/>
      <c r="AN1018" s="156"/>
      <c r="AO1018" s="156"/>
      <c r="AP1018" s="156"/>
      <c r="AQ1018" s="156"/>
      <c r="AR1018" s="156"/>
      <c r="AS1018" s="156"/>
      <c r="AT1018" s="156"/>
      <c r="AU1018" s="156"/>
      <c r="AV1018" s="156"/>
      <c r="AW1018" s="156"/>
      <c r="AX1018" s="156"/>
      <c r="AY1018" s="156"/>
      <c r="AZ1018" s="156"/>
      <c r="BA1018" s="153"/>
      <c r="BD1018" s="153"/>
      <c r="BE1018" s="147"/>
      <c r="BI1018" s="153"/>
      <c r="BO1018" s="153"/>
      <c r="BW1018" s="153"/>
      <c r="CD1018" s="146"/>
      <c r="CF1018" s="147"/>
      <c r="CI1018" s="146"/>
      <c r="CJ1018" s="153"/>
      <c r="CV1018" s="154"/>
      <c r="CX1018" s="154"/>
      <c r="CZ1018" s="154"/>
      <c r="DB1018" s="154"/>
      <c r="DD1018" s="154"/>
      <c r="DH1018" s="474"/>
      <c r="DI1018" s="459"/>
      <c r="DJ1018" s="459"/>
      <c r="DK1018" s="459"/>
      <c r="DL1018" s="459"/>
      <c r="DM1018" s="459"/>
      <c r="DN1018" s="459"/>
      <c r="DO1018" s="459"/>
      <c r="DP1018" s="459"/>
      <c r="DQ1018" s="459"/>
      <c r="DR1018" s="459"/>
      <c r="DS1018" s="459"/>
      <c r="DT1018" s="459"/>
      <c r="DU1018" s="459"/>
      <c r="DV1018" s="468"/>
      <c r="DW1018" s="468"/>
      <c r="DX1018" s="459"/>
      <c r="DY1018" s="459"/>
    </row>
    <row r="1019" spans="1:129" s="128" customFormat="1" ht="54.95" customHeight="1" x14ac:dyDescent="0.25">
      <c r="A1019" s="377"/>
      <c r="B1019" s="175"/>
      <c r="C1019" s="393"/>
      <c r="D1019" s="168"/>
      <c r="E1019" s="168"/>
      <c r="F1019" s="168"/>
      <c r="G1019" s="168"/>
      <c r="H1019" s="168"/>
      <c r="I1019" s="168"/>
      <c r="J1019" s="168"/>
      <c r="K1019" s="168"/>
      <c r="L1019" s="168"/>
      <c r="M1019" s="168"/>
      <c r="N1019" s="168"/>
      <c r="O1019" s="433"/>
      <c r="P1019" s="122"/>
      <c r="Q1019" s="156"/>
      <c r="R1019" s="156"/>
      <c r="S1019" s="156"/>
      <c r="T1019" s="156"/>
      <c r="U1019" s="156"/>
      <c r="V1019" s="156"/>
      <c r="W1019" s="156"/>
      <c r="X1019" s="156"/>
      <c r="Y1019" s="156"/>
      <c r="Z1019" s="157"/>
      <c r="AA1019" s="157"/>
      <c r="AB1019" s="156"/>
      <c r="AC1019" s="156"/>
      <c r="AD1019" s="156"/>
      <c r="AE1019" s="156"/>
      <c r="AF1019" s="156"/>
      <c r="AG1019" s="156"/>
      <c r="AH1019" s="156"/>
      <c r="AI1019" s="156"/>
      <c r="AJ1019" s="156"/>
      <c r="AK1019" s="156"/>
      <c r="AL1019" s="156"/>
      <c r="AM1019" s="158"/>
      <c r="AN1019" s="156"/>
      <c r="AO1019" s="156"/>
      <c r="AP1019" s="156"/>
      <c r="AQ1019" s="156"/>
      <c r="AR1019" s="156"/>
      <c r="AS1019" s="156"/>
      <c r="AT1019" s="156"/>
      <c r="AU1019" s="156"/>
      <c r="AV1019" s="156"/>
      <c r="AW1019" s="156"/>
      <c r="AX1019" s="156"/>
      <c r="AY1019" s="156"/>
      <c r="AZ1019" s="156"/>
      <c r="BA1019" s="153"/>
      <c r="BD1019" s="153"/>
      <c r="BE1019" s="147"/>
      <c r="BI1019" s="153"/>
      <c r="BO1019" s="153"/>
      <c r="BW1019" s="153"/>
      <c r="CD1019" s="146"/>
      <c r="CF1019" s="147"/>
      <c r="CI1019" s="146"/>
      <c r="CJ1019" s="153"/>
      <c r="CV1019" s="154"/>
      <c r="CX1019" s="154"/>
      <c r="CZ1019" s="154"/>
      <c r="DB1019" s="154"/>
      <c r="DD1019" s="154"/>
      <c r="DH1019" s="474"/>
      <c r="DI1019" s="459"/>
      <c r="DJ1019" s="459"/>
      <c r="DK1019" s="459"/>
      <c r="DL1019" s="459"/>
      <c r="DM1019" s="459"/>
      <c r="DN1019" s="459"/>
      <c r="DO1019" s="459"/>
      <c r="DP1019" s="459"/>
      <c r="DQ1019" s="459"/>
      <c r="DR1019" s="459"/>
      <c r="DS1019" s="459"/>
      <c r="DT1019" s="459"/>
      <c r="DU1019" s="459"/>
      <c r="DV1019" s="468"/>
      <c r="DW1019" s="468"/>
      <c r="DX1019" s="459"/>
      <c r="DY1019" s="459"/>
    </row>
    <row r="1020" spans="1:129" s="128" customFormat="1" ht="54.95" customHeight="1" x14ac:dyDescent="0.25">
      <c r="A1020" s="377"/>
      <c r="B1020" s="175"/>
      <c r="C1020" s="393"/>
      <c r="D1020" s="168"/>
      <c r="E1020" s="168"/>
      <c r="F1020" s="168"/>
      <c r="G1020" s="168"/>
      <c r="H1020" s="168"/>
      <c r="I1020" s="168"/>
      <c r="J1020" s="168"/>
      <c r="K1020" s="168"/>
      <c r="L1020" s="168"/>
      <c r="M1020" s="168"/>
      <c r="N1020" s="168"/>
      <c r="O1020" s="433"/>
      <c r="P1020" s="122"/>
      <c r="Q1020" s="156"/>
      <c r="R1020" s="156"/>
      <c r="S1020" s="156"/>
      <c r="T1020" s="156"/>
      <c r="U1020" s="156"/>
      <c r="V1020" s="156"/>
      <c r="W1020" s="156"/>
      <c r="X1020" s="156"/>
      <c r="Y1020" s="156"/>
      <c r="Z1020" s="157"/>
      <c r="AA1020" s="157"/>
      <c r="AB1020" s="156"/>
      <c r="AC1020" s="156"/>
      <c r="AD1020" s="156"/>
      <c r="AE1020" s="156"/>
      <c r="AF1020" s="156"/>
      <c r="AG1020" s="156"/>
      <c r="AH1020" s="156"/>
      <c r="AI1020" s="156"/>
      <c r="AJ1020" s="156"/>
      <c r="AK1020" s="156"/>
      <c r="AL1020" s="156"/>
      <c r="AM1020" s="158"/>
      <c r="AN1020" s="156"/>
      <c r="AO1020" s="156"/>
      <c r="AP1020" s="156"/>
      <c r="AQ1020" s="156"/>
      <c r="AR1020" s="156"/>
      <c r="AS1020" s="156"/>
      <c r="AT1020" s="156"/>
      <c r="AU1020" s="156"/>
      <c r="AV1020" s="156"/>
      <c r="AW1020" s="156"/>
      <c r="AX1020" s="156"/>
      <c r="AY1020" s="156"/>
      <c r="AZ1020" s="156"/>
      <c r="BA1020" s="153"/>
      <c r="BD1020" s="153"/>
      <c r="BE1020" s="147"/>
      <c r="BI1020" s="153"/>
      <c r="BO1020" s="153"/>
      <c r="BW1020" s="153"/>
      <c r="CD1020" s="146"/>
      <c r="CF1020" s="147"/>
      <c r="CI1020" s="146"/>
      <c r="CJ1020" s="153"/>
      <c r="CV1020" s="154"/>
      <c r="CX1020" s="154"/>
      <c r="CZ1020" s="154"/>
      <c r="DB1020" s="154"/>
      <c r="DD1020" s="154"/>
      <c r="DH1020" s="474"/>
      <c r="DI1020" s="459"/>
      <c r="DJ1020" s="459"/>
      <c r="DK1020" s="459"/>
      <c r="DL1020" s="459"/>
      <c r="DM1020" s="459"/>
      <c r="DN1020" s="459"/>
      <c r="DO1020" s="459"/>
      <c r="DP1020" s="459"/>
      <c r="DQ1020" s="459"/>
      <c r="DR1020" s="459"/>
      <c r="DS1020" s="459"/>
      <c r="DT1020" s="459"/>
      <c r="DU1020" s="459"/>
      <c r="DV1020" s="468"/>
      <c r="DW1020" s="468"/>
      <c r="DX1020" s="459"/>
      <c r="DY1020" s="459"/>
    </row>
    <row r="1021" spans="1:129" s="128" customFormat="1" ht="54.95" customHeight="1" x14ac:dyDescent="0.25">
      <c r="A1021" s="377"/>
      <c r="B1021" s="175"/>
      <c r="C1021" s="393"/>
      <c r="D1021" s="168"/>
      <c r="E1021" s="168"/>
      <c r="F1021" s="168"/>
      <c r="G1021" s="168"/>
      <c r="H1021" s="168"/>
      <c r="I1021" s="168"/>
      <c r="J1021" s="168"/>
      <c r="K1021" s="168"/>
      <c r="L1021" s="168"/>
      <c r="M1021" s="168"/>
      <c r="N1021" s="168"/>
      <c r="O1021" s="433"/>
      <c r="P1021" s="122"/>
      <c r="Q1021" s="156"/>
      <c r="R1021" s="156"/>
      <c r="S1021" s="156"/>
      <c r="T1021" s="156"/>
      <c r="U1021" s="156"/>
      <c r="V1021" s="156"/>
      <c r="W1021" s="156"/>
      <c r="X1021" s="156"/>
      <c r="Y1021" s="156"/>
      <c r="Z1021" s="157"/>
      <c r="AA1021" s="157"/>
      <c r="AB1021" s="156"/>
      <c r="AC1021" s="156"/>
      <c r="AD1021" s="156"/>
      <c r="AE1021" s="156"/>
      <c r="AF1021" s="156"/>
      <c r="AG1021" s="156"/>
      <c r="AH1021" s="156"/>
      <c r="AI1021" s="156"/>
      <c r="AJ1021" s="156"/>
      <c r="AK1021" s="156"/>
      <c r="AL1021" s="156"/>
      <c r="AM1021" s="158"/>
      <c r="AN1021" s="156"/>
      <c r="AO1021" s="156"/>
      <c r="AP1021" s="156"/>
      <c r="AQ1021" s="156"/>
      <c r="AR1021" s="156"/>
      <c r="AS1021" s="156"/>
      <c r="AT1021" s="156"/>
      <c r="AU1021" s="156"/>
      <c r="AV1021" s="156"/>
      <c r="AW1021" s="156"/>
      <c r="AX1021" s="156"/>
      <c r="AY1021" s="156"/>
      <c r="AZ1021" s="156"/>
      <c r="BA1021" s="153"/>
      <c r="BD1021" s="153"/>
      <c r="BE1021" s="147"/>
      <c r="BI1021" s="153"/>
      <c r="BO1021" s="153"/>
      <c r="BW1021" s="153"/>
      <c r="CD1021" s="146"/>
      <c r="CF1021" s="147"/>
      <c r="CI1021" s="146"/>
      <c r="CJ1021" s="153"/>
      <c r="CV1021" s="154"/>
      <c r="CX1021" s="154"/>
      <c r="CZ1021" s="154"/>
      <c r="DB1021" s="154"/>
      <c r="DD1021" s="154"/>
      <c r="DH1021" s="474"/>
      <c r="DI1021" s="459"/>
      <c r="DJ1021" s="459"/>
      <c r="DK1021" s="459"/>
      <c r="DL1021" s="459"/>
      <c r="DM1021" s="459"/>
      <c r="DN1021" s="459"/>
      <c r="DO1021" s="459"/>
      <c r="DP1021" s="459"/>
      <c r="DQ1021" s="459"/>
      <c r="DR1021" s="459"/>
      <c r="DS1021" s="459"/>
      <c r="DT1021" s="459"/>
      <c r="DU1021" s="459"/>
      <c r="DV1021" s="468"/>
      <c r="DW1021" s="468"/>
      <c r="DX1021" s="459"/>
      <c r="DY1021" s="459"/>
    </row>
    <row r="1022" spans="1:129" s="128" customFormat="1" ht="54.95" customHeight="1" x14ac:dyDescent="0.25">
      <c r="A1022" s="377"/>
      <c r="B1022" s="175"/>
      <c r="C1022" s="393"/>
      <c r="D1022" s="168"/>
      <c r="E1022" s="168"/>
      <c r="F1022" s="168"/>
      <c r="G1022" s="168"/>
      <c r="H1022" s="168"/>
      <c r="I1022" s="168"/>
      <c r="J1022" s="168"/>
      <c r="K1022" s="168"/>
      <c r="L1022" s="168"/>
      <c r="M1022" s="168"/>
      <c r="N1022" s="168"/>
      <c r="O1022" s="433"/>
      <c r="P1022" s="122"/>
      <c r="Q1022" s="156"/>
      <c r="R1022" s="156"/>
      <c r="S1022" s="156"/>
      <c r="T1022" s="156"/>
      <c r="U1022" s="156"/>
      <c r="V1022" s="156"/>
      <c r="W1022" s="156"/>
      <c r="X1022" s="156"/>
      <c r="Y1022" s="156"/>
      <c r="Z1022" s="157"/>
      <c r="AA1022" s="157"/>
      <c r="AB1022" s="156"/>
      <c r="AC1022" s="156"/>
      <c r="AD1022" s="156"/>
      <c r="AE1022" s="156"/>
      <c r="AF1022" s="156"/>
      <c r="AG1022" s="156"/>
      <c r="AH1022" s="156"/>
      <c r="AI1022" s="156"/>
      <c r="AJ1022" s="156"/>
      <c r="AK1022" s="156"/>
      <c r="AL1022" s="156"/>
      <c r="AM1022" s="158"/>
      <c r="AN1022" s="156"/>
      <c r="AO1022" s="156"/>
      <c r="AP1022" s="156"/>
      <c r="AQ1022" s="156"/>
      <c r="AR1022" s="156"/>
      <c r="AS1022" s="156"/>
      <c r="AT1022" s="156"/>
      <c r="AU1022" s="156"/>
      <c r="AV1022" s="156"/>
      <c r="AW1022" s="156"/>
      <c r="AX1022" s="156"/>
      <c r="AY1022" s="156"/>
      <c r="AZ1022" s="156"/>
      <c r="BA1022" s="153"/>
      <c r="BD1022" s="153"/>
      <c r="BE1022" s="147"/>
      <c r="BI1022" s="153"/>
      <c r="BO1022" s="153"/>
      <c r="BW1022" s="153"/>
      <c r="CD1022" s="146"/>
      <c r="CF1022" s="147"/>
      <c r="CI1022" s="146"/>
      <c r="CJ1022" s="153"/>
      <c r="CV1022" s="154"/>
      <c r="CX1022" s="154"/>
      <c r="CZ1022" s="154"/>
      <c r="DB1022" s="154"/>
      <c r="DD1022" s="154"/>
      <c r="DH1022" s="474"/>
      <c r="DI1022" s="459"/>
      <c r="DJ1022" s="459"/>
      <c r="DK1022" s="459"/>
      <c r="DL1022" s="459"/>
      <c r="DM1022" s="459"/>
      <c r="DN1022" s="459"/>
      <c r="DO1022" s="459"/>
      <c r="DP1022" s="459"/>
      <c r="DQ1022" s="459"/>
      <c r="DR1022" s="459"/>
      <c r="DS1022" s="459"/>
      <c r="DT1022" s="459"/>
      <c r="DU1022" s="459"/>
      <c r="DV1022" s="468"/>
      <c r="DW1022" s="468"/>
      <c r="DX1022" s="459"/>
      <c r="DY1022" s="459"/>
    </row>
    <row r="1023" spans="1:129" s="128" customFormat="1" ht="54.95" customHeight="1" x14ac:dyDescent="0.25">
      <c r="A1023" s="377"/>
      <c r="B1023" s="175"/>
      <c r="C1023" s="393"/>
      <c r="D1023" s="168"/>
      <c r="E1023" s="168"/>
      <c r="F1023" s="168"/>
      <c r="G1023" s="168"/>
      <c r="H1023" s="168"/>
      <c r="I1023" s="168"/>
      <c r="J1023" s="168"/>
      <c r="K1023" s="168"/>
      <c r="L1023" s="168"/>
      <c r="M1023" s="168"/>
      <c r="N1023" s="168"/>
      <c r="O1023" s="433"/>
      <c r="P1023" s="122"/>
      <c r="Q1023" s="156"/>
      <c r="R1023" s="156"/>
      <c r="S1023" s="156"/>
      <c r="T1023" s="156"/>
      <c r="U1023" s="156"/>
      <c r="V1023" s="156"/>
      <c r="W1023" s="156"/>
      <c r="X1023" s="156"/>
      <c r="Y1023" s="156"/>
      <c r="Z1023" s="157"/>
      <c r="AA1023" s="157"/>
      <c r="AB1023" s="156"/>
      <c r="AC1023" s="156"/>
      <c r="AD1023" s="156"/>
      <c r="AE1023" s="156"/>
      <c r="AF1023" s="156"/>
      <c r="AG1023" s="156"/>
      <c r="AH1023" s="156"/>
      <c r="AI1023" s="156"/>
      <c r="AJ1023" s="156"/>
      <c r="AK1023" s="156"/>
      <c r="AL1023" s="156"/>
      <c r="AM1023" s="158"/>
      <c r="AN1023" s="156"/>
      <c r="AO1023" s="156"/>
      <c r="AP1023" s="156"/>
      <c r="AQ1023" s="156"/>
      <c r="AR1023" s="156"/>
      <c r="AS1023" s="156"/>
      <c r="AT1023" s="156"/>
      <c r="AU1023" s="156"/>
      <c r="AV1023" s="156"/>
      <c r="AW1023" s="156"/>
      <c r="AX1023" s="156"/>
      <c r="AY1023" s="156"/>
      <c r="AZ1023" s="156"/>
      <c r="BA1023" s="153"/>
      <c r="BD1023" s="153"/>
      <c r="BE1023" s="147"/>
      <c r="BI1023" s="153"/>
      <c r="BO1023" s="153"/>
      <c r="BW1023" s="153"/>
      <c r="CD1023" s="146"/>
      <c r="CF1023" s="147"/>
      <c r="CI1023" s="146"/>
      <c r="CJ1023" s="153"/>
      <c r="CV1023" s="154"/>
      <c r="CX1023" s="154"/>
      <c r="CZ1023" s="154"/>
      <c r="DB1023" s="154"/>
      <c r="DD1023" s="154"/>
      <c r="DH1023" s="474"/>
      <c r="DI1023" s="459"/>
      <c r="DJ1023" s="459"/>
      <c r="DK1023" s="459"/>
      <c r="DL1023" s="459"/>
      <c r="DM1023" s="459"/>
      <c r="DN1023" s="459"/>
      <c r="DO1023" s="459"/>
      <c r="DP1023" s="459"/>
      <c r="DQ1023" s="459"/>
      <c r="DR1023" s="459"/>
      <c r="DS1023" s="459"/>
      <c r="DT1023" s="459"/>
      <c r="DU1023" s="459"/>
      <c r="DV1023" s="468"/>
      <c r="DW1023" s="468"/>
      <c r="DX1023" s="459"/>
      <c r="DY1023" s="459"/>
    </row>
    <row r="1024" spans="1:129" s="128" customFormat="1" ht="54.95" customHeight="1" x14ac:dyDescent="0.25">
      <c r="A1024" s="377"/>
      <c r="B1024" s="175"/>
      <c r="C1024" s="393"/>
      <c r="D1024" s="168"/>
      <c r="E1024" s="168"/>
      <c r="F1024" s="168"/>
      <c r="G1024" s="168"/>
      <c r="H1024" s="168"/>
      <c r="I1024" s="168"/>
      <c r="J1024" s="168"/>
      <c r="K1024" s="168"/>
      <c r="L1024" s="168"/>
      <c r="M1024" s="168"/>
      <c r="N1024" s="168"/>
      <c r="O1024" s="433"/>
      <c r="P1024" s="122"/>
      <c r="Q1024" s="156"/>
      <c r="R1024" s="156"/>
      <c r="S1024" s="156"/>
      <c r="T1024" s="156"/>
      <c r="U1024" s="156"/>
      <c r="V1024" s="156"/>
      <c r="W1024" s="156"/>
      <c r="X1024" s="156"/>
      <c r="Y1024" s="156"/>
      <c r="Z1024" s="157"/>
      <c r="AA1024" s="157"/>
      <c r="AB1024" s="156"/>
      <c r="AC1024" s="156"/>
      <c r="AD1024" s="156"/>
      <c r="AE1024" s="156"/>
      <c r="AF1024" s="156"/>
      <c r="AG1024" s="156"/>
      <c r="AH1024" s="156"/>
      <c r="AI1024" s="156"/>
      <c r="AJ1024" s="156"/>
      <c r="AK1024" s="156"/>
      <c r="AL1024" s="156"/>
      <c r="AM1024" s="158"/>
      <c r="AN1024" s="156"/>
      <c r="AO1024" s="156"/>
      <c r="AP1024" s="156"/>
      <c r="AQ1024" s="156"/>
      <c r="AR1024" s="156"/>
      <c r="AS1024" s="156"/>
      <c r="AT1024" s="156"/>
      <c r="AU1024" s="156"/>
      <c r="AV1024" s="156"/>
      <c r="AW1024" s="156"/>
      <c r="AX1024" s="156"/>
      <c r="AY1024" s="156"/>
      <c r="AZ1024" s="156"/>
      <c r="BA1024" s="153"/>
      <c r="BD1024" s="153"/>
      <c r="BE1024" s="147"/>
      <c r="BI1024" s="153"/>
      <c r="BO1024" s="153"/>
      <c r="BW1024" s="153"/>
      <c r="CD1024" s="146"/>
      <c r="CF1024" s="147"/>
      <c r="CI1024" s="146"/>
      <c r="CJ1024" s="153"/>
      <c r="CV1024" s="154"/>
      <c r="CX1024" s="154"/>
      <c r="CZ1024" s="154"/>
      <c r="DB1024" s="154"/>
      <c r="DD1024" s="154"/>
      <c r="DH1024" s="474"/>
      <c r="DI1024" s="459"/>
      <c r="DJ1024" s="459"/>
      <c r="DK1024" s="459"/>
      <c r="DL1024" s="459"/>
      <c r="DM1024" s="459"/>
      <c r="DN1024" s="459"/>
      <c r="DO1024" s="459"/>
      <c r="DP1024" s="459"/>
      <c r="DQ1024" s="459"/>
      <c r="DR1024" s="459"/>
      <c r="DS1024" s="459"/>
      <c r="DT1024" s="459"/>
      <c r="DU1024" s="459"/>
      <c r="DV1024" s="468"/>
      <c r="DW1024" s="468"/>
      <c r="DX1024" s="459"/>
      <c r="DY1024" s="459"/>
    </row>
    <row r="1025" spans="1:129" s="128" customFormat="1" ht="54.95" customHeight="1" x14ac:dyDescent="0.25">
      <c r="A1025" s="377"/>
      <c r="B1025" s="175"/>
      <c r="C1025" s="393"/>
      <c r="D1025" s="168"/>
      <c r="E1025" s="168"/>
      <c r="F1025" s="168"/>
      <c r="G1025" s="168"/>
      <c r="H1025" s="168"/>
      <c r="I1025" s="168"/>
      <c r="J1025" s="168"/>
      <c r="K1025" s="168"/>
      <c r="L1025" s="168"/>
      <c r="M1025" s="168"/>
      <c r="N1025" s="168"/>
      <c r="O1025" s="433"/>
      <c r="P1025" s="122"/>
      <c r="Q1025" s="156"/>
      <c r="R1025" s="156"/>
      <c r="S1025" s="156"/>
      <c r="T1025" s="156"/>
      <c r="U1025" s="156"/>
      <c r="V1025" s="156"/>
      <c r="W1025" s="156"/>
      <c r="X1025" s="156"/>
      <c r="Y1025" s="156"/>
      <c r="Z1025" s="157"/>
      <c r="AA1025" s="157"/>
      <c r="AB1025" s="156"/>
      <c r="AC1025" s="156"/>
      <c r="AD1025" s="156"/>
      <c r="AE1025" s="156"/>
      <c r="AF1025" s="156"/>
      <c r="AG1025" s="156"/>
      <c r="AH1025" s="156"/>
      <c r="AI1025" s="156"/>
      <c r="AJ1025" s="156"/>
      <c r="AK1025" s="156"/>
      <c r="AL1025" s="156"/>
      <c r="AM1025" s="158"/>
      <c r="AN1025" s="156"/>
      <c r="AO1025" s="156"/>
      <c r="AP1025" s="156"/>
      <c r="AQ1025" s="156"/>
      <c r="AR1025" s="156"/>
      <c r="AS1025" s="156"/>
      <c r="AT1025" s="156"/>
      <c r="AU1025" s="156"/>
      <c r="AV1025" s="156"/>
      <c r="AW1025" s="156"/>
      <c r="AX1025" s="156"/>
      <c r="AY1025" s="156"/>
      <c r="AZ1025" s="156"/>
      <c r="BA1025" s="153"/>
      <c r="BD1025" s="153"/>
      <c r="BE1025" s="147"/>
      <c r="BI1025" s="153"/>
      <c r="BO1025" s="153"/>
      <c r="BW1025" s="153"/>
      <c r="CD1025" s="146"/>
      <c r="CF1025" s="147"/>
      <c r="CI1025" s="146"/>
      <c r="CJ1025" s="153"/>
      <c r="CV1025" s="154"/>
      <c r="CX1025" s="154"/>
      <c r="CZ1025" s="154"/>
      <c r="DB1025" s="154"/>
      <c r="DD1025" s="154"/>
      <c r="DH1025" s="474"/>
      <c r="DI1025" s="459"/>
      <c r="DJ1025" s="459"/>
      <c r="DK1025" s="459"/>
      <c r="DL1025" s="459"/>
      <c r="DM1025" s="459"/>
      <c r="DN1025" s="459"/>
      <c r="DO1025" s="459"/>
      <c r="DP1025" s="459"/>
      <c r="DQ1025" s="459"/>
      <c r="DR1025" s="459"/>
      <c r="DS1025" s="459"/>
      <c r="DT1025" s="459"/>
      <c r="DU1025" s="459"/>
      <c r="DV1025" s="468"/>
      <c r="DW1025" s="468"/>
      <c r="DX1025" s="459"/>
      <c r="DY1025" s="459"/>
    </row>
    <row r="1026" spans="1:129" s="128" customFormat="1" ht="54.95" customHeight="1" x14ac:dyDescent="0.25">
      <c r="A1026" s="377"/>
      <c r="B1026" s="175"/>
      <c r="C1026" s="393"/>
      <c r="D1026" s="168"/>
      <c r="E1026" s="168"/>
      <c r="F1026" s="168"/>
      <c r="G1026" s="168"/>
      <c r="H1026" s="168"/>
      <c r="I1026" s="168"/>
      <c r="J1026" s="168"/>
      <c r="K1026" s="168"/>
      <c r="L1026" s="168"/>
      <c r="M1026" s="168"/>
      <c r="N1026" s="168"/>
      <c r="O1026" s="433"/>
      <c r="P1026" s="122"/>
      <c r="Q1026" s="156"/>
      <c r="R1026" s="156"/>
      <c r="S1026" s="156"/>
      <c r="T1026" s="156"/>
      <c r="U1026" s="156"/>
      <c r="V1026" s="156"/>
      <c r="W1026" s="156"/>
      <c r="X1026" s="156"/>
      <c r="Y1026" s="156"/>
      <c r="Z1026" s="157"/>
      <c r="AA1026" s="157"/>
      <c r="AB1026" s="156"/>
      <c r="AC1026" s="156"/>
      <c r="AD1026" s="156"/>
      <c r="AE1026" s="156"/>
      <c r="AF1026" s="156"/>
      <c r="AG1026" s="156"/>
      <c r="AH1026" s="156"/>
      <c r="AI1026" s="156"/>
      <c r="AJ1026" s="156"/>
      <c r="AK1026" s="156"/>
      <c r="AL1026" s="156"/>
      <c r="AM1026" s="158"/>
      <c r="AN1026" s="156"/>
      <c r="AO1026" s="156"/>
      <c r="AP1026" s="156"/>
      <c r="AQ1026" s="156"/>
      <c r="AR1026" s="156"/>
      <c r="AS1026" s="156"/>
      <c r="AT1026" s="156"/>
      <c r="AU1026" s="156"/>
      <c r="AV1026" s="156"/>
      <c r="AW1026" s="156"/>
      <c r="AX1026" s="156"/>
      <c r="AY1026" s="156"/>
      <c r="AZ1026" s="156"/>
      <c r="BA1026" s="153"/>
      <c r="BD1026" s="153"/>
      <c r="BE1026" s="147"/>
      <c r="BI1026" s="153"/>
      <c r="BO1026" s="153"/>
      <c r="BW1026" s="153"/>
      <c r="CD1026" s="146"/>
      <c r="CF1026" s="147"/>
      <c r="CI1026" s="146"/>
      <c r="CJ1026" s="153"/>
      <c r="CV1026" s="154"/>
      <c r="CX1026" s="154"/>
      <c r="CZ1026" s="154"/>
      <c r="DB1026" s="154"/>
      <c r="DD1026" s="154"/>
      <c r="DH1026" s="474"/>
      <c r="DI1026" s="459"/>
      <c r="DJ1026" s="459"/>
      <c r="DK1026" s="459"/>
      <c r="DL1026" s="459"/>
      <c r="DM1026" s="459"/>
      <c r="DN1026" s="459"/>
      <c r="DO1026" s="459"/>
      <c r="DP1026" s="459"/>
      <c r="DQ1026" s="459"/>
      <c r="DR1026" s="459"/>
      <c r="DS1026" s="459"/>
      <c r="DT1026" s="459"/>
      <c r="DU1026" s="459"/>
      <c r="DV1026" s="468"/>
      <c r="DW1026" s="468"/>
      <c r="DX1026" s="459"/>
      <c r="DY1026" s="459"/>
    </row>
    <row r="1027" spans="1:129" s="128" customFormat="1" ht="54.95" customHeight="1" x14ac:dyDescent="0.25">
      <c r="A1027" s="377"/>
      <c r="B1027" s="175"/>
      <c r="C1027" s="393"/>
      <c r="D1027" s="168"/>
      <c r="E1027" s="168"/>
      <c r="F1027" s="168"/>
      <c r="G1027" s="168"/>
      <c r="H1027" s="168"/>
      <c r="I1027" s="168"/>
      <c r="J1027" s="168"/>
      <c r="K1027" s="168"/>
      <c r="L1027" s="168"/>
      <c r="M1027" s="168"/>
      <c r="N1027" s="168"/>
      <c r="O1027" s="433"/>
      <c r="P1027" s="122"/>
      <c r="Q1027" s="156"/>
      <c r="R1027" s="156"/>
      <c r="S1027" s="156"/>
      <c r="T1027" s="156"/>
      <c r="U1027" s="156"/>
      <c r="V1027" s="156"/>
      <c r="W1027" s="156"/>
      <c r="X1027" s="156"/>
      <c r="Y1027" s="156"/>
      <c r="Z1027" s="157"/>
      <c r="AA1027" s="157"/>
      <c r="AB1027" s="156"/>
      <c r="AC1027" s="156"/>
      <c r="AD1027" s="156"/>
      <c r="AE1027" s="156"/>
      <c r="AF1027" s="156"/>
      <c r="AG1027" s="156"/>
      <c r="AH1027" s="156"/>
      <c r="AI1027" s="156"/>
      <c r="AJ1027" s="156"/>
      <c r="AK1027" s="156"/>
      <c r="AL1027" s="156"/>
      <c r="AM1027" s="158"/>
      <c r="AN1027" s="156"/>
      <c r="AO1027" s="156"/>
      <c r="AP1027" s="156"/>
      <c r="AQ1027" s="156"/>
      <c r="AR1027" s="156"/>
      <c r="AS1027" s="156"/>
      <c r="AT1027" s="156"/>
      <c r="AU1027" s="156"/>
      <c r="AV1027" s="156"/>
      <c r="AW1027" s="156"/>
      <c r="AX1027" s="156"/>
      <c r="AY1027" s="156"/>
      <c r="AZ1027" s="156"/>
      <c r="BA1027" s="153"/>
      <c r="BD1027" s="153"/>
      <c r="BE1027" s="147"/>
      <c r="BI1027" s="153"/>
      <c r="BO1027" s="153"/>
      <c r="BW1027" s="153"/>
      <c r="CD1027" s="146"/>
      <c r="CF1027" s="147"/>
      <c r="CI1027" s="146"/>
      <c r="CJ1027" s="153"/>
      <c r="CV1027" s="154"/>
      <c r="CX1027" s="154"/>
      <c r="CZ1027" s="154"/>
      <c r="DB1027" s="154"/>
      <c r="DD1027" s="154"/>
      <c r="DH1027" s="474"/>
      <c r="DI1027" s="459"/>
      <c r="DJ1027" s="459"/>
      <c r="DK1027" s="459"/>
      <c r="DL1027" s="459"/>
      <c r="DM1027" s="459"/>
      <c r="DN1027" s="459"/>
      <c r="DO1027" s="459"/>
      <c r="DP1027" s="459"/>
      <c r="DQ1027" s="459"/>
      <c r="DR1027" s="459"/>
      <c r="DS1027" s="459"/>
      <c r="DT1027" s="459"/>
      <c r="DU1027" s="459"/>
      <c r="DV1027" s="468"/>
      <c r="DW1027" s="468"/>
      <c r="DX1027" s="459"/>
      <c r="DY1027" s="459"/>
    </row>
    <row r="1028" spans="1:129" s="128" customFormat="1" ht="54.95" customHeight="1" x14ac:dyDescent="0.25">
      <c r="A1028" s="377"/>
      <c r="B1028" s="175"/>
      <c r="C1028" s="393"/>
      <c r="D1028" s="168"/>
      <c r="E1028" s="168"/>
      <c r="F1028" s="168"/>
      <c r="G1028" s="168"/>
      <c r="H1028" s="168"/>
      <c r="I1028" s="168"/>
      <c r="J1028" s="168"/>
      <c r="K1028" s="168"/>
      <c r="L1028" s="168"/>
      <c r="M1028" s="168"/>
      <c r="N1028" s="168"/>
      <c r="O1028" s="433"/>
      <c r="P1028" s="122"/>
      <c r="Q1028" s="156"/>
      <c r="R1028" s="156"/>
      <c r="S1028" s="156"/>
      <c r="T1028" s="156"/>
      <c r="U1028" s="156"/>
      <c r="V1028" s="156"/>
      <c r="W1028" s="156"/>
      <c r="X1028" s="156"/>
      <c r="Y1028" s="156"/>
      <c r="Z1028" s="157"/>
      <c r="AA1028" s="157"/>
      <c r="AB1028" s="156"/>
      <c r="AC1028" s="156"/>
      <c r="AD1028" s="156"/>
      <c r="AE1028" s="156"/>
      <c r="AF1028" s="156"/>
      <c r="AG1028" s="156"/>
      <c r="AH1028" s="156"/>
      <c r="AI1028" s="156"/>
      <c r="AJ1028" s="156"/>
      <c r="AK1028" s="156"/>
      <c r="AL1028" s="156"/>
      <c r="AM1028" s="158"/>
      <c r="AN1028" s="156"/>
      <c r="AO1028" s="156"/>
      <c r="AP1028" s="156"/>
      <c r="AQ1028" s="156"/>
      <c r="AR1028" s="156"/>
      <c r="AS1028" s="156"/>
      <c r="AT1028" s="156"/>
      <c r="AU1028" s="156"/>
      <c r="AV1028" s="156"/>
      <c r="AW1028" s="156"/>
      <c r="AX1028" s="156"/>
      <c r="AY1028" s="156"/>
      <c r="AZ1028" s="156"/>
      <c r="BA1028" s="153"/>
      <c r="BD1028" s="153"/>
      <c r="BE1028" s="147"/>
      <c r="BI1028" s="153"/>
      <c r="BO1028" s="153"/>
      <c r="BW1028" s="153"/>
      <c r="CD1028" s="146"/>
      <c r="CF1028" s="147"/>
      <c r="CI1028" s="146"/>
      <c r="CJ1028" s="153"/>
      <c r="CV1028" s="154"/>
      <c r="CX1028" s="154"/>
      <c r="CZ1028" s="154"/>
      <c r="DB1028" s="154"/>
      <c r="DD1028" s="154"/>
      <c r="DH1028" s="474"/>
      <c r="DI1028" s="459"/>
      <c r="DJ1028" s="459"/>
      <c r="DK1028" s="459"/>
      <c r="DL1028" s="459"/>
      <c r="DM1028" s="459"/>
      <c r="DN1028" s="459"/>
      <c r="DO1028" s="459"/>
      <c r="DP1028" s="459"/>
      <c r="DQ1028" s="459"/>
      <c r="DR1028" s="459"/>
      <c r="DS1028" s="459"/>
      <c r="DT1028" s="459"/>
      <c r="DU1028" s="459"/>
      <c r="DV1028" s="468"/>
      <c r="DW1028" s="468"/>
      <c r="DX1028" s="459"/>
      <c r="DY1028" s="459"/>
    </row>
    <row r="1029" spans="1:129" s="128" customFormat="1" ht="54.95" customHeight="1" x14ac:dyDescent="0.25">
      <c r="A1029" s="377"/>
      <c r="B1029" s="175"/>
      <c r="C1029" s="393"/>
      <c r="D1029" s="168"/>
      <c r="E1029" s="168"/>
      <c r="F1029" s="168"/>
      <c r="G1029" s="168"/>
      <c r="H1029" s="168"/>
      <c r="I1029" s="168"/>
      <c r="J1029" s="168"/>
      <c r="K1029" s="168"/>
      <c r="L1029" s="168"/>
      <c r="M1029" s="168"/>
      <c r="N1029" s="168"/>
      <c r="O1029" s="433"/>
      <c r="P1029" s="122"/>
      <c r="Q1029" s="156"/>
      <c r="R1029" s="156"/>
      <c r="S1029" s="156"/>
      <c r="T1029" s="156"/>
      <c r="U1029" s="156"/>
      <c r="V1029" s="156"/>
      <c r="W1029" s="156"/>
      <c r="X1029" s="156"/>
      <c r="Y1029" s="156"/>
      <c r="Z1029" s="157"/>
      <c r="AA1029" s="157"/>
      <c r="AB1029" s="156"/>
      <c r="AC1029" s="156"/>
      <c r="AD1029" s="156"/>
      <c r="AE1029" s="156"/>
      <c r="AF1029" s="156"/>
      <c r="AG1029" s="156"/>
      <c r="AH1029" s="156"/>
      <c r="AI1029" s="156"/>
      <c r="AJ1029" s="156"/>
      <c r="AK1029" s="156"/>
      <c r="AL1029" s="156"/>
      <c r="AM1029" s="158"/>
      <c r="AN1029" s="156"/>
      <c r="AO1029" s="156"/>
      <c r="AP1029" s="156"/>
      <c r="AQ1029" s="156"/>
      <c r="AR1029" s="156"/>
      <c r="AS1029" s="156"/>
      <c r="AT1029" s="156"/>
      <c r="AU1029" s="156"/>
      <c r="AV1029" s="156"/>
      <c r="AW1029" s="156"/>
      <c r="AX1029" s="156"/>
      <c r="AY1029" s="156"/>
      <c r="AZ1029" s="156"/>
      <c r="BA1029" s="153"/>
      <c r="BD1029" s="153"/>
      <c r="BE1029" s="147"/>
      <c r="BI1029" s="153"/>
      <c r="BO1029" s="153"/>
      <c r="BW1029" s="153"/>
      <c r="CD1029" s="146"/>
      <c r="CF1029" s="147"/>
      <c r="CI1029" s="146"/>
      <c r="CJ1029" s="153"/>
      <c r="CV1029" s="154"/>
      <c r="CX1029" s="154"/>
      <c r="CZ1029" s="154"/>
      <c r="DB1029" s="154"/>
      <c r="DD1029" s="154"/>
      <c r="DH1029" s="474"/>
      <c r="DI1029" s="459"/>
      <c r="DJ1029" s="459"/>
      <c r="DK1029" s="459"/>
      <c r="DL1029" s="459"/>
      <c r="DM1029" s="459"/>
      <c r="DN1029" s="459"/>
      <c r="DO1029" s="459"/>
      <c r="DP1029" s="459"/>
      <c r="DQ1029" s="459"/>
      <c r="DR1029" s="459"/>
      <c r="DS1029" s="459"/>
      <c r="DT1029" s="459"/>
      <c r="DU1029" s="459"/>
      <c r="DV1029" s="468"/>
      <c r="DW1029" s="468"/>
      <c r="DX1029" s="459"/>
      <c r="DY1029" s="459"/>
    </row>
    <row r="1030" spans="1:129" s="128" customFormat="1" ht="54.95" customHeight="1" x14ac:dyDescent="0.25">
      <c r="A1030" s="377"/>
      <c r="B1030" s="175"/>
      <c r="C1030" s="393"/>
      <c r="D1030" s="168"/>
      <c r="E1030" s="168"/>
      <c r="F1030" s="168"/>
      <c r="G1030" s="168"/>
      <c r="H1030" s="168"/>
      <c r="I1030" s="168"/>
      <c r="J1030" s="168"/>
      <c r="K1030" s="168"/>
      <c r="L1030" s="168"/>
      <c r="M1030" s="168"/>
      <c r="N1030" s="168"/>
      <c r="O1030" s="433"/>
      <c r="P1030" s="122"/>
      <c r="Q1030" s="156"/>
      <c r="R1030" s="156"/>
      <c r="S1030" s="156"/>
      <c r="T1030" s="156"/>
      <c r="U1030" s="156"/>
      <c r="V1030" s="156"/>
      <c r="W1030" s="156"/>
      <c r="X1030" s="156"/>
      <c r="Y1030" s="156"/>
      <c r="Z1030" s="157"/>
      <c r="AA1030" s="157"/>
      <c r="AB1030" s="156"/>
      <c r="AC1030" s="156"/>
      <c r="AD1030" s="156"/>
      <c r="AE1030" s="156"/>
      <c r="AF1030" s="156"/>
      <c r="AG1030" s="156"/>
      <c r="AH1030" s="156"/>
      <c r="AI1030" s="156"/>
      <c r="AJ1030" s="156"/>
      <c r="AK1030" s="156"/>
      <c r="AL1030" s="156"/>
      <c r="AM1030" s="158"/>
      <c r="AN1030" s="156"/>
      <c r="AO1030" s="156"/>
      <c r="AP1030" s="156"/>
      <c r="AQ1030" s="156"/>
      <c r="AR1030" s="156"/>
      <c r="AS1030" s="156"/>
      <c r="AT1030" s="156"/>
      <c r="AU1030" s="156"/>
      <c r="AV1030" s="156"/>
      <c r="AW1030" s="156"/>
      <c r="AX1030" s="156"/>
      <c r="AY1030" s="156"/>
      <c r="AZ1030" s="156"/>
      <c r="BA1030" s="153"/>
      <c r="BD1030" s="153"/>
      <c r="BE1030" s="147"/>
      <c r="BI1030" s="153"/>
      <c r="BO1030" s="153"/>
      <c r="BW1030" s="153"/>
      <c r="CD1030" s="146"/>
      <c r="CF1030" s="147"/>
      <c r="CI1030" s="146"/>
      <c r="CJ1030" s="153"/>
      <c r="CV1030" s="154"/>
      <c r="CX1030" s="154"/>
      <c r="CZ1030" s="154"/>
      <c r="DB1030" s="154"/>
      <c r="DD1030" s="154"/>
      <c r="DH1030" s="474"/>
      <c r="DI1030" s="459"/>
      <c r="DJ1030" s="459"/>
      <c r="DK1030" s="459"/>
      <c r="DL1030" s="459"/>
      <c r="DM1030" s="459"/>
      <c r="DN1030" s="459"/>
      <c r="DO1030" s="459"/>
      <c r="DP1030" s="459"/>
      <c r="DQ1030" s="459"/>
      <c r="DR1030" s="459"/>
      <c r="DS1030" s="459"/>
      <c r="DT1030" s="459"/>
      <c r="DU1030" s="459"/>
      <c r="DV1030" s="468"/>
      <c r="DW1030" s="468"/>
      <c r="DX1030" s="459"/>
      <c r="DY1030" s="459"/>
    </row>
    <row r="1031" spans="1:129" s="128" customFormat="1" ht="54.95" customHeight="1" x14ac:dyDescent="0.25">
      <c r="A1031" s="377"/>
      <c r="B1031" s="175"/>
      <c r="C1031" s="393"/>
      <c r="D1031" s="168"/>
      <c r="E1031" s="168"/>
      <c r="F1031" s="168"/>
      <c r="G1031" s="168"/>
      <c r="H1031" s="168"/>
      <c r="I1031" s="168"/>
      <c r="J1031" s="168"/>
      <c r="K1031" s="168"/>
      <c r="L1031" s="168"/>
      <c r="M1031" s="168"/>
      <c r="N1031" s="168"/>
      <c r="O1031" s="433"/>
      <c r="P1031" s="122"/>
      <c r="Q1031" s="156"/>
      <c r="R1031" s="156"/>
      <c r="S1031" s="156"/>
      <c r="T1031" s="156"/>
      <c r="U1031" s="156"/>
      <c r="V1031" s="156"/>
      <c r="W1031" s="156"/>
      <c r="X1031" s="156"/>
      <c r="Y1031" s="156"/>
      <c r="Z1031" s="157"/>
      <c r="AA1031" s="157"/>
      <c r="AB1031" s="156"/>
      <c r="AC1031" s="156"/>
      <c r="AD1031" s="156"/>
      <c r="AE1031" s="156"/>
      <c r="AF1031" s="156"/>
      <c r="AG1031" s="156"/>
      <c r="AH1031" s="156"/>
      <c r="AI1031" s="156"/>
      <c r="AJ1031" s="156"/>
      <c r="AK1031" s="156"/>
      <c r="AL1031" s="156"/>
      <c r="AM1031" s="158"/>
      <c r="AN1031" s="156"/>
      <c r="AO1031" s="156"/>
      <c r="AP1031" s="156"/>
      <c r="AQ1031" s="156"/>
      <c r="AR1031" s="156"/>
      <c r="AS1031" s="156"/>
      <c r="AT1031" s="156"/>
      <c r="AU1031" s="156"/>
      <c r="AV1031" s="156"/>
      <c r="AW1031" s="156"/>
      <c r="AX1031" s="156"/>
      <c r="AY1031" s="156"/>
      <c r="AZ1031" s="156"/>
      <c r="BA1031" s="153"/>
      <c r="BD1031" s="153"/>
      <c r="BE1031" s="147"/>
      <c r="BI1031" s="153"/>
      <c r="BO1031" s="153"/>
      <c r="BW1031" s="153"/>
      <c r="CD1031" s="146"/>
      <c r="CF1031" s="147"/>
      <c r="CI1031" s="146"/>
      <c r="CJ1031" s="153"/>
      <c r="CV1031" s="154"/>
      <c r="CX1031" s="154"/>
      <c r="CZ1031" s="154"/>
      <c r="DB1031" s="154"/>
      <c r="DD1031" s="154"/>
      <c r="DH1031" s="474"/>
      <c r="DI1031" s="459"/>
      <c r="DJ1031" s="459"/>
      <c r="DK1031" s="459"/>
      <c r="DL1031" s="459"/>
      <c r="DM1031" s="459"/>
      <c r="DN1031" s="459"/>
      <c r="DO1031" s="459"/>
      <c r="DP1031" s="459"/>
      <c r="DQ1031" s="459"/>
      <c r="DR1031" s="459"/>
      <c r="DS1031" s="459"/>
      <c r="DT1031" s="459"/>
      <c r="DU1031" s="459"/>
      <c r="DV1031" s="468"/>
      <c r="DW1031" s="468"/>
      <c r="DX1031" s="459"/>
      <c r="DY1031" s="459"/>
    </row>
    <row r="1032" spans="1:129" s="128" customFormat="1" ht="54.95" customHeight="1" x14ac:dyDescent="0.25">
      <c r="A1032" s="377"/>
      <c r="B1032" s="175"/>
      <c r="C1032" s="393"/>
      <c r="D1032" s="168"/>
      <c r="E1032" s="168"/>
      <c r="F1032" s="168"/>
      <c r="G1032" s="168"/>
      <c r="H1032" s="168"/>
      <c r="I1032" s="168"/>
      <c r="J1032" s="168"/>
      <c r="K1032" s="168"/>
      <c r="L1032" s="168"/>
      <c r="M1032" s="168"/>
      <c r="N1032" s="168"/>
      <c r="O1032" s="433"/>
      <c r="P1032" s="122"/>
      <c r="Q1032" s="156"/>
      <c r="R1032" s="156"/>
      <c r="S1032" s="156"/>
      <c r="T1032" s="156"/>
      <c r="U1032" s="156"/>
      <c r="V1032" s="156"/>
      <c r="W1032" s="156"/>
      <c r="X1032" s="156"/>
      <c r="Y1032" s="156"/>
      <c r="Z1032" s="157"/>
      <c r="AA1032" s="157"/>
      <c r="AB1032" s="156"/>
      <c r="AC1032" s="156"/>
      <c r="AD1032" s="156"/>
      <c r="AE1032" s="156"/>
      <c r="AF1032" s="156"/>
      <c r="AG1032" s="156"/>
      <c r="AH1032" s="156"/>
      <c r="AI1032" s="156"/>
      <c r="AJ1032" s="156"/>
      <c r="AK1032" s="156"/>
      <c r="AL1032" s="156"/>
      <c r="AM1032" s="158"/>
      <c r="AN1032" s="156"/>
      <c r="AO1032" s="156"/>
      <c r="AP1032" s="156"/>
      <c r="AQ1032" s="156"/>
      <c r="AR1032" s="156"/>
      <c r="AS1032" s="156"/>
      <c r="AT1032" s="156"/>
      <c r="AU1032" s="156"/>
      <c r="AV1032" s="156"/>
      <c r="AW1032" s="156"/>
      <c r="AX1032" s="156"/>
      <c r="AY1032" s="156"/>
      <c r="AZ1032" s="156"/>
      <c r="BA1032" s="153"/>
      <c r="BD1032" s="153"/>
      <c r="BE1032" s="147"/>
      <c r="BI1032" s="153"/>
      <c r="BO1032" s="153"/>
      <c r="BW1032" s="153"/>
      <c r="CD1032" s="146"/>
      <c r="CF1032" s="147"/>
      <c r="CI1032" s="146"/>
      <c r="CJ1032" s="153"/>
      <c r="CV1032" s="154"/>
      <c r="CX1032" s="154"/>
      <c r="CZ1032" s="154"/>
      <c r="DB1032" s="154"/>
      <c r="DD1032" s="154"/>
      <c r="DH1032" s="474"/>
      <c r="DI1032" s="459"/>
      <c r="DJ1032" s="459"/>
      <c r="DK1032" s="459"/>
      <c r="DL1032" s="459"/>
      <c r="DM1032" s="459"/>
      <c r="DN1032" s="459"/>
      <c r="DO1032" s="459"/>
      <c r="DP1032" s="459"/>
      <c r="DQ1032" s="459"/>
      <c r="DR1032" s="459"/>
      <c r="DS1032" s="459"/>
      <c r="DT1032" s="459"/>
      <c r="DU1032" s="459"/>
      <c r="DV1032" s="468"/>
      <c r="DW1032" s="468"/>
      <c r="DX1032" s="459"/>
      <c r="DY1032" s="459"/>
    </row>
    <row r="1033" spans="1:129" s="128" customFormat="1" ht="54.95" customHeight="1" x14ac:dyDescent="0.25">
      <c r="A1033" s="377"/>
      <c r="B1033" s="175"/>
      <c r="C1033" s="393"/>
      <c r="D1033" s="168"/>
      <c r="E1033" s="168"/>
      <c r="F1033" s="168"/>
      <c r="G1033" s="168"/>
      <c r="H1033" s="168"/>
      <c r="I1033" s="168"/>
      <c r="J1033" s="168"/>
      <c r="K1033" s="168"/>
      <c r="L1033" s="168"/>
      <c r="M1033" s="168"/>
      <c r="N1033" s="168"/>
      <c r="O1033" s="433"/>
      <c r="P1033" s="122"/>
      <c r="Q1033" s="156"/>
      <c r="R1033" s="156"/>
      <c r="S1033" s="156"/>
      <c r="T1033" s="156"/>
      <c r="U1033" s="156"/>
      <c r="V1033" s="156"/>
      <c r="W1033" s="156"/>
      <c r="X1033" s="156"/>
      <c r="Y1033" s="156"/>
      <c r="Z1033" s="157"/>
      <c r="AA1033" s="157"/>
      <c r="AB1033" s="156"/>
      <c r="AC1033" s="156"/>
      <c r="AD1033" s="156"/>
      <c r="AE1033" s="156"/>
      <c r="AF1033" s="156"/>
      <c r="AG1033" s="156"/>
      <c r="AH1033" s="156"/>
      <c r="AI1033" s="156"/>
      <c r="AJ1033" s="156"/>
      <c r="AK1033" s="156"/>
      <c r="AL1033" s="156"/>
      <c r="AM1033" s="158"/>
      <c r="AN1033" s="156"/>
      <c r="AO1033" s="156"/>
      <c r="AP1033" s="156"/>
      <c r="AQ1033" s="156"/>
      <c r="AR1033" s="156"/>
      <c r="AS1033" s="156"/>
      <c r="AT1033" s="156"/>
      <c r="AU1033" s="156"/>
      <c r="AV1033" s="156"/>
      <c r="AW1033" s="156"/>
      <c r="AX1033" s="156"/>
      <c r="AY1033" s="156"/>
      <c r="AZ1033" s="156"/>
      <c r="BA1033" s="153"/>
      <c r="BD1033" s="153"/>
      <c r="BE1033" s="147"/>
      <c r="BI1033" s="153"/>
      <c r="BO1033" s="153"/>
      <c r="BW1033" s="153"/>
      <c r="CD1033" s="146"/>
      <c r="CF1033" s="147"/>
      <c r="CI1033" s="146"/>
      <c r="CJ1033" s="153"/>
      <c r="CV1033" s="154"/>
      <c r="CX1033" s="154"/>
      <c r="CZ1033" s="154"/>
      <c r="DB1033" s="154"/>
      <c r="DD1033" s="154"/>
      <c r="DH1033" s="474"/>
      <c r="DI1033" s="459"/>
      <c r="DJ1033" s="459"/>
      <c r="DK1033" s="459"/>
      <c r="DL1033" s="459"/>
      <c r="DM1033" s="459"/>
      <c r="DN1033" s="459"/>
      <c r="DO1033" s="459"/>
      <c r="DP1033" s="459"/>
      <c r="DQ1033" s="459"/>
      <c r="DR1033" s="459"/>
      <c r="DS1033" s="459"/>
      <c r="DT1033" s="459"/>
      <c r="DU1033" s="459"/>
      <c r="DV1033" s="468"/>
      <c r="DW1033" s="468"/>
      <c r="DX1033" s="459"/>
      <c r="DY1033" s="459"/>
    </row>
    <row r="1034" spans="1:129" s="128" customFormat="1" ht="54.95" customHeight="1" x14ac:dyDescent="0.25">
      <c r="A1034" s="377"/>
      <c r="B1034" s="175"/>
      <c r="C1034" s="393"/>
      <c r="D1034" s="168"/>
      <c r="E1034" s="168"/>
      <c r="F1034" s="168"/>
      <c r="G1034" s="168"/>
      <c r="H1034" s="168"/>
      <c r="I1034" s="168"/>
      <c r="J1034" s="168"/>
      <c r="K1034" s="168"/>
      <c r="L1034" s="168"/>
      <c r="M1034" s="168"/>
      <c r="N1034" s="168"/>
      <c r="O1034" s="433"/>
      <c r="P1034" s="122"/>
      <c r="Q1034" s="156"/>
      <c r="R1034" s="156"/>
      <c r="S1034" s="156"/>
      <c r="T1034" s="156"/>
      <c r="U1034" s="156"/>
      <c r="V1034" s="156"/>
      <c r="W1034" s="156"/>
      <c r="X1034" s="156"/>
      <c r="Y1034" s="156"/>
      <c r="Z1034" s="157"/>
      <c r="AA1034" s="157"/>
      <c r="AB1034" s="156"/>
      <c r="AC1034" s="156"/>
      <c r="AD1034" s="156"/>
      <c r="AE1034" s="156"/>
      <c r="AF1034" s="156"/>
      <c r="AG1034" s="156"/>
      <c r="AH1034" s="156"/>
      <c r="AI1034" s="156"/>
      <c r="AJ1034" s="156"/>
      <c r="AK1034" s="156"/>
      <c r="AL1034" s="156"/>
      <c r="AM1034" s="158"/>
      <c r="AN1034" s="156"/>
      <c r="AO1034" s="156"/>
      <c r="AP1034" s="156"/>
      <c r="AQ1034" s="156"/>
      <c r="AR1034" s="156"/>
      <c r="AS1034" s="156"/>
      <c r="AT1034" s="156"/>
      <c r="AU1034" s="156"/>
      <c r="AV1034" s="156"/>
      <c r="AW1034" s="156"/>
      <c r="AX1034" s="156"/>
      <c r="AY1034" s="156"/>
      <c r="AZ1034" s="156"/>
      <c r="BA1034" s="153"/>
      <c r="BD1034" s="153"/>
      <c r="BE1034" s="147"/>
      <c r="BI1034" s="153"/>
      <c r="BO1034" s="153"/>
      <c r="BW1034" s="153"/>
      <c r="CD1034" s="146"/>
      <c r="CF1034" s="147"/>
      <c r="CI1034" s="146"/>
      <c r="CJ1034" s="153"/>
      <c r="CV1034" s="154"/>
      <c r="CX1034" s="154"/>
      <c r="CZ1034" s="154"/>
      <c r="DB1034" s="154"/>
      <c r="DD1034" s="154"/>
      <c r="DH1034" s="474"/>
      <c r="DI1034" s="459"/>
      <c r="DJ1034" s="459"/>
      <c r="DK1034" s="459"/>
      <c r="DL1034" s="459"/>
      <c r="DM1034" s="459"/>
      <c r="DN1034" s="459"/>
      <c r="DO1034" s="459"/>
      <c r="DP1034" s="459"/>
      <c r="DQ1034" s="459"/>
      <c r="DR1034" s="459"/>
      <c r="DS1034" s="459"/>
      <c r="DT1034" s="459"/>
      <c r="DU1034" s="459"/>
      <c r="DV1034" s="468"/>
      <c r="DW1034" s="468"/>
      <c r="DX1034" s="459"/>
      <c r="DY1034" s="459"/>
    </row>
    <row r="1035" spans="1:129" s="128" customFormat="1" ht="54.95" customHeight="1" x14ac:dyDescent="0.25">
      <c r="A1035" s="377"/>
      <c r="B1035" s="175"/>
      <c r="C1035" s="393"/>
      <c r="D1035" s="168"/>
      <c r="E1035" s="168"/>
      <c r="F1035" s="168"/>
      <c r="G1035" s="168"/>
      <c r="H1035" s="168"/>
      <c r="I1035" s="168"/>
      <c r="J1035" s="168"/>
      <c r="K1035" s="168"/>
      <c r="L1035" s="168"/>
      <c r="M1035" s="168"/>
      <c r="N1035" s="168"/>
      <c r="O1035" s="433"/>
      <c r="P1035" s="122"/>
      <c r="Q1035" s="156"/>
      <c r="R1035" s="156"/>
      <c r="S1035" s="156"/>
      <c r="T1035" s="156"/>
      <c r="U1035" s="156"/>
      <c r="V1035" s="156"/>
      <c r="W1035" s="156"/>
      <c r="X1035" s="156"/>
      <c r="Y1035" s="156"/>
      <c r="Z1035" s="157"/>
      <c r="AA1035" s="157"/>
      <c r="AB1035" s="156"/>
      <c r="AC1035" s="156"/>
      <c r="AD1035" s="156"/>
      <c r="AE1035" s="156"/>
      <c r="AF1035" s="156"/>
      <c r="AG1035" s="156"/>
      <c r="AH1035" s="156"/>
      <c r="AI1035" s="156"/>
      <c r="AJ1035" s="156"/>
      <c r="AK1035" s="156"/>
      <c r="AL1035" s="156"/>
      <c r="AM1035" s="158"/>
      <c r="AN1035" s="156"/>
      <c r="AO1035" s="156"/>
      <c r="AP1035" s="156"/>
      <c r="AQ1035" s="156"/>
      <c r="AR1035" s="156"/>
      <c r="AS1035" s="156"/>
      <c r="AT1035" s="156"/>
      <c r="AU1035" s="156"/>
      <c r="AV1035" s="156"/>
      <c r="AW1035" s="156"/>
      <c r="AX1035" s="156"/>
      <c r="AY1035" s="156"/>
      <c r="AZ1035" s="156"/>
      <c r="BA1035" s="153"/>
      <c r="BD1035" s="153"/>
      <c r="BE1035" s="147"/>
      <c r="BI1035" s="153"/>
      <c r="BO1035" s="153"/>
      <c r="BW1035" s="153"/>
      <c r="CD1035" s="146"/>
      <c r="CF1035" s="147"/>
      <c r="CI1035" s="146"/>
      <c r="CJ1035" s="153"/>
      <c r="CV1035" s="154"/>
      <c r="CX1035" s="154"/>
      <c r="CZ1035" s="154"/>
      <c r="DB1035" s="154"/>
      <c r="DD1035" s="154"/>
      <c r="DH1035" s="474"/>
      <c r="DI1035" s="459"/>
      <c r="DJ1035" s="459"/>
      <c r="DK1035" s="459"/>
      <c r="DL1035" s="459"/>
      <c r="DM1035" s="459"/>
      <c r="DN1035" s="459"/>
      <c r="DO1035" s="459"/>
      <c r="DP1035" s="459"/>
      <c r="DQ1035" s="459"/>
      <c r="DR1035" s="459"/>
      <c r="DS1035" s="459"/>
      <c r="DT1035" s="459"/>
      <c r="DU1035" s="459"/>
      <c r="DV1035" s="468"/>
      <c r="DW1035" s="468"/>
      <c r="DX1035" s="459"/>
      <c r="DY1035" s="459"/>
    </row>
    <row r="1036" spans="1:129" s="128" customFormat="1" ht="54.95" customHeight="1" x14ac:dyDescent="0.25">
      <c r="A1036" s="377"/>
      <c r="B1036" s="175"/>
      <c r="C1036" s="393"/>
      <c r="D1036" s="168"/>
      <c r="E1036" s="168"/>
      <c r="F1036" s="168"/>
      <c r="G1036" s="168"/>
      <c r="H1036" s="168"/>
      <c r="I1036" s="168"/>
      <c r="J1036" s="168"/>
      <c r="K1036" s="168"/>
      <c r="L1036" s="168"/>
      <c r="M1036" s="168"/>
      <c r="N1036" s="168"/>
      <c r="O1036" s="433"/>
      <c r="P1036" s="122"/>
      <c r="Q1036" s="156"/>
      <c r="R1036" s="156"/>
      <c r="S1036" s="156"/>
      <c r="T1036" s="156"/>
      <c r="U1036" s="156"/>
      <c r="V1036" s="156"/>
      <c r="W1036" s="156"/>
      <c r="X1036" s="156"/>
      <c r="Y1036" s="156"/>
      <c r="Z1036" s="157"/>
      <c r="AA1036" s="157"/>
      <c r="AB1036" s="156"/>
      <c r="AC1036" s="156"/>
      <c r="AD1036" s="156"/>
      <c r="AE1036" s="156"/>
      <c r="AF1036" s="156"/>
      <c r="AG1036" s="156"/>
      <c r="AH1036" s="156"/>
      <c r="AI1036" s="156"/>
      <c r="AJ1036" s="156"/>
      <c r="AK1036" s="156"/>
      <c r="AL1036" s="156"/>
      <c r="AM1036" s="158"/>
      <c r="AN1036" s="156"/>
      <c r="AO1036" s="156"/>
      <c r="AP1036" s="156"/>
      <c r="AQ1036" s="156"/>
      <c r="AR1036" s="156"/>
      <c r="AS1036" s="156"/>
      <c r="AT1036" s="156"/>
      <c r="AU1036" s="156"/>
      <c r="AV1036" s="156"/>
      <c r="AW1036" s="156"/>
      <c r="AX1036" s="156"/>
      <c r="AY1036" s="156"/>
      <c r="AZ1036" s="156"/>
      <c r="BA1036" s="153"/>
      <c r="BD1036" s="153"/>
      <c r="BE1036" s="147"/>
      <c r="BI1036" s="153"/>
      <c r="BO1036" s="153"/>
      <c r="BW1036" s="153"/>
      <c r="CD1036" s="146"/>
      <c r="CF1036" s="147"/>
      <c r="CI1036" s="146"/>
      <c r="CJ1036" s="153"/>
      <c r="CV1036" s="154"/>
      <c r="CX1036" s="154"/>
      <c r="CZ1036" s="154"/>
      <c r="DB1036" s="154"/>
      <c r="DD1036" s="154"/>
      <c r="DH1036" s="474"/>
      <c r="DI1036" s="459"/>
      <c r="DJ1036" s="459"/>
      <c r="DK1036" s="459"/>
      <c r="DL1036" s="459"/>
      <c r="DM1036" s="459"/>
      <c r="DN1036" s="459"/>
      <c r="DO1036" s="459"/>
      <c r="DP1036" s="459"/>
      <c r="DQ1036" s="459"/>
      <c r="DR1036" s="459"/>
      <c r="DS1036" s="459"/>
      <c r="DT1036" s="459"/>
      <c r="DU1036" s="459"/>
      <c r="DV1036" s="468"/>
      <c r="DW1036" s="468"/>
      <c r="DX1036" s="459"/>
      <c r="DY1036" s="459"/>
    </row>
    <row r="1037" spans="1:129" s="128" customFormat="1" ht="54.95" customHeight="1" x14ac:dyDescent="0.25">
      <c r="A1037" s="377"/>
      <c r="B1037" s="175"/>
      <c r="C1037" s="393"/>
      <c r="D1037" s="168"/>
      <c r="E1037" s="168"/>
      <c r="F1037" s="168"/>
      <c r="G1037" s="168"/>
      <c r="H1037" s="168"/>
      <c r="I1037" s="168"/>
      <c r="J1037" s="168"/>
      <c r="K1037" s="168"/>
      <c r="L1037" s="168"/>
      <c r="M1037" s="168"/>
      <c r="N1037" s="168"/>
      <c r="O1037" s="433"/>
      <c r="P1037" s="122"/>
      <c r="Q1037" s="156"/>
      <c r="R1037" s="156"/>
      <c r="S1037" s="156"/>
      <c r="T1037" s="156"/>
      <c r="U1037" s="156"/>
      <c r="V1037" s="156"/>
      <c r="W1037" s="156"/>
      <c r="X1037" s="156"/>
      <c r="Y1037" s="156"/>
      <c r="Z1037" s="157"/>
      <c r="AA1037" s="157"/>
      <c r="AB1037" s="156"/>
      <c r="AC1037" s="156"/>
      <c r="AD1037" s="156"/>
      <c r="AE1037" s="156"/>
      <c r="AF1037" s="156"/>
      <c r="AG1037" s="156"/>
      <c r="AH1037" s="156"/>
      <c r="AI1037" s="156"/>
      <c r="AJ1037" s="156"/>
      <c r="AK1037" s="156"/>
      <c r="AL1037" s="156"/>
      <c r="AM1037" s="158"/>
      <c r="AN1037" s="156"/>
      <c r="AO1037" s="156"/>
      <c r="AP1037" s="156"/>
      <c r="AQ1037" s="156"/>
      <c r="AR1037" s="156"/>
      <c r="AS1037" s="156"/>
      <c r="AT1037" s="156"/>
      <c r="AU1037" s="156"/>
      <c r="AV1037" s="156"/>
      <c r="AW1037" s="156"/>
      <c r="AX1037" s="156"/>
      <c r="AY1037" s="156"/>
      <c r="AZ1037" s="156"/>
      <c r="BA1037" s="153"/>
      <c r="BD1037" s="153"/>
      <c r="BE1037" s="147"/>
      <c r="BI1037" s="153"/>
      <c r="BO1037" s="153"/>
      <c r="BW1037" s="153"/>
      <c r="CD1037" s="146"/>
      <c r="CF1037" s="147"/>
      <c r="CI1037" s="146"/>
      <c r="CJ1037" s="153"/>
      <c r="CV1037" s="154"/>
      <c r="CX1037" s="154"/>
      <c r="CZ1037" s="154"/>
      <c r="DB1037" s="154"/>
      <c r="DD1037" s="154"/>
      <c r="DH1037" s="474"/>
      <c r="DI1037" s="459"/>
      <c r="DJ1037" s="459"/>
      <c r="DK1037" s="459"/>
      <c r="DL1037" s="459"/>
      <c r="DM1037" s="459"/>
      <c r="DN1037" s="459"/>
      <c r="DO1037" s="459"/>
      <c r="DP1037" s="459"/>
      <c r="DQ1037" s="459"/>
      <c r="DR1037" s="459"/>
      <c r="DS1037" s="459"/>
      <c r="DT1037" s="459"/>
      <c r="DU1037" s="459"/>
      <c r="DV1037" s="468"/>
      <c r="DW1037" s="468"/>
      <c r="DX1037" s="459"/>
      <c r="DY1037" s="459"/>
    </row>
    <row r="1038" spans="1:129" s="128" customFormat="1" ht="54.95" customHeight="1" x14ac:dyDescent="0.25">
      <c r="A1038" s="377"/>
      <c r="B1038" s="175"/>
      <c r="C1038" s="393"/>
      <c r="D1038" s="168"/>
      <c r="E1038" s="168"/>
      <c r="F1038" s="168"/>
      <c r="G1038" s="168"/>
      <c r="H1038" s="168"/>
      <c r="I1038" s="168"/>
      <c r="J1038" s="168"/>
      <c r="K1038" s="168"/>
      <c r="L1038" s="168"/>
      <c r="M1038" s="168"/>
      <c r="N1038" s="168"/>
      <c r="O1038" s="433"/>
      <c r="P1038" s="122"/>
      <c r="Q1038" s="156"/>
      <c r="R1038" s="156"/>
      <c r="S1038" s="156"/>
      <c r="T1038" s="156"/>
      <c r="U1038" s="156"/>
      <c r="V1038" s="156"/>
      <c r="W1038" s="156"/>
      <c r="X1038" s="156"/>
      <c r="Y1038" s="156"/>
      <c r="Z1038" s="157"/>
      <c r="AA1038" s="157"/>
      <c r="AB1038" s="156"/>
      <c r="AC1038" s="156"/>
      <c r="AD1038" s="156"/>
      <c r="AE1038" s="156"/>
      <c r="AF1038" s="156"/>
      <c r="AG1038" s="156"/>
      <c r="AH1038" s="156"/>
      <c r="AI1038" s="156"/>
      <c r="AJ1038" s="156"/>
      <c r="AK1038" s="156"/>
      <c r="AL1038" s="156"/>
      <c r="AM1038" s="158"/>
      <c r="AN1038" s="156"/>
      <c r="AO1038" s="156"/>
      <c r="AP1038" s="156"/>
      <c r="AQ1038" s="156"/>
      <c r="AR1038" s="156"/>
      <c r="AS1038" s="156"/>
      <c r="AT1038" s="156"/>
      <c r="AU1038" s="156"/>
      <c r="AV1038" s="156"/>
      <c r="AW1038" s="156"/>
      <c r="AX1038" s="156"/>
      <c r="AY1038" s="156"/>
      <c r="AZ1038" s="156"/>
      <c r="BA1038" s="153"/>
      <c r="BD1038" s="153"/>
      <c r="BE1038" s="147"/>
      <c r="BI1038" s="153"/>
      <c r="BO1038" s="153"/>
      <c r="BW1038" s="153"/>
      <c r="CD1038" s="146"/>
      <c r="CF1038" s="147"/>
      <c r="CI1038" s="146"/>
      <c r="CJ1038" s="153"/>
      <c r="CV1038" s="154"/>
      <c r="CX1038" s="154"/>
      <c r="CZ1038" s="154"/>
      <c r="DB1038" s="154"/>
      <c r="DD1038" s="154"/>
      <c r="DH1038" s="474"/>
      <c r="DI1038" s="459"/>
      <c r="DJ1038" s="459"/>
      <c r="DK1038" s="459"/>
      <c r="DL1038" s="459"/>
      <c r="DM1038" s="459"/>
      <c r="DN1038" s="459"/>
      <c r="DO1038" s="459"/>
      <c r="DP1038" s="459"/>
      <c r="DQ1038" s="459"/>
      <c r="DR1038" s="459"/>
      <c r="DS1038" s="459"/>
      <c r="DT1038" s="459"/>
      <c r="DU1038" s="459"/>
      <c r="DV1038" s="468"/>
      <c r="DW1038" s="468"/>
      <c r="DX1038" s="459"/>
      <c r="DY1038" s="459"/>
    </row>
    <row r="1039" spans="1:129" s="128" customFormat="1" ht="54.95" customHeight="1" x14ac:dyDescent="0.25">
      <c r="A1039" s="377"/>
      <c r="B1039" s="175"/>
      <c r="C1039" s="393"/>
      <c r="D1039" s="168"/>
      <c r="E1039" s="168"/>
      <c r="F1039" s="168"/>
      <c r="G1039" s="168"/>
      <c r="H1039" s="168"/>
      <c r="I1039" s="168"/>
      <c r="J1039" s="168"/>
      <c r="K1039" s="168"/>
      <c r="L1039" s="168"/>
      <c r="M1039" s="168"/>
      <c r="N1039" s="168"/>
      <c r="O1039" s="433"/>
      <c r="P1039" s="122"/>
      <c r="Q1039" s="156"/>
      <c r="R1039" s="156"/>
      <c r="S1039" s="156"/>
      <c r="T1039" s="156"/>
      <c r="U1039" s="156"/>
      <c r="V1039" s="156"/>
      <c r="W1039" s="156"/>
      <c r="X1039" s="156"/>
      <c r="Y1039" s="156"/>
      <c r="Z1039" s="157"/>
      <c r="AA1039" s="157"/>
      <c r="AB1039" s="156"/>
      <c r="AC1039" s="156"/>
      <c r="AD1039" s="156"/>
      <c r="AE1039" s="156"/>
      <c r="AF1039" s="156"/>
      <c r="AG1039" s="156"/>
      <c r="AH1039" s="156"/>
      <c r="AI1039" s="156"/>
      <c r="AJ1039" s="156"/>
      <c r="AK1039" s="156"/>
      <c r="AL1039" s="156"/>
      <c r="AM1039" s="158"/>
      <c r="AN1039" s="156"/>
      <c r="AO1039" s="156"/>
      <c r="AP1039" s="156"/>
      <c r="AQ1039" s="156"/>
      <c r="AR1039" s="156"/>
      <c r="AS1039" s="156"/>
      <c r="AT1039" s="156"/>
      <c r="AU1039" s="156"/>
      <c r="AV1039" s="156"/>
      <c r="AW1039" s="156"/>
      <c r="AX1039" s="156"/>
      <c r="AY1039" s="156"/>
      <c r="AZ1039" s="156"/>
      <c r="BA1039" s="153"/>
      <c r="BD1039" s="153"/>
      <c r="BE1039" s="147"/>
      <c r="BI1039" s="153"/>
      <c r="BO1039" s="153"/>
      <c r="BW1039" s="153"/>
      <c r="CD1039" s="146"/>
      <c r="CF1039" s="147"/>
      <c r="CI1039" s="146"/>
      <c r="CJ1039" s="153"/>
      <c r="CV1039" s="154"/>
      <c r="CX1039" s="154"/>
      <c r="CZ1039" s="154"/>
      <c r="DB1039" s="154"/>
      <c r="DD1039" s="154"/>
      <c r="DH1039" s="474"/>
      <c r="DI1039" s="459"/>
      <c r="DJ1039" s="459"/>
      <c r="DK1039" s="459"/>
      <c r="DL1039" s="459"/>
      <c r="DM1039" s="459"/>
      <c r="DN1039" s="459"/>
      <c r="DO1039" s="459"/>
      <c r="DP1039" s="459"/>
      <c r="DQ1039" s="459"/>
      <c r="DR1039" s="459"/>
      <c r="DS1039" s="459"/>
      <c r="DT1039" s="459"/>
      <c r="DU1039" s="459"/>
      <c r="DV1039" s="468"/>
      <c r="DW1039" s="468"/>
      <c r="DX1039" s="459"/>
      <c r="DY1039" s="459"/>
    </row>
    <row r="1040" spans="1:129" s="128" customFormat="1" ht="54.95" customHeight="1" x14ac:dyDescent="0.25">
      <c r="A1040" s="377"/>
      <c r="B1040" s="175"/>
      <c r="C1040" s="393"/>
      <c r="D1040" s="168"/>
      <c r="E1040" s="168"/>
      <c r="F1040" s="168"/>
      <c r="G1040" s="168"/>
      <c r="H1040" s="168"/>
      <c r="I1040" s="168"/>
      <c r="J1040" s="168"/>
      <c r="K1040" s="168"/>
      <c r="L1040" s="168"/>
      <c r="M1040" s="168"/>
      <c r="N1040" s="168"/>
      <c r="O1040" s="433"/>
      <c r="P1040" s="122"/>
      <c r="Q1040" s="156"/>
      <c r="R1040" s="156"/>
      <c r="S1040" s="156"/>
      <c r="T1040" s="156"/>
      <c r="U1040" s="156"/>
      <c r="V1040" s="156"/>
      <c r="W1040" s="156"/>
      <c r="X1040" s="156"/>
      <c r="Y1040" s="156"/>
      <c r="Z1040" s="157"/>
      <c r="AA1040" s="157"/>
      <c r="AB1040" s="156"/>
      <c r="AC1040" s="156"/>
      <c r="AD1040" s="156"/>
      <c r="AE1040" s="156"/>
      <c r="AF1040" s="156"/>
      <c r="AG1040" s="156"/>
      <c r="AH1040" s="156"/>
      <c r="AI1040" s="156"/>
      <c r="AJ1040" s="156"/>
      <c r="AK1040" s="156"/>
      <c r="AL1040" s="156"/>
      <c r="AM1040" s="158"/>
      <c r="AN1040" s="156"/>
      <c r="AO1040" s="156"/>
      <c r="AP1040" s="156"/>
      <c r="AQ1040" s="156"/>
      <c r="AR1040" s="156"/>
      <c r="AS1040" s="156"/>
      <c r="AT1040" s="156"/>
      <c r="AU1040" s="156"/>
      <c r="AV1040" s="156"/>
      <c r="AW1040" s="156"/>
      <c r="AX1040" s="156"/>
      <c r="AY1040" s="156"/>
      <c r="AZ1040" s="156"/>
      <c r="BA1040" s="153"/>
      <c r="BD1040" s="153"/>
      <c r="BE1040" s="147"/>
      <c r="BI1040" s="153"/>
      <c r="BO1040" s="153"/>
      <c r="BW1040" s="153"/>
      <c r="CD1040" s="146"/>
      <c r="CF1040" s="147"/>
      <c r="CI1040" s="146"/>
      <c r="CJ1040" s="153"/>
      <c r="CV1040" s="154"/>
      <c r="CX1040" s="154"/>
      <c r="CZ1040" s="154"/>
      <c r="DB1040" s="154"/>
      <c r="DD1040" s="154"/>
      <c r="DH1040" s="474"/>
      <c r="DI1040" s="459"/>
      <c r="DJ1040" s="459"/>
      <c r="DK1040" s="459"/>
      <c r="DL1040" s="459"/>
      <c r="DM1040" s="459"/>
      <c r="DN1040" s="459"/>
      <c r="DO1040" s="459"/>
      <c r="DP1040" s="459"/>
      <c r="DQ1040" s="459"/>
      <c r="DR1040" s="459"/>
      <c r="DS1040" s="459"/>
      <c r="DT1040" s="459"/>
      <c r="DU1040" s="459"/>
      <c r="DV1040" s="468"/>
      <c r="DW1040" s="468"/>
      <c r="DX1040" s="459"/>
      <c r="DY1040" s="459"/>
    </row>
    <row r="1041" spans="1:129" s="128" customFormat="1" ht="54.95" customHeight="1" x14ac:dyDescent="0.25">
      <c r="A1041" s="377"/>
      <c r="B1041" s="175"/>
      <c r="C1041" s="393"/>
      <c r="D1041" s="168"/>
      <c r="E1041" s="168"/>
      <c r="F1041" s="168"/>
      <c r="G1041" s="168"/>
      <c r="H1041" s="168"/>
      <c r="I1041" s="168"/>
      <c r="J1041" s="168"/>
      <c r="K1041" s="168"/>
      <c r="L1041" s="168"/>
      <c r="M1041" s="168"/>
      <c r="N1041" s="168"/>
      <c r="O1041" s="433"/>
      <c r="P1041" s="122"/>
      <c r="Q1041" s="156"/>
      <c r="R1041" s="156"/>
      <c r="S1041" s="156"/>
      <c r="T1041" s="156"/>
      <c r="U1041" s="156"/>
      <c r="V1041" s="156"/>
      <c r="W1041" s="156"/>
      <c r="X1041" s="156"/>
      <c r="Y1041" s="156"/>
      <c r="Z1041" s="157"/>
      <c r="AA1041" s="157"/>
      <c r="AB1041" s="156"/>
      <c r="AC1041" s="156"/>
      <c r="AD1041" s="156"/>
      <c r="AE1041" s="156"/>
      <c r="AF1041" s="156"/>
      <c r="AG1041" s="156"/>
      <c r="AH1041" s="156"/>
      <c r="AI1041" s="156"/>
      <c r="AJ1041" s="156"/>
      <c r="AK1041" s="156"/>
      <c r="AL1041" s="156"/>
      <c r="AM1041" s="158"/>
      <c r="AN1041" s="156"/>
      <c r="AO1041" s="156"/>
      <c r="AP1041" s="156"/>
      <c r="AQ1041" s="156"/>
      <c r="AR1041" s="156"/>
      <c r="AS1041" s="156"/>
      <c r="AT1041" s="156"/>
      <c r="AU1041" s="156"/>
      <c r="AV1041" s="156"/>
      <c r="AW1041" s="156"/>
      <c r="AX1041" s="156"/>
      <c r="AY1041" s="156"/>
      <c r="AZ1041" s="156"/>
      <c r="BA1041" s="153"/>
      <c r="BD1041" s="153"/>
      <c r="BE1041" s="147"/>
      <c r="BI1041" s="153"/>
      <c r="BO1041" s="153"/>
      <c r="BW1041" s="153"/>
      <c r="CD1041" s="146"/>
      <c r="CF1041" s="147"/>
      <c r="CI1041" s="146"/>
      <c r="CJ1041" s="153"/>
      <c r="CV1041" s="154"/>
      <c r="CX1041" s="154"/>
      <c r="CZ1041" s="154"/>
      <c r="DB1041" s="154"/>
      <c r="DD1041" s="154"/>
      <c r="DH1041" s="474"/>
      <c r="DI1041" s="459"/>
      <c r="DJ1041" s="459"/>
      <c r="DK1041" s="459"/>
      <c r="DL1041" s="459"/>
      <c r="DM1041" s="459"/>
      <c r="DN1041" s="459"/>
      <c r="DO1041" s="459"/>
      <c r="DP1041" s="459"/>
      <c r="DQ1041" s="459"/>
      <c r="DR1041" s="459"/>
      <c r="DS1041" s="459"/>
      <c r="DT1041" s="459"/>
      <c r="DU1041" s="459"/>
      <c r="DV1041" s="468"/>
      <c r="DW1041" s="468"/>
      <c r="DX1041" s="459"/>
      <c r="DY1041" s="459"/>
    </row>
    <row r="1042" spans="1:129" s="128" customFormat="1" ht="54.95" customHeight="1" x14ac:dyDescent="0.25">
      <c r="A1042" s="377"/>
      <c r="B1042" s="175"/>
      <c r="C1042" s="393"/>
      <c r="D1042" s="168"/>
      <c r="E1042" s="168"/>
      <c r="F1042" s="168"/>
      <c r="G1042" s="168"/>
      <c r="H1042" s="168"/>
      <c r="I1042" s="168"/>
      <c r="J1042" s="168"/>
      <c r="K1042" s="168"/>
      <c r="L1042" s="168"/>
      <c r="M1042" s="168"/>
      <c r="N1042" s="168"/>
      <c r="O1042" s="433"/>
      <c r="P1042" s="122"/>
      <c r="Q1042" s="156"/>
      <c r="R1042" s="156"/>
      <c r="S1042" s="156"/>
      <c r="T1042" s="156"/>
      <c r="U1042" s="156"/>
      <c r="V1042" s="156"/>
      <c r="W1042" s="156"/>
      <c r="X1042" s="156"/>
      <c r="Y1042" s="156"/>
      <c r="Z1042" s="157"/>
      <c r="AA1042" s="157"/>
      <c r="AB1042" s="156"/>
      <c r="AC1042" s="156"/>
      <c r="AD1042" s="156"/>
      <c r="AE1042" s="156"/>
      <c r="AF1042" s="156"/>
      <c r="AG1042" s="156"/>
      <c r="AH1042" s="156"/>
      <c r="AI1042" s="156"/>
      <c r="AJ1042" s="156"/>
      <c r="AK1042" s="156"/>
      <c r="AL1042" s="156"/>
      <c r="AM1042" s="158"/>
      <c r="AN1042" s="156"/>
      <c r="AO1042" s="156"/>
      <c r="AP1042" s="156"/>
      <c r="AQ1042" s="156"/>
      <c r="AR1042" s="156"/>
      <c r="AS1042" s="156"/>
      <c r="AT1042" s="156"/>
      <c r="AU1042" s="156"/>
      <c r="AV1042" s="156"/>
      <c r="AW1042" s="156"/>
      <c r="AX1042" s="156"/>
      <c r="AY1042" s="156"/>
      <c r="AZ1042" s="156"/>
      <c r="BA1042" s="153"/>
      <c r="BD1042" s="153"/>
      <c r="BE1042" s="147"/>
      <c r="BI1042" s="153"/>
      <c r="BO1042" s="153"/>
      <c r="BW1042" s="153"/>
      <c r="CD1042" s="146"/>
      <c r="CF1042" s="147"/>
      <c r="CI1042" s="146"/>
      <c r="CJ1042" s="153"/>
      <c r="CV1042" s="154"/>
      <c r="CX1042" s="154"/>
      <c r="CZ1042" s="154"/>
      <c r="DB1042" s="154"/>
      <c r="DD1042" s="154"/>
      <c r="DH1042" s="474"/>
      <c r="DI1042" s="459"/>
      <c r="DJ1042" s="459"/>
      <c r="DK1042" s="459"/>
      <c r="DL1042" s="459"/>
      <c r="DM1042" s="459"/>
      <c r="DN1042" s="459"/>
      <c r="DO1042" s="459"/>
      <c r="DP1042" s="459"/>
      <c r="DQ1042" s="459"/>
      <c r="DR1042" s="459"/>
      <c r="DS1042" s="459"/>
      <c r="DT1042" s="459"/>
      <c r="DU1042" s="459"/>
      <c r="DV1042" s="468"/>
      <c r="DW1042" s="468"/>
      <c r="DX1042" s="459"/>
      <c r="DY1042" s="459"/>
    </row>
    <row r="1043" spans="1:129" s="128" customFormat="1" ht="54.95" customHeight="1" x14ac:dyDescent="0.25">
      <c r="A1043" s="377"/>
      <c r="B1043" s="175"/>
      <c r="C1043" s="393"/>
      <c r="D1043" s="168"/>
      <c r="E1043" s="168"/>
      <c r="F1043" s="168"/>
      <c r="G1043" s="168"/>
      <c r="H1043" s="168"/>
      <c r="I1043" s="168"/>
      <c r="J1043" s="168"/>
      <c r="K1043" s="168"/>
      <c r="L1043" s="168"/>
      <c r="M1043" s="168"/>
      <c r="N1043" s="168"/>
      <c r="O1043" s="433"/>
      <c r="P1043" s="122"/>
      <c r="Q1043" s="156"/>
      <c r="R1043" s="156"/>
      <c r="S1043" s="156"/>
      <c r="T1043" s="156"/>
      <c r="U1043" s="156"/>
      <c r="V1043" s="156"/>
      <c r="W1043" s="156"/>
      <c r="X1043" s="156"/>
      <c r="Y1043" s="156"/>
      <c r="Z1043" s="157"/>
      <c r="AA1043" s="157"/>
      <c r="AB1043" s="156"/>
      <c r="AC1043" s="156"/>
      <c r="AD1043" s="156"/>
      <c r="AE1043" s="156"/>
      <c r="AF1043" s="156"/>
      <c r="AG1043" s="156"/>
      <c r="AH1043" s="156"/>
      <c r="AI1043" s="156"/>
      <c r="AJ1043" s="156"/>
      <c r="AK1043" s="156"/>
      <c r="AL1043" s="156"/>
      <c r="AM1043" s="158"/>
      <c r="AN1043" s="156"/>
      <c r="AO1043" s="156"/>
      <c r="AP1043" s="156"/>
      <c r="AQ1043" s="156"/>
      <c r="AR1043" s="156"/>
      <c r="AS1043" s="156"/>
      <c r="AT1043" s="156"/>
      <c r="AU1043" s="156"/>
      <c r="AV1043" s="156"/>
      <c r="AW1043" s="156"/>
      <c r="AX1043" s="156"/>
      <c r="AY1043" s="156"/>
      <c r="AZ1043" s="156"/>
      <c r="BA1043" s="153"/>
      <c r="BD1043" s="153"/>
      <c r="BE1043" s="147"/>
      <c r="BI1043" s="153"/>
      <c r="BO1043" s="153"/>
      <c r="BW1043" s="153"/>
      <c r="CD1043" s="146"/>
      <c r="CF1043" s="147"/>
      <c r="CI1043" s="146"/>
      <c r="CJ1043" s="153"/>
      <c r="CV1043" s="154"/>
      <c r="CX1043" s="154"/>
      <c r="CZ1043" s="154"/>
      <c r="DB1043" s="154"/>
      <c r="DD1043" s="154"/>
      <c r="DH1043" s="474"/>
      <c r="DI1043" s="459"/>
      <c r="DJ1043" s="459"/>
      <c r="DK1043" s="459"/>
      <c r="DL1043" s="459"/>
      <c r="DM1043" s="459"/>
      <c r="DN1043" s="459"/>
      <c r="DO1043" s="459"/>
      <c r="DP1043" s="459"/>
      <c r="DQ1043" s="459"/>
      <c r="DR1043" s="459"/>
      <c r="DS1043" s="459"/>
      <c r="DT1043" s="459"/>
      <c r="DU1043" s="459"/>
      <c r="DV1043" s="468"/>
      <c r="DW1043" s="468"/>
      <c r="DX1043" s="459"/>
      <c r="DY1043" s="459"/>
    </row>
    <row r="1044" spans="1:129" s="128" customFormat="1" ht="54.95" customHeight="1" x14ac:dyDescent="0.25">
      <c r="A1044" s="377"/>
      <c r="B1044" s="175"/>
      <c r="C1044" s="393"/>
      <c r="D1044" s="168"/>
      <c r="E1044" s="168"/>
      <c r="F1044" s="168"/>
      <c r="G1044" s="168"/>
      <c r="H1044" s="168"/>
      <c r="I1044" s="168"/>
      <c r="J1044" s="168"/>
      <c r="K1044" s="168"/>
      <c r="L1044" s="168"/>
      <c r="M1044" s="168"/>
      <c r="N1044" s="168"/>
      <c r="O1044" s="433"/>
      <c r="P1044" s="122"/>
      <c r="Q1044" s="156"/>
      <c r="R1044" s="156"/>
      <c r="S1044" s="156"/>
      <c r="T1044" s="156"/>
      <c r="U1044" s="156"/>
      <c r="V1044" s="156"/>
      <c r="W1044" s="156"/>
      <c r="X1044" s="156"/>
      <c r="Y1044" s="156"/>
      <c r="Z1044" s="157"/>
      <c r="AA1044" s="157"/>
      <c r="AB1044" s="156"/>
      <c r="AC1044" s="156"/>
      <c r="AD1044" s="156"/>
      <c r="AE1044" s="156"/>
      <c r="AF1044" s="156"/>
      <c r="AG1044" s="156"/>
      <c r="AH1044" s="156"/>
      <c r="AI1044" s="156"/>
      <c r="AJ1044" s="156"/>
      <c r="AK1044" s="156"/>
      <c r="AL1044" s="156"/>
      <c r="AM1044" s="158"/>
      <c r="AN1044" s="156"/>
      <c r="AO1044" s="156"/>
      <c r="AP1044" s="156"/>
      <c r="AQ1044" s="156"/>
      <c r="AR1044" s="156"/>
      <c r="AS1044" s="156"/>
      <c r="AT1044" s="156"/>
      <c r="AU1044" s="156"/>
      <c r="AV1044" s="156"/>
      <c r="AW1044" s="156"/>
      <c r="AX1044" s="156"/>
      <c r="AY1044" s="156"/>
      <c r="AZ1044" s="156"/>
      <c r="BA1044" s="153"/>
      <c r="BD1044" s="153"/>
      <c r="BE1044" s="147"/>
      <c r="BI1044" s="153"/>
      <c r="BO1044" s="153"/>
      <c r="BW1044" s="153"/>
      <c r="CD1044" s="146"/>
      <c r="CF1044" s="147"/>
      <c r="CI1044" s="146"/>
      <c r="CJ1044" s="153"/>
      <c r="CV1044" s="154"/>
      <c r="CX1044" s="154"/>
      <c r="CZ1044" s="154"/>
      <c r="DB1044" s="154"/>
      <c r="DD1044" s="154"/>
      <c r="DH1044" s="474"/>
      <c r="DI1044" s="459"/>
      <c r="DJ1044" s="459"/>
      <c r="DK1044" s="459"/>
      <c r="DL1044" s="459"/>
      <c r="DM1044" s="459"/>
      <c r="DN1044" s="459"/>
      <c r="DO1044" s="459"/>
      <c r="DP1044" s="459"/>
      <c r="DQ1044" s="459"/>
      <c r="DR1044" s="459"/>
      <c r="DS1044" s="459"/>
      <c r="DT1044" s="459"/>
      <c r="DU1044" s="459"/>
      <c r="DV1044" s="468"/>
      <c r="DW1044" s="468"/>
      <c r="DX1044" s="459"/>
      <c r="DY1044" s="459"/>
    </row>
    <row r="1045" spans="1:129" s="128" customFormat="1" ht="54.95" customHeight="1" x14ac:dyDescent="0.25">
      <c r="A1045" s="377"/>
      <c r="B1045" s="175"/>
      <c r="C1045" s="393"/>
      <c r="D1045" s="168"/>
      <c r="E1045" s="168"/>
      <c r="F1045" s="168"/>
      <c r="G1045" s="168"/>
      <c r="H1045" s="168"/>
      <c r="I1045" s="168"/>
      <c r="J1045" s="168"/>
      <c r="K1045" s="168"/>
      <c r="L1045" s="168"/>
      <c r="M1045" s="168"/>
      <c r="N1045" s="168"/>
      <c r="O1045" s="433"/>
      <c r="P1045" s="122"/>
      <c r="Q1045" s="156"/>
      <c r="R1045" s="156"/>
      <c r="S1045" s="156"/>
      <c r="T1045" s="156"/>
      <c r="U1045" s="156"/>
      <c r="V1045" s="156"/>
      <c r="W1045" s="156"/>
      <c r="X1045" s="156"/>
      <c r="Y1045" s="156"/>
      <c r="Z1045" s="157"/>
      <c r="AA1045" s="157"/>
      <c r="AB1045" s="156"/>
      <c r="AC1045" s="156"/>
      <c r="AD1045" s="156"/>
      <c r="AE1045" s="156"/>
      <c r="AF1045" s="156"/>
      <c r="AG1045" s="156"/>
      <c r="AH1045" s="156"/>
      <c r="AI1045" s="156"/>
      <c r="AJ1045" s="156"/>
      <c r="AK1045" s="156"/>
      <c r="AL1045" s="156"/>
      <c r="AM1045" s="158"/>
      <c r="AN1045" s="156"/>
      <c r="AO1045" s="156"/>
      <c r="AP1045" s="156"/>
      <c r="AQ1045" s="156"/>
      <c r="AR1045" s="156"/>
      <c r="AS1045" s="156"/>
      <c r="AT1045" s="156"/>
      <c r="AU1045" s="156"/>
      <c r="AV1045" s="156"/>
      <c r="AW1045" s="156"/>
      <c r="AX1045" s="156"/>
      <c r="AY1045" s="156"/>
      <c r="AZ1045" s="156"/>
      <c r="BA1045" s="153"/>
      <c r="BD1045" s="153"/>
      <c r="BE1045" s="147"/>
      <c r="BI1045" s="153"/>
      <c r="BO1045" s="153"/>
      <c r="BW1045" s="153"/>
      <c r="CD1045" s="146"/>
      <c r="CF1045" s="147"/>
      <c r="CI1045" s="146"/>
      <c r="CJ1045" s="153"/>
      <c r="CV1045" s="154"/>
      <c r="CX1045" s="154"/>
      <c r="CZ1045" s="154"/>
      <c r="DB1045" s="154"/>
      <c r="DD1045" s="154"/>
      <c r="DH1045" s="474"/>
      <c r="DI1045" s="459"/>
      <c r="DJ1045" s="459"/>
      <c r="DK1045" s="459"/>
      <c r="DL1045" s="459"/>
      <c r="DM1045" s="459"/>
      <c r="DN1045" s="459"/>
      <c r="DO1045" s="459"/>
      <c r="DP1045" s="459"/>
      <c r="DQ1045" s="459"/>
      <c r="DR1045" s="459"/>
      <c r="DS1045" s="459"/>
      <c r="DT1045" s="459"/>
      <c r="DU1045" s="459"/>
      <c r="DV1045" s="468"/>
      <c r="DW1045" s="468"/>
      <c r="DX1045" s="459"/>
      <c r="DY1045" s="459"/>
    </row>
    <row r="1046" spans="1:129" s="128" customFormat="1" ht="54.95" customHeight="1" x14ac:dyDescent="0.25">
      <c r="A1046" s="377"/>
      <c r="B1046" s="175"/>
      <c r="C1046" s="393"/>
      <c r="D1046" s="168"/>
      <c r="E1046" s="168"/>
      <c r="F1046" s="168"/>
      <c r="G1046" s="168"/>
      <c r="H1046" s="168"/>
      <c r="I1046" s="168"/>
      <c r="J1046" s="168"/>
      <c r="K1046" s="168"/>
      <c r="L1046" s="168"/>
      <c r="M1046" s="168"/>
      <c r="N1046" s="168"/>
      <c r="O1046" s="433"/>
      <c r="P1046" s="122"/>
      <c r="Q1046" s="156"/>
      <c r="R1046" s="156"/>
      <c r="S1046" s="156"/>
      <c r="T1046" s="156"/>
      <c r="U1046" s="156"/>
      <c r="V1046" s="156"/>
      <c r="W1046" s="156"/>
      <c r="X1046" s="156"/>
      <c r="Y1046" s="156"/>
      <c r="Z1046" s="157"/>
      <c r="AA1046" s="157"/>
      <c r="AB1046" s="156"/>
      <c r="AC1046" s="156"/>
      <c r="AD1046" s="156"/>
      <c r="AE1046" s="156"/>
      <c r="AF1046" s="156"/>
      <c r="AG1046" s="156"/>
      <c r="AH1046" s="156"/>
      <c r="AI1046" s="156"/>
      <c r="AJ1046" s="156"/>
      <c r="AK1046" s="156"/>
      <c r="AL1046" s="156"/>
      <c r="AM1046" s="158"/>
      <c r="AN1046" s="156"/>
      <c r="AO1046" s="156"/>
      <c r="AP1046" s="156"/>
      <c r="AQ1046" s="156"/>
      <c r="AR1046" s="156"/>
      <c r="AS1046" s="156"/>
      <c r="AT1046" s="156"/>
      <c r="AU1046" s="156"/>
      <c r="AV1046" s="156"/>
      <c r="AW1046" s="156"/>
      <c r="AX1046" s="156"/>
      <c r="AY1046" s="156"/>
      <c r="AZ1046" s="156"/>
      <c r="BA1046" s="153"/>
      <c r="BD1046" s="153"/>
      <c r="BE1046" s="147"/>
      <c r="BI1046" s="153"/>
      <c r="BO1046" s="153"/>
      <c r="BW1046" s="153"/>
      <c r="CD1046" s="146"/>
      <c r="CF1046" s="147"/>
      <c r="CI1046" s="146"/>
      <c r="CJ1046" s="153"/>
      <c r="CV1046" s="154"/>
      <c r="CX1046" s="154"/>
      <c r="CZ1046" s="154"/>
      <c r="DB1046" s="154"/>
      <c r="DD1046" s="154"/>
      <c r="DH1046" s="474"/>
      <c r="DI1046" s="459"/>
      <c r="DJ1046" s="459"/>
      <c r="DK1046" s="459"/>
      <c r="DL1046" s="459"/>
      <c r="DM1046" s="459"/>
      <c r="DN1046" s="459"/>
      <c r="DO1046" s="459"/>
      <c r="DP1046" s="459"/>
      <c r="DQ1046" s="459"/>
      <c r="DR1046" s="459"/>
      <c r="DS1046" s="459"/>
      <c r="DT1046" s="459"/>
      <c r="DU1046" s="459"/>
      <c r="DV1046" s="468"/>
      <c r="DW1046" s="468"/>
      <c r="DX1046" s="459"/>
      <c r="DY1046" s="459"/>
    </row>
    <row r="1047" spans="1:129" s="128" customFormat="1" ht="54.95" customHeight="1" x14ac:dyDescent="0.25">
      <c r="A1047" s="377"/>
      <c r="B1047" s="175"/>
      <c r="C1047" s="393"/>
      <c r="D1047" s="168"/>
      <c r="E1047" s="168"/>
      <c r="F1047" s="168"/>
      <c r="G1047" s="168"/>
      <c r="H1047" s="168"/>
      <c r="I1047" s="168"/>
      <c r="J1047" s="168"/>
      <c r="K1047" s="168"/>
      <c r="L1047" s="168"/>
      <c r="M1047" s="168"/>
      <c r="N1047" s="168"/>
      <c r="O1047" s="433"/>
      <c r="P1047" s="122"/>
      <c r="Q1047" s="156"/>
      <c r="R1047" s="156"/>
      <c r="S1047" s="156"/>
      <c r="T1047" s="156"/>
      <c r="U1047" s="156"/>
      <c r="V1047" s="156"/>
      <c r="W1047" s="156"/>
      <c r="X1047" s="156"/>
      <c r="Y1047" s="156"/>
      <c r="Z1047" s="157"/>
      <c r="AA1047" s="157"/>
      <c r="AB1047" s="156"/>
      <c r="AC1047" s="156"/>
      <c r="AD1047" s="156"/>
      <c r="AE1047" s="156"/>
      <c r="AF1047" s="156"/>
      <c r="AG1047" s="156"/>
      <c r="AH1047" s="156"/>
      <c r="AI1047" s="156"/>
      <c r="AJ1047" s="156"/>
      <c r="AK1047" s="156"/>
      <c r="AL1047" s="156"/>
      <c r="AM1047" s="158"/>
      <c r="AN1047" s="156"/>
      <c r="AO1047" s="156"/>
      <c r="AP1047" s="156"/>
      <c r="AQ1047" s="156"/>
      <c r="AR1047" s="156"/>
      <c r="AS1047" s="156"/>
      <c r="AT1047" s="156"/>
      <c r="AU1047" s="156"/>
      <c r="AV1047" s="156"/>
      <c r="AW1047" s="156"/>
      <c r="AX1047" s="156"/>
      <c r="AY1047" s="156"/>
      <c r="AZ1047" s="156"/>
      <c r="BA1047" s="153"/>
      <c r="BD1047" s="153"/>
      <c r="BE1047" s="147"/>
      <c r="BI1047" s="153"/>
      <c r="BO1047" s="153"/>
      <c r="BW1047" s="153"/>
      <c r="CD1047" s="146"/>
      <c r="CF1047" s="147"/>
      <c r="CI1047" s="146"/>
      <c r="CJ1047" s="153"/>
      <c r="CV1047" s="154"/>
      <c r="CX1047" s="154"/>
      <c r="CZ1047" s="154"/>
      <c r="DB1047" s="154"/>
      <c r="DD1047" s="154"/>
      <c r="DH1047" s="474"/>
      <c r="DI1047" s="459"/>
      <c r="DJ1047" s="459"/>
      <c r="DK1047" s="459"/>
      <c r="DL1047" s="459"/>
      <c r="DM1047" s="459"/>
      <c r="DN1047" s="459"/>
      <c r="DO1047" s="459"/>
      <c r="DP1047" s="459"/>
      <c r="DQ1047" s="459"/>
      <c r="DR1047" s="459"/>
      <c r="DS1047" s="459"/>
      <c r="DT1047" s="459"/>
      <c r="DU1047" s="459"/>
      <c r="DV1047" s="468"/>
      <c r="DW1047" s="468"/>
      <c r="DX1047" s="459"/>
      <c r="DY1047" s="459"/>
    </row>
    <row r="1048" spans="1:129" s="128" customFormat="1" ht="54.95" customHeight="1" x14ac:dyDescent="0.25">
      <c r="A1048" s="377"/>
      <c r="B1048" s="175"/>
      <c r="C1048" s="393"/>
      <c r="D1048" s="168"/>
      <c r="E1048" s="168"/>
      <c r="F1048" s="168"/>
      <c r="G1048" s="168"/>
      <c r="H1048" s="168"/>
      <c r="I1048" s="168"/>
      <c r="J1048" s="168"/>
      <c r="K1048" s="168"/>
      <c r="L1048" s="168"/>
      <c r="M1048" s="168"/>
      <c r="N1048" s="168"/>
      <c r="O1048" s="433"/>
      <c r="P1048" s="122"/>
      <c r="Q1048" s="156"/>
      <c r="R1048" s="156"/>
      <c r="S1048" s="156"/>
      <c r="T1048" s="156"/>
      <c r="U1048" s="156"/>
      <c r="V1048" s="156"/>
      <c r="W1048" s="156"/>
      <c r="X1048" s="156"/>
      <c r="Y1048" s="156"/>
      <c r="Z1048" s="157"/>
      <c r="AA1048" s="157"/>
      <c r="AB1048" s="156"/>
      <c r="AC1048" s="156"/>
      <c r="AD1048" s="156"/>
      <c r="AE1048" s="156"/>
      <c r="AF1048" s="156"/>
      <c r="AG1048" s="156"/>
      <c r="AH1048" s="156"/>
      <c r="AI1048" s="156"/>
      <c r="AJ1048" s="156"/>
      <c r="AK1048" s="156"/>
      <c r="AL1048" s="156"/>
      <c r="AM1048" s="158"/>
      <c r="AN1048" s="156"/>
      <c r="AO1048" s="156"/>
      <c r="AP1048" s="156"/>
      <c r="AQ1048" s="156"/>
      <c r="AR1048" s="156"/>
      <c r="AS1048" s="156"/>
      <c r="AT1048" s="156"/>
      <c r="AU1048" s="156"/>
      <c r="AV1048" s="156"/>
      <c r="AW1048" s="156"/>
      <c r="AX1048" s="156"/>
      <c r="AY1048" s="156"/>
      <c r="AZ1048" s="156"/>
      <c r="BA1048" s="153"/>
      <c r="BD1048" s="153"/>
      <c r="BE1048" s="147"/>
      <c r="BI1048" s="153"/>
      <c r="BO1048" s="153"/>
      <c r="BW1048" s="153"/>
      <c r="CD1048" s="146"/>
      <c r="CF1048" s="147"/>
      <c r="CI1048" s="146"/>
      <c r="CJ1048" s="153"/>
      <c r="CV1048" s="154"/>
      <c r="CX1048" s="154"/>
      <c r="CZ1048" s="154"/>
      <c r="DB1048" s="154"/>
      <c r="DD1048" s="154"/>
      <c r="DH1048" s="474"/>
      <c r="DI1048" s="459"/>
      <c r="DJ1048" s="459"/>
      <c r="DK1048" s="459"/>
      <c r="DL1048" s="459"/>
      <c r="DM1048" s="459"/>
      <c r="DN1048" s="459"/>
      <c r="DO1048" s="459"/>
      <c r="DP1048" s="459"/>
      <c r="DQ1048" s="459"/>
      <c r="DR1048" s="459"/>
      <c r="DS1048" s="459"/>
      <c r="DT1048" s="459"/>
      <c r="DU1048" s="459"/>
      <c r="DV1048" s="468"/>
      <c r="DW1048" s="468"/>
      <c r="DX1048" s="459"/>
      <c r="DY1048" s="459"/>
    </row>
    <row r="1049" spans="1:129" s="128" customFormat="1" ht="54.95" customHeight="1" x14ac:dyDescent="0.25">
      <c r="A1049" s="377"/>
      <c r="B1049" s="175"/>
      <c r="C1049" s="393"/>
      <c r="D1049" s="168"/>
      <c r="E1049" s="168"/>
      <c r="F1049" s="168"/>
      <c r="G1049" s="168"/>
      <c r="H1049" s="168"/>
      <c r="I1049" s="168"/>
      <c r="J1049" s="168"/>
      <c r="K1049" s="168"/>
      <c r="L1049" s="168"/>
      <c r="M1049" s="168"/>
      <c r="N1049" s="168"/>
      <c r="O1049" s="433"/>
      <c r="P1049" s="122"/>
      <c r="Q1049" s="156"/>
      <c r="R1049" s="156"/>
      <c r="S1049" s="156"/>
      <c r="T1049" s="156"/>
      <c r="U1049" s="156"/>
      <c r="V1049" s="156"/>
      <c r="W1049" s="156"/>
      <c r="X1049" s="156"/>
      <c r="Y1049" s="156"/>
      <c r="Z1049" s="157"/>
      <c r="AA1049" s="157"/>
      <c r="AB1049" s="156"/>
      <c r="AC1049" s="156"/>
      <c r="AD1049" s="156"/>
      <c r="AE1049" s="156"/>
      <c r="AF1049" s="156"/>
      <c r="AG1049" s="156"/>
      <c r="AH1049" s="156"/>
      <c r="AI1049" s="156"/>
      <c r="AJ1049" s="156"/>
      <c r="AK1049" s="156"/>
      <c r="AL1049" s="156"/>
      <c r="AM1049" s="158"/>
      <c r="AN1049" s="156"/>
      <c r="AO1049" s="156"/>
      <c r="AP1049" s="156"/>
      <c r="AQ1049" s="156"/>
      <c r="AR1049" s="156"/>
      <c r="AS1049" s="156"/>
      <c r="AT1049" s="156"/>
      <c r="AU1049" s="156"/>
      <c r="AV1049" s="156"/>
      <c r="AW1049" s="156"/>
      <c r="AX1049" s="156"/>
      <c r="AY1049" s="156"/>
      <c r="AZ1049" s="156"/>
      <c r="BA1049" s="153"/>
      <c r="BD1049" s="153"/>
      <c r="BE1049" s="147"/>
      <c r="BI1049" s="153"/>
      <c r="BO1049" s="153"/>
      <c r="BW1049" s="153"/>
      <c r="CD1049" s="146"/>
      <c r="CF1049" s="147"/>
      <c r="CI1049" s="146"/>
      <c r="CJ1049" s="153"/>
      <c r="CV1049" s="154"/>
      <c r="CX1049" s="154"/>
      <c r="CZ1049" s="154"/>
      <c r="DB1049" s="154"/>
      <c r="DD1049" s="154"/>
      <c r="DH1049" s="474"/>
      <c r="DI1049" s="459"/>
      <c r="DJ1049" s="459"/>
      <c r="DK1049" s="459"/>
      <c r="DL1049" s="459"/>
      <c r="DM1049" s="459"/>
      <c r="DN1049" s="459"/>
      <c r="DO1049" s="459"/>
      <c r="DP1049" s="459"/>
      <c r="DQ1049" s="459"/>
      <c r="DR1049" s="459"/>
      <c r="DS1049" s="459"/>
      <c r="DT1049" s="459"/>
      <c r="DU1049" s="459"/>
      <c r="DV1049" s="468"/>
      <c r="DW1049" s="468"/>
      <c r="DX1049" s="459"/>
      <c r="DY1049" s="459"/>
    </row>
    <row r="1050" spans="1:129" s="128" customFormat="1" ht="54.95" customHeight="1" x14ac:dyDescent="0.25">
      <c r="A1050" s="377"/>
      <c r="B1050" s="175"/>
      <c r="C1050" s="393"/>
      <c r="D1050" s="168"/>
      <c r="E1050" s="168"/>
      <c r="F1050" s="168"/>
      <c r="G1050" s="168"/>
      <c r="H1050" s="168"/>
      <c r="I1050" s="168"/>
      <c r="J1050" s="168"/>
      <c r="K1050" s="168"/>
      <c r="L1050" s="168"/>
      <c r="M1050" s="168"/>
      <c r="N1050" s="168"/>
      <c r="O1050" s="433"/>
      <c r="P1050" s="122"/>
      <c r="Q1050" s="156"/>
      <c r="R1050" s="156"/>
      <c r="S1050" s="156"/>
      <c r="T1050" s="156"/>
      <c r="U1050" s="156"/>
      <c r="V1050" s="156"/>
      <c r="W1050" s="156"/>
      <c r="X1050" s="156"/>
      <c r="Y1050" s="156"/>
      <c r="Z1050" s="157"/>
      <c r="AA1050" s="157"/>
      <c r="AB1050" s="156"/>
      <c r="AC1050" s="156"/>
      <c r="AD1050" s="156"/>
      <c r="AE1050" s="156"/>
      <c r="AF1050" s="156"/>
      <c r="AG1050" s="156"/>
      <c r="AH1050" s="156"/>
      <c r="AI1050" s="156"/>
      <c r="AJ1050" s="156"/>
      <c r="AK1050" s="156"/>
      <c r="AL1050" s="156"/>
      <c r="AM1050" s="158"/>
      <c r="AN1050" s="156"/>
      <c r="AO1050" s="156"/>
      <c r="AP1050" s="156"/>
      <c r="AQ1050" s="156"/>
      <c r="AR1050" s="156"/>
      <c r="AS1050" s="156"/>
      <c r="AT1050" s="156"/>
      <c r="AU1050" s="156"/>
      <c r="AV1050" s="156"/>
      <c r="AW1050" s="156"/>
      <c r="AX1050" s="156"/>
      <c r="AY1050" s="156"/>
      <c r="AZ1050" s="156"/>
      <c r="BA1050" s="153"/>
      <c r="BD1050" s="153"/>
      <c r="BE1050" s="147"/>
      <c r="BI1050" s="153"/>
      <c r="BO1050" s="153"/>
      <c r="BW1050" s="153"/>
      <c r="CD1050" s="146"/>
      <c r="CF1050" s="147"/>
      <c r="CI1050" s="146"/>
      <c r="CJ1050" s="153"/>
      <c r="CV1050" s="154"/>
      <c r="CX1050" s="154"/>
      <c r="CZ1050" s="154"/>
      <c r="DB1050" s="154"/>
      <c r="DD1050" s="154"/>
      <c r="DH1050" s="474"/>
      <c r="DI1050" s="459"/>
      <c r="DJ1050" s="459"/>
      <c r="DK1050" s="459"/>
      <c r="DL1050" s="459"/>
      <c r="DM1050" s="459"/>
      <c r="DN1050" s="459"/>
      <c r="DO1050" s="459"/>
      <c r="DP1050" s="459"/>
      <c r="DQ1050" s="459"/>
      <c r="DR1050" s="459"/>
      <c r="DS1050" s="459"/>
      <c r="DT1050" s="459"/>
      <c r="DU1050" s="459"/>
      <c r="DV1050" s="468"/>
      <c r="DW1050" s="468"/>
      <c r="DX1050" s="459"/>
      <c r="DY1050" s="459"/>
    </row>
    <row r="1051" spans="1:129" s="128" customFormat="1" ht="54.95" customHeight="1" x14ac:dyDescent="0.25">
      <c r="A1051" s="377"/>
      <c r="B1051" s="175"/>
      <c r="C1051" s="393"/>
      <c r="D1051" s="168"/>
      <c r="E1051" s="168"/>
      <c r="F1051" s="168"/>
      <c r="G1051" s="168"/>
      <c r="H1051" s="168"/>
      <c r="I1051" s="168"/>
      <c r="J1051" s="168"/>
      <c r="K1051" s="168"/>
      <c r="L1051" s="168"/>
      <c r="M1051" s="168"/>
      <c r="N1051" s="168"/>
      <c r="O1051" s="433"/>
      <c r="P1051" s="122"/>
      <c r="Q1051" s="156"/>
      <c r="R1051" s="156"/>
      <c r="S1051" s="156"/>
      <c r="T1051" s="156"/>
      <c r="U1051" s="156"/>
      <c r="V1051" s="156"/>
      <c r="W1051" s="156"/>
      <c r="X1051" s="156"/>
      <c r="Y1051" s="156"/>
      <c r="Z1051" s="157"/>
      <c r="AA1051" s="157"/>
      <c r="AB1051" s="156"/>
      <c r="AC1051" s="156"/>
      <c r="AD1051" s="156"/>
      <c r="AE1051" s="156"/>
      <c r="AF1051" s="156"/>
      <c r="AG1051" s="156"/>
      <c r="AH1051" s="156"/>
      <c r="AI1051" s="156"/>
      <c r="AJ1051" s="156"/>
      <c r="AK1051" s="156"/>
      <c r="AL1051" s="156"/>
      <c r="AM1051" s="158"/>
      <c r="AN1051" s="156"/>
      <c r="AO1051" s="156"/>
      <c r="AP1051" s="156"/>
      <c r="AQ1051" s="156"/>
      <c r="AR1051" s="156"/>
      <c r="AS1051" s="156"/>
      <c r="AT1051" s="156"/>
      <c r="AU1051" s="156"/>
      <c r="AV1051" s="156"/>
      <c r="AW1051" s="156"/>
      <c r="AX1051" s="156"/>
      <c r="AY1051" s="156"/>
      <c r="AZ1051" s="156"/>
      <c r="BA1051" s="153"/>
      <c r="BD1051" s="153"/>
      <c r="BE1051" s="147"/>
      <c r="BI1051" s="153"/>
      <c r="BO1051" s="153"/>
      <c r="BW1051" s="153"/>
      <c r="CD1051" s="146"/>
      <c r="CF1051" s="147"/>
      <c r="CI1051" s="146"/>
      <c r="CJ1051" s="153"/>
      <c r="CV1051" s="154"/>
      <c r="CX1051" s="154"/>
      <c r="CZ1051" s="154"/>
      <c r="DB1051" s="154"/>
      <c r="DD1051" s="154"/>
      <c r="DH1051" s="474"/>
      <c r="DI1051" s="459"/>
      <c r="DJ1051" s="459"/>
      <c r="DK1051" s="459"/>
      <c r="DL1051" s="459"/>
      <c r="DM1051" s="459"/>
      <c r="DN1051" s="459"/>
      <c r="DO1051" s="459"/>
      <c r="DP1051" s="459"/>
      <c r="DQ1051" s="459"/>
      <c r="DR1051" s="459"/>
      <c r="DS1051" s="459"/>
      <c r="DT1051" s="459"/>
      <c r="DU1051" s="459"/>
      <c r="DV1051" s="468"/>
      <c r="DW1051" s="468"/>
      <c r="DX1051" s="459"/>
      <c r="DY1051" s="459"/>
    </row>
    <row r="1052" spans="1:129" s="128" customFormat="1" ht="54.95" customHeight="1" x14ac:dyDescent="0.25">
      <c r="A1052" s="377"/>
      <c r="B1052" s="175"/>
      <c r="C1052" s="393"/>
      <c r="D1052" s="168"/>
      <c r="E1052" s="168"/>
      <c r="F1052" s="168"/>
      <c r="G1052" s="168"/>
      <c r="H1052" s="168"/>
      <c r="I1052" s="168"/>
      <c r="J1052" s="168"/>
      <c r="K1052" s="168"/>
      <c r="L1052" s="168"/>
      <c r="M1052" s="168"/>
      <c r="N1052" s="168"/>
      <c r="O1052" s="433"/>
      <c r="P1052" s="122"/>
      <c r="Q1052" s="156"/>
      <c r="R1052" s="156"/>
      <c r="S1052" s="156"/>
      <c r="T1052" s="156"/>
      <c r="U1052" s="156"/>
      <c r="V1052" s="156"/>
      <c r="W1052" s="156"/>
      <c r="X1052" s="156"/>
      <c r="Y1052" s="156"/>
      <c r="Z1052" s="157"/>
      <c r="AA1052" s="157"/>
      <c r="AB1052" s="156"/>
      <c r="AC1052" s="156"/>
      <c r="AD1052" s="156"/>
      <c r="AE1052" s="156"/>
      <c r="AF1052" s="156"/>
      <c r="AG1052" s="156"/>
      <c r="AH1052" s="156"/>
      <c r="AI1052" s="156"/>
      <c r="AJ1052" s="156"/>
      <c r="AK1052" s="156"/>
      <c r="AL1052" s="156"/>
      <c r="AM1052" s="158"/>
      <c r="AN1052" s="156"/>
      <c r="AO1052" s="156"/>
      <c r="AP1052" s="156"/>
      <c r="AQ1052" s="156"/>
      <c r="AR1052" s="156"/>
      <c r="AS1052" s="156"/>
      <c r="AT1052" s="156"/>
      <c r="AU1052" s="156"/>
      <c r="AV1052" s="156"/>
      <c r="AW1052" s="156"/>
      <c r="AX1052" s="156"/>
      <c r="AY1052" s="156"/>
      <c r="AZ1052" s="156"/>
      <c r="BA1052" s="153"/>
      <c r="BD1052" s="153"/>
      <c r="BE1052" s="147"/>
      <c r="BI1052" s="153"/>
      <c r="BO1052" s="153"/>
      <c r="BW1052" s="153"/>
      <c r="CD1052" s="146"/>
      <c r="CF1052" s="147"/>
      <c r="CI1052" s="146"/>
      <c r="CJ1052" s="153"/>
      <c r="CV1052" s="154"/>
      <c r="CX1052" s="154"/>
      <c r="CZ1052" s="154"/>
      <c r="DB1052" s="154"/>
      <c r="DD1052" s="154"/>
      <c r="DH1052" s="474"/>
      <c r="DI1052" s="459"/>
      <c r="DJ1052" s="459"/>
      <c r="DK1052" s="459"/>
      <c r="DL1052" s="459"/>
      <c r="DM1052" s="459"/>
      <c r="DN1052" s="459"/>
      <c r="DO1052" s="459"/>
      <c r="DP1052" s="459"/>
      <c r="DQ1052" s="459"/>
      <c r="DR1052" s="459"/>
      <c r="DS1052" s="459"/>
      <c r="DT1052" s="459"/>
      <c r="DU1052" s="459"/>
      <c r="DV1052" s="468"/>
      <c r="DW1052" s="468"/>
      <c r="DX1052" s="459"/>
      <c r="DY1052" s="459"/>
    </row>
    <row r="1053" spans="1:129" s="128" customFormat="1" ht="54.95" customHeight="1" x14ac:dyDescent="0.25">
      <c r="A1053" s="377"/>
      <c r="B1053" s="175"/>
      <c r="C1053" s="393"/>
      <c r="D1053" s="168"/>
      <c r="E1053" s="168"/>
      <c r="F1053" s="168"/>
      <c r="G1053" s="168"/>
      <c r="H1053" s="168"/>
      <c r="I1053" s="168"/>
      <c r="J1053" s="168"/>
      <c r="K1053" s="168"/>
      <c r="L1053" s="168"/>
      <c r="M1053" s="168"/>
      <c r="N1053" s="168"/>
      <c r="O1053" s="433"/>
      <c r="P1053" s="122"/>
      <c r="Q1053" s="156"/>
      <c r="R1053" s="156"/>
      <c r="S1053" s="156"/>
      <c r="T1053" s="156"/>
      <c r="U1053" s="156"/>
      <c r="V1053" s="156"/>
      <c r="W1053" s="156"/>
      <c r="X1053" s="156"/>
      <c r="Y1053" s="156"/>
      <c r="Z1053" s="157"/>
      <c r="AA1053" s="157"/>
      <c r="AB1053" s="156"/>
      <c r="AC1053" s="156"/>
      <c r="AD1053" s="156"/>
      <c r="AE1053" s="156"/>
      <c r="AF1053" s="156"/>
      <c r="AG1053" s="156"/>
      <c r="AH1053" s="156"/>
      <c r="AI1053" s="156"/>
      <c r="AJ1053" s="156"/>
      <c r="AK1053" s="156"/>
      <c r="AL1053" s="156"/>
      <c r="AM1053" s="158"/>
      <c r="AN1053" s="156"/>
      <c r="AO1053" s="156"/>
      <c r="AP1053" s="156"/>
      <c r="AQ1053" s="156"/>
      <c r="AR1053" s="156"/>
      <c r="AS1053" s="156"/>
      <c r="AT1053" s="156"/>
      <c r="AU1053" s="156"/>
      <c r="AV1053" s="156"/>
      <c r="AW1053" s="156"/>
      <c r="AX1053" s="156"/>
      <c r="AY1053" s="156"/>
      <c r="AZ1053" s="156"/>
      <c r="BA1053" s="153"/>
      <c r="BD1053" s="153"/>
      <c r="BE1053" s="147"/>
      <c r="BI1053" s="153"/>
      <c r="BO1053" s="153"/>
      <c r="BW1053" s="153"/>
      <c r="CD1053" s="146"/>
      <c r="CF1053" s="147"/>
      <c r="CI1053" s="146"/>
      <c r="CJ1053" s="153"/>
      <c r="CV1053" s="154"/>
      <c r="CX1053" s="154"/>
      <c r="CZ1053" s="154"/>
      <c r="DB1053" s="154"/>
      <c r="DD1053" s="154"/>
      <c r="DH1053" s="474"/>
      <c r="DI1053" s="459"/>
      <c r="DJ1053" s="459"/>
      <c r="DK1053" s="459"/>
      <c r="DL1053" s="459"/>
      <c r="DM1053" s="459"/>
      <c r="DN1053" s="459"/>
      <c r="DO1053" s="459"/>
      <c r="DP1053" s="459"/>
      <c r="DQ1053" s="459"/>
      <c r="DR1053" s="459"/>
      <c r="DS1053" s="459"/>
      <c r="DT1053" s="459"/>
      <c r="DU1053" s="459"/>
      <c r="DV1053" s="468"/>
      <c r="DW1053" s="468"/>
      <c r="DX1053" s="459"/>
      <c r="DY1053" s="459"/>
    </row>
    <row r="1054" spans="1:129" s="128" customFormat="1" ht="54.95" customHeight="1" x14ac:dyDescent="0.25">
      <c r="A1054" s="377"/>
      <c r="B1054" s="175"/>
      <c r="C1054" s="393"/>
      <c r="D1054" s="168"/>
      <c r="E1054" s="168"/>
      <c r="F1054" s="168"/>
      <c r="G1054" s="168"/>
      <c r="H1054" s="168"/>
      <c r="I1054" s="168"/>
      <c r="J1054" s="168"/>
      <c r="K1054" s="168"/>
      <c r="L1054" s="168"/>
      <c r="M1054" s="168"/>
      <c r="N1054" s="168"/>
      <c r="O1054" s="433"/>
      <c r="P1054" s="122"/>
      <c r="Q1054" s="156"/>
      <c r="R1054" s="156"/>
      <c r="S1054" s="156"/>
      <c r="T1054" s="156"/>
      <c r="U1054" s="156"/>
      <c r="V1054" s="156"/>
      <c r="W1054" s="156"/>
      <c r="X1054" s="156"/>
      <c r="Y1054" s="156"/>
      <c r="Z1054" s="157"/>
      <c r="AA1054" s="157"/>
      <c r="AB1054" s="156"/>
      <c r="AC1054" s="156"/>
      <c r="AD1054" s="156"/>
      <c r="AE1054" s="156"/>
      <c r="AF1054" s="156"/>
      <c r="AG1054" s="156"/>
      <c r="AH1054" s="156"/>
      <c r="AI1054" s="156"/>
      <c r="AJ1054" s="156"/>
      <c r="AK1054" s="156"/>
      <c r="AL1054" s="156"/>
      <c r="AM1054" s="158"/>
      <c r="AN1054" s="156"/>
      <c r="AO1054" s="156"/>
      <c r="AP1054" s="156"/>
      <c r="AQ1054" s="156"/>
      <c r="AR1054" s="156"/>
      <c r="AS1054" s="156"/>
      <c r="AT1054" s="156"/>
      <c r="AU1054" s="156"/>
      <c r="AV1054" s="156"/>
      <c r="AW1054" s="156"/>
      <c r="AX1054" s="156"/>
      <c r="AY1054" s="156"/>
      <c r="AZ1054" s="156"/>
      <c r="BA1054" s="153"/>
      <c r="BD1054" s="153"/>
      <c r="BE1054" s="147"/>
      <c r="BI1054" s="153"/>
      <c r="BO1054" s="153"/>
      <c r="BW1054" s="153"/>
      <c r="CD1054" s="146"/>
      <c r="CF1054" s="147"/>
      <c r="CI1054" s="146"/>
      <c r="CJ1054" s="153"/>
      <c r="CV1054" s="154"/>
      <c r="CX1054" s="154"/>
      <c r="CZ1054" s="154"/>
      <c r="DB1054" s="154"/>
      <c r="DD1054" s="154"/>
      <c r="DH1054" s="474"/>
      <c r="DI1054" s="459"/>
      <c r="DJ1054" s="459"/>
      <c r="DK1054" s="459"/>
      <c r="DL1054" s="459"/>
      <c r="DM1054" s="459"/>
      <c r="DN1054" s="459"/>
      <c r="DO1054" s="459"/>
      <c r="DP1054" s="459"/>
      <c r="DQ1054" s="459"/>
      <c r="DR1054" s="459"/>
      <c r="DS1054" s="459"/>
      <c r="DT1054" s="459"/>
      <c r="DU1054" s="459"/>
      <c r="DV1054" s="468"/>
      <c r="DW1054" s="468"/>
      <c r="DX1054" s="459"/>
      <c r="DY1054" s="459"/>
    </row>
    <row r="1055" spans="1:129" s="128" customFormat="1" ht="54.95" customHeight="1" x14ac:dyDescent="0.25">
      <c r="A1055" s="377"/>
      <c r="B1055" s="175"/>
      <c r="C1055" s="393"/>
      <c r="D1055" s="168"/>
      <c r="E1055" s="168"/>
      <c r="F1055" s="168"/>
      <c r="G1055" s="168"/>
      <c r="H1055" s="168"/>
      <c r="I1055" s="168"/>
      <c r="J1055" s="168"/>
      <c r="K1055" s="168"/>
      <c r="L1055" s="168"/>
      <c r="M1055" s="168"/>
      <c r="N1055" s="168"/>
      <c r="O1055" s="433"/>
      <c r="P1055" s="122"/>
      <c r="Q1055" s="156"/>
      <c r="R1055" s="156"/>
      <c r="S1055" s="156"/>
      <c r="T1055" s="156"/>
      <c r="U1055" s="156"/>
      <c r="V1055" s="156"/>
      <c r="W1055" s="156"/>
      <c r="X1055" s="156"/>
      <c r="Y1055" s="156"/>
      <c r="Z1055" s="157"/>
      <c r="AA1055" s="157"/>
      <c r="AB1055" s="156"/>
      <c r="AC1055" s="156"/>
      <c r="AD1055" s="156"/>
      <c r="AE1055" s="156"/>
      <c r="AF1055" s="156"/>
      <c r="AG1055" s="156"/>
      <c r="AH1055" s="156"/>
      <c r="AI1055" s="156"/>
      <c r="AJ1055" s="156"/>
      <c r="AK1055" s="156"/>
      <c r="AL1055" s="156"/>
      <c r="AM1055" s="158"/>
      <c r="AN1055" s="156"/>
      <c r="AO1055" s="156"/>
      <c r="AP1055" s="156"/>
      <c r="AQ1055" s="156"/>
      <c r="AR1055" s="156"/>
      <c r="AS1055" s="156"/>
      <c r="AT1055" s="156"/>
      <c r="AU1055" s="156"/>
      <c r="AV1055" s="156"/>
      <c r="AW1055" s="156"/>
      <c r="AX1055" s="156"/>
      <c r="AY1055" s="156"/>
      <c r="AZ1055" s="156"/>
      <c r="BA1055" s="153"/>
      <c r="BD1055" s="153"/>
      <c r="BE1055" s="147"/>
      <c r="BI1055" s="153"/>
      <c r="BO1055" s="153"/>
      <c r="BW1055" s="153"/>
      <c r="CD1055" s="146"/>
      <c r="CF1055" s="147"/>
      <c r="CI1055" s="146"/>
      <c r="CJ1055" s="153"/>
      <c r="CV1055" s="154"/>
      <c r="CX1055" s="154"/>
      <c r="CZ1055" s="154"/>
      <c r="DB1055" s="154"/>
      <c r="DD1055" s="154"/>
      <c r="DH1055" s="474"/>
      <c r="DI1055" s="459"/>
      <c r="DJ1055" s="459"/>
      <c r="DK1055" s="459"/>
      <c r="DL1055" s="459"/>
      <c r="DM1055" s="459"/>
      <c r="DN1055" s="459"/>
      <c r="DO1055" s="459"/>
      <c r="DP1055" s="459"/>
      <c r="DQ1055" s="459"/>
      <c r="DR1055" s="459"/>
      <c r="DS1055" s="459"/>
      <c r="DT1055" s="459"/>
      <c r="DU1055" s="459"/>
      <c r="DV1055" s="468"/>
      <c r="DW1055" s="468"/>
      <c r="DX1055" s="459"/>
      <c r="DY1055" s="459"/>
    </row>
    <row r="1056" spans="1:129" s="128" customFormat="1" ht="54.95" customHeight="1" x14ac:dyDescent="0.25">
      <c r="A1056" s="377"/>
      <c r="B1056" s="175"/>
      <c r="C1056" s="393"/>
      <c r="D1056" s="168"/>
      <c r="E1056" s="168"/>
      <c r="F1056" s="168"/>
      <c r="G1056" s="168"/>
      <c r="H1056" s="168"/>
      <c r="I1056" s="168"/>
      <c r="J1056" s="168"/>
      <c r="K1056" s="168"/>
      <c r="L1056" s="168"/>
      <c r="M1056" s="168"/>
      <c r="N1056" s="168"/>
      <c r="O1056" s="433"/>
      <c r="P1056" s="122"/>
      <c r="Q1056" s="156"/>
      <c r="R1056" s="156"/>
      <c r="S1056" s="156"/>
      <c r="T1056" s="156"/>
      <c r="U1056" s="156"/>
      <c r="V1056" s="156"/>
      <c r="W1056" s="156"/>
      <c r="X1056" s="156"/>
      <c r="Y1056" s="156"/>
      <c r="Z1056" s="157"/>
      <c r="AA1056" s="157"/>
      <c r="AB1056" s="156"/>
      <c r="AC1056" s="156"/>
      <c r="AD1056" s="156"/>
      <c r="AE1056" s="156"/>
      <c r="AF1056" s="156"/>
      <c r="AG1056" s="156"/>
      <c r="AH1056" s="156"/>
      <c r="AI1056" s="156"/>
      <c r="AJ1056" s="156"/>
      <c r="AK1056" s="156"/>
      <c r="AL1056" s="156"/>
      <c r="AM1056" s="158"/>
      <c r="AN1056" s="156"/>
      <c r="AO1056" s="156"/>
      <c r="AP1056" s="156"/>
      <c r="AQ1056" s="156"/>
      <c r="AR1056" s="156"/>
      <c r="AS1056" s="156"/>
      <c r="AT1056" s="156"/>
      <c r="AU1056" s="156"/>
      <c r="AV1056" s="156"/>
      <c r="AW1056" s="156"/>
      <c r="AX1056" s="156"/>
      <c r="AY1056" s="156"/>
      <c r="AZ1056" s="156"/>
      <c r="BA1056" s="153"/>
      <c r="BD1056" s="153"/>
      <c r="BE1056" s="147"/>
      <c r="BI1056" s="153"/>
      <c r="BO1056" s="153"/>
      <c r="BW1056" s="153"/>
      <c r="CD1056" s="146"/>
      <c r="CF1056" s="147"/>
      <c r="CI1056" s="146"/>
      <c r="CJ1056" s="153"/>
      <c r="CV1056" s="154"/>
      <c r="CX1056" s="154"/>
      <c r="CZ1056" s="154"/>
      <c r="DB1056" s="154"/>
      <c r="DD1056" s="154"/>
      <c r="DH1056" s="474"/>
      <c r="DI1056" s="459"/>
      <c r="DJ1056" s="459"/>
      <c r="DK1056" s="459"/>
      <c r="DL1056" s="459"/>
      <c r="DM1056" s="459"/>
      <c r="DN1056" s="459"/>
      <c r="DO1056" s="459"/>
      <c r="DP1056" s="459"/>
      <c r="DQ1056" s="459"/>
      <c r="DR1056" s="459"/>
      <c r="DS1056" s="459"/>
      <c r="DT1056" s="459"/>
      <c r="DU1056" s="459"/>
      <c r="DV1056" s="468"/>
      <c r="DW1056" s="468"/>
      <c r="DX1056" s="459"/>
      <c r="DY1056" s="459"/>
    </row>
    <row r="1057" spans="1:129" s="128" customFormat="1" ht="54.95" customHeight="1" x14ac:dyDescent="0.25">
      <c r="A1057" s="377"/>
      <c r="B1057" s="175"/>
      <c r="C1057" s="393"/>
      <c r="D1057" s="168"/>
      <c r="E1057" s="168"/>
      <c r="F1057" s="168"/>
      <c r="G1057" s="168"/>
      <c r="H1057" s="168"/>
      <c r="I1057" s="168"/>
      <c r="J1057" s="168"/>
      <c r="K1057" s="168"/>
      <c r="L1057" s="168"/>
      <c r="M1057" s="168"/>
      <c r="N1057" s="168"/>
      <c r="O1057" s="433"/>
      <c r="P1057" s="122"/>
      <c r="Q1057" s="156"/>
      <c r="R1057" s="156"/>
      <c r="S1057" s="156"/>
      <c r="T1057" s="156"/>
      <c r="U1057" s="156"/>
      <c r="V1057" s="156"/>
      <c r="W1057" s="156"/>
      <c r="X1057" s="156"/>
      <c r="Y1057" s="156"/>
      <c r="Z1057" s="157"/>
      <c r="AA1057" s="157"/>
      <c r="AB1057" s="156"/>
      <c r="AC1057" s="156"/>
      <c r="AD1057" s="156"/>
      <c r="AE1057" s="156"/>
      <c r="AF1057" s="156"/>
      <c r="AG1057" s="156"/>
      <c r="AH1057" s="156"/>
      <c r="AI1057" s="156"/>
      <c r="AJ1057" s="156"/>
      <c r="AK1057" s="156"/>
      <c r="AL1057" s="156"/>
      <c r="AM1057" s="158"/>
      <c r="AN1057" s="156"/>
      <c r="AO1057" s="156"/>
      <c r="AP1057" s="156"/>
      <c r="AQ1057" s="156"/>
      <c r="AR1057" s="156"/>
      <c r="AS1057" s="156"/>
      <c r="AT1057" s="156"/>
      <c r="AU1057" s="156"/>
      <c r="AV1057" s="156"/>
      <c r="AW1057" s="156"/>
      <c r="AX1057" s="156"/>
      <c r="AY1057" s="156"/>
      <c r="AZ1057" s="156"/>
      <c r="BA1057" s="153"/>
      <c r="BD1057" s="153"/>
      <c r="BE1057" s="147"/>
      <c r="BI1057" s="153"/>
      <c r="BO1057" s="153"/>
      <c r="BW1057" s="153"/>
      <c r="CD1057" s="146"/>
      <c r="CF1057" s="147"/>
      <c r="CI1057" s="146"/>
      <c r="CJ1057" s="153"/>
      <c r="CV1057" s="154"/>
      <c r="CX1057" s="154"/>
      <c r="CZ1057" s="154"/>
      <c r="DB1057" s="154"/>
      <c r="DD1057" s="154"/>
      <c r="DH1057" s="474"/>
      <c r="DI1057" s="459"/>
      <c r="DJ1057" s="459"/>
      <c r="DK1057" s="459"/>
      <c r="DL1057" s="459"/>
      <c r="DM1057" s="459"/>
      <c r="DN1057" s="459"/>
      <c r="DO1057" s="459"/>
      <c r="DP1057" s="459"/>
      <c r="DQ1057" s="459"/>
      <c r="DR1057" s="459"/>
      <c r="DS1057" s="459"/>
      <c r="DT1057" s="459"/>
      <c r="DU1057" s="459"/>
      <c r="DV1057" s="468"/>
      <c r="DW1057" s="468"/>
      <c r="DX1057" s="459"/>
      <c r="DY1057" s="459"/>
    </row>
    <row r="1058" spans="1:129" s="128" customFormat="1" ht="54.95" customHeight="1" x14ac:dyDescent="0.25">
      <c r="A1058" s="377"/>
      <c r="B1058" s="175"/>
      <c r="C1058" s="393"/>
      <c r="D1058" s="168"/>
      <c r="E1058" s="168"/>
      <c r="F1058" s="168"/>
      <c r="G1058" s="168"/>
      <c r="H1058" s="168"/>
      <c r="I1058" s="168"/>
      <c r="J1058" s="168"/>
      <c r="K1058" s="168"/>
      <c r="L1058" s="168"/>
      <c r="M1058" s="168"/>
      <c r="N1058" s="168"/>
      <c r="O1058" s="433"/>
      <c r="P1058" s="122"/>
      <c r="Q1058" s="156"/>
      <c r="R1058" s="156"/>
      <c r="S1058" s="156"/>
      <c r="T1058" s="156"/>
      <c r="U1058" s="156"/>
      <c r="V1058" s="156"/>
      <c r="W1058" s="156"/>
      <c r="X1058" s="156"/>
      <c r="Y1058" s="156"/>
      <c r="Z1058" s="157"/>
      <c r="AA1058" s="157"/>
      <c r="AB1058" s="156"/>
      <c r="AC1058" s="156"/>
      <c r="AD1058" s="156"/>
      <c r="AE1058" s="156"/>
      <c r="AF1058" s="156"/>
      <c r="AG1058" s="156"/>
      <c r="AH1058" s="156"/>
      <c r="AI1058" s="156"/>
      <c r="AJ1058" s="156"/>
      <c r="AK1058" s="156"/>
      <c r="AL1058" s="156"/>
      <c r="AM1058" s="158"/>
      <c r="AN1058" s="156"/>
      <c r="AO1058" s="156"/>
      <c r="AP1058" s="156"/>
      <c r="AQ1058" s="156"/>
      <c r="AR1058" s="156"/>
      <c r="AS1058" s="156"/>
      <c r="AT1058" s="156"/>
      <c r="AU1058" s="156"/>
      <c r="AV1058" s="156"/>
      <c r="AW1058" s="156"/>
      <c r="AX1058" s="156"/>
      <c r="AY1058" s="156"/>
      <c r="AZ1058" s="156"/>
      <c r="BA1058" s="153"/>
      <c r="BD1058" s="153"/>
      <c r="BE1058" s="147"/>
      <c r="BI1058" s="153"/>
      <c r="BO1058" s="153"/>
      <c r="BW1058" s="153"/>
      <c r="CD1058" s="146"/>
      <c r="CF1058" s="147"/>
      <c r="CI1058" s="146"/>
      <c r="CJ1058" s="153"/>
      <c r="CV1058" s="154"/>
      <c r="CX1058" s="154"/>
      <c r="CZ1058" s="154"/>
      <c r="DB1058" s="154"/>
      <c r="DD1058" s="154"/>
      <c r="DH1058" s="474"/>
      <c r="DI1058" s="459"/>
      <c r="DJ1058" s="459"/>
      <c r="DK1058" s="459"/>
      <c r="DL1058" s="459"/>
      <c r="DM1058" s="459"/>
      <c r="DN1058" s="459"/>
      <c r="DO1058" s="459"/>
      <c r="DP1058" s="459"/>
      <c r="DQ1058" s="459"/>
      <c r="DR1058" s="459"/>
      <c r="DS1058" s="459"/>
      <c r="DT1058" s="459"/>
      <c r="DU1058" s="459"/>
      <c r="DV1058" s="468"/>
      <c r="DW1058" s="468"/>
      <c r="DX1058" s="459"/>
      <c r="DY1058" s="459"/>
    </row>
    <row r="1059" spans="1:129" s="128" customFormat="1" ht="54.95" customHeight="1" x14ac:dyDescent="0.25">
      <c r="A1059" s="377"/>
      <c r="B1059" s="175"/>
      <c r="C1059" s="393"/>
      <c r="D1059" s="168"/>
      <c r="E1059" s="168"/>
      <c r="F1059" s="168"/>
      <c r="G1059" s="168"/>
      <c r="H1059" s="168"/>
      <c r="I1059" s="168"/>
      <c r="J1059" s="168"/>
      <c r="K1059" s="168"/>
      <c r="L1059" s="168"/>
      <c r="M1059" s="168"/>
      <c r="N1059" s="168"/>
      <c r="O1059" s="433"/>
      <c r="P1059" s="122"/>
      <c r="Q1059" s="156"/>
      <c r="R1059" s="156"/>
      <c r="S1059" s="156"/>
      <c r="T1059" s="156"/>
      <c r="U1059" s="156"/>
      <c r="V1059" s="156"/>
      <c r="W1059" s="156"/>
      <c r="X1059" s="156"/>
      <c r="Y1059" s="156"/>
      <c r="Z1059" s="157"/>
      <c r="AA1059" s="157"/>
      <c r="AB1059" s="156"/>
      <c r="AC1059" s="156"/>
      <c r="AD1059" s="156"/>
      <c r="AE1059" s="156"/>
      <c r="AF1059" s="156"/>
      <c r="AG1059" s="156"/>
      <c r="AH1059" s="156"/>
      <c r="AI1059" s="156"/>
      <c r="AJ1059" s="156"/>
      <c r="AK1059" s="156"/>
      <c r="AL1059" s="156"/>
      <c r="AM1059" s="158"/>
      <c r="AN1059" s="156"/>
      <c r="AO1059" s="156"/>
      <c r="AP1059" s="156"/>
      <c r="AQ1059" s="156"/>
      <c r="AR1059" s="156"/>
      <c r="AS1059" s="156"/>
      <c r="AT1059" s="156"/>
      <c r="AU1059" s="156"/>
      <c r="AV1059" s="156"/>
      <c r="AW1059" s="156"/>
      <c r="AX1059" s="156"/>
      <c r="AY1059" s="156"/>
      <c r="AZ1059" s="156"/>
      <c r="BA1059" s="153"/>
      <c r="BD1059" s="153"/>
      <c r="BE1059" s="147"/>
      <c r="BI1059" s="153"/>
      <c r="BO1059" s="153"/>
      <c r="BW1059" s="153"/>
      <c r="CD1059" s="146"/>
      <c r="CF1059" s="147"/>
      <c r="CI1059" s="146"/>
      <c r="CJ1059" s="153"/>
      <c r="CV1059" s="154"/>
      <c r="CX1059" s="154"/>
      <c r="CZ1059" s="154"/>
      <c r="DB1059" s="154"/>
      <c r="DD1059" s="154"/>
      <c r="DH1059" s="474"/>
      <c r="DI1059" s="459"/>
      <c r="DJ1059" s="459"/>
      <c r="DK1059" s="459"/>
      <c r="DL1059" s="459"/>
      <c r="DM1059" s="459"/>
      <c r="DN1059" s="459"/>
      <c r="DO1059" s="459"/>
      <c r="DP1059" s="459"/>
      <c r="DQ1059" s="459"/>
      <c r="DR1059" s="459"/>
      <c r="DS1059" s="459"/>
      <c r="DT1059" s="459"/>
      <c r="DU1059" s="459"/>
      <c r="DV1059" s="468"/>
      <c r="DW1059" s="468"/>
      <c r="DX1059" s="459"/>
      <c r="DY1059" s="459"/>
    </row>
    <row r="1060" spans="1:129" s="128" customFormat="1" ht="54.95" customHeight="1" x14ac:dyDescent="0.25">
      <c r="A1060" s="377"/>
      <c r="B1060" s="175"/>
      <c r="C1060" s="393"/>
      <c r="D1060" s="168"/>
      <c r="E1060" s="168"/>
      <c r="F1060" s="168"/>
      <c r="G1060" s="168"/>
      <c r="H1060" s="168"/>
      <c r="I1060" s="168"/>
      <c r="J1060" s="168"/>
      <c r="K1060" s="168"/>
      <c r="L1060" s="168"/>
      <c r="M1060" s="168"/>
      <c r="N1060" s="168"/>
      <c r="O1060" s="433"/>
      <c r="P1060" s="122"/>
      <c r="Q1060" s="156"/>
      <c r="R1060" s="156"/>
      <c r="S1060" s="156"/>
      <c r="T1060" s="156"/>
      <c r="U1060" s="156"/>
      <c r="V1060" s="156"/>
      <c r="W1060" s="156"/>
      <c r="X1060" s="156"/>
      <c r="Y1060" s="156"/>
      <c r="Z1060" s="157"/>
      <c r="AA1060" s="157"/>
      <c r="AB1060" s="156"/>
      <c r="AC1060" s="156"/>
      <c r="AD1060" s="156"/>
      <c r="AE1060" s="156"/>
      <c r="AF1060" s="156"/>
      <c r="AG1060" s="156"/>
      <c r="AH1060" s="156"/>
      <c r="AI1060" s="156"/>
      <c r="AJ1060" s="156"/>
      <c r="AK1060" s="156"/>
      <c r="AL1060" s="156"/>
      <c r="AM1060" s="158"/>
      <c r="AN1060" s="156"/>
      <c r="AO1060" s="156"/>
      <c r="AP1060" s="156"/>
      <c r="AQ1060" s="156"/>
      <c r="AR1060" s="156"/>
      <c r="AS1060" s="156"/>
      <c r="AT1060" s="156"/>
      <c r="AU1060" s="156"/>
      <c r="AV1060" s="156"/>
      <c r="AW1060" s="156"/>
      <c r="AX1060" s="156"/>
      <c r="AY1060" s="156"/>
      <c r="AZ1060" s="156"/>
      <c r="BA1060" s="153"/>
      <c r="BD1060" s="153"/>
      <c r="BE1060" s="147"/>
      <c r="BI1060" s="153"/>
      <c r="BO1060" s="153"/>
      <c r="BW1060" s="153"/>
      <c r="CD1060" s="146"/>
      <c r="CF1060" s="147"/>
      <c r="CI1060" s="146"/>
      <c r="CJ1060" s="153"/>
      <c r="CV1060" s="154"/>
      <c r="CX1060" s="154"/>
      <c r="CZ1060" s="154"/>
      <c r="DB1060" s="154"/>
      <c r="DD1060" s="154"/>
      <c r="DH1060" s="474"/>
      <c r="DI1060" s="459"/>
      <c r="DJ1060" s="459"/>
      <c r="DK1060" s="459"/>
      <c r="DL1060" s="459"/>
      <c r="DM1060" s="459"/>
      <c r="DN1060" s="459"/>
      <c r="DO1060" s="459"/>
      <c r="DP1060" s="459"/>
      <c r="DQ1060" s="459"/>
      <c r="DR1060" s="459"/>
      <c r="DS1060" s="459"/>
      <c r="DT1060" s="459"/>
      <c r="DU1060" s="459"/>
      <c r="DV1060" s="468"/>
      <c r="DW1060" s="468"/>
      <c r="DX1060" s="459"/>
      <c r="DY1060" s="459"/>
    </row>
    <row r="1061" spans="1:129" s="128" customFormat="1" ht="54.95" customHeight="1" x14ac:dyDescent="0.25">
      <c r="A1061" s="377"/>
      <c r="B1061" s="175"/>
      <c r="C1061" s="393"/>
      <c r="D1061" s="168"/>
      <c r="E1061" s="168"/>
      <c r="F1061" s="168"/>
      <c r="G1061" s="168"/>
      <c r="H1061" s="168"/>
      <c r="I1061" s="168"/>
      <c r="J1061" s="168"/>
      <c r="K1061" s="168"/>
      <c r="L1061" s="168"/>
      <c r="M1061" s="168"/>
      <c r="N1061" s="168"/>
      <c r="O1061" s="433"/>
      <c r="P1061" s="122"/>
      <c r="Q1061" s="156"/>
      <c r="R1061" s="156"/>
      <c r="S1061" s="156"/>
      <c r="T1061" s="156"/>
      <c r="U1061" s="156"/>
      <c r="V1061" s="156"/>
      <c r="W1061" s="156"/>
      <c r="X1061" s="156"/>
      <c r="Y1061" s="156"/>
      <c r="Z1061" s="157"/>
      <c r="AA1061" s="157"/>
      <c r="AB1061" s="156"/>
      <c r="AC1061" s="156"/>
      <c r="AD1061" s="156"/>
      <c r="AE1061" s="156"/>
      <c r="AF1061" s="156"/>
      <c r="AG1061" s="156"/>
      <c r="AH1061" s="156"/>
      <c r="AI1061" s="156"/>
      <c r="AJ1061" s="156"/>
      <c r="AK1061" s="156"/>
      <c r="AL1061" s="156"/>
      <c r="AM1061" s="158"/>
      <c r="AN1061" s="156"/>
      <c r="AO1061" s="156"/>
      <c r="AP1061" s="156"/>
      <c r="AQ1061" s="156"/>
      <c r="AR1061" s="156"/>
      <c r="AS1061" s="156"/>
      <c r="AT1061" s="156"/>
      <c r="AU1061" s="156"/>
      <c r="AV1061" s="156"/>
      <c r="AW1061" s="156"/>
      <c r="AX1061" s="156"/>
      <c r="AY1061" s="156"/>
      <c r="AZ1061" s="156"/>
      <c r="BA1061" s="153"/>
      <c r="BD1061" s="153"/>
      <c r="BE1061" s="147"/>
      <c r="BI1061" s="153"/>
      <c r="BO1061" s="153"/>
      <c r="BW1061" s="153"/>
      <c r="CD1061" s="146"/>
      <c r="CF1061" s="147"/>
      <c r="CI1061" s="146"/>
      <c r="CJ1061" s="153"/>
      <c r="CV1061" s="154"/>
      <c r="CX1061" s="154"/>
      <c r="CZ1061" s="154"/>
      <c r="DB1061" s="154"/>
      <c r="DD1061" s="154"/>
      <c r="DH1061" s="474"/>
      <c r="DI1061" s="459"/>
      <c r="DJ1061" s="459"/>
      <c r="DK1061" s="459"/>
      <c r="DL1061" s="459"/>
      <c r="DM1061" s="459"/>
      <c r="DN1061" s="459"/>
      <c r="DO1061" s="459"/>
      <c r="DP1061" s="459"/>
      <c r="DQ1061" s="459"/>
      <c r="DR1061" s="459"/>
      <c r="DS1061" s="459"/>
      <c r="DT1061" s="459"/>
      <c r="DU1061" s="459"/>
      <c r="DV1061" s="468"/>
      <c r="DW1061" s="468"/>
      <c r="DX1061" s="459"/>
      <c r="DY1061" s="459"/>
    </row>
    <row r="1062" spans="1:129" s="128" customFormat="1" ht="54.95" customHeight="1" x14ac:dyDescent="0.25">
      <c r="A1062" s="377"/>
      <c r="B1062" s="175"/>
      <c r="C1062" s="393"/>
      <c r="D1062" s="168"/>
      <c r="E1062" s="168"/>
      <c r="F1062" s="168"/>
      <c r="G1062" s="168"/>
      <c r="H1062" s="168"/>
      <c r="I1062" s="168"/>
      <c r="J1062" s="168"/>
      <c r="K1062" s="168"/>
      <c r="L1062" s="168"/>
      <c r="M1062" s="168"/>
      <c r="N1062" s="168"/>
      <c r="O1062" s="433"/>
      <c r="P1062" s="122"/>
      <c r="Q1062" s="156"/>
      <c r="R1062" s="156"/>
      <c r="S1062" s="156"/>
      <c r="T1062" s="156"/>
      <c r="U1062" s="156"/>
      <c r="V1062" s="156"/>
      <c r="W1062" s="156"/>
      <c r="X1062" s="156"/>
      <c r="Y1062" s="156"/>
      <c r="Z1062" s="157"/>
      <c r="AA1062" s="157"/>
      <c r="AB1062" s="156"/>
      <c r="AC1062" s="156"/>
      <c r="AD1062" s="156"/>
      <c r="AE1062" s="156"/>
      <c r="AF1062" s="156"/>
      <c r="AG1062" s="156"/>
      <c r="AH1062" s="156"/>
      <c r="AI1062" s="156"/>
      <c r="AJ1062" s="156"/>
      <c r="AK1062" s="156"/>
      <c r="AL1062" s="156"/>
      <c r="AM1062" s="158"/>
      <c r="AN1062" s="156"/>
      <c r="AO1062" s="156"/>
      <c r="AP1062" s="156"/>
      <c r="AQ1062" s="156"/>
      <c r="AR1062" s="156"/>
      <c r="AS1062" s="156"/>
      <c r="AT1062" s="156"/>
      <c r="AU1062" s="156"/>
      <c r="AV1062" s="156"/>
      <c r="AW1062" s="156"/>
      <c r="AX1062" s="156"/>
      <c r="AY1062" s="156"/>
      <c r="AZ1062" s="156"/>
      <c r="BA1062" s="153"/>
      <c r="BD1062" s="153"/>
      <c r="BE1062" s="147"/>
      <c r="BI1062" s="153"/>
      <c r="BO1062" s="153"/>
      <c r="BW1062" s="153"/>
      <c r="CD1062" s="146"/>
      <c r="CF1062" s="147"/>
      <c r="CI1062" s="146"/>
      <c r="CJ1062" s="153"/>
      <c r="CV1062" s="154"/>
      <c r="CX1062" s="154"/>
      <c r="CZ1062" s="154"/>
      <c r="DB1062" s="154"/>
      <c r="DD1062" s="154"/>
      <c r="DH1062" s="474"/>
      <c r="DI1062" s="459"/>
      <c r="DJ1062" s="459"/>
      <c r="DK1062" s="459"/>
      <c r="DL1062" s="459"/>
      <c r="DM1062" s="459"/>
      <c r="DN1062" s="459"/>
      <c r="DO1062" s="459"/>
      <c r="DP1062" s="459"/>
      <c r="DQ1062" s="459"/>
      <c r="DR1062" s="459"/>
      <c r="DS1062" s="459"/>
      <c r="DT1062" s="459"/>
      <c r="DU1062" s="459"/>
      <c r="DV1062" s="468"/>
      <c r="DW1062" s="468"/>
      <c r="DX1062" s="459"/>
      <c r="DY1062" s="459"/>
    </row>
    <row r="1063" spans="1:129" s="128" customFormat="1" ht="54.95" customHeight="1" x14ac:dyDescent="0.25">
      <c r="A1063" s="377"/>
      <c r="B1063" s="175"/>
      <c r="C1063" s="393"/>
      <c r="D1063" s="168"/>
      <c r="E1063" s="168"/>
      <c r="F1063" s="168"/>
      <c r="G1063" s="168"/>
      <c r="H1063" s="168"/>
      <c r="I1063" s="168"/>
      <c r="J1063" s="168"/>
      <c r="K1063" s="168"/>
      <c r="L1063" s="168"/>
      <c r="M1063" s="168"/>
      <c r="N1063" s="168"/>
      <c r="O1063" s="433"/>
      <c r="P1063" s="122"/>
      <c r="Q1063" s="156"/>
      <c r="R1063" s="156"/>
      <c r="S1063" s="156"/>
      <c r="T1063" s="156"/>
      <c r="U1063" s="156"/>
      <c r="V1063" s="156"/>
      <c r="W1063" s="156"/>
      <c r="X1063" s="156"/>
      <c r="Y1063" s="156"/>
      <c r="Z1063" s="157"/>
      <c r="AA1063" s="157"/>
      <c r="AB1063" s="156"/>
      <c r="AC1063" s="156"/>
      <c r="AD1063" s="156"/>
      <c r="AE1063" s="156"/>
      <c r="AF1063" s="156"/>
      <c r="AG1063" s="156"/>
      <c r="AH1063" s="156"/>
      <c r="AI1063" s="156"/>
      <c r="AJ1063" s="156"/>
      <c r="AK1063" s="156"/>
      <c r="AL1063" s="156"/>
      <c r="AM1063" s="158"/>
      <c r="AN1063" s="156"/>
      <c r="AO1063" s="156"/>
      <c r="AP1063" s="156"/>
      <c r="AQ1063" s="156"/>
      <c r="AR1063" s="156"/>
      <c r="AS1063" s="156"/>
      <c r="AT1063" s="156"/>
      <c r="AU1063" s="156"/>
      <c r="AV1063" s="156"/>
      <c r="AW1063" s="156"/>
      <c r="AX1063" s="156"/>
      <c r="AY1063" s="156"/>
      <c r="AZ1063" s="156"/>
      <c r="BA1063" s="153"/>
      <c r="BD1063" s="153"/>
      <c r="BE1063" s="147"/>
      <c r="BI1063" s="153"/>
      <c r="BO1063" s="153"/>
      <c r="BW1063" s="153"/>
      <c r="CD1063" s="146"/>
      <c r="CF1063" s="147"/>
      <c r="CI1063" s="146"/>
      <c r="CJ1063" s="153"/>
      <c r="CV1063" s="154"/>
      <c r="CX1063" s="154"/>
      <c r="CZ1063" s="154"/>
      <c r="DB1063" s="154"/>
      <c r="DD1063" s="154"/>
      <c r="DH1063" s="474"/>
      <c r="DI1063" s="459"/>
      <c r="DJ1063" s="459"/>
      <c r="DK1063" s="459"/>
      <c r="DL1063" s="459"/>
      <c r="DM1063" s="459"/>
      <c r="DN1063" s="459"/>
      <c r="DO1063" s="459"/>
      <c r="DP1063" s="459"/>
      <c r="DQ1063" s="459"/>
      <c r="DR1063" s="459"/>
      <c r="DS1063" s="459"/>
      <c r="DT1063" s="459"/>
      <c r="DU1063" s="459"/>
      <c r="DV1063" s="468"/>
      <c r="DW1063" s="468"/>
      <c r="DX1063" s="459"/>
      <c r="DY1063" s="459"/>
    </row>
    <row r="1064" spans="1:129" s="128" customFormat="1" ht="54.95" customHeight="1" x14ac:dyDescent="0.25">
      <c r="A1064" s="377"/>
      <c r="B1064" s="175"/>
      <c r="C1064" s="393"/>
      <c r="D1064" s="168"/>
      <c r="E1064" s="168"/>
      <c r="F1064" s="168"/>
      <c r="G1064" s="168"/>
      <c r="H1064" s="168"/>
      <c r="I1064" s="168"/>
      <c r="J1064" s="168"/>
      <c r="K1064" s="168"/>
      <c r="L1064" s="168"/>
      <c r="M1064" s="168"/>
      <c r="N1064" s="168"/>
      <c r="O1064" s="433"/>
      <c r="P1064" s="122"/>
      <c r="Q1064" s="156"/>
      <c r="R1064" s="156"/>
      <c r="S1064" s="156"/>
      <c r="T1064" s="156"/>
      <c r="U1064" s="156"/>
      <c r="V1064" s="156"/>
      <c r="W1064" s="156"/>
      <c r="X1064" s="156"/>
      <c r="Y1064" s="156"/>
      <c r="Z1064" s="157"/>
      <c r="AA1064" s="157"/>
      <c r="AB1064" s="156"/>
      <c r="AC1064" s="156"/>
      <c r="AD1064" s="156"/>
      <c r="AE1064" s="156"/>
      <c r="AF1064" s="156"/>
      <c r="AG1064" s="156"/>
      <c r="AH1064" s="156"/>
      <c r="AI1064" s="156"/>
      <c r="AJ1064" s="156"/>
      <c r="AK1064" s="156"/>
      <c r="AL1064" s="156"/>
      <c r="AM1064" s="158"/>
      <c r="AN1064" s="156"/>
      <c r="AO1064" s="156"/>
      <c r="AP1064" s="156"/>
      <c r="AQ1064" s="156"/>
      <c r="AR1064" s="156"/>
      <c r="AS1064" s="156"/>
      <c r="AT1064" s="156"/>
      <c r="AU1064" s="156"/>
      <c r="AV1064" s="156"/>
      <c r="AW1064" s="156"/>
      <c r="AX1064" s="156"/>
      <c r="AY1064" s="156"/>
      <c r="AZ1064" s="156"/>
      <c r="BA1064" s="153"/>
      <c r="BD1064" s="153"/>
      <c r="BE1064" s="147"/>
      <c r="BI1064" s="153"/>
      <c r="BO1064" s="153"/>
      <c r="BW1064" s="153"/>
      <c r="CD1064" s="146"/>
      <c r="CF1064" s="147"/>
      <c r="CI1064" s="146"/>
      <c r="CJ1064" s="153"/>
      <c r="CV1064" s="154"/>
      <c r="CX1064" s="154"/>
      <c r="CZ1064" s="154"/>
      <c r="DB1064" s="154"/>
      <c r="DD1064" s="154"/>
      <c r="DH1064" s="474"/>
      <c r="DI1064" s="459"/>
      <c r="DJ1064" s="459"/>
      <c r="DK1064" s="459"/>
      <c r="DL1064" s="459"/>
      <c r="DM1064" s="459"/>
      <c r="DN1064" s="459"/>
      <c r="DO1064" s="459"/>
      <c r="DP1064" s="459"/>
      <c r="DQ1064" s="459"/>
      <c r="DR1064" s="459"/>
      <c r="DS1064" s="459"/>
      <c r="DT1064" s="459"/>
      <c r="DU1064" s="459"/>
      <c r="DV1064" s="468"/>
      <c r="DW1064" s="468"/>
      <c r="DX1064" s="459"/>
      <c r="DY1064" s="459"/>
    </row>
    <row r="1065" spans="1:129" s="128" customFormat="1" ht="54.95" customHeight="1" x14ac:dyDescent="0.25">
      <c r="A1065" s="377"/>
      <c r="B1065" s="175"/>
      <c r="C1065" s="393"/>
      <c r="D1065" s="168"/>
      <c r="E1065" s="168"/>
      <c r="F1065" s="168"/>
      <c r="G1065" s="168"/>
      <c r="H1065" s="168"/>
      <c r="I1065" s="168"/>
      <c r="J1065" s="168"/>
      <c r="K1065" s="168"/>
      <c r="L1065" s="168"/>
      <c r="M1065" s="168"/>
      <c r="N1065" s="168"/>
      <c r="O1065" s="433"/>
      <c r="P1065" s="122"/>
      <c r="Q1065" s="156"/>
      <c r="R1065" s="156"/>
      <c r="S1065" s="156"/>
      <c r="T1065" s="156"/>
      <c r="U1065" s="156"/>
      <c r="V1065" s="156"/>
      <c r="W1065" s="156"/>
      <c r="X1065" s="156"/>
      <c r="Y1065" s="156"/>
      <c r="Z1065" s="157"/>
      <c r="AA1065" s="157"/>
      <c r="AB1065" s="156"/>
      <c r="AC1065" s="156"/>
      <c r="AD1065" s="156"/>
      <c r="AE1065" s="156"/>
      <c r="AF1065" s="156"/>
      <c r="AG1065" s="156"/>
      <c r="AH1065" s="156"/>
      <c r="AI1065" s="156"/>
      <c r="AJ1065" s="156"/>
      <c r="AK1065" s="156"/>
      <c r="AL1065" s="156"/>
      <c r="AM1065" s="158"/>
      <c r="AN1065" s="156"/>
      <c r="AO1065" s="156"/>
      <c r="AP1065" s="156"/>
      <c r="AQ1065" s="156"/>
      <c r="AR1065" s="156"/>
      <c r="AS1065" s="156"/>
      <c r="AT1065" s="156"/>
      <c r="AU1065" s="156"/>
      <c r="AV1065" s="156"/>
      <c r="AW1065" s="156"/>
      <c r="AX1065" s="156"/>
      <c r="AY1065" s="156"/>
      <c r="AZ1065" s="156"/>
      <c r="BA1065" s="153"/>
      <c r="BD1065" s="153"/>
      <c r="BE1065" s="147"/>
      <c r="BI1065" s="153"/>
      <c r="BO1065" s="153"/>
      <c r="BW1065" s="153"/>
      <c r="CD1065" s="146"/>
      <c r="CF1065" s="147"/>
      <c r="CI1065" s="146"/>
      <c r="CJ1065" s="153"/>
      <c r="CV1065" s="154"/>
      <c r="CX1065" s="154"/>
      <c r="CZ1065" s="154"/>
      <c r="DB1065" s="154"/>
      <c r="DD1065" s="154"/>
      <c r="DH1065" s="474"/>
      <c r="DI1065" s="459"/>
      <c r="DJ1065" s="459"/>
      <c r="DK1065" s="459"/>
      <c r="DL1065" s="459"/>
      <c r="DM1065" s="459"/>
      <c r="DN1065" s="459"/>
      <c r="DO1065" s="459"/>
      <c r="DP1065" s="459"/>
      <c r="DQ1065" s="459"/>
      <c r="DR1065" s="459"/>
      <c r="DS1065" s="459"/>
      <c r="DT1065" s="459"/>
      <c r="DU1065" s="459"/>
      <c r="DV1065" s="468"/>
      <c r="DW1065" s="468"/>
      <c r="DX1065" s="459"/>
      <c r="DY1065" s="459"/>
    </row>
    <row r="1066" spans="1:129" s="128" customFormat="1" ht="54.95" customHeight="1" x14ac:dyDescent="0.25">
      <c r="A1066" s="377"/>
      <c r="B1066" s="175"/>
      <c r="C1066" s="393"/>
      <c r="D1066" s="168"/>
      <c r="E1066" s="168"/>
      <c r="F1066" s="168"/>
      <c r="G1066" s="168"/>
      <c r="H1066" s="168"/>
      <c r="I1066" s="168"/>
      <c r="J1066" s="168"/>
      <c r="K1066" s="168"/>
      <c r="L1066" s="168"/>
      <c r="M1066" s="168"/>
      <c r="N1066" s="168"/>
      <c r="O1066" s="433"/>
      <c r="P1066" s="122"/>
      <c r="Q1066" s="156"/>
      <c r="R1066" s="156"/>
      <c r="S1066" s="156"/>
      <c r="T1066" s="156"/>
      <c r="U1066" s="156"/>
      <c r="V1066" s="156"/>
      <c r="W1066" s="156"/>
      <c r="X1066" s="156"/>
      <c r="Y1066" s="156"/>
      <c r="Z1066" s="157"/>
      <c r="AA1066" s="157"/>
      <c r="AB1066" s="156"/>
      <c r="AC1066" s="156"/>
      <c r="AD1066" s="156"/>
      <c r="AE1066" s="156"/>
      <c r="AF1066" s="156"/>
      <c r="AG1066" s="156"/>
      <c r="AH1066" s="156"/>
      <c r="AI1066" s="156"/>
      <c r="AJ1066" s="156"/>
      <c r="AK1066" s="156"/>
      <c r="AL1066" s="156"/>
      <c r="AM1066" s="158"/>
      <c r="AN1066" s="156"/>
      <c r="AO1066" s="156"/>
      <c r="AP1066" s="156"/>
      <c r="AQ1066" s="156"/>
      <c r="AR1066" s="156"/>
      <c r="AS1066" s="156"/>
      <c r="AT1066" s="156"/>
      <c r="AU1066" s="156"/>
      <c r="AV1066" s="156"/>
      <c r="AW1066" s="156"/>
      <c r="AX1066" s="156"/>
      <c r="AY1066" s="156"/>
      <c r="AZ1066" s="156"/>
      <c r="BA1066" s="153"/>
      <c r="BD1066" s="153"/>
      <c r="BE1066" s="147"/>
      <c r="BI1066" s="153"/>
      <c r="BO1066" s="153"/>
      <c r="BW1066" s="153"/>
      <c r="CD1066" s="146"/>
      <c r="CF1066" s="147"/>
      <c r="CI1066" s="146"/>
      <c r="CJ1066" s="153"/>
      <c r="CV1066" s="154"/>
      <c r="CX1066" s="154"/>
      <c r="CZ1066" s="154"/>
      <c r="DB1066" s="154"/>
      <c r="DD1066" s="154"/>
      <c r="DH1066" s="474"/>
      <c r="DI1066" s="459"/>
      <c r="DJ1066" s="459"/>
      <c r="DK1066" s="459"/>
      <c r="DL1066" s="459"/>
      <c r="DM1066" s="459"/>
      <c r="DN1066" s="459"/>
      <c r="DO1066" s="459"/>
      <c r="DP1066" s="459"/>
      <c r="DQ1066" s="459"/>
      <c r="DR1066" s="459"/>
      <c r="DS1066" s="459"/>
      <c r="DT1066" s="459"/>
      <c r="DU1066" s="459"/>
      <c r="DV1066" s="468"/>
      <c r="DW1066" s="468"/>
      <c r="DX1066" s="459"/>
      <c r="DY1066" s="459"/>
    </row>
    <row r="1067" spans="1:129" s="128" customFormat="1" ht="54.95" customHeight="1" x14ac:dyDescent="0.25">
      <c r="A1067" s="377"/>
      <c r="B1067" s="175"/>
      <c r="C1067" s="393"/>
      <c r="D1067" s="168"/>
      <c r="E1067" s="168"/>
      <c r="F1067" s="168"/>
      <c r="G1067" s="168"/>
      <c r="H1067" s="168"/>
      <c r="I1067" s="168"/>
      <c r="J1067" s="168"/>
      <c r="K1067" s="168"/>
      <c r="L1067" s="168"/>
      <c r="M1067" s="168"/>
      <c r="N1067" s="168"/>
      <c r="O1067" s="433"/>
      <c r="P1067" s="122"/>
      <c r="Q1067" s="156"/>
      <c r="R1067" s="156"/>
      <c r="S1067" s="156"/>
      <c r="T1067" s="156"/>
      <c r="U1067" s="156"/>
      <c r="V1067" s="156"/>
      <c r="W1067" s="156"/>
      <c r="X1067" s="156"/>
      <c r="Y1067" s="156"/>
      <c r="Z1067" s="157"/>
      <c r="AA1067" s="157"/>
      <c r="AB1067" s="156"/>
      <c r="AC1067" s="156"/>
      <c r="AD1067" s="156"/>
      <c r="AE1067" s="156"/>
      <c r="AF1067" s="156"/>
      <c r="AG1067" s="156"/>
      <c r="AH1067" s="156"/>
      <c r="AI1067" s="156"/>
      <c r="AJ1067" s="156"/>
      <c r="AK1067" s="156"/>
      <c r="AL1067" s="156"/>
      <c r="AM1067" s="158"/>
      <c r="AN1067" s="156"/>
      <c r="AO1067" s="156"/>
      <c r="AP1067" s="156"/>
      <c r="AQ1067" s="156"/>
      <c r="AR1067" s="156"/>
      <c r="AS1067" s="156"/>
      <c r="AT1067" s="156"/>
      <c r="AU1067" s="156"/>
      <c r="AV1067" s="156"/>
      <c r="AW1067" s="156"/>
      <c r="AX1067" s="156"/>
      <c r="AY1067" s="156"/>
      <c r="AZ1067" s="156"/>
      <c r="BA1067" s="153"/>
      <c r="BD1067" s="153"/>
      <c r="BE1067" s="147"/>
      <c r="BI1067" s="153"/>
      <c r="BO1067" s="153"/>
      <c r="BW1067" s="153"/>
      <c r="CD1067" s="146"/>
      <c r="CF1067" s="147"/>
      <c r="CI1067" s="146"/>
      <c r="CJ1067" s="153"/>
      <c r="CV1067" s="154"/>
      <c r="CX1067" s="154"/>
      <c r="CZ1067" s="154"/>
      <c r="DB1067" s="154"/>
      <c r="DD1067" s="154"/>
      <c r="DH1067" s="474"/>
      <c r="DI1067" s="459"/>
      <c r="DJ1067" s="459"/>
      <c r="DK1067" s="459"/>
      <c r="DL1067" s="459"/>
      <c r="DM1067" s="459"/>
      <c r="DN1067" s="459"/>
      <c r="DO1067" s="459"/>
      <c r="DP1067" s="459"/>
      <c r="DQ1067" s="459"/>
      <c r="DR1067" s="459"/>
      <c r="DS1067" s="459"/>
      <c r="DT1067" s="459"/>
      <c r="DU1067" s="459"/>
      <c r="DV1067" s="468"/>
      <c r="DW1067" s="468"/>
      <c r="DX1067" s="459"/>
      <c r="DY1067" s="459"/>
    </row>
    <row r="1068" spans="1:129" s="128" customFormat="1" ht="54.95" customHeight="1" x14ac:dyDescent="0.25">
      <c r="A1068" s="377"/>
      <c r="B1068" s="175"/>
      <c r="C1068" s="393"/>
      <c r="D1068" s="168"/>
      <c r="E1068" s="168"/>
      <c r="F1068" s="168"/>
      <c r="G1068" s="168"/>
      <c r="H1068" s="168"/>
      <c r="I1068" s="168"/>
      <c r="J1068" s="168"/>
      <c r="K1068" s="168"/>
      <c r="L1068" s="168"/>
      <c r="M1068" s="168"/>
      <c r="N1068" s="168"/>
      <c r="O1068" s="433"/>
      <c r="P1068" s="122"/>
      <c r="Q1068" s="156"/>
      <c r="R1068" s="156"/>
      <c r="S1068" s="156"/>
      <c r="T1068" s="156"/>
      <c r="U1068" s="156"/>
      <c r="V1068" s="156"/>
      <c r="W1068" s="156"/>
      <c r="X1068" s="156"/>
      <c r="Y1068" s="156"/>
      <c r="Z1068" s="157"/>
      <c r="AA1068" s="157"/>
      <c r="AB1068" s="156"/>
      <c r="AC1068" s="156"/>
      <c r="AD1068" s="156"/>
      <c r="AE1068" s="156"/>
      <c r="AF1068" s="156"/>
      <c r="AG1068" s="156"/>
      <c r="AH1068" s="156"/>
      <c r="AI1068" s="156"/>
      <c r="AJ1068" s="156"/>
      <c r="AK1068" s="156"/>
      <c r="AL1068" s="156"/>
      <c r="AM1068" s="158"/>
      <c r="AN1068" s="156"/>
      <c r="AO1068" s="156"/>
      <c r="AP1068" s="156"/>
      <c r="AQ1068" s="156"/>
      <c r="AR1068" s="156"/>
      <c r="AS1068" s="156"/>
      <c r="AT1068" s="156"/>
      <c r="AU1068" s="156"/>
      <c r="AV1068" s="156"/>
      <c r="AW1068" s="156"/>
      <c r="AX1068" s="156"/>
      <c r="AY1068" s="156"/>
      <c r="AZ1068" s="156"/>
      <c r="BA1068" s="153"/>
      <c r="BD1068" s="153"/>
      <c r="BE1068" s="147"/>
      <c r="BI1068" s="153"/>
      <c r="BO1068" s="153"/>
      <c r="BW1068" s="153"/>
      <c r="CD1068" s="146"/>
      <c r="CF1068" s="147"/>
      <c r="CI1068" s="146"/>
      <c r="CJ1068" s="153"/>
      <c r="CV1068" s="154"/>
      <c r="CX1068" s="154"/>
      <c r="CZ1068" s="154"/>
      <c r="DB1068" s="154"/>
      <c r="DD1068" s="154"/>
      <c r="DH1068" s="474"/>
      <c r="DI1068" s="459"/>
      <c r="DJ1068" s="459"/>
      <c r="DK1068" s="459"/>
      <c r="DL1068" s="459"/>
      <c r="DM1068" s="459"/>
      <c r="DN1068" s="459"/>
      <c r="DO1068" s="459"/>
      <c r="DP1068" s="459"/>
      <c r="DQ1068" s="459"/>
      <c r="DR1068" s="459"/>
      <c r="DS1068" s="459"/>
      <c r="DT1068" s="459"/>
      <c r="DU1068" s="459"/>
      <c r="DV1068" s="468"/>
      <c r="DW1068" s="468"/>
      <c r="DX1068" s="459"/>
      <c r="DY1068" s="459"/>
    </row>
    <row r="1069" spans="1:129" s="128" customFormat="1" ht="54.95" customHeight="1" x14ac:dyDescent="0.25">
      <c r="A1069" s="377"/>
      <c r="B1069" s="175"/>
      <c r="C1069" s="393"/>
      <c r="D1069" s="168"/>
      <c r="E1069" s="168"/>
      <c r="F1069" s="168"/>
      <c r="G1069" s="168"/>
      <c r="H1069" s="168"/>
      <c r="I1069" s="168"/>
      <c r="J1069" s="168"/>
      <c r="K1069" s="168"/>
      <c r="L1069" s="168"/>
      <c r="M1069" s="168"/>
      <c r="N1069" s="168"/>
      <c r="O1069" s="433"/>
      <c r="P1069" s="122"/>
      <c r="Q1069" s="156"/>
      <c r="R1069" s="156"/>
      <c r="S1069" s="156"/>
      <c r="T1069" s="156"/>
      <c r="U1069" s="156"/>
      <c r="V1069" s="156"/>
      <c r="W1069" s="156"/>
      <c r="X1069" s="156"/>
      <c r="Y1069" s="156"/>
      <c r="Z1069" s="157"/>
      <c r="AA1069" s="157"/>
      <c r="AB1069" s="156"/>
      <c r="AC1069" s="156"/>
      <c r="AD1069" s="156"/>
      <c r="AE1069" s="156"/>
      <c r="AF1069" s="156"/>
      <c r="AG1069" s="156"/>
      <c r="AH1069" s="156"/>
      <c r="AI1069" s="156"/>
      <c r="AJ1069" s="156"/>
      <c r="AK1069" s="156"/>
      <c r="AL1069" s="156"/>
      <c r="AM1069" s="158"/>
      <c r="AN1069" s="156"/>
      <c r="AO1069" s="156"/>
      <c r="AP1069" s="156"/>
      <c r="AQ1069" s="156"/>
      <c r="AR1069" s="156"/>
      <c r="AS1069" s="156"/>
      <c r="AT1069" s="156"/>
      <c r="AU1069" s="156"/>
      <c r="AV1069" s="156"/>
      <c r="AW1069" s="156"/>
      <c r="AX1069" s="156"/>
      <c r="AY1069" s="156"/>
      <c r="AZ1069" s="156"/>
      <c r="BA1069" s="153"/>
      <c r="BD1069" s="153"/>
      <c r="BE1069" s="147"/>
      <c r="BI1069" s="153"/>
      <c r="BO1069" s="153"/>
      <c r="BW1069" s="153"/>
      <c r="CD1069" s="146"/>
      <c r="CF1069" s="147"/>
      <c r="CI1069" s="146"/>
      <c r="CJ1069" s="153"/>
      <c r="CV1069" s="154"/>
      <c r="CX1069" s="154"/>
      <c r="CZ1069" s="154"/>
      <c r="DB1069" s="154"/>
      <c r="DD1069" s="154"/>
      <c r="DH1069" s="474"/>
      <c r="DI1069" s="459"/>
      <c r="DJ1069" s="459"/>
      <c r="DK1069" s="459"/>
      <c r="DL1069" s="459"/>
      <c r="DM1069" s="459"/>
      <c r="DN1069" s="459"/>
      <c r="DO1069" s="459"/>
      <c r="DP1069" s="459"/>
      <c r="DQ1069" s="459"/>
      <c r="DR1069" s="459"/>
      <c r="DS1069" s="459"/>
      <c r="DT1069" s="459"/>
      <c r="DU1069" s="459"/>
      <c r="DV1069" s="468"/>
      <c r="DW1069" s="468"/>
      <c r="DX1069" s="459"/>
      <c r="DY1069" s="459"/>
    </row>
    <row r="1070" spans="1:129" s="128" customFormat="1" ht="54.95" customHeight="1" x14ac:dyDescent="0.25">
      <c r="A1070" s="377"/>
      <c r="B1070" s="175"/>
      <c r="C1070" s="393"/>
      <c r="D1070" s="168"/>
      <c r="E1070" s="168"/>
      <c r="F1070" s="168"/>
      <c r="G1070" s="168"/>
      <c r="H1070" s="168"/>
      <c r="I1070" s="168"/>
      <c r="J1070" s="168"/>
      <c r="K1070" s="168"/>
      <c r="L1070" s="168"/>
      <c r="M1070" s="168"/>
      <c r="N1070" s="168"/>
      <c r="O1070" s="433"/>
      <c r="P1070" s="122"/>
      <c r="Q1070" s="156"/>
      <c r="R1070" s="156"/>
      <c r="S1070" s="156"/>
      <c r="T1070" s="156"/>
      <c r="U1070" s="156"/>
      <c r="V1070" s="156"/>
      <c r="W1070" s="156"/>
      <c r="X1070" s="156"/>
      <c r="Y1070" s="156"/>
      <c r="Z1070" s="157"/>
      <c r="AA1070" s="157"/>
      <c r="AB1070" s="156"/>
      <c r="AC1070" s="156"/>
      <c r="AD1070" s="156"/>
      <c r="AE1070" s="156"/>
      <c r="AF1070" s="156"/>
      <c r="AG1070" s="156"/>
      <c r="AH1070" s="156"/>
      <c r="AI1070" s="156"/>
      <c r="AJ1070" s="156"/>
      <c r="AK1070" s="156"/>
      <c r="AL1070" s="156"/>
      <c r="AM1070" s="158"/>
      <c r="AN1070" s="156"/>
      <c r="AO1070" s="156"/>
      <c r="AP1070" s="156"/>
      <c r="AQ1070" s="156"/>
      <c r="AR1070" s="156"/>
      <c r="AS1070" s="156"/>
      <c r="AT1070" s="156"/>
      <c r="AU1070" s="156"/>
      <c r="AV1070" s="156"/>
      <c r="AW1070" s="156"/>
      <c r="AX1070" s="156"/>
      <c r="AY1070" s="156"/>
      <c r="AZ1070" s="156"/>
      <c r="BA1070" s="153"/>
      <c r="BD1070" s="153"/>
      <c r="BE1070" s="147"/>
      <c r="BI1070" s="153"/>
      <c r="BO1070" s="153"/>
      <c r="BW1070" s="153"/>
      <c r="CD1070" s="146"/>
      <c r="CF1070" s="147"/>
      <c r="CI1070" s="146"/>
      <c r="CJ1070" s="153"/>
      <c r="CV1070" s="154"/>
      <c r="CX1070" s="154"/>
      <c r="CZ1070" s="154"/>
      <c r="DB1070" s="154"/>
      <c r="DD1070" s="154"/>
      <c r="DH1070" s="474"/>
      <c r="DI1070" s="459"/>
      <c r="DJ1070" s="459"/>
      <c r="DK1070" s="459"/>
      <c r="DL1070" s="459"/>
      <c r="DM1070" s="459"/>
      <c r="DN1070" s="459"/>
      <c r="DO1070" s="459"/>
      <c r="DP1070" s="459"/>
      <c r="DQ1070" s="459"/>
      <c r="DR1070" s="459"/>
      <c r="DS1070" s="459"/>
      <c r="DT1070" s="459"/>
      <c r="DU1070" s="459"/>
      <c r="DV1070" s="468"/>
      <c r="DW1070" s="468"/>
      <c r="DX1070" s="459"/>
      <c r="DY1070" s="459"/>
    </row>
    <row r="1071" spans="1:129" s="128" customFormat="1" ht="54.95" customHeight="1" x14ac:dyDescent="0.25">
      <c r="A1071" s="377"/>
      <c r="B1071" s="175"/>
      <c r="C1071" s="393"/>
      <c r="D1071" s="168"/>
      <c r="E1071" s="168"/>
      <c r="F1071" s="168"/>
      <c r="G1071" s="168"/>
      <c r="H1071" s="168"/>
      <c r="I1071" s="168"/>
      <c r="J1071" s="168"/>
      <c r="K1071" s="168"/>
      <c r="L1071" s="168"/>
      <c r="M1071" s="168"/>
      <c r="N1071" s="168"/>
      <c r="O1071" s="433"/>
      <c r="P1071" s="122"/>
      <c r="Q1071" s="156"/>
      <c r="R1071" s="156"/>
      <c r="S1071" s="156"/>
      <c r="T1071" s="156"/>
      <c r="U1071" s="156"/>
      <c r="V1071" s="156"/>
      <c r="W1071" s="156"/>
      <c r="X1071" s="156"/>
      <c r="Y1071" s="156"/>
      <c r="Z1071" s="157"/>
      <c r="AA1071" s="157"/>
      <c r="AB1071" s="156"/>
      <c r="AC1071" s="156"/>
      <c r="AD1071" s="156"/>
      <c r="AE1071" s="156"/>
      <c r="AF1071" s="156"/>
      <c r="AG1071" s="156"/>
      <c r="AH1071" s="156"/>
      <c r="AI1071" s="156"/>
      <c r="AJ1071" s="156"/>
      <c r="AK1071" s="156"/>
      <c r="AL1071" s="156"/>
      <c r="AM1071" s="158"/>
      <c r="AN1071" s="156"/>
      <c r="AO1071" s="156"/>
      <c r="AP1071" s="156"/>
      <c r="AQ1071" s="156"/>
      <c r="AR1071" s="156"/>
      <c r="AS1071" s="156"/>
      <c r="AT1071" s="156"/>
      <c r="AU1071" s="156"/>
      <c r="AV1071" s="156"/>
      <c r="AW1071" s="156"/>
      <c r="AX1071" s="156"/>
      <c r="AY1071" s="156"/>
      <c r="AZ1071" s="156"/>
      <c r="BA1071" s="153"/>
      <c r="BD1071" s="153"/>
      <c r="BE1071" s="147"/>
      <c r="BI1071" s="153"/>
      <c r="BO1071" s="153"/>
      <c r="BW1071" s="153"/>
      <c r="CD1071" s="146"/>
      <c r="CF1071" s="147"/>
      <c r="CI1071" s="146"/>
      <c r="CJ1071" s="153"/>
      <c r="CV1071" s="154"/>
      <c r="CX1071" s="154"/>
      <c r="CZ1071" s="154"/>
      <c r="DB1071" s="154"/>
      <c r="DD1071" s="154"/>
      <c r="DH1071" s="474"/>
      <c r="DI1071" s="459"/>
      <c r="DJ1071" s="459"/>
      <c r="DK1071" s="459"/>
      <c r="DL1071" s="459"/>
      <c r="DM1071" s="459"/>
      <c r="DN1071" s="459"/>
      <c r="DO1071" s="459"/>
      <c r="DP1071" s="459"/>
      <c r="DQ1071" s="459"/>
      <c r="DR1071" s="459"/>
      <c r="DS1071" s="459"/>
      <c r="DT1071" s="459"/>
      <c r="DU1071" s="459"/>
      <c r="DV1071" s="468"/>
      <c r="DW1071" s="468"/>
      <c r="DX1071" s="459"/>
      <c r="DY1071" s="459"/>
    </row>
    <row r="1072" spans="1:129" s="128" customFormat="1" ht="54.95" customHeight="1" x14ac:dyDescent="0.25">
      <c r="A1072" s="377"/>
      <c r="B1072" s="175"/>
      <c r="C1072" s="393"/>
      <c r="D1072" s="168"/>
      <c r="E1072" s="168"/>
      <c r="F1072" s="168"/>
      <c r="G1072" s="168"/>
      <c r="H1072" s="168"/>
      <c r="I1072" s="168"/>
      <c r="J1072" s="168"/>
      <c r="K1072" s="168"/>
      <c r="L1072" s="168"/>
      <c r="M1072" s="168"/>
      <c r="N1072" s="168"/>
      <c r="O1072" s="433"/>
      <c r="P1072" s="122"/>
      <c r="Q1072" s="156"/>
      <c r="R1072" s="156"/>
      <c r="S1072" s="156"/>
      <c r="T1072" s="156"/>
      <c r="U1072" s="156"/>
      <c r="V1072" s="156"/>
      <c r="W1072" s="156"/>
      <c r="X1072" s="156"/>
      <c r="Y1072" s="156"/>
      <c r="Z1072" s="157"/>
      <c r="AA1072" s="157"/>
      <c r="AB1072" s="156"/>
      <c r="AC1072" s="156"/>
      <c r="AD1072" s="156"/>
      <c r="AE1072" s="156"/>
      <c r="AF1072" s="156"/>
      <c r="AG1072" s="156"/>
      <c r="AH1072" s="156"/>
      <c r="AI1072" s="156"/>
      <c r="AJ1072" s="156"/>
      <c r="AK1072" s="156"/>
      <c r="AL1072" s="156"/>
      <c r="AM1072" s="158"/>
      <c r="AN1072" s="156"/>
      <c r="AO1072" s="156"/>
      <c r="AP1072" s="156"/>
      <c r="AQ1072" s="156"/>
      <c r="AR1072" s="156"/>
      <c r="AS1072" s="156"/>
      <c r="AT1072" s="156"/>
      <c r="AU1072" s="156"/>
      <c r="AV1072" s="156"/>
      <c r="AW1072" s="156"/>
      <c r="AX1072" s="156"/>
      <c r="AY1072" s="156"/>
      <c r="AZ1072" s="156"/>
      <c r="BA1072" s="153"/>
      <c r="BD1072" s="153"/>
      <c r="BE1072" s="147"/>
      <c r="BI1072" s="153"/>
      <c r="BO1072" s="153"/>
      <c r="BW1072" s="153"/>
      <c r="CD1072" s="146"/>
      <c r="CF1072" s="147"/>
      <c r="CI1072" s="146"/>
      <c r="CJ1072" s="153"/>
      <c r="CV1072" s="154"/>
      <c r="CX1072" s="154"/>
      <c r="CZ1072" s="154"/>
      <c r="DB1072" s="154"/>
      <c r="DD1072" s="154"/>
      <c r="DH1072" s="474"/>
      <c r="DI1072" s="459"/>
      <c r="DJ1072" s="459"/>
      <c r="DK1072" s="459"/>
      <c r="DL1072" s="459"/>
      <c r="DM1072" s="459"/>
      <c r="DN1072" s="459"/>
      <c r="DO1072" s="459"/>
      <c r="DP1072" s="459"/>
      <c r="DQ1072" s="459"/>
      <c r="DR1072" s="459"/>
      <c r="DS1072" s="459"/>
      <c r="DT1072" s="459"/>
      <c r="DU1072" s="459"/>
      <c r="DV1072" s="468"/>
      <c r="DW1072" s="468"/>
      <c r="DX1072" s="459"/>
      <c r="DY1072" s="459"/>
    </row>
    <row r="1073" spans="1:129" s="128" customFormat="1" ht="54.95" customHeight="1" x14ac:dyDescent="0.25">
      <c r="A1073" s="377"/>
      <c r="B1073" s="175"/>
      <c r="C1073" s="393"/>
      <c r="D1073" s="168"/>
      <c r="E1073" s="168"/>
      <c r="F1073" s="168"/>
      <c r="G1073" s="168"/>
      <c r="H1073" s="168"/>
      <c r="I1073" s="168"/>
      <c r="J1073" s="168"/>
      <c r="K1073" s="168"/>
      <c r="L1073" s="168"/>
      <c r="M1073" s="168"/>
      <c r="N1073" s="168"/>
      <c r="O1073" s="433"/>
      <c r="P1073" s="122"/>
      <c r="Q1073" s="156"/>
      <c r="R1073" s="156"/>
      <c r="S1073" s="156"/>
      <c r="T1073" s="156"/>
      <c r="U1073" s="156"/>
      <c r="V1073" s="156"/>
      <c r="W1073" s="156"/>
      <c r="X1073" s="156"/>
      <c r="Y1073" s="156"/>
      <c r="Z1073" s="157"/>
      <c r="AA1073" s="157"/>
      <c r="AB1073" s="156"/>
      <c r="AC1073" s="156"/>
      <c r="AD1073" s="156"/>
      <c r="AE1073" s="156"/>
      <c r="AF1073" s="156"/>
      <c r="AG1073" s="156"/>
      <c r="AH1073" s="156"/>
      <c r="AI1073" s="156"/>
      <c r="AJ1073" s="156"/>
      <c r="AK1073" s="156"/>
      <c r="AL1073" s="156"/>
      <c r="AM1073" s="158"/>
      <c r="AN1073" s="156"/>
      <c r="AO1073" s="156"/>
      <c r="AP1073" s="156"/>
      <c r="AQ1073" s="156"/>
      <c r="AR1073" s="156"/>
      <c r="AS1073" s="156"/>
      <c r="AT1073" s="156"/>
      <c r="AU1073" s="156"/>
      <c r="AV1073" s="156"/>
      <c r="AW1073" s="156"/>
      <c r="AX1073" s="156"/>
      <c r="AY1073" s="156"/>
      <c r="AZ1073" s="156"/>
      <c r="BA1073" s="153"/>
      <c r="BD1073" s="153"/>
      <c r="BE1073" s="147"/>
      <c r="BI1073" s="153"/>
      <c r="BO1073" s="153"/>
      <c r="BW1073" s="153"/>
      <c r="CD1073" s="146"/>
      <c r="CF1073" s="147"/>
      <c r="CI1073" s="146"/>
      <c r="CJ1073" s="153"/>
      <c r="CV1073" s="154"/>
      <c r="CX1073" s="154"/>
      <c r="CZ1073" s="154"/>
      <c r="DB1073" s="154"/>
      <c r="DD1073" s="154"/>
      <c r="DH1073" s="474"/>
      <c r="DI1073" s="459"/>
      <c r="DJ1073" s="459"/>
      <c r="DK1073" s="459"/>
      <c r="DL1073" s="459"/>
      <c r="DM1073" s="459"/>
      <c r="DN1073" s="459"/>
      <c r="DO1073" s="459"/>
      <c r="DP1073" s="459"/>
      <c r="DQ1073" s="459"/>
      <c r="DR1073" s="459"/>
      <c r="DS1073" s="459"/>
      <c r="DT1073" s="459"/>
      <c r="DU1073" s="459"/>
      <c r="DV1073" s="468"/>
      <c r="DW1073" s="468"/>
      <c r="DX1073" s="459"/>
      <c r="DY1073" s="459"/>
    </row>
    <row r="1074" spans="1:129" s="128" customFormat="1" ht="54.95" customHeight="1" x14ac:dyDescent="0.25">
      <c r="A1074" s="377"/>
      <c r="B1074" s="175"/>
      <c r="C1074" s="393"/>
      <c r="D1074" s="168"/>
      <c r="E1074" s="168"/>
      <c r="F1074" s="168"/>
      <c r="G1074" s="168"/>
      <c r="H1074" s="168"/>
      <c r="I1074" s="168"/>
      <c r="J1074" s="168"/>
      <c r="K1074" s="168"/>
      <c r="L1074" s="168"/>
      <c r="M1074" s="168"/>
      <c r="N1074" s="168"/>
      <c r="O1074" s="433"/>
      <c r="P1074" s="122"/>
      <c r="Q1074" s="156"/>
      <c r="R1074" s="156"/>
      <c r="S1074" s="156"/>
      <c r="T1074" s="156"/>
      <c r="U1074" s="156"/>
      <c r="V1074" s="156"/>
      <c r="W1074" s="156"/>
      <c r="X1074" s="156"/>
      <c r="Y1074" s="156"/>
      <c r="Z1074" s="157"/>
      <c r="AA1074" s="157"/>
      <c r="AB1074" s="156"/>
      <c r="AC1074" s="156"/>
      <c r="AD1074" s="156"/>
      <c r="AE1074" s="156"/>
      <c r="AF1074" s="156"/>
      <c r="AG1074" s="156"/>
      <c r="AH1074" s="156"/>
      <c r="AI1074" s="156"/>
      <c r="AJ1074" s="156"/>
      <c r="AK1074" s="156"/>
      <c r="AL1074" s="156"/>
      <c r="AM1074" s="158"/>
      <c r="AN1074" s="156"/>
      <c r="AO1074" s="156"/>
      <c r="AP1074" s="156"/>
      <c r="AQ1074" s="156"/>
      <c r="AR1074" s="156"/>
      <c r="AS1074" s="156"/>
      <c r="AT1074" s="156"/>
      <c r="AU1074" s="156"/>
      <c r="AV1074" s="156"/>
      <c r="AW1074" s="156"/>
      <c r="AX1074" s="156"/>
      <c r="AY1074" s="156"/>
      <c r="AZ1074" s="156"/>
      <c r="BA1074" s="153"/>
      <c r="BD1074" s="153"/>
      <c r="BE1074" s="147"/>
      <c r="BI1074" s="153"/>
      <c r="BO1074" s="153"/>
      <c r="BW1074" s="153"/>
      <c r="CD1074" s="146"/>
      <c r="CF1074" s="147"/>
      <c r="CI1074" s="146"/>
      <c r="CJ1074" s="153"/>
      <c r="CV1074" s="154"/>
      <c r="CX1074" s="154"/>
      <c r="CZ1074" s="154"/>
      <c r="DB1074" s="154"/>
      <c r="DD1074" s="154"/>
      <c r="DH1074" s="474"/>
      <c r="DI1074" s="459"/>
      <c r="DJ1074" s="459"/>
      <c r="DK1074" s="459"/>
      <c r="DL1074" s="459"/>
      <c r="DM1074" s="459"/>
      <c r="DN1074" s="459"/>
      <c r="DO1074" s="459"/>
      <c r="DP1074" s="459"/>
      <c r="DQ1074" s="459"/>
      <c r="DR1074" s="459"/>
      <c r="DS1074" s="459"/>
      <c r="DT1074" s="459"/>
      <c r="DU1074" s="459"/>
      <c r="DV1074" s="468"/>
      <c r="DW1074" s="468"/>
      <c r="DX1074" s="459"/>
      <c r="DY1074" s="459"/>
    </row>
    <row r="1075" spans="1:129" s="128" customFormat="1" ht="54.95" customHeight="1" x14ac:dyDescent="0.25">
      <c r="A1075" s="377"/>
      <c r="B1075" s="175"/>
      <c r="C1075" s="393"/>
      <c r="D1075" s="168"/>
      <c r="E1075" s="168"/>
      <c r="F1075" s="168"/>
      <c r="G1075" s="168"/>
      <c r="H1075" s="168"/>
      <c r="I1075" s="168"/>
      <c r="J1075" s="168"/>
      <c r="K1075" s="168"/>
      <c r="L1075" s="168"/>
      <c r="M1075" s="168"/>
      <c r="N1075" s="168"/>
      <c r="O1075" s="433"/>
      <c r="P1075" s="122"/>
      <c r="Q1075" s="156"/>
      <c r="R1075" s="156"/>
      <c r="S1075" s="156"/>
      <c r="T1075" s="156"/>
      <c r="U1075" s="156"/>
      <c r="V1075" s="156"/>
      <c r="W1075" s="156"/>
      <c r="X1075" s="156"/>
      <c r="Y1075" s="156"/>
      <c r="Z1075" s="157"/>
      <c r="AA1075" s="157"/>
      <c r="AB1075" s="156"/>
      <c r="AC1075" s="156"/>
      <c r="AD1075" s="156"/>
      <c r="AE1075" s="156"/>
      <c r="AF1075" s="156"/>
      <c r="AG1075" s="156"/>
      <c r="AH1075" s="156"/>
      <c r="AI1075" s="156"/>
      <c r="AJ1075" s="156"/>
      <c r="AK1075" s="156"/>
      <c r="AL1075" s="156"/>
      <c r="AM1075" s="158"/>
      <c r="AN1075" s="156"/>
      <c r="AO1075" s="156"/>
      <c r="AP1075" s="156"/>
      <c r="AQ1075" s="156"/>
      <c r="AR1075" s="156"/>
      <c r="AS1075" s="156"/>
      <c r="AT1075" s="156"/>
      <c r="AU1075" s="156"/>
      <c r="AV1075" s="156"/>
      <c r="AW1075" s="156"/>
      <c r="AX1075" s="156"/>
      <c r="AY1075" s="156"/>
      <c r="AZ1075" s="156"/>
      <c r="BA1075" s="153"/>
      <c r="BD1075" s="153"/>
      <c r="BE1075" s="147"/>
      <c r="BI1075" s="153"/>
      <c r="BO1075" s="153"/>
      <c r="BW1075" s="153"/>
      <c r="CD1075" s="146"/>
      <c r="CF1075" s="147"/>
      <c r="CI1075" s="146"/>
      <c r="CJ1075" s="153"/>
      <c r="CV1075" s="154"/>
      <c r="CX1075" s="154"/>
      <c r="CZ1075" s="154"/>
      <c r="DB1075" s="154"/>
      <c r="DD1075" s="154"/>
      <c r="DH1075" s="474"/>
      <c r="DI1075" s="459"/>
      <c r="DJ1075" s="459"/>
      <c r="DK1075" s="459"/>
      <c r="DL1075" s="459"/>
      <c r="DM1075" s="459"/>
      <c r="DN1075" s="459"/>
      <c r="DO1075" s="459"/>
      <c r="DP1075" s="459"/>
      <c r="DQ1075" s="459"/>
      <c r="DR1075" s="459"/>
      <c r="DS1075" s="459"/>
      <c r="DT1075" s="459"/>
      <c r="DU1075" s="459"/>
      <c r="DV1075" s="468"/>
      <c r="DW1075" s="468"/>
      <c r="DX1075" s="459"/>
      <c r="DY1075" s="459"/>
    </row>
    <row r="1076" spans="1:129" s="128" customFormat="1" ht="54.95" customHeight="1" x14ac:dyDescent="0.25">
      <c r="A1076" s="377"/>
      <c r="B1076" s="175"/>
      <c r="C1076" s="393"/>
      <c r="D1076" s="168"/>
      <c r="E1076" s="168"/>
      <c r="F1076" s="168"/>
      <c r="G1076" s="168"/>
      <c r="H1076" s="168"/>
      <c r="I1076" s="168"/>
      <c r="J1076" s="168"/>
      <c r="K1076" s="168"/>
      <c r="L1076" s="168"/>
      <c r="M1076" s="168"/>
      <c r="N1076" s="168"/>
      <c r="O1076" s="433"/>
      <c r="P1076" s="122"/>
      <c r="Q1076" s="156"/>
      <c r="R1076" s="156"/>
      <c r="S1076" s="156"/>
      <c r="T1076" s="156"/>
      <c r="U1076" s="156"/>
      <c r="V1076" s="156"/>
      <c r="W1076" s="156"/>
      <c r="X1076" s="156"/>
      <c r="Y1076" s="156"/>
      <c r="Z1076" s="157"/>
      <c r="AA1076" s="157"/>
      <c r="AB1076" s="156"/>
      <c r="AC1076" s="156"/>
      <c r="AD1076" s="156"/>
      <c r="AE1076" s="156"/>
      <c r="AF1076" s="156"/>
      <c r="AG1076" s="156"/>
      <c r="AH1076" s="156"/>
      <c r="AI1076" s="156"/>
      <c r="AJ1076" s="156"/>
      <c r="AK1076" s="156"/>
      <c r="AL1076" s="156"/>
      <c r="AM1076" s="158"/>
      <c r="AN1076" s="156"/>
      <c r="AO1076" s="156"/>
      <c r="AP1076" s="156"/>
      <c r="AQ1076" s="156"/>
      <c r="AR1076" s="156"/>
      <c r="AS1076" s="156"/>
      <c r="AT1076" s="156"/>
      <c r="AU1076" s="156"/>
      <c r="AV1076" s="156"/>
      <c r="AW1076" s="156"/>
      <c r="AX1076" s="156"/>
      <c r="AY1076" s="156"/>
      <c r="AZ1076" s="156"/>
      <c r="BA1076" s="153"/>
      <c r="BD1076" s="153"/>
      <c r="BE1076" s="147"/>
      <c r="BI1076" s="153"/>
      <c r="BO1076" s="153"/>
      <c r="BW1076" s="153"/>
      <c r="CD1076" s="146"/>
      <c r="CF1076" s="147"/>
      <c r="CI1076" s="146"/>
      <c r="CJ1076" s="153"/>
      <c r="CV1076" s="154"/>
      <c r="CX1076" s="154"/>
      <c r="CZ1076" s="154"/>
      <c r="DB1076" s="154"/>
      <c r="DD1076" s="154"/>
      <c r="DH1076" s="474"/>
      <c r="DI1076" s="459"/>
      <c r="DJ1076" s="459"/>
      <c r="DK1076" s="459"/>
      <c r="DL1076" s="459"/>
      <c r="DM1076" s="459"/>
      <c r="DN1076" s="459"/>
      <c r="DO1076" s="459"/>
      <c r="DP1076" s="459"/>
      <c r="DQ1076" s="459"/>
      <c r="DR1076" s="459"/>
      <c r="DS1076" s="459"/>
      <c r="DT1076" s="459"/>
      <c r="DU1076" s="459"/>
      <c r="DV1076" s="468"/>
      <c r="DW1076" s="468"/>
      <c r="DX1076" s="459"/>
      <c r="DY1076" s="459"/>
    </row>
    <row r="1077" spans="1:129" s="128" customFormat="1" ht="54.95" customHeight="1" x14ac:dyDescent="0.25">
      <c r="A1077" s="377"/>
      <c r="B1077" s="175"/>
      <c r="C1077" s="393"/>
      <c r="D1077" s="168"/>
      <c r="E1077" s="168"/>
      <c r="F1077" s="168"/>
      <c r="G1077" s="168"/>
      <c r="H1077" s="168"/>
      <c r="I1077" s="168"/>
      <c r="J1077" s="168"/>
      <c r="K1077" s="168"/>
      <c r="L1077" s="168"/>
      <c r="M1077" s="168"/>
      <c r="N1077" s="168"/>
      <c r="O1077" s="433"/>
      <c r="P1077" s="122"/>
      <c r="Q1077" s="156"/>
      <c r="R1077" s="156"/>
      <c r="S1077" s="156"/>
      <c r="T1077" s="156"/>
      <c r="U1077" s="156"/>
      <c r="V1077" s="156"/>
      <c r="W1077" s="156"/>
      <c r="X1077" s="156"/>
      <c r="Y1077" s="156"/>
      <c r="Z1077" s="157"/>
      <c r="AA1077" s="157"/>
      <c r="AB1077" s="156"/>
      <c r="AC1077" s="156"/>
      <c r="AD1077" s="156"/>
      <c r="AE1077" s="156"/>
      <c r="AF1077" s="156"/>
      <c r="AG1077" s="156"/>
      <c r="AH1077" s="156"/>
      <c r="AI1077" s="156"/>
      <c r="AJ1077" s="156"/>
      <c r="AK1077" s="156"/>
      <c r="AL1077" s="156"/>
      <c r="AM1077" s="158"/>
      <c r="AN1077" s="156"/>
      <c r="AO1077" s="156"/>
      <c r="AP1077" s="156"/>
      <c r="AQ1077" s="156"/>
      <c r="AR1077" s="156"/>
      <c r="AS1077" s="156"/>
      <c r="AT1077" s="156"/>
      <c r="AU1077" s="156"/>
      <c r="AV1077" s="156"/>
      <c r="AW1077" s="156"/>
      <c r="AX1077" s="156"/>
      <c r="AY1077" s="156"/>
      <c r="AZ1077" s="156"/>
      <c r="BA1077" s="153"/>
      <c r="BD1077" s="153"/>
      <c r="BE1077" s="147"/>
      <c r="BI1077" s="153"/>
      <c r="BO1077" s="153"/>
      <c r="BW1077" s="153"/>
      <c r="CD1077" s="146"/>
      <c r="CF1077" s="147"/>
      <c r="CI1077" s="146"/>
      <c r="CJ1077" s="153"/>
      <c r="CV1077" s="154"/>
      <c r="CX1077" s="154"/>
      <c r="CZ1077" s="154"/>
      <c r="DB1077" s="154"/>
      <c r="DD1077" s="154"/>
      <c r="DH1077" s="474"/>
      <c r="DI1077" s="459"/>
      <c r="DJ1077" s="459"/>
      <c r="DK1077" s="459"/>
      <c r="DL1077" s="459"/>
      <c r="DM1077" s="459"/>
      <c r="DN1077" s="459"/>
      <c r="DO1077" s="459"/>
      <c r="DP1077" s="459"/>
      <c r="DQ1077" s="459"/>
      <c r="DR1077" s="459"/>
      <c r="DS1077" s="459"/>
      <c r="DT1077" s="459"/>
      <c r="DU1077" s="459"/>
      <c r="DV1077" s="468"/>
      <c r="DW1077" s="468"/>
      <c r="DX1077" s="459"/>
      <c r="DY1077" s="459"/>
    </row>
    <row r="1078" spans="1:129" s="128" customFormat="1" ht="54.95" customHeight="1" x14ac:dyDescent="0.25">
      <c r="A1078" s="377"/>
      <c r="B1078" s="175"/>
      <c r="C1078" s="393"/>
      <c r="D1078" s="168"/>
      <c r="E1078" s="168"/>
      <c r="F1078" s="168"/>
      <c r="G1078" s="168"/>
      <c r="H1078" s="168"/>
      <c r="I1078" s="168"/>
      <c r="J1078" s="168"/>
      <c r="K1078" s="168"/>
      <c r="L1078" s="168"/>
      <c r="M1078" s="168"/>
      <c r="N1078" s="168"/>
      <c r="O1078" s="433"/>
      <c r="P1078" s="122"/>
      <c r="Q1078" s="156"/>
      <c r="R1078" s="156"/>
      <c r="S1078" s="156"/>
      <c r="T1078" s="156"/>
      <c r="U1078" s="156"/>
      <c r="V1078" s="156"/>
      <c r="W1078" s="156"/>
      <c r="X1078" s="156"/>
      <c r="Y1078" s="156"/>
      <c r="Z1078" s="157"/>
      <c r="AA1078" s="157"/>
      <c r="AB1078" s="156"/>
      <c r="AC1078" s="156"/>
      <c r="AD1078" s="156"/>
      <c r="AE1078" s="156"/>
      <c r="AF1078" s="156"/>
      <c r="AG1078" s="156"/>
      <c r="AH1078" s="156"/>
      <c r="AI1078" s="156"/>
      <c r="AJ1078" s="156"/>
      <c r="AK1078" s="156"/>
      <c r="AL1078" s="156"/>
      <c r="AM1078" s="158"/>
      <c r="AN1078" s="156"/>
      <c r="AO1078" s="156"/>
      <c r="AP1078" s="156"/>
      <c r="AQ1078" s="156"/>
      <c r="AR1078" s="156"/>
      <c r="AS1078" s="156"/>
      <c r="AT1078" s="156"/>
      <c r="AU1078" s="156"/>
      <c r="AV1078" s="156"/>
      <c r="AW1078" s="156"/>
      <c r="AX1078" s="156"/>
      <c r="AY1078" s="156"/>
      <c r="AZ1078" s="156"/>
      <c r="BA1078" s="153"/>
      <c r="BD1078" s="153"/>
      <c r="BE1078" s="147"/>
      <c r="BI1078" s="153"/>
      <c r="BO1078" s="153"/>
      <c r="BW1078" s="153"/>
      <c r="CD1078" s="146"/>
      <c r="CF1078" s="147"/>
      <c r="CI1078" s="146"/>
      <c r="CJ1078" s="153"/>
      <c r="CV1078" s="154"/>
      <c r="CX1078" s="154"/>
      <c r="CZ1078" s="154"/>
      <c r="DB1078" s="154"/>
      <c r="DD1078" s="154"/>
      <c r="DH1078" s="474"/>
      <c r="DI1078" s="459"/>
      <c r="DJ1078" s="459"/>
      <c r="DK1078" s="459"/>
      <c r="DL1078" s="459"/>
      <c r="DM1078" s="459"/>
      <c r="DN1078" s="459"/>
      <c r="DO1078" s="459"/>
      <c r="DP1078" s="459"/>
      <c r="DQ1078" s="459"/>
      <c r="DR1078" s="459"/>
      <c r="DS1078" s="459"/>
      <c r="DT1078" s="459"/>
      <c r="DU1078" s="459"/>
      <c r="DV1078" s="468"/>
      <c r="DW1078" s="468"/>
      <c r="DX1078" s="459"/>
      <c r="DY1078" s="459"/>
    </row>
    <row r="1079" spans="1:129" s="128" customFormat="1" ht="54.95" customHeight="1" x14ac:dyDescent="0.25">
      <c r="A1079" s="377"/>
      <c r="B1079" s="175"/>
      <c r="C1079" s="393"/>
      <c r="D1079" s="168"/>
      <c r="E1079" s="168"/>
      <c r="F1079" s="168"/>
      <c r="G1079" s="168"/>
      <c r="H1079" s="168"/>
      <c r="I1079" s="168"/>
      <c r="J1079" s="168"/>
      <c r="K1079" s="168"/>
      <c r="L1079" s="168"/>
      <c r="M1079" s="168"/>
      <c r="N1079" s="168"/>
      <c r="O1079" s="433"/>
      <c r="P1079" s="122"/>
      <c r="Q1079" s="156"/>
      <c r="R1079" s="156"/>
      <c r="S1079" s="156"/>
      <c r="T1079" s="156"/>
      <c r="U1079" s="156"/>
      <c r="V1079" s="156"/>
      <c r="W1079" s="156"/>
      <c r="X1079" s="156"/>
      <c r="Y1079" s="156"/>
      <c r="Z1079" s="157"/>
      <c r="AA1079" s="157"/>
      <c r="AB1079" s="156"/>
      <c r="AC1079" s="156"/>
      <c r="AD1079" s="156"/>
      <c r="AE1079" s="156"/>
      <c r="AF1079" s="156"/>
      <c r="AG1079" s="156"/>
      <c r="AH1079" s="156"/>
      <c r="AI1079" s="156"/>
      <c r="AJ1079" s="156"/>
      <c r="AK1079" s="156"/>
      <c r="AL1079" s="156"/>
      <c r="AM1079" s="158"/>
      <c r="AN1079" s="156"/>
      <c r="AO1079" s="156"/>
      <c r="AP1079" s="156"/>
      <c r="AQ1079" s="156"/>
      <c r="AR1079" s="156"/>
      <c r="AS1079" s="156"/>
      <c r="AT1079" s="156"/>
      <c r="AU1079" s="156"/>
      <c r="AV1079" s="156"/>
      <c r="AW1079" s="156"/>
      <c r="AX1079" s="156"/>
      <c r="AY1079" s="156"/>
      <c r="AZ1079" s="156"/>
      <c r="BA1079" s="153"/>
      <c r="BD1079" s="153"/>
      <c r="BE1079" s="147"/>
      <c r="BI1079" s="153"/>
      <c r="BO1079" s="153"/>
      <c r="BW1079" s="153"/>
      <c r="CD1079" s="146"/>
      <c r="CF1079" s="147"/>
      <c r="CI1079" s="146"/>
      <c r="CJ1079" s="153"/>
      <c r="CV1079" s="154"/>
      <c r="CX1079" s="154"/>
      <c r="CZ1079" s="154"/>
      <c r="DB1079" s="154"/>
      <c r="DD1079" s="154"/>
      <c r="DH1079" s="474"/>
      <c r="DI1079" s="459"/>
      <c r="DJ1079" s="459"/>
      <c r="DK1079" s="459"/>
      <c r="DL1079" s="459"/>
      <c r="DM1079" s="459"/>
      <c r="DN1079" s="459"/>
      <c r="DO1079" s="459"/>
      <c r="DP1079" s="459"/>
      <c r="DQ1079" s="459"/>
      <c r="DR1079" s="459"/>
      <c r="DS1079" s="459"/>
      <c r="DT1079" s="459"/>
      <c r="DU1079" s="459"/>
      <c r="DV1079" s="468"/>
      <c r="DW1079" s="468"/>
      <c r="DX1079" s="459"/>
      <c r="DY1079" s="459"/>
    </row>
    <row r="1080" spans="1:129" s="128" customFormat="1" ht="54.95" customHeight="1" x14ac:dyDescent="0.25">
      <c r="A1080" s="377"/>
      <c r="B1080" s="175"/>
      <c r="C1080" s="393"/>
      <c r="D1080" s="168"/>
      <c r="E1080" s="168"/>
      <c r="F1080" s="168"/>
      <c r="G1080" s="168"/>
      <c r="H1080" s="168"/>
      <c r="I1080" s="168"/>
      <c r="J1080" s="168"/>
      <c r="K1080" s="168"/>
      <c r="L1080" s="168"/>
      <c r="M1080" s="168"/>
      <c r="N1080" s="168"/>
      <c r="O1080" s="433"/>
      <c r="P1080" s="122"/>
      <c r="Q1080" s="156"/>
      <c r="R1080" s="156"/>
      <c r="S1080" s="156"/>
      <c r="T1080" s="156"/>
      <c r="U1080" s="156"/>
      <c r="V1080" s="156"/>
      <c r="W1080" s="156"/>
      <c r="X1080" s="156"/>
      <c r="Y1080" s="156"/>
      <c r="Z1080" s="157"/>
      <c r="AA1080" s="157"/>
      <c r="AB1080" s="156"/>
      <c r="AC1080" s="156"/>
      <c r="AD1080" s="156"/>
      <c r="AE1080" s="156"/>
      <c r="AF1080" s="156"/>
      <c r="AG1080" s="156"/>
      <c r="AH1080" s="156"/>
      <c r="AI1080" s="156"/>
      <c r="AJ1080" s="156"/>
      <c r="AK1080" s="156"/>
      <c r="AL1080" s="156"/>
      <c r="AM1080" s="158"/>
      <c r="AN1080" s="156"/>
      <c r="AO1080" s="156"/>
      <c r="AP1080" s="156"/>
      <c r="AQ1080" s="156"/>
      <c r="AR1080" s="156"/>
      <c r="AS1080" s="156"/>
      <c r="AT1080" s="156"/>
      <c r="AU1080" s="156"/>
      <c r="AV1080" s="156"/>
      <c r="AW1080" s="156"/>
      <c r="AX1080" s="156"/>
      <c r="AY1080" s="156"/>
      <c r="AZ1080" s="156"/>
      <c r="BA1080" s="153"/>
      <c r="BD1080" s="153"/>
      <c r="BE1080" s="147"/>
      <c r="BI1080" s="153"/>
      <c r="BO1080" s="153"/>
      <c r="BW1080" s="153"/>
      <c r="CD1080" s="146"/>
      <c r="CF1080" s="147"/>
      <c r="CI1080" s="146"/>
      <c r="CJ1080" s="153"/>
      <c r="CV1080" s="154"/>
      <c r="CX1080" s="154"/>
      <c r="CZ1080" s="154"/>
      <c r="DB1080" s="154"/>
      <c r="DD1080" s="154"/>
      <c r="DH1080" s="474"/>
      <c r="DI1080" s="459"/>
      <c r="DJ1080" s="459"/>
      <c r="DK1080" s="459"/>
      <c r="DL1080" s="459"/>
      <c r="DM1080" s="459"/>
      <c r="DN1080" s="459"/>
      <c r="DO1080" s="459"/>
      <c r="DP1080" s="459"/>
      <c r="DQ1080" s="459"/>
      <c r="DR1080" s="459"/>
      <c r="DS1080" s="459"/>
      <c r="DT1080" s="459"/>
      <c r="DU1080" s="459"/>
      <c r="DV1080" s="468"/>
      <c r="DW1080" s="468"/>
      <c r="DX1080" s="459"/>
      <c r="DY1080" s="459"/>
    </row>
    <row r="1081" spans="1:129" s="128" customFormat="1" ht="54.95" customHeight="1" x14ac:dyDescent="0.25">
      <c r="A1081" s="377"/>
      <c r="B1081" s="175"/>
      <c r="C1081" s="393"/>
      <c r="D1081" s="168"/>
      <c r="E1081" s="168"/>
      <c r="F1081" s="168"/>
      <c r="G1081" s="168"/>
      <c r="H1081" s="168"/>
      <c r="I1081" s="168"/>
      <c r="J1081" s="168"/>
      <c r="K1081" s="168"/>
      <c r="L1081" s="168"/>
      <c r="M1081" s="168"/>
      <c r="N1081" s="168"/>
      <c r="O1081" s="433"/>
      <c r="P1081" s="122"/>
      <c r="Q1081" s="156"/>
      <c r="R1081" s="156"/>
      <c r="S1081" s="156"/>
      <c r="T1081" s="156"/>
      <c r="U1081" s="156"/>
      <c r="V1081" s="156"/>
      <c r="W1081" s="156"/>
      <c r="X1081" s="156"/>
      <c r="Y1081" s="156"/>
      <c r="Z1081" s="157"/>
      <c r="AA1081" s="157"/>
      <c r="AB1081" s="156"/>
      <c r="AC1081" s="156"/>
      <c r="AD1081" s="156"/>
      <c r="AE1081" s="156"/>
      <c r="AF1081" s="156"/>
      <c r="AG1081" s="156"/>
      <c r="AH1081" s="156"/>
      <c r="AI1081" s="156"/>
      <c r="AJ1081" s="156"/>
      <c r="AK1081" s="156"/>
      <c r="AL1081" s="156"/>
      <c r="AM1081" s="158"/>
      <c r="AN1081" s="156"/>
      <c r="AO1081" s="156"/>
      <c r="AP1081" s="156"/>
      <c r="AQ1081" s="156"/>
      <c r="AR1081" s="156"/>
      <c r="AS1081" s="156"/>
      <c r="AT1081" s="156"/>
      <c r="AU1081" s="156"/>
      <c r="AV1081" s="156"/>
      <c r="AW1081" s="156"/>
      <c r="AX1081" s="156"/>
      <c r="AY1081" s="156"/>
      <c r="AZ1081" s="156"/>
      <c r="BA1081" s="153"/>
      <c r="BD1081" s="153"/>
      <c r="BE1081" s="147"/>
      <c r="BI1081" s="153"/>
      <c r="BO1081" s="153"/>
      <c r="BW1081" s="153"/>
      <c r="CD1081" s="146"/>
      <c r="CF1081" s="147"/>
      <c r="CI1081" s="146"/>
      <c r="CJ1081" s="153"/>
      <c r="CV1081" s="154"/>
      <c r="CX1081" s="154"/>
      <c r="CZ1081" s="154"/>
      <c r="DB1081" s="154"/>
      <c r="DD1081" s="154"/>
      <c r="DH1081" s="474"/>
      <c r="DI1081" s="459"/>
      <c r="DJ1081" s="459"/>
      <c r="DK1081" s="459"/>
      <c r="DL1081" s="459"/>
      <c r="DM1081" s="459"/>
      <c r="DN1081" s="459"/>
      <c r="DO1081" s="459"/>
      <c r="DP1081" s="459"/>
      <c r="DQ1081" s="459"/>
      <c r="DR1081" s="459"/>
      <c r="DS1081" s="459"/>
      <c r="DT1081" s="459"/>
      <c r="DU1081" s="459"/>
      <c r="DV1081" s="468"/>
      <c r="DW1081" s="468"/>
      <c r="DX1081" s="459"/>
      <c r="DY1081" s="459"/>
    </row>
    <row r="1082" spans="1:129" s="128" customFormat="1" ht="54.95" customHeight="1" x14ac:dyDescent="0.25">
      <c r="A1082" s="377"/>
      <c r="B1082" s="175"/>
      <c r="C1082" s="393"/>
      <c r="D1082" s="168"/>
      <c r="E1082" s="168"/>
      <c r="F1082" s="168"/>
      <c r="G1082" s="168"/>
      <c r="H1082" s="168"/>
      <c r="I1082" s="168"/>
      <c r="J1082" s="168"/>
      <c r="K1082" s="168"/>
      <c r="L1082" s="168"/>
      <c r="M1082" s="168"/>
      <c r="N1082" s="168"/>
      <c r="O1082" s="433"/>
      <c r="P1082" s="122"/>
      <c r="Q1082" s="156"/>
      <c r="R1082" s="156"/>
      <c r="S1082" s="156"/>
      <c r="T1082" s="156"/>
      <c r="U1082" s="156"/>
      <c r="V1082" s="156"/>
      <c r="W1082" s="156"/>
      <c r="X1082" s="156"/>
      <c r="Y1082" s="156"/>
      <c r="Z1082" s="157"/>
      <c r="AA1082" s="157"/>
      <c r="AB1082" s="156"/>
      <c r="AC1082" s="156"/>
      <c r="AD1082" s="156"/>
      <c r="AE1082" s="156"/>
      <c r="AF1082" s="156"/>
      <c r="AG1082" s="156"/>
      <c r="AH1082" s="156"/>
      <c r="AI1082" s="156"/>
      <c r="AJ1082" s="156"/>
      <c r="AK1082" s="156"/>
      <c r="AL1082" s="156"/>
      <c r="AM1082" s="158"/>
      <c r="AN1082" s="156"/>
      <c r="AO1082" s="156"/>
      <c r="AP1082" s="156"/>
      <c r="AQ1082" s="156"/>
      <c r="AR1082" s="156"/>
      <c r="AS1082" s="156"/>
      <c r="AT1082" s="156"/>
      <c r="AU1082" s="156"/>
      <c r="AV1082" s="156"/>
      <c r="AW1082" s="156"/>
      <c r="AX1082" s="156"/>
      <c r="AY1082" s="156"/>
      <c r="AZ1082" s="156"/>
      <c r="BA1082" s="153"/>
      <c r="BD1082" s="153"/>
      <c r="BE1082" s="147"/>
      <c r="BI1082" s="153"/>
      <c r="BO1082" s="153"/>
      <c r="BW1082" s="153"/>
      <c r="CD1082" s="146"/>
      <c r="CF1082" s="147"/>
      <c r="CI1082" s="146"/>
      <c r="CJ1082" s="153"/>
      <c r="CV1082" s="154"/>
      <c r="CX1082" s="154"/>
      <c r="CZ1082" s="154"/>
      <c r="DB1082" s="154"/>
      <c r="DD1082" s="154"/>
      <c r="DH1082" s="474"/>
      <c r="DI1082" s="459"/>
      <c r="DJ1082" s="459"/>
      <c r="DK1082" s="459"/>
      <c r="DL1082" s="459"/>
      <c r="DM1082" s="459"/>
      <c r="DN1082" s="459"/>
      <c r="DO1082" s="459"/>
      <c r="DP1082" s="459"/>
      <c r="DQ1082" s="459"/>
      <c r="DR1082" s="459"/>
      <c r="DS1082" s="459"/>
      <c r="DT1082" s="459"/>
      <c r="DU1082" s="459"/>
      <c r="DV1082" s="468"/>
      <c r="DW1082" s="468"/>
      <c r="DX1082" s="459"/>
      <c r="DY1082" s="459"/>
    </row>
    <row r="1083" spans="1:129" s="128" customFormat="1" ht="54.95" customHeight="1" x14ac:dyDescent="0.25">
      <c r="A1083" s="377"/>
      <c r="B1083" s="175"/>
      <c r="C1083" s="393"/>
      <c r="D1083" s="168"/>
      <c r="E1083" s="168"/>
      <c r="F1083" s="168"/>
      <c r="G1083" s="168"/>
      <c r="H1083" s="168"/>
      <c r="I1083" s="168"/>
      <c r="J1083" s="168"/>
      <c r="K1083" s="168"/>
      <c r="L1083" s="168"/>
      <c r="M1083" s="168"/>
      <c r="N1083" s="168"/>
      <c r="O1083" s="433"/>
      <c r="P1083" s="122"/>
      <c r="Q1083" s="156"/>
      <c r="R1083" s="156"/>
      <c r="S1083" s="156"/>
      <c r="T1083" s="156"/>
      <c r="U1083" s="156"/>
      <c r="V1083" s="156"/>
      <c r="W1083" s="156"/>
      <c r="X1083" s="156"/>
      <c r="Y1083" s="156"/>
      <c r="Z1083" s="157"/>
      <c r="AA1083" s="157"/>
      <c r="AB1083" s="156"/>
      <c r="AC1083" s="156"/>
      <c r="AD1083" s="156"/>
      <c r="AE1083" s="156"/>
      <c r="AF1083" s="156"/>
      <c r="AG1083" s="156"/>
      <c r="AH1083" s="156"/>
      <c r="AI1083" s="156"/>
      <c r="AJ1083" s="156"/>
      <c r="AK1083" s="156"/>
      <c r="AL1083" s="156"/>
      <c r="AM1083" s="158"/>
      <c r="AN1083" s="156"/>
      <c r="AO1083" s="156"/>
      <c r="AP1083" s="156"/>
      <c r="AQ1083" s="156"/>
      <c r="AR1083" s="156"/>
      <c r="AS1083" s="156"/>
      <c r="AT1083" s="156"/>
      <c r="AU1083" s="156"/>
      <c r="AV1083" s="156"/>
      <c r="AW1083" s="156"/>
      <c r="AX1083" s="156"/>
      <c r="AY1083" s="156"/>
      <c r="AZ1083" s="156"/>
      <c r="BA1083" s="153"/>
      <c r="BD1083" s="153"/>
      <c r="BE1083" s="147"/>
      <c r="BI1083" s="153"/>
      <c r="BO1083" s="153"/>
      <c r="BW1083" s="153"/>
      <c r="CD1083" s="146"/>
      <c r="CF1083" s="147"/>
      <c r="CI1083" s="146"/>
      <c r="CJ1083" s="153"/>
      <c r="CV1083" s="154"/>
      <c r="CX1083" s="154"/>
      <c r="CZ1083" s="154"/>
      <c r="DB1083" s="154"/>
      <c r="DD1083" s="154"/>
      <c r="DH1083" s="474"/>
      <c r="DI1083" s="459"/>
      <c r="DJ1083" s="459"/>
      <c r="DK1083" s="459"/>
      <c r="DL1083" s="459"/>
      <c r="DM1083" s="459"/>
      <c r="DN1083" s="459"/>
      <c r="DO1083" s="459"/>
      <c r="DP1083" s="459"/>
      <c r="DQ1083" s="459"/>
      <c r="DR1083" s="459"/>
      <c r="DS1083" s="459"/>
      <c r="DT1083" s="459"/>
      <c r="DU1083" s="459"/>
      <c r="DV1083" s="468"/>
      <c r="DW1083" s="468"/>
      <c r="DX1083" s="459"/>
      <c r="DY1083" s="459"/>
    </row>
    <row r="1084" spans="1:129" s="128" customFormat="1" ht="54.95" customHeight="1" x14ac:dyDescent="0.25">
      <c r="A1084" s="377"/>
      <c r="B1084" s="175"/>
      <c r="C1084" s="393"/>
      <c r="D1084" s="168"/>
      <c r="E1084" s="168"/>
      <c r="F1084" s="168"/>
      <c r="G1084" s="168"/>
      <c r="H1084" s="168"/>
      <c r="I1084" s="168"/>
      <c r="J1084" s="168"/>
      <c r="K1084" s="168"/>
      <c r="L1084" s="168"/>
      <c r="M1084" s="168"/>
      <c r="N1084" s="168"/>
      <c r="O1084" s="433"/>
      <c r="P1084" s="122"/>
      <c r="Q1084" s="156"/>
      <c r="R1084" s="156"/>
      <c r="S1084" s="156"/>
      <c r="T1084" s="156"/>
      <c r="U1084" s="156"/>
      <c r="V1084" s="156"/>
      <c r="W1084" s="156"/>
      <c r="X1084" s="156"/>
      <c r="Y1084" s="156"/>
      <c r="Z1084" s="157"/>
      <c r="AA1084" s="157"/>
      <c r="AB1084" s="156"/>
      <c r="AC1084" s="156"/>
      <c r="AD1084" s="156"/>
      <c r="AE1084" s="156"/>
      <c r="AF1084" s="156"/>
      <c r="AG1084" s="156"/>
      <c r="AH1084" s="156"/>
      <c r="AI1084" s="156"/>
      <c r="AJ1084" s="156"/>
      <c r="AK1084" s="156"/>
      <c r="AL1084" s="156"/>
      <c r="AM1084" s="158"/>
      <c r="AN1084" s="156"/>
      <c r="AO1084" s="156"/>
      <c r="AP1084" s="156"/>
      <c r="AQ1084" s="156"/>
      <c r="AR1084" s="156"/>
      <c r="AS1084" s="156"/>
      <c r="AT1084" s="156"/>
      <c r="AU1084" s="156"/>
      <c r="AV1084" s="156"/>
      <c r="AW1084" s="156"/>
      <c r="AX1084" s="156"/>
      <c r="AY1084" s="156"/>
      <c r="AZ1084" s="156"/>
      <c r="BA1084" s="153"/>
      <c r="BD1084" s="153"/>
      <c r="BE1084" s="147"/>
      <c r="BI1084" s="153"/>
      <c r="BO1084" s="153"/>
      <c r="BW1084" s="153"/>
      <c r="CD1084" s="146"/>
      <c r="CF1084" s="147"/>
      <c r="CI1084" s="146"/>
      <c r="CJ1084" s="153"/>
      <c r="CV1084" s="154"/>
      <c r="CX1084" s="154"/>
      <c r="CZ1084" s="154"/>
      <c r="DB1084" s="154"/>
      <c r="DD1084" s="154"/>
      <c r="DH1084" s="474"/>
      <c r="DI1084" s="459"/>
      <c r="DJ1084" s="459"/>
      <c r="DK1084" s="459"/>
      <c r="DL1084" s="459"/>
      <c r="DM1084" s="459"/>
      <c r="DN1084" s="459"/>
      <c r="DO1084" s="459"/>
      <c r="DP1084" s="459"/>
      <c r="DQ1084" s="459"/>
      <c r="DR1084" s="459"/>
      <c r="DS1084" s="459"/>
      <c r="DT1084" s="459"/>
      <c r="DU1084" s="459"/>
      <c r="DV1084" s="468"/>
      <c r="DW1084" s="468"/>
      <c r="DX1084" s="459"/>
      <c r="DY1084" s="459"/>
    </row>
    <row r="1085" spans="1:129" s="128" customFormat="1" ht="54.95" customHeight="1" x14ac:dyDescent="0.25">
      <c r="A1085" s="377"/>
      <c r="B1085" s="175"/>
      <c r="C1085" s="393"/>
      <c r="D1085" s="168"/>
      <c r="E1085" s="168"/>
      <c r="F1085" s="168"/>
      <c r="G1085" s="168"/>
      <c r="H1085" s="168"/>
      <c r="I1085" s="168"/>
      <c r="J1085" s="168"/>
      <c r="K1085" s="168"/>
      <c r="L1085" s="168"/>
      <c r="M1085" s="168"/>
      <c r="N1085" s="168"/>
      <c r="O1085" s="433"/>
      <c r="P1085" s="122"/>
      <c r="Q1085" s="156"/>
      <c r="R1085" s="156"/>
      <c r="S1085" s="156"/>
      <c r="T1085" s="156"/>
      <c r="U1085" s="156"/>
      <c r="V1085" s="156"/>
      <c r="W1085" s="156"/>
      <c r="X1085" s="156"/>
      <c r="Y1085" s="156"/>
      <c r="Z1085" s="157"/>
      <c r="AA1085" s="157"/>
      <c r="AB1085" s="156"/>
      <c r="AC1085" s="156"/>
      <c r="AD1085" s="156"/>
      <c r="AE1085" s="156"/>
      <c r="AF1085" s="156"/>
      <c r="AG1085" s="156"/>
      <c r="AH1085" s="156"/>
      <c r="AI1085" s="156"/>
      <c r="AJ1085" s="156"/>
      <c r="AK1085" s="156"/>
      <c r="AL1085" s="156"/>
      <c r="AM1085" s="158"/>
      <c r="AN1085" s="156"/>
      <c r="AO1085" s="156"/>
      <c r="AP1085" s="156"/>
      <c r="AQ1085" s="156"/>
      <c r="AR1085" s="156"/>
      <c r="AS1085" s="156"/>
      <c r="AT1085" s="156"/>
      <c r="AU1085" s="156"/>
      <c r="AV1085" s="156"/>
      <c r="AW1085" s="156"/>
      <c r="AX1085" s="156"/>
      <c r="AY1085" s="156"/>
      <c r="AZ1085" s="156"/>
      <c r="BA1085" s="153"/>
      <c r="BD1085" s="153"/>
      <c r="BE1085" s="147"/>
      <c r="BI1085" s="153"/>
      <c r="BO1085" s="153"/>
      <c r="BW1085" s="153"/>
      <c r="CD1085" s="146"/>
      <c r="CF1085" s="147"/>
      <c r="CI1085" s="146"/>
      <c r="CJ1085" s="153"/>
      <c r="CV1085" s="154"/>
      <c r="CX1085" s="154"/>
      <c r="CZ1085" s="154"/>
      <c r="DB1085" s="154"/>
      <c r="DD1085" s="154"/>
      <c r="DH1085" s="474"/>
      <c r="DI1085" s="459"/>
      <c r="DJ1085" s="459"/>
      <c r="DK1085" s="459"/>
      <c r="DL1085" s="459"/>
      <c r="DM1085" s="459"/>
      <c r="DN1085" s="459"/>
      <c r="DO1085" s="459"/>
      <c r="DP1085" s="459"/>
      <c r="DQ1085" s="459"/>
      <c r="DR1085" s="459"/>
      <c r="DS1085" s="459"/>
      <c r="DT1085" s="459"/>
      <c r="DU1085" s="459"/>
      <c r="DV1085" s="468"/>
      <c r="DW1085" s="468"/>
      <c r="DX1085" s="459"/>
      <c r="DY1085" s="459"/>
    </row>
    <row r="1086" spans="1:129" s="128" customFormat="1" ht="54.95" customHeight="1" x14ac:dyDescent="0.25">
      <c r="A1086" s="377"/>
      <c r="B1086" s="175"/>
      <c r="C1086" s="393"/>
      <c r="D1086" s="168"/>
      <c r="E1086" s="168"/>
      <c r="F1086" s="168"/>
      <c r="G1086" s="168"/>
      <c r="H1086" s="168"/>
      <c r="I1086" s="168"/>
      <c r="J1086" s="168"/>
      <c r="K1086" s="168"/>
      <c r="L1086" s="168"/>
      <c r="M1086" s="168"/>
      <c r="N1086" s="168"/>
      <c r="O1086" s="433"/>
      <c r="P1086" s="122"/>
      <c r="Q1086" s="156"/>
      <c r="R1086" s="156"/>
      <c r="S1086" s="156"/>
      <c r="T1086" s="156"/>
      <c r="U1086" s="156"/>
      <c r="V1086" s="156"/>
      <c r="W1086" s="156"/>
      <c r="X1086" s="156"/>
      <c r="Y1086" s="156"/>
      <c r="Z1086" s="157"/>
      <c r="AA1086" s="157"/>
      <c r="AB1086" s="156"/>
      <c r="AC1086" s="156"/>
      <c r="AD1086" s="156"/>
      <c r="AE1086" s="156"/>
      <c r="AF1086" s="156"/>
      <c r="AG1086" s="156"/>
      <c r="AH1086" s="156"/>
      <c r="AI1086" s="156"/>
      <c r="AJ1086" s="156"/>
      <c r="AK1086" s="156"/>
      <c r="AL1086" s="156"/>
      <c r="AM1086" s="158"/>
      <c r="AN1086" s="156"/>
      <c r="AO1086" s="156"/>
      <c r="AP1086" s="156"/>
      <c r="AQ1086" s="156"/>
      <c r="AR1086" s="156"/>
      <c r="AS1086" s="156"/>
      <c r="AT1086" s="156"/>
      <c r="AU1086" s="156"/>
      <c r="AV1086" s="156"/>
      <c r="AW1086" s="156"/>
      <c r="AX1086" s="156"/>
      <c r="AY1086" s="156"/>
      <c r="AZ1086" s="156"/>
      <c r="BA1086" s="153"/>
      <c r="BD1086" s="153"/>
      <c r="BE1086" s="147"/>
      <c r="BI1086" s="153"/>
      <c r="BO1086" s="153"/>
      <c r="BW1086" s="153"/>
      <c r="CD1086" s="146"/>
      <c r="CF1086" s="147"/>
      <c r="CI1086" s="146"/>
      <c r="CJ1086" s="153"/>
      <c r="CV1086" s="154"/>
      <c r="CX1086" s="154"/>
      <c r="CZ1086" s="154"/>
      <c r="DB1086" s="154"/>
      <c r="DD1086" s="154"/>
      <c r="DH1086" s="474"/>
      <c r="DI1086" s="459"/>
      <c r="DJ1086" s="459"/>
      <c r="DK1086" s="459"/>
      <c r="DL1086" s="459"/>
      <c r="DM1086" s="459"/>
      <c r="DN1086" s="459"/>
      <c r="DO1086" s="459"/>
      <c r="DP1086" s="459"/>
      <c r="DQ1086" s="459"/>
      <c r="DR1086" s="459"/>
      <c r="DS1086" s="459"/>
      <c r="DT1086" s="459"/>
      <c r="DU1086" s="459"/>
      <c r="DV1086" s="468"/>
      <c r="DW1086" s="468"/>
      <c r="DX1086" s="459"/>
      <c r="DY1086" s="459"/>
    </row>
    <row r="1087" spans="1:129" s="128" customFormat="1" ht="54.95" customHeight="1" x14ac:dyDescent="0.25">
      <c r="A1087" s="377"/>
      <c r="B1087" s="175"/>
      <c r="C1087" s="393"/>
      <c r="D1087" s="168"/>
      <c r="E1087" s="168"/>
      <c r="F1087" s="168"/>
      <c r="G1087" s="168"/>
      <c r="H1087" s="168"/>
      <c r="I1087" s="168"/>
      <c r="J1087" s="168"/>
      <c r="K1087" s="168"/>
      <c r="L1087" s="168"/>
      <c r="M1087" s="168"/>
      <c r="N1087" s="168"/>
      <c r="O1087" s="433"/>
      <c r="P1087" s="122"/>
      <c r="Q1087" s="156"/>
      <c r="R1087" s="156"/>
      <c r="S1087" s="156"/>
      <c r="T1087" s="156"/>
      <c r="U1087" s="156"/>
      <c r="V1087" s="156"/>
      <c r="W1087" s="156"/>
      <c r="X1087" s="156"/>
      <c r="Y1087" s="156"/>
      <c r="Z1087" s="157"/>
      <c r="AA1087" s="157"/>
      <c r="AB1087" s="156"/>
      <c r="AC1087" s="156"/>
      <c r="AD1087" s="156"/>
      <c r="AE1087" s="156"/>
      <c r="AF1087" s="156"/>
      <c r="AG1087" s="156"/>
      <c r="AH1087" s="156"/>
      <c r="AI1087" s="156"/>
      <c r="AJ1087" s="156"/>
      <c r="AK1087" s="156"/>
      <c r="AL1087" s="156"/>
      <c r="AM1087" s="158"/>
      <c r="AN1087" s="156"/>
      <c r="AO1087" s="156"/>
      <c r="AP1087" s="156"/>
      <c r="AQ1087" s="156"/>
      <c r="AR1087" s="156"/>
      <c r="AS1087" s="156"/>
      <c r="AT1087" s="156"/>
      <c r="AU1087" s="156"/>
      <c r="AV1087" s="156"/>
      <c r="AW1087" s="156"/>
      <c r="AX1087" s="156"/>
      <c r="AY1087" s="156"/>
      <c r="AZ1087" s="156"/>
      <c r="BA1087" s="153"/>
      <c r="BD1087" s="153"/>
      <c r="BE1087" s="147"/>
      <c r="BI1087" s="153"/>
      <c r="BO1087" s="153"/>
      <c r="BW1087" s="153"/>
      <c r="CD1087" s="146"/>
      <c r="CF1087" s="147"/>
      <c r="CI1087" s="146"/>
      <c r="CJ1087" s="153"/>
      <c r="CV1087" s="154"/>
      <c r="CX1087" s="154"/>
      <c r="CZ1087" s="154"/>
      <c r="DB1087" s="154"/>
      <c r="DD1087" s="154"/>
      <c r="DH1087" s="474"/>
      <c r="DI1087" s="459"/>
      <c r="DJ1087" s="459"/>
      <c r="DK1087" s="459"/>
      <c r="DL1087" s="459"/>
      <c r="DM1087" s="459"/>
      <c r="DN1087" s="459"/>
      <c r="DO1087" s="459"/>
      <c r="DP1087" s="459"/>
      <c r="DQ1087" s="459"/>
      <c r="DR1087" s="459"/>
      <c r="DS1087" s="459"/>
      <c r="DT1087" s="459"/>
      <c r="DU1087" s="459"/>
      <c r="DV1087" s="468"/>
      <c r="DW1087" s="468"/>
      <c r="DX1087" s="459"/>
      <c r="DY1087" s="459"/>
    </row>
    <row r="1088" spans="1:129" s="128" customFormat="1" ht="54.95" customHeight="1" x14ac:dyDescent="0.25">
      <c r="A1088" s="377"/>
      <c r="B1088" s="175"/>
      <c r="C1088" s="393"/>
      <c r="D1088" s="168"/>
      <c r="E1088" s="168"/>
      <c r="F1088" s="168"/>
      <c r="G1088" s="168"/>
      <c r="H1088" s="168"/>
      <c r="I1088" s="168"/>
      <c r="J1088" s="168"/>
      <c r="K1088" s="168"/>
      <c r="L1088" s="168"/>
      <c r="M1088" s="168"/>
      <c r="N1088" s="168"/>
      <c r="O1088" s="433"/>
      <c r="P1088" s="122"/>
      <c r="Q1088" s="156"/>
      <c r="R1088" s="156"/>
      <c r="S1088" s="156"/>
      <c r="T1088" s="156"/>
      <c r="U1088" s="156"/>
      <c r="V1088" s="156"/>
      <c r="W1088" s="156"/>
      <c r="X1088" s="156"/>
      <c r="Y1088" s="156"/>
      <c r="Z1088" s="157"/>
      <c r="AA1088" s="157"/>
      <c r="AB1088" s="156"/>
      <c r="AC1088" s="156"/>
      <c r="AD1088" s="156"/>
      <c r="AE1088" s="156"/>
      <c r="AF1088" s="156"/>
      <c r="AG1088" s="156"/>
      <c r="AH1088" s="156"/>
      <c r="AI1088" s="156"/>
      <c r="AJ1088" s="156"/>
      <c r="AK1088" s="156"/>
      <c r="AL1088" s="156"/>
      <c r="AM1088" s="158"/>
      <c r="AN1088" s="156"/>
      <c r="AO1088" s="156"/>
      <c r="AP1088" s="156"/>
      <c r="AQ1088" s="156"/>
      <c r="AR1088" s="156"/>
      <c r="AS1088" s="156"/>
      <c r="AT1088" s="156"/>
      <c r="AU1088" s="156"/>
      <c r="AV1088" s="156"/>
      <c r="AW1088" s="156"/>
      <c r="AX1088" s="156"/>
      <c r="AY1088" s="156"/>
      <c r="AZ1088" s="156"/>
      <c r="BA1088" s="153"/>
      <c r="BD1088" s="153"/>
      <c r="BE1088" s="147"/>
      <c r="BI1088" s="153"/>
      <c r="BO1088" s="153"/>
      <c r="BW1088" s="153"/>
      <c r="CD1088" s="146"/>
      <c r="CF1088" s="147"/>
      <c r="CI1088" s="146"/>
      <c r="CJ1088" s="153"/>
      <c r="CV1088" s="154"/>
      <c r="CX1088" s="154"/>
      <c r="CZ1088" s="154"/>
      <c r="DB1088" s="154"/>
      <c r="DD1088" s="154"/>
      <c r="DH1088" s="474"/>
      <c r="DI1088" s="459"/>
      <c r="DJ1088" s="459"/>
      <c r="DK1088" s="459"/>
      <c r="DL1088" s="459"/>
      <c r="DM1088" s="459"/>
      <c r="DN1088" s="459"/>
      <c r="DO1088" s="459"/>
      <c r="DP1088" s="459"/>
      <c r="DQ1088" s="459"/>
      <c r="DR1088" s="459"/>
      <c r="DS1088" s="459"/>
      <c r="DT1088" s="459"/>
      <c r="DU1088" s="459"/>
      <c r="DV1088" s="468"/>
      <c r="DW1088" s="468"/>
      <c r="DX1088" s="459"/>
      <c r="DY1088" s="459"/>
    </row>
    <row r="1089" spans="1:129" s="128" customFormat="1" ht="54.95" customHeight="1" x14ac:dyDescent="0.25">
      <c r="A1089" s="377"/>
      <c r="B1089" s="175"/>
      <c r="C1089" s="393"/>
      <c r="D1089" s="168"/>
      <c r="E1089" s="168"/>
      <c r="F1089" s="168"/>
      <c r="G1089" s="168"/>
      <c r="H1089" s="168"/>
      <c r="I1089" s="168"/>
      <c r="J1089" s="168"/>
      <c r="K1089" s="168"/>
      <c r="L1089" s="168"/>
      <c r="M1089" s="168"/>
      <c r="N1089" s="168"/>
      <c r="O1089" s="433"/>
      <c r="P1089" s="122"/>
      <c r="Q1089" s="156"/>
      <c r="R1089" s="156"/>
      <c r="S1089" s="156"/>
      <c r="T1089" s="156"/>
      <c r="U1089" s="156"/>
      <c r="V1089" s="156"/>
      <c r="W1089" s="156"/>
      <c r="X1089" s="156"/>
      <c r="Y1089" s="156"/>
      <c r="Z1089" s="157"/>
      <c r="AA1089" s="157"/>
      <c r="AB1089" s="156"/>
      <c r="AC1089" s="156"/>
      <c r="AD1089" s="156"/>
      <c r="AE1089" s="156"/>
      <c r="AF1089" s="156"/>
      <c r="AG1089" s="156"/>
      <c r="AH1089" s="156"/>
      <c r="AI1089" s="156"/>
      <c r="AJ1089" s="156"/>
      <c r="AK1089" s="156"/>
      <c r="AL1089" s="156"/>
      <c r="AM1089" s="158"/>
      <c r="AN1089" s="156"/>
      <c r="AO1089" s="156"/>
      <c r="AP1089" s="156"/>
      <c r="AQ1089" s="156"/>
      <c r="AR1089" s="156"/>
      <c r="AS1089" s="156"/>
      <c r="AT1089" s="156"/>
      <c r="AU1089" s="156"/>
      <c r="AV1089" s="156"/>
      <c r="AW1089" s="156"/>
      <c r="AX1089" s="156"/>
      <c r="AY1089" s="156"/>
      <c r="AZ1089" s="156"/>
      <c r="BA1089" s="153"/>
      <c r="BD1089" s="153"/>
      <c r="BE1089" s="147"/>
      <c r="BI1089" s="153"/>
      <c r="BO1089" s="153"/>
      <c r="BW1089" s="153"/>
      <c r="CD1089" s="146"/>
      <c r="CF1089" s="147"/>
      <c r="CI1089" s="146"/>
      <c r="CJ1089" s="153"/>
      <c r="CV1089" s="154"/>
      <c r="CX1089" s="154"/>
      <c r="CZ1089" s="154"/>
      <c r="DB1089" s="154"/>
      <c r="DD1089" s="154"/>
      <c r="DH1089" s="474"/>
      <c r="DI1089" s="459"/>
      <c r="DJ1089" s="459"/>
      <c r="DK1089" s="459"/>
      <c r="DL1089" s="459"/>
      <c r="DM1089" s="459"/>
      <c r="DN1089" s="459"/>
      <c r="DO1089" s="459"/>
      <c r="DP1089" s="459"/>
      <c r="DQ1089" s="459"/>
      <c r="DR1089" s="459"/>
      <c r="DS1089" s="459"/>
      <c r="DT1089" s="459"/>
      <c r="DU1089" s="459"/>
      <c r="DV1089" s="468"/>
      <c r="DW1089" s="468"/>
      <c r="DX1089" s="459"/>
      <c r="DY1089" s="459"/>
    </row>
    <row r="1090" spans="1:129" s="128" customFormat="1" ht="54.95" customHeight="1" x14ac:dyDescent="0.25">
      <c r="A1090" s="377"/>
      <c r="B1090" s="175"/>
      <c r="C1090" s="393"/>
      <c r="D1090" s="168"/>
      <c r="E1090" s="168"/>
      <c r="F1090" s="168"/>
      <c r="G1090" s="168"/>
      <c r="H1090" s="168"/>
      <c r="I1090" s="168"/>
      <c r="J1090" s="168"/>
      <c r="K1090" s="168"/>
      <c r="L1090" s="168"/>
      <c r="M1090" s="168"/>
      <c r="N1090" s="168"/>
      <c r="O1090" s="433"/>
      <c r="P1090" s="122"/>
      <c r="Q1090" s="156"/>
      <c r="R1090" s="156"/>
      <c r="S1090" s="156"/>
      <c r="T1090" s="156"/>
      <c r="U1090" s="156"/>
      <c r="V1090" s="156"/>
      <c r="W1090" s="156"/>
      <c r="X1090" s="156"/>
      <c r="Y1090" s="156"/>
      <c r="Z1090" s="157"/>
      <c r="AA1090" s="157"/>
      <c r="AB1090" s="156"/>
      <c r="AC1090" s="156"/>
      <c r="AD1090" s="156"/>
      <c r="AE1090" s="156"/>
      <c r="AF1090" s="156"/>
      <c r="AG1090" s="156"/>
      <c r="AH1090" s="156"/>
      <c r="AI1090" s="156"/>
      <c r="AJ1090" s="156"/>
      <c r="AK1090" s="156"/>
      <c r="AL1090" s="156"/>
      <c r="AM1090" s="158"/>
      <c r="AN1090" s="156"/>
      <c r="AO1090" s="156"/>
      <c r="AP1090" s="156"/>
      <c r="AQ1090" s="156"/>
      <c r="AR1090" s="156"/>
      <c r="AS1090" s="156"/>
      <c r="AT1090" s="156"/>
      <c r="AU1090" s="156"/>
      <c r="AV1090" s="156"/>
      <c r="AW1090" s="156"/>
      <c r="AX1090" s="156"/>
      <c r="AY1090" s="156"/>
      <c r="AZ1090" s="156"/>
      <c r="BA1090" s="153"/>
      <c r="BD1090" s="153"/>
      <c r="BE1090" s="147"/>
      <c r="BI1090" s="153"/>
      <c r="BO1090" s="153"/>
      <c r="BW1090" s="153"/>
      <c r="CD1090" s="146"/>
      <c r="CF1090" s="147"/>
      <c r="CI1090" s="146"/>
      <c r="CJ1090" s="153"/>
      <c r="CV1090" s="154"/>
      <c r="CX1090" s="154"/>
      <c r="CZ1090" s="154"/>
      <c r="DB1090" s="154"/>
      <c r="DD1090" s="154"/>
      <c r="DH1090" s="474"/>
      <c r="DI1090" s="459"/>
      <c r="DJ1090" s="459"/>
      <c r="DK1090" s="459"/>
      <c r="DL1090" s="459"/>
      <c r="DM1090" s="459"/>
      <c r="DN1090" s="459"/>
      <c r="DO1090" s="459"/>
      <c r="DP1090" s="459"/>
      <c r="DQ1090" s="459"/>
      <c r="DR1090" s="459"/>
      <c r="DS1090" s="459"/>
      <c r="DT1090" s="459"/>
      <c r="DU1090" s="459"/>
      <c r="DV1090" s="468"/>
      <c r="DW1090" s="468"/>
      <c r="DX1090" s="459"/>
      <c r="DY1090" s="459"/>
    </row>
    <row r="1091" spans="1:129" s="128" customFormat="1" ht="54.95" customHeight="1" x14ac:dyDescent="0.25">
      <c r="A1091" s="377"/>
      <c r="B1091" s="175"/>
      <c r="C1091" s="393"/>
      <c r="D1091" s="168"/>
      <c r="E1091" s="168"/>
      <c r="F1091" s="168"/>
      <c r="G1091" s="168"/>
      <c r="H1091" s="168"/>
      <c r="I1091" s="168"/>
      <c r="J1091" s="168"/>
      <c r="K1091" s="168"/>
      <c r="L1091" s="168"/>
      <c r="M1091" s="168"/>
      <c r="N1091" s="168"/>
      <c r="O1091" s="433"/>
      <c r="P1091" s="122"/>
      <c r="Q1091" s="156"/>
      <c r="R1091" s="156"/>
      <c r="S1091" s="156"/>
      <c r="T1091" s="156"/>
      <c r="U1091" s="156"/>
      <c r="V1091" s="156"/>
      <c r="W1091" s="156"/>
      <c r="X1091" s="156"/>
      <c r="Y1091" s="156"/>
      <c r="Z1091" s="157"/>
      <c r="AA1091" s="157"/>
      <c r="AB1091" s="156"/>
      <c r="AC1091" s="156"/>
      <c r="AD1091" s="156"/>
      <c r="AE1091" s="156"/>
      <c r="AF1091" s="156"/>
      <c r="AG1091" s="156"/>
      <c r="AH1091" s="156"/>
      <c r="AI1091" s="156"/>
      <c r="AJ1091" s="156"/>
      <c r="AK1091" s="156"/>
      <c r="AL1091" s="156"/>
      <c r="AM1091" s="158"/>
      <c r="AN1091" s="156"/>
      <c r="AO1091" s="156"/>
      <c r="AP1091" s="156"/>
      <c r="AQ1091" s="156"/>
      <c r="AR1091" s="156"/>
      <c r="AS1091" s="156"/>
      <c r="AT1091" s="156"/>
      <c r="AU1091" s="156"/>
      <c r="AV1091" s="156"/>
      <c r="AW1091" s="156"/>
      <c r="AX1091" s="156"/>
      <c r="AY1091" s="156"/>
      <c r="AZ1091" s="156"/>
      <c r="BA1091" s="153"/>
      <c r="BD1091" s="153"/>
      <c r="BE1091" s="147"/>
      <c r="BI1091" s="153"/>
      <c r="BO1091" s="153"/>
      <c r="BW1091" s="153"/>
      <c r="CD1091" s="146"/>
      <c r="CF1091" s="147"/>
      <c r="CI1091" s="146"/>
      <c r="CJ1091" s="153"/>
      <c r="CV1091" s="154"/>
      <c r="CX1091" s="154"/>
      <c r="CZ1091" s="154"/>
      <c r="DB1091" s="154"/>
      <c r="DD1091" s="154"/>
      <c r="DH1091" s="474"/>
      <c r="DI1091" s="459"/>
      <c r="DJ1091" s="459"/>
      <c r="DK1091" s="459"/>
      <c r="DL1091" s="459"/>
      <c r="DM1091" s="459"/>
      <c r="DN1091" s="459"/>
      <c r="DO1091" s="459"/>
      <c r="DP1091" s="459"/>
      <c r="DQ1091" s="459"/>
      <c r="DR1091" s="459"/>
      <c r="DS1091" s="459"/>
      <c r="DT1091" s="459"/>
      <c r="DU1091" s="459"/>
      <c r="DV1091" s="468"/>
      <c r="DW1091" s="468"/>
      <c r="DX1091" s="459"/>
      <c r="DY1091" s="459"/>
    </row>
    <row r="1092" spans="1:129" s="128" customFormat="1" ht="54.95" customHeight="1" x14ac:dyDescent="0.25">
      <c r="A1092" s="377"/>
      <c r="B1092" s="175"/>
      <c r="C1092" s="393"/>
      <c r="D1092" s="168"/>
      <c r="E1092" s="168"/>
      <c r="F1092" s="168"/>
      <c r="G1092" s="168"/>
      <c r="H1092" s="168"/>
      <c r="I1092" s="168"/>
      <c r="J1092" s="168"/>
      <c r="K1092" s="168"/>
      <c r="L1092" s="168"/>
      <c r="M1092" s="168"/>
      <c r="N1092" s="168"/>
      <c r="O1092" s="433"/>
      <c r="P1092" s="122"/>
      <c r="Q1092" s="156"/>
      <c r="R1092" s="156"/>
      <c r="S1092" s="156"/>
      <c r="T1092" s="156"/>
      <c r="U1092" s="156"/>
      <c r="V1092" s="156"/>
      <c r="W1092" s="156"/>
      <c r="X1092" s="156"/>
      <c r="Y1092" s="156"/>
      <c r="Z1092" s="157"/>
      <c r="AA1092" s="157"/>
      <c r="AB1092" s="156"/>
      <c r="AC1092" s="156"/>
      <c r="AD1092" s="156"/>
      <c r="AE1092" s="156"/>
      <c r="AF1092" s="156"/>
      <c r="AG1092" s="156"/>
      <c r="AH1092" s="156"/>
      <c r="AI1092" s="156"/>
      <c r="AJ1092" s="156"/>
      <c r="AK1092" s="156"/>
      <c r="AL1092" s="156"/>
      <c r="AM1092" s="158"/>
      <c r="AN1092" s="156"/>
      <c r="AO1092" s="156"/>
      <c r="AP1092" s="156"/>
      <c r="AQ1092" s="156"/>
      <c r="AR1092" s="156"/>
      <c r="AS1092" s="156"/>
      <c r="AT1092" s="156"/>
      <c r="AU1092" s="156"/>
      <c r="AV1092" s="156"/>
      <c r="AW1092" s="156"/>
      <c r="AX1092" s="156"/>
      <c r="AY1092" s="156"/>
      <c r="AZ1092" s="156"/>
      <c r="BA1092" s="153"/>
      <c r="BD1092" s="153"/>
      <c r="BE1092" s="147"/>
      <c r="BI1092" s="153"/>
      <c r="BO1092" s="153"/>
      <c r="BW1092" s="153"/>
      <c r="CD1092" s="146"/>
      <c r="CF1092" s="147"/>
      <c r="CI1092" s="146"/>
      <c r="CJ1092" s="153"/>
      <c r="CV1092" s="154"/>
      <c r="CX1092" s="154"/>
      <c r="CZ1092" s="154"/>
      <c r="DB1092" s="154"/>
      <c r="DD1092" s="154"/>
      <c r="DH1092" s="474"/>
      <c r="DI1092" s="459"/>
      <c r="DJ1092" s="459"/>
      <c r="DK1092" s="459"/>
      <c r="DL1092" s="459"/>
      <c r="DM1092" s="459"/>
      <c r="DN1092" s="459"/>
      <c r="DO1092" s="459"/>
      <c r="DP1092" s="459"/>
      <c r="DQ1092" s="459"/>
      <c r="DR1092" s="459"/>
      <c r="DS1092" s="459"/>
      <c r="DT1092" s="459"/>
      <c r="DU1092" s="459"/>
      <c r="DV1092" s="468"/>
      <c r="DW1092" s="468"/>
      <c r="DX1092" s="459"/>
      <c r="DY1092" s="459"/>
    </row>
    <row r="1093" spans="1:129" s="128" customFormat="1" ht="54.95" customHeight="1" x14ac:dyDescent="0.25">
      <c r="A1093" s="377"/>
      <c r="B1093" s="175"/>
      <c r="C1093" s="393"/>
      <c r="D1093" s="168"/>
      <c r="E1093" s="168"/>
      <c r="F1093" s="168"/>
      <c r="G1093" s="168"/>
      <c r="H1093" s="168"/>
      <c r="I1093" s="168"/>
      <c r="J1093" s="168"/>
      <c r="K1093" s="168"/>
      <c r="L1093" s="168"/>
      <c r="M1093" s="168"/>
      <c r="N1093" s="168"/>
      <c r="O1093" s="433"/>
      <c r="P1093" s="122"/>
      <c r="Q1093" s="156"/>
      <c r="R1093" s="156"/>
      <c r="S1093" s="156"/>
      <c r="T1093" s="156"/>
      <c r="U1093" s="156"/>
      <c r="V1093" s="156"/>
      <c r="W1093" s="156"/>
      <c r="X1093" s="156"/>
      <c r="Y1093" s="156"/>
      <c r="Z1093" s="157"/>
      <c r="AA1093" s="157"/>
      <c r="AB1093" s="156"/>
      <c r="AC1093" s="156"/>
      <c r="AD1093" s="156"/>
      <c r="AE1093" s="156"/>
      <c r="AF1093" s="156"/>
      <c r="AG1093" s="156"/>
      <c r="AH1093" s="156"/>
      <c r="AI1093" s="156"/>
      <c r="AJ1093" s="156"/>
      <c r="AK1093" s="156"/>
      <c r="AL1093" s="156"/>
      <c r="AM1093" s="158"/>
      <c r="AN1093" s="156"/>
      <c r="AO1093" s="156"/>
      <c r="AP1093" s="156"/>
      <c r="AQ1093" s="156"/>
      <c r="AR1093" s="156"/>
      <c r="AS1093" s="156"/>
      <c r="AT1093" s="156"/>
      <c r="AU1093" s="156"/>
      <c r="AV1093" s="156"/>
      <c r="AW1093" s="156"/>
      <c r="AX1093" s="156"/>
      <c r="AY1093" s="156"/>
      <c r="AZ1093" s="156"/>
      <c r="BA1093" s="153"/>
      <c r="BD1093" s="153"/>
      <c r="BE1093" s="147"/>
      <c r="BI1093" s="153"/>
      <c r="BO1093" s="153"/>
      <c r="BW1093" s="153"/>
      <c r="CD1093" s="146"/>
      <c r="CF1093" s="147"/>
      <c r="CI1093" s="146"/>
      <c r="CJ1093" s="153"/>
      <c r="CV1093" s="154"/>
      <c r="CX1093" s="154"/>
      <c r="CZ1093" s="154"/>
      <c r="DB1093" s="154"/>
      <c r="DD1093" s="154"/>
      <c r="DH1093" s="474"/>
      <c r="DI1093" s="459"/>
      <c r="DJ1093" s="459"/>
      <c r="DK1093" s="459"/>
      <c r="DL1093" s="459"/>
      <c r="DM1093" s="459"/>
      <c r="DN1093" s="459"/>
      <c r="DO1093" s="459"/>
      <c r="DP1093" s="459"/>
      <c r="DQ1093" s="459"/>
      <c r="DR1093" s="459"/>
      <c r="DS1093" s="459"/>
      <c r="DT1093" s="459"/>
      <c r="DU1093" s="459"/>
      <c r="DV1093" s="468"/>
      <c r="DW1093" s="468"/>
      <c r="DX1093" s="459"/>
      <c r="DY1093" s="459"/>
    </row>
    <row r="1094" spans="1:129" s="128" customFormat="1" ht="54.95" customHeight="1" x14ac:dyDescent="0.25">
      <c r="A1094" s="377"/>
      <c r="B1094" s="175"/>
      <c r="C1094" s="393"/>
      <c r="D1094" s="168"/>
      <c r="E1094" s="168"/>
      <c r="F1094" s="168"/>
      <c r="G1094" s="168"/>
      <c r="H1094" s="168"/>
      <c r="I1094" s="168"/>
      <c r="J1094" s="168"/>
      <c r="K1094" s="168"/>
      <c r="L1094" s="168"/>
      <c r="M1094" s="168"/>
      <c r="N1094" s="168"/>
      <c r="O1094" s="433"/>
      <c r="P1094" s="122"/>
      <c r="Q1094" s="156"/>
      <c r="R1094" s="156"/>
      <c r="S1094" s="156"/>
      <c r="T1094" s="156"/>
      <c r="U1094" s="156"/>
      <c r="V1094" s="156"/>
      <c r="W1094" s="156"/>
      <c r="X1094" s="156"/>
      <c r="Y1094" s="156"/>
      <c r="Z1094" s="157"/>
      <c r="AA1094" s="157"/>
      <c r="AB1094" s="156"/>
      <c r="AC1094" s="156"/>
      <c r="AD1094" s="156"/>
      <c r="AE1094" s="156"/>
      <c r="AF1094" s="156"/>
      <c r="AG1094" s="156"/>
      <c r="AH1094" s="156"/>
      <c r="AI1094" s="156"/>
      <c r="AJ1094" s="156"/>
      <c r="AK1094" s="156"/>
      <c r="AL1094" s="156"/>
      <c r="AM1094" s="158"/>
      <c r="AN1094" s="156"/>
      <c r="AO1094" s="156"/>
      <c r="AP1094" s="156"/>
      <c r="AQ1094" s="156"/>
      <c r="AR1094" s="156"/>
      <c r="AS1094" s="156"/>
      <c r="AT1094" s="156"/>
      <c r="AU1094" s="156"/>
      <c r="AV1094" s="156"/>
      <c r="AW1094" s="156"/>
      <c r="AX1094" s="156"/>
      <c r="AY1094" s="156"/>
      <c r="AZ1094" s="156"/>
      <c r="BA1094" s="153"/>
      <c r="BD1094" s="153"/>
      <c r="BE1094" s="147"/>
      <c r="BI1094" s="153"/>
      <c r="BO1094" s="153"/>
      <c r="BW1094" s="153"/>
      <c r="CD1094" s="146"/>
      <c r="CF1094" s="147"/>
      <c r="CI1094" s="146"/>
      <c r="CJ1094" s="153"/>
      <c r="CV1094" s="154"/>
      <c r="CX1094" s="154"/>
      <c r="CZ1094" s="154"/>
      <c r="DB1094" s="154"/>
      <c r="DD1094" s="154"/>
      <c r="DH1094" s="474"/>
      <c r="DI1094" s="459"/>
      <c r="DJ1094" s="459"/>
      <c r="DK1094" s="459"/>
      <c r="DL1094" s="459"/>
      <c r="DM1094" s="459"/>
      <c r="DN1094" s="459"/>
      <c r="DO1094" s="459"/>
      <c r="DP1094" s="459"/>
      <c r="DQ1094" s="459"/>
      <c r="DR1094" s="459"/>
      <c r="DS1094" s="459"/>
      <c r="DT1094" s="459"/>
      <c r="DU1094" s="459"/>
      <c r="DV1094" s="468"/>
      <c r="DW1094" s="468"/>
      <c r="DX1094" s="459"/>
      <c r="DY1094" s="459"/>
    </row>
    <row r="1095" spans="1:129" s="128" customFormat="1" ht="54.95" customHeight="1" x14ac:dyDescent="0.25">
      <c r="A1095" s="377"/>
      <c r="B1095" s="175"/>
      <c r="C1095" s="393"/>
      <c r="D1095" s="168"/>
      <c r="E1095" s="168"/>
      <c r="F1095" s="168"/>
      <c r="G1095" s="168"/>
      <c r="H1095" s="168"/>
      <c r="I1095" s="168"/>
      <c r="J1095" s="168"/>
      <c r="K1095" s="168"/>
      <c r="L1095" s="168"/>
      <c r="M1095" s="168"/>
      <c r="N1095" s="168"/>
      <c r="O1095" s="433"/>
      <c r="P1095" s="122"/>
      <c r="Q1095" s="156"/>
      <c r="R1095" s="156"/>
      <c r="S1095" s="156"/>
      <c r="T1095" s="156"/>
      <c r="U1095" s="156"/>
      <c r="V1095" s="156"/>
      <c r="W1095" s="156"/>
      <c r="X1095" s="156"/>
      <c r="Y1095" s="156"/>
      <c r="Z1095" s="157"/>
      <c r="AA1095" s="157"/>
      <c r="AB1095" s="156"/>
      <c r="AC1095" s="156"/>
      <c r="AD1095" s="156"/>
      <c r="AE1095" s="156"/>
      <c r="AF1095" s="156"/>
      <c r="AG1095" s="156"/>
      <c r="AH1095" s="156"/>
      <c r="AI1095" s="156"/>
      <c r="AJ1095" s="156"/>
      <c r="AK1095" s="156"/>
      <c r="AL1095" s="156"/>
      <c r="AM1095" s="158"/>
      <c r="AN1095" s="156"/>
      <c r="AO1095" s="156"/>
      <c r="AP1095" s="156"/>
      <c r="AQ1095" s="156"/>
      <c r="AR1095" s="156"/>
      <c r="AS1095" s="156"/>
      <c r="AT1095" s="156"/>
      <c r="AU1095" s="156"/>
      <c r="AV1095" s="156"/>
      <c r="AW1095" s="156"/>
      <c r="AX1095" s="156"/>
      <c r="AY1095" s="156"/>
      <c r="AZ1095" s="156"/>
      <c r="BA1095" s="153"/>
      <c r="BD1095" s="153"/>
      <c r="BE1095" s="147"/>
      <c r="BI1095" s="153"/>
      <c r="BO1095" s="153"/>
      <c r="BW1095" s="153"/>
      <c r="CD1095" s="146"/>
      <c r="CF1095" s="147"/>
      <c r="CI1095" s="146"/>
      <c r="CJ1095" s="153"/>
      <c r="CV1095" s="154"/>
      <c r="CX1095" s="154"/>
      <c r="CZ1095" s="154"/>
      <c r="DB1095" s="154"/>
      <c r="DD1095" s="154"/>
      <c r="DH1095" s="474"/>
      <c r="DI1095" s="459"/>
      <c r="DJ1095" s="459"/>
      <c r="DK1095" s="459"/>
      <c r="DL1095" s="459"/>
      <c r="DM1095" s="459"/>
      <c r="DN1095" s="459"/>
      <c r="DO1095" s="459"/>
      <c r="DP1095" s="459"/>
      <c r="DQ1095" s="459"/>
      <c r="DR1095" s="459"/>
      <c r="DS1095" s="459"/>
      <c r="DT1095" s="459"/>
      <c r="DU1095" s="459"/>
      <c r="DV1095" s="468"/>
      <c r="DW1095" s="468"/>
      <c r="DX1095" s="459"/>
      <c r="DY1095" s="459"/>
    </row>
    <row r="1096" spans="1:129" s="128" customFormat="1" ht="54.95" customHeight="1" x14ac:dyDescent="0.25">
      <c r="A1096" s="377"/>
      <c r="B1096" s="175"/>
      <c r="C1096" s="393"/>
      <c r="D1096" s="168"/>
      <c r="E1096" s="168"/>
      <c r="F1096" s="168"/>
      <c r="G1096" s="168"/>
      <c r="H1096" s="168"/>
      <c r="I1096" s="168"/>
      <c r="J1096" s="168"/>
      <c r="K1096" s="168"/>
      <c r="L1096" s="168"/>
      <c r="M1096" s="168"/>
      <c r="N1096" s="168"/>
      <c r="O1096" s="433"/>
      <c r="P1096" s="122"/>
      <c r="Q1096" s="156"/>
      <c r="R1096" s="156"/>
      <c r="S1096" s="156"/>
      <c r="T1096" s="156"/>
      <c r="U1096" s="156"/>
      <c r="V1096" s="156"/>
      <c r="W1096" s="156"/>
      <c r="X1096" s="156"/>
      <c r="Y1096" s="156"/>
      <c r="Z1096" s="157"/>
      <c r="AA1096" s="157"/>
      <c r="AB1096" s="156"/>
      <c r="AC1096" s="156"/>
      <c r="AD1096" s="156"/>
      <c r="AE1096" s="156"/>
      <c r="AF1096" s="156"/>
      <c r="AG1096" s="156"/>
      <c r="AH1096" s="156"/>
      <c r="AI1096" s="156"/>
      <c r="AJ1096" s="156"/>
      <c r="AK1096" s="156"/>
      <c r="AL1096" s="156"/>
      <c r="AM1096" s="158"/>
      <c r="AN1096" s="156"/>
      <c r="AO1096" s="156"/>
      <c r="AP1096" s="156"/>
      <c r="AQ1096" s="156"/>
      <c r="AR1096" s="156"/>
      <c r="AS1096" s="156"/>
      <c r="AT1096" s="156"/>
      <c r="AU1096" s="156"/>
      <c r="AV1096" s="156"/>
      <c r="AW1096" s="156"/>
      <c r="AX1096" s="156"/>
      <c r="AY1096" s="156"/>
      <c r="AZ1096" s="156"/>
      <c r="BA1096" s="153"/>
      <c r="BD1096" s="153"/>
      <c r="BE1096" s="147"/>
      <c r="BI1096" s="153"/>
      <c r="BO1096" s="153"/>
      <c r="BW1096" s="153"/>
      <c r="CD1096" s="146"/>
      <c r="CF1096" s="147"/>
      <c r="CI1096" s="146"/>
      <c r="CJ1096" s="153"/>
      <c r="CV1096" s="154"/>
      <c r="CX1096" s="154"/>
      <c r="CZ1096" s="154"/>
      <c r="DB1096" s="154"/>
      <c r="DD1096" s="154"/>
      <c r="DH1096" s="474"/>
      <c r="DI1096" s="459"/>
      <c r="DJ1096" s="459"/>
      <c r="DK1096" s="459"/>
      <c r="DL1096" s="459"/>
      <c r="DM1096" s="459"/>
      <c r="DN1096" s="459"/>
      <c r="DO1096" s="459"/>
      <c r="DP1096" s="459"/>
      <c r="DQ1096" s="459"/>
      <c r="DR1096" s="459"/>
      <c r="DS1096" s="459"/>
      <c r="DT1096" s="459"/>
      <c r="DU1096" s="459"/>
      <c r="DV1096" s="468"/>
      <c r="DW1096" s="468"/>
      <c r="DX1096" s="459"/>
      <c r="DY1096" s="459"/>
    </row>
    <row r="1097" spans="1:129" s="128" customFormat="1" ht="54.95" customHeight="1" x14ac:dyDescent="0.25">
      <c r="A1097" s="377"/>
      <c r="B1097" s="175"/>
      <c r="C1097" s="393"/>
      <c r="D1097" s="168"/>
      <c r="E1097" s="168"/>
      <c r="F1097" s="168"/>
      <c r="G1097" s="168"/>
      <c r="H1097" s="168"/>
      <c r="I1097" s="168"/>
      <c r="J1097" s="168"/>
      <c r="K1097" s="168"/>
      <c r="L1097" s="168"/>
      <c r="M1097" s="168"/>
      <c r="N1097" s="168"/>
      <c r="O1097" s="433"/>
      <c r="P1097" s="122"/>
      <c r="Q1097" s="156"/>
      <c r="R1097" s="156"/>
      <c r="S1097" s="156"/>
      <c r="T1097" s="156"/>
      <c r="U1097" s="156"/>
      <c r="V1097" s="156"/>
      <c r="W1097" s="156"/>
      <c r="X1097" s="156"/>
      <c r="Y1097" s="156"/>
      <c r="Z1097" s="157"/>
      <c r="AA1097" s="157"/>
      <c r="AB1097" s="156"/>
      <c r="AC1097" s="156"/>
      <c r="AD1097" s="156"/>
      <c r="AE1097" s="156"/>
      <c r="AF1097" s="156"/>
      <c r="AG1097" s="156"/>
      <c r="AH1097" s="156"/>
      <c r="AI1097" s="156"/>
      <c r="AJ1097" s="156"/>
      <c r="AK1097" s="156"/>
      <c r="AL1097" s="156"/>
      <c r="AM1097" s="158"/>
      <c r="AN1097" s="156"/>
      <c r="AO1097" s="156"/>
      <c r="AP1097" s="156"/>
      <c r="AQ1097" s="156"/>
      <c r="AR1097" s="156"/>
      <c r="AS1097" s="156"/>
      <c r="AT1097" s="156"/>
      <c r="AU1097" s="156"/>
      <c r="AV1097" s="156"/>
      <c r="AW1097" s="156"/>
      <c r="AX1097" s="156"/>
      <c r="AY1097" s="156"/>
      <c r="AZ1097" s="156"/>
      <c r="BA1097" s="153"/>
      <c r="BD1097" s="153"/>
      <c r="BE1097" s="147"/>
      <c r="BI1097" s="153"/>
      <c r="BO1097" s="153"/>
      <c r="BW1097" s="153"/>
      <c r="CD1097" s="146"/>
      <c r="CF1097" s="147"/>
      <c r="CI1097" s="146"/>
      <c r="CJ1097" s="153"/>
      <c r="CV1097" s="154"/>
      <c r="CX1097" s="154"/>
      <c r="CZ1097" s="154"/>
      <c r="DB1097" s="154"/>
      <c r="DD1097" s="154"/>
      <c r="DH1097" s="474"/>
      <c r="DI1097" s="459"/>
      <c r="DJ1097" s="459"/>
      <c r="DK1097" s="459"/>
      <c r="DL1097" s="459"/>
      <c r="DM1097" s="459"/>
      <c r="DN1097" s="459"/>
      <c r="DO1097" s="459"/>
      <c r="DP1097" s="459"/>
      <c r="DQ1097" s="459"/>
      <c r="DR1097" s="459"/>
      <c r="DS1097" s="459"/>
      <c r="DT1097" s="459"/>
      <c r="DU1097" s="459"/>
      <c r="DV1097" s="468"/>
      <c r="DW1097" s="468"/>
      <c r="DX1097" s="459"/>
      <c r="DY1097" s="459"/>
    </row>
    <row r="1098" spans="1:129" s="128" customFormat="1" ht="54.95" customHeight="1" x14ac:dyDescent="0.25">
      <c r="A1098" s="377"/>
      <c r="B1098" s="175"/>
      <c r="C1098" s="393"/>
      <c r="D1098" s="168"/>
      <c r="E1098" s="168"/>
      <c r="F1098" s="168"/>
      <c r="G1098" s="168"/>
      <c r="H1098" s="168"/>
      <c r="I1098" s="168"/>
      <c r="J1098" s="168"/>
      <c r="K1098" s="168"/>
      <c r="L1098" s="168"/>
      <c r="M1098" s="168"/>
      <c r="N1098" s="168"/>
      <c r="O1098" s="433"/>
      <c r="P1098" s="122"/>
      <c r="Q1098" s="156"/>
      <c r="R1098" s="156"/>
      <c r="S1098" s="156"/>
      <c r="T1098" s="156"/>
      <c r="U1098" s="156"/>
      <c r="V1098" s="156"/>
      <c r="W1098" s="156"/>
      <c r="X1098" s="156"/>
      <c r="Y1098" s="156"/>
      <c r="Z1098" s="157"/>
      <c r="AA1098" s="157"/>
      <c r="AB1098" s="156"/>
      <c r="AC1098" s="156"/>
      <c r="AD1098" s="156"/>
      <c r="AE1098" s="156"/>
      <c r="AF1098" s="156"/>
      <c r="AG1098" s="156"/>
      <c r="AH1098" s="156"/>
      <c r="AI1098" s="156"/>
      <c r="AJ1098" s="156"/>
      <c r="AK1098" s="156"/>
      <c r="AL1098" s="156"/>
      <c r="AM1098" s="158"/>
      <c r="AN1098" s="156"/>
      <c r="AO1098" s="156"/>
      <c r="AP1098" s="156"/>
      <c r="AQ1098" s="156"/>
      <c r="AR1098" s="156"/>
      <c r="AS1098" s="156"/>
      <c r="AT1098" s="156"/>
      <c r="AU1098" s="156"/>
      <c r="AV1098" s="156"/>
      <c r="AW1098" s="156"/>
      <c r="AX1098" s="156"/>
      <c r="AY1098" s="156"/>
      <c r="AZ1098" s="156"/>
      <c r="BA1098" s="153"/>
      <c r="BD1098" s="153"/>
      <c r="BE1098" s="147"/>
      <c r="BI1098" s="153"/>
      <c r="BO1098" s="153"/>
      <c r="BW1098" s="153"/>
      <c r="CD1098" s="146"/>
      <c r="CF1098" s="147"/>
      <c r="CI1098" s="146"/>
      <c r="CJ1098" s="153"/>
      <c r="CV1098" s="154"/>
      <c r="CX1098" s="154"/>
      <c r="CZ1098" s="154"/>
      <c r="DB1098" s="154"/>
      <c r="DD1098" s="154"/>
      <c r="DH1098" s="474"/>
      <c r="DI1098" s="459"/>
      <c r="DJ1098" s="459"/>
      <c r="DK1098" s="459"/>
      <c r="DL1098" s="459"/>
      <c r="DM1098" s="459"/>
      <c r="DN1098" s="459"/>
      <c r="DO1098" s="459"/>
      <c r="DP1098" s="459"/>
      <c r="DQ1098" s="459"/>
      <c r="DR1098" s="459"/>
      <c r="DS1098" s="459"/>
      <c r="DT1098" s="459"/>
      <c r="DU1098" s="459"/>
      <c r="DV1098" s="468"/>
      <c r="DW1098" s="468"/>
      <c r="DX1098" s="459"/>
      <c r="DY1098" s="459"/>
    </row>
    <row r="1099" spans="1:129" s="128" customFormat="1" ht="54.95" customHeight="1" x14ac:dyDescent="0.25">
      <c r="A1099" s="377"/>
      <c r="B1099" s="175"/>
      <c r="C1099" s="393"/>
      <c r="D1099" s="168"/>
      <c r="E1099" s="168"/>
      <c r="F1099" s="168"/>
      <c r="G1099" s="168"/>
      <c r="H1099" s="168"/>
      <c r="I1099" s="168"/>
      <c r="J1099" s="168"/>
      <c r="K1099" s="168"/>
      <c r="L1099" s="168"/>
      <c r="M1099" s="168"/>
      <c r="N1099" s="168"/>
      <c r="O1099" s="433"/>
      <c r="P1099" s="122"/>
      <c r="Q1099" s="156"/>
      <c r="R1099" s="156"/>
      <c r="S1099" s="156"/>
      <c r="T1099" s="156"/>
      <c r="U1099" s="156"/>
      <c r="V1099" s="156"/>
      <c r="W1099" s="156"/>
      <c r="X1099" s="156"/>
      <c r="Y1099" s="156"/>
      <c r="Z1099" s="157"/>
      <c r="AA1099" s="157"/>
      <c r="AB1099" s="156"/>
      <c r="AC1099" s="156"/>
      <c r="AD1099" s="156"/>
      <c r="AE1099" s="156"/>
      <c r="AF1099" s="156"/>
      <c r="AG1099" s="156"/>
      <c r="AH1099" s="156"/>
      <c r="AI1099" s="156"/>
      <c r="AJ1099" s="156"/>
      <c r="AK1099" s="156"/>
      <c r="AL1099" s="156"/>
      <c r="AM1099" s="158"/>
      <c r="AN1099" s="156"/>
      <c r="AO1099" s="156"/>
      <c r="AP1099" s="156"/>
      <c r="AQ1099" s="156"/>
      <c r="AR1099" s="156"/>
      <c r="AS1099" s="156"/>
      <c r="AT1099" s="156"/>
      <c r="AU1099" s="156"/>
      <c r="AV1099" s="156"/>
      <c r="AW1099" s="156"/>
      <c r="AX1099" s="156"/>
      <c r="AY1099" s="156"/>
      <c r="AZ1099" s="156"/>
      <c r="BA1099" s="153"/>
      <c r="BD1099" s="153"/>
      <c r="BE1099" s="147"/>
      <c r="BI1099" s="153"/>
      <c r="BO1099" s="153"/>
      <c r="BW1099" s="153"/>
      <c r="CD1099" s="146"/>
      <c r="CF1099" s="147"/>
      <c r="CI1099" s="146"/>
      <c r="CJ1099" s="153"/>
      <c r="CV1099" s="154"/>
      <c r="CX1099" s="154"/>
      <c r="CZ1099" s="154"/>
      <c r="DB1099" s="154"/>
      <c r="DD1099" s="154"/>
      <c r="DH1099" s="474"/>
      <c r="DI1099" s="459"/>
      <c r="DJ1099" s="459"/>
      <c r="DK1099" s="459"/>
      <c r="DL1099" s="459"/>
      <c r="DM1099" s="459"/>
      <c r="DN1099" s="459"/>
      <c r="DO1099" s="459"/>
      <c r="DP1099" s="459"/>
      <c r="DQ1099" s="459"/>
      <c r="DR1099" s="459"/>
      <c r="DS1099" s="459"/>
      <c r="DT1099" s="459"/>
      <c r="DU1099" s="459"/>
      <c r="DV1099" s="468"/>
      <c r="DW1099" s="468"/>
      <c r="DX1099" s="459"/>
      <c r="DY1099" s="459"/>
    </row>
    <row r="1100" spans="1:129" s="128" customFormat="1" ht="54.95" customHeight="1" x14ac:dyDescent="0.25">
      <c r="A1100" s="377"/>
      <c r="B1100" s="175"/>
      <c r="C1100" s="393"/>
      <c r="D1100" s="168"/>
      <c r="E1100" s="168"/>
      <c r="F1100" s="168"/>
      <c r="G1100" s="168"/>
      <c r="H1100" s="168"/>
      <c r="I1100" s="168"/>
      <c r="J1100" s="168"/>
      <c r="K1100" s="168"/>
      <c r="L1100" s="168"/>
      <c r="M1100" s="168"/>
      <c r="N1100" s="168"/>
      <c r="O1100" s="433"/>
      <c r="P1100" s="122"/>
      <c r="Q1100" s="156"/>
      <c r="R1100" s="156"/>
      <c r="S1100" s="156"/>
      <c r="T1100" s="156"/>
      <c r="U1100" s="156"/>
      <c r="V1100" s="156"/>
      <c r="W1100" s="156"/>
      <c r="X1100" s="156"/>
      <c r="Y1100" s="156"/>
      <c r="Z1100" s="157"/>
      <c r="AA1100" s="157"/>
      <c r="AB1100" s="156"/>
      <c r="AC1100" s="156"/>
      <c r="AD1100" s="156"/>
      <c r="AE1100" s="156"/>
      <c r="AF1100" s="156"/>
      <c r="AG1100" s="156"/>
      <c r="AH1100" s="156"/>
      <c r="AI1100" s="156"/>
      <c r="AJ1100" s="156"/>
      <c r="AK1100" s="156"/>
      <c r="AL1100" s="156"/>
      <c r="AM1100" s="158"/>
      <c r="AN1100" s="156"/>
      <c r="AO1100" s="156"/>
      <c r="AP1100" s="156"/>
      <c r="AQ1100" s="156"/>
      <c r="AR1100" s="156"/>
      <c r="AS1100" s="156"/>
      <c r="AT1100" s="156"/>
      <c r="AU1100" s="156"/>
      <c r="AV1100" s="156"/>
      <c r="AW1100" s="156"/>
      <c r="AX1100" s="156"/>
      <c r="AY1100" s="156"/>
      <c r="AZ1100" s="156"/>
      <c r="BA1100" s="153"/>
      <c r="BD1100" s="153"/>
      <c r="BE1100" s="147"/>
      <c r="BI1100" s="153"/>
      <c r="BO1100" s="153"/>
      <c r="BW1100" s="153"/>
      <c r="CD1100" s="146"/>
      <c r="CF1100" s="147"/>
      <c r="CI1100" s="146"/>
      <c r="CJ1100" s="153"/>
      <c r="CV1100" s="154"/>
      <c r="CX1100" s="154"/>
      <c r="CZ1100" s="154"/>
      <c r="DB1100" s="154"/>
      <c r="DD1100" s="154"/>
      <c r="DH1100" s="474"/>
      <c r="DI1100" s="459"/>
      <c r="DJ1100" s="459"/>
      <c r="DK1100" s="459"/>
      <c r="DL1100" s="459"/>
      <c r="DM1100" s="459"/>
      <c r="DN1100" s="459"/>
      <c r="DO1100" s="459"/>
      <c r="DP1100" s="459"/>
      <c r="DQ1100" s="459"/>
      <c r="DR1100" s="459"/>
      <c r="DS1100" s="459"/>
      <c r="DT1100" s="459"/>
      <c r="DU1100" s="459"/>
      <c r="DV1100" s="468"/>
      <c r="DW1100" s="468"/>
      <c r="DX1100" s="459"/>
      <c r="DY1100" s="459"/>
    </row>
    <row r="1101" spans="1:129" s="128" customFormat="1" ht="54.95" customHeight="1" x14ac:dyDescent="0.25">
      <c r="A1101" s="377"/>
      <c r="B1101" s="175"/>
      <c r="C1101" s="393"/>
      <c r="D1101" s="168"/>
      <c r="E1101" s="168"/>
      <c r="F1101" s="168"/>
      <c r="G1101" s="168"/>
      <c r="H1101" s="168"/>
      <c r="I1101" s="168"/>
      <c r="J1101" s="168"/>
      <c r="K1101" s="168"/>
      <c r="L1101" s="168"/>
      <c r="M1101" s="168"/>
      <c r="N1101" s="168"/>
      <c r="O1101" s="433"/>
      <c r="P1101" s="122"/>
      <c r="Q1101" s="156"/>
      <c r="R1101" s="156"/>
      <c r="S1101" s="156"/>
      <c r="T1101" s="156"/>
      <c r="U1101" s="156"/>
      <c r="V1101" s="156"/>
      <c r="W1101" s="156"/>
      <c r="X1101" s="156"/>
      <c r="Y1101" s="156"/>
      <c r="Z1101" s="157"/>
      <c r="AA1101" s="157"/>
      <c r="AB1101" s="156"/>
      <c r="AC1101" s="156"/>
      <c r="AD1101" s="156"/>
      <c r="AE1101" s="156"/>
      <c r="AF1101" s="156"/>
      <c r="AG1101" s="156"/>
      <c r="AH1101" s="156"/>
      <c r="AI1101" s="156"/>
      <c r="AJ1101" s="156"/>
      <c r="AK1101" s="156"/>
      <c r="AL1101" s="156"/>
      <c r="AM1101" s="158"/>
      <c r="AN1101" s="156"/>
      <c r="AO1101" s="156"/>
      <c r="AP1101" s="156"/>
      <c r="AQ1101" s="156"/>
      <c r="AR1101" s="156"/>
      <c r="AS1101" s="156"/>
      <c r="AT1101" s="156"/>
      <c r="AU1101" s="156"/>
      <c r="AV1101" s="156"/>
      <c r="AW1101" s="156"/>
      <c r="AX1101" s="156"/>
      <c r="AY1101" s="156"/>
      <c r="AZ1101" s="156"/>
      <c r="BA1101" s="153"/>
      <c r="BD1101" s="153"/>
      <c r="BE1101" s="147"/>
      <c r="BI1101" s="153"/>
      <c r="BO1101" s="153"/>
      <c r="BW1101" s="153"/>
      <c r="CD1101" s="146"/>
      <c r="CF1101" s="147"/>
      <c r="CI1101" s="146"/>
      <c r="CJ1101" s="153"/>
      <c r="CV1101" s="154"/>
      <c r="CX1101" s="154"/>
      <c r="CZ1101" s="154"/>
      <c r="DB1101" s="154"/>
      <c r="DD1101" s="154"/>
      <c r="DH1101" s="474"/>
      <c r="DI1101" s="459"/>
      <c r="DJ1101" s="459"/>
      <c r="DK1101" s="459"/>
      <c r="DL1101" s="459"/>
      <c r="DM1101" s="459"/>
      <c r="DN1101" s="459"/>
      <c r="DO1101" s="459"/>
      <c r="DP1101" s="459"/>
      <c r="DQ1101" s="459"/>
      <c r="DR1101" s="459"/>
      <c r="DS1101" s="459"/>
      <c r="DT1101" s="459"/>
      <c r="DU1101" s="459"/>
      <c r="DV1101" s="468"/>
      <c r="DW1101" s="468"/>
      <c r="DX1101" s="459"/>
      <c r="DY1101" s="459"/>
    </row>
    <row r="1102" spans="1:129" s="128" customFormat="1" ht="54.95" customHeight="1" x14ac:dyDescent="0.25">
      <c r="A1102" s="377"/>
      <c r="B1102" s="175"/>
      <c r="C1102" s="393"/>
      <c r="D1102" s="168"/>
      <c r="E1102" s="168"/>
      <c r="F1102" s="168"/>
      <c r="G1102" s="168"/>
      <c r="H1102" s="168"/>
      <c r="I1102" s="168"/>
      <c r="J1102" s="168"/>
      <c r="K1102" s="168"/>
      <c r="L1102" s="168"/>
      <c r="M1102" s="168"/>
      <c r="N1102" s="168"/>
      <c r="O1102" s="433"/>
      <c r="P1102" s="122"/>
      <c r="Q1102" s="156"/>
      <c r="R1102" s="156"/>
      <c r="S1102" s="156"/>
      <c r="T1102" s="156"/>
      <c r="U1102" s="156"/>
      <c r="V1102" s="156"/>
      <c r="W1102" s="156"/>
      <c r="X1102" s="156"/>
      <c r="Y1102" s="156"/>
      <c r="Z1102" s="157"/>
      <c r="AA1102" s="157"/>
      <c r="AB1102" s="156"/>
      <c r="AC1102" s="156"/>
      <c r="AD1102" s="156"/>
      <c r="AE1102" s="156"/>
      <c r="AF1102" s="156"/>
      <c r="AG1102" s="156"/>
      <c r="AH1102" s="156"/>
      <c r="AI1102" s="156"/>
      <c r="AJ1102" s="156"/>
      <c r="AK1102" s="156"/>
      <c r="AL1102" s="156"/>
      <c r="AM1102" s="158"/>
      <c r="AN1102" s="156"/>
      <c r="AO1102" s="156"/>
      <c r="AP1102" s="156"/>
      <c r="AQ1102" s="156"/>
      <c r="AR1102" s="156"/>
      <c r="AS1102" s="156"/>
      <c r="AT1102" s="156"/>
      <c r="AU1102" s="156"/>
      <c r="AV1102" s="156"/>
      <c r="AW1102" s="156"/>
      <c r="AX1102" s="156"/>
      <c r="AY1102" s="156"/>
      <c r="AZ1102" s="156"/>
      <c r="BA1102" s="153"/>
      <c r="BD1102" s="153"/>
      <c r="BE1102" s="147"/>
      <c r="BI1102" s="153"/>
      <c r="BO1102" s="153"/>
      <c r="BW1102" s="153"/>
      <c r="CD1102" s="146"/>
      <c r="CF1102" s="147"/>
      <c r="CI1102" s="146"/>
      <c r="CJ1102" s="153"/>
      <c r="CV1102" s="154"/>
      <c r="CX1102" s="154"/>
      <c r="CZ1102" s="154"/>
      <c r="DB1102" s="154"/>
      <c r="DD1102" s="154"/>
      <c r="DH1102" s="474"/>
      <c r="DI1102" s="459"/>
      <c r="DJ1102" s="459"/>
      <c r="DK1102" s="459"/>
      <c r="DL1102" s="459"/>
      <c r="DM1102" s="459"/>
      <c r="DN1102" s="459"/>
      <c r="DO1102" s="459"/>
      <c r="DP1102" s="459"/>
      <c r="DQ1102" s="459"/>
      <c r="DR1102" s="459"/>
      <c r="DS1102" s="459"/>
      <c r="DT1102" s="459"/>
      <c r="DU1102" s="459"/>
      <c r="DV1102" s="468"/>
      <c r="DW1102" s="468"/>
      <c r="DX1102" s="459"/>
      <c r="DY1102" s="459"/>
    </row>
    <row r="1103" spans="1:129" s="128" customFormat="1" ht="54.95" customHeight="1" x14ac:dyDescent="0.25">
      <c r="A1103" s="377"/>
      <c r="B1103" s="175"/>
      <c r="C1103" s="393"/>
      <c r="D1103" s="168"/>
      <c r="E1103" s="168"/>
      <c r="F1103" s="168"/>
      <c r="G1103" s="168"/>
      <c r="H1103" s="168"/>
      <c r="I1103" s="168"/>
      <c r="J1103" s="168"/>
      <c r="K1103" s="168"/>
      <c r="L1103" s="168"/>
      <c r="M1103" s="168"/>
      <c r="N1103" s="168"/>
      <c r="O1103" s="433"/>
      <c r="P1103" s="122"/>
      <c r="Q1103" s="156"/>
      <c r="R1103" s="156"/>
      <c r="S1103" s="156"/>
      <c r="T1103" s="156"/>
      <c r="U1103" s="156"/>
      <c r="V1103" s="156"/>
      <c r="W1103" s="156"/>
      <c r="X1103" s="156"/>
      <c r="Y1103" s="156"/>
      <c r="Z1103" s="157"/>
      <c r="AA1103" s="157"/>
      <c r="AB1103" s="156"/>
      <c r="AC1103" s="156"/>
      <c r="AD1103" s="156"/>
      <c r="AE1103" s="156"/>
      <c r="AF1103" s="156"/>
      <c r="AG1103" s="156"/>
      <c r="AH1103" s="156"/>
      <c r="AI1103" s="156"/>
      <c r="AJ1103" s="156"/>
      <c r="AK1103" s="156"/>
      <c r="AL1103" s="156"/>
      <c r="AM1103" s="158"/>
      <c r="AN1103" s="156"/>
      <c r="AO1103" s="156"/>
      <c r="AP1103" s="156"/>
      <c r="AQ1103" s="156"/>
      <c r="AR1103" s="156"/>
      <c r="AS1103" s="156"/>
      <c r="AT1103" s="156"/>
      <c r="AU1103" s="156"/>
      <c r="AV1103" s="156"/>
      <c r="AW1103" s="156"/>
      <c r="AX1103" s="156"/>
      <c r="AY1103" s="156"/>
      <c r="AZ1103" s="156"/>
      <c r="BA1103" s="153"/>
      <c r="BD1103" s="153"/>
      <c r="BE1103" s="147"/>
      <c r="BI1103" s="153"/>
      <c r="BO1103" s="153"/>
      <c r="BW1103" s="153"/>
      <c r="CD1103" s="146"/>
      <c r="CF1103" s="147"/>
      <c r="CI1103" s="146"/>
      <c r="CJ1103" s="153"/>
      <c r="CV1103" s="154"/>
      <c r="CX1103" s="154"/>
      <c r="CZ1103" s="154"/>
      <c r="DB1103" s="154"/>
      <c r="DD1103" s="154"/>
      <c r="DH1103" s="474"/>
      <c r="DI1103" s="459"/>
      <c r="DJ1103" s="459"/>
      <c r="DK1103" s="459"/>
      <c r="DL1103" s="459"/>
      <c r="DM1103" s="459"/>
      <c r="DN1103" s="459"/>
      <c r="DO1103" s="459"/>
      <c r="DP1103" s="459"/>
      <c r="DQ1103" s="459"/>
      <c r="DR1103" s="459"/>
      <c r="DS1103" s="459"/>
      <c r="DT1103" s="459"/>
      <c r="DU1103" s="459"/>
      <c r="DV1103" s="468"/>
      <c r="DW1103" s="468"/>
      <c r="DX1103" s="459"/>
      <c r="DY1103" s="459"/>
    </row>
    <row r="1104" spans="1:129" s="128" customFormat="1" ht="54.95" customHeight="1" x14ac:dyDescent="0.25">
      <c r="A1104" s="377"/>
      <c r="B1104" s="175"/>
      <c r="C1104" s="393"/>
      <c r="D1104" s="168"/>
      <c r="E1104" s="168"/>
      <c r="F1104" s="168"/>
      <c r="G1104" s="168"/>
      <c r="H1104" s="168"/>
      <c r="I1104" s="168"/>
      <c r="J1104" s="168"/>
      <c r="K1104" s="168"/>
      <c r="L1104" s="168"/>
      <c r="M1104" s="168"/>
      <c r="N1104" s="168"/>
      <c r="O1104" s="433"/>
      <c r="P1104" s="122"/>
      <c r="Q1104" s="156"/>
      <c r="R1104" s="156"/>
      <c r="S1104" s="156"/>
      <c r="T1104" s="156"/>
      <c r="U1104" s="156"/>
      <c r="V1104" s="156"/>
      <c r="W1104" s="156"/>
      <c r="X1104" s="156"/>
      <c r="Y1104" s="156"/>
      <c r="Z1104" s="157"/>
      <c r="AA1104" s="157"/>
      <c r="AB1104" s="156"/>
      <c r="AC1104" s="156"/>
      <c r="AD1104" s="156"/>
      <c r="AE1104" s="156"/>
      <c r="AF1104" s="156"/>
      <c r="AG1104" s="156"/>
      <c r="AH1104" s="156"/>
      <c r="AI1104" s="156"/>
      <c r="AJ1104" s="156"/>
      <c r="AK1104" s="156"/>
      <c r="AL1104" s="156"/>
      <c r="AM1104" s="158"/>
      <c r="AN1104" s="156"/>
      <c r="AO1104" s="156"/>
      <c r="AP1104" s="156"/>
      <c r="AQ1104" s="156"/>
      <c r="AR1104" s="156"/>
      <c r="AS1104" s="156"/>
      <c r="AT1104" s="156"/>
      <c r="AU1104" s="156"/>
      <c r="AV1104" s="156"/>
      <c r="AW1104" s="156"/>
      <c r="AX1104" s="156"/>
      <c r="AY1104" s="156"/>
      <c r="AZ1104" s="156"/>
      <c r="BA1104" s="153"/>
      <c r="BD1104" s="153"/>
      <c r="BE1104" s="147"/>
      <c r="BI1104" s="153"/>
      <c r="BO1104" s="153"/>
      <c r="BW1104" s="153"/>
      <c r="CD1104" s="146"/>
      <c r="CF1104" s="147"/>
      <c r="CI1104" s="146"/>
      <c r="CJ1104" s="153"/>
      <c r="CV1104" s="154"/>
      <c r="CX1104" s="154"/>
      <c r="CZ1104" s="154"/>
      <c r="DB1104" s="154"/>
      <c r="DD1104" s="154"/>
      <c r="DH1104" s="474"/>
      <c r="DI1104" s="459"/>
      <c r="DJ1104" s="459"/>
      <c r="DK1104" s="459"/>
      <c r="DL1104" s="459"/>
      <c r="DM1104" s="459"/>
      <c r="DN1104" s="459"/>
      <c r="DO1104" s="459"/>
      <c r="DP1104" s="459"/>
      <c r="DQ1104" s="459"/>
      <c r="DR1104" s="459"/>
      <c r="DS1104" s="459"/>
      <c r="DT1104" s="459"/>
      <c r="DU1104" s="459"/>
      <c r="DV1104" s="468"/>
      <c r="DW1104" s="468"/>
      <c r="DX1104" s="459"/>
      <c r="DY1104" s="459"/>
    </row>
    <row r="1105" spans="1:129" s="128" customFormat="1" ht="54.95" customHeight="1" x14ac:dyDescent="0.25">
      <c r="A1105" s="377"/>
      <c r="B1105" s="175"/>
      <c r="C1105" s="393"/>
      <c r="D1105" s="168"/>
      <c r="E1105" s="168"/>
      <c r="F1105" s="168"/>
      <c r="G1105" s="168"/>
      <c r="H1105" s="168"/>
      <c r="I1105" s="168"/>
      <c r="J1105" s="168"/>
      <c r="K1105" s="168"/>
      <c r="L1105" s="168"/>
      <c r="M1105" s="168"/>
      <c r="N1105" s="168"/>
      <c r="O1105" s="433"/>
      <c r="P1105" s="122"/>
      <c r="Q1105" s="156"/>
      <c r="R1105" s="156"/>
      <c r="S1105" s="156"/>
      <c r="T1105" s="156"/>
      <c r="U1105" s="156"/>
      <c r="V1105" s="156"/>
      <c r="W1105" s="156"/>
      <c r="X1105" s="156"/>
      <c r="Y1105" s="156"/>
      <c r="Z1105" s="157"/>
      <c r="AA1105" s="157"/>
      <c r="AB1105" s="156"/>
      <c r="AC1105" s="156"/>
      <c r="AD1105" s="156"/>
      <c r="AE1105" s="156"/>
      <c r="AF1105" s="156"/>
      <c r="AG1105" s="156"/>
      <c r="AH1105" s="156"/>
      <c r="AI1105" s="156"/>
      <c r="AJ1105" s="156"/>
      <c r="AK1105" s="156"/>
      <c r="AL1105" s="156"/>
      <c r="AM1105" s="158"/>
      <c r="AN1105" s="156"/>
      <c r="AO1105" s="156"/>
      <c r="AP1105" s="156"/>
      <c r="AQ1105" s="156"/>
      <c r="AR1105" s="156"/>
      <c r="AS1105" s="156"/>
      <c r="AT1105" s="156"/>
      <c r="AU1105" s="156"/>
      <c r="AV1105" s="156"/>
      <c r="AW1105" s="156"/>
      <c r="AX1105" s="156"/>
      <c r="AY1105" s="156"/>
      <c r="AZ1105" s="156"/>
      <c r="BA1105" s="153"/>
      <c r="BD1105" s="153"/>
      <c r="BE1105" s="147"/>
      <c r="BI1105" s="153"/>
      <c r="BO1105" s="153"/>
      <c r="BW1105" s="153"/>
      <c r="CD1105" s="146"/>
      <c r="CF1105" s="147"/>
      <c r="CI1105" s="146"/>
      <c r="CJ1105" s="153"/>
      <c r="CV1105" s="154"/>
      <c r="CX1105" s="154"/>
      <c r="CZ1105" s="154"/>
      <c r="DB1105" s="154"/>
      <c r="DD1105" s="154"/>
      <c r="DH1105" s="474"/>
      <c r="DI1105" s="459"/>
      <c r="DJ1105" s="459"/>
      <c r="DK1105" s="459"/>
      <c r="DL1105" s="459"/>
      <c r="DM1105" s="459"/>
      <c r="DN1105" s="459"/>
      <c r="DO1105" s="459"/>
      <c r="DP1105" s="459"/>
      <c r="DQ1105" s="459"/>
      <c r="DR1105" s="459"/>
      <c r="DS1105" s="459"/>
      <c r="DT1105" s="459"/>
      <c r="DU1105" s="459"/>
      <c r="DV1105" s="468"/>
      <c r="DW1105" s="468"/>
      <c r="DX1105" s="459"/>
      <c r="DY1105" s="459"/>
    </row>
    <row r="1106" spans="1:129" s="128" customFormat="1" ht="54.95" customHeight="1" x14ac:dyDescent="0.25">
      <c r="A1106" s="377"/>
      <c r="B1106" s="175"/>
      <c r="C1106" s="393"/>
      <c r="D1106" s="168"/>
      <c r="E1106" s="168"/>
      <c r="F1106" s="168"/>
      <c r="G1106" s="168"/>
      <c r="H1106" s="168"/>
      <c r="I1106" s="168"/>
      <c r="J1106" s="168"/>
      <c r="K1106" s="168"/>
      <c r="L1106" s="168"/>
      <c r="M1106" s="168"/>
      <c r="N1106" s="168"/>
      <c r="O1106" s="433"/>
      <c r="P1106" s="122"/>
      <c r="Q1106" s="156"/>
      <c r="R1106" s="156"/>
      <c r="S1106" s="156"/>
      <c r="T1106" s="156"/>
      <c r="U1106" s="156"/>
      <c r="V1106" s="156"/>
      <c r="W1106" s="156"/>
      <c r="X1106" s="156"/>
      <c r="Y1106" s="156"/>
      <c r="Z1106" s="157"/>
      <c r="AA1106" s="157"/>
      <c r="AB1106" s="156"/>
      <c r="AC1106" s="156"/>
      <c r="AD1106" s="156"/>
      <c r="AE1106" s="156"/>
      <c r="AF1106" s="156"/>
      <c r="AG1106" s="156"/>
      <c r="AH1106" s="156"/>
      <c r="AI1106" s="156"/>
      <c r="AJ1106" s="156"/>
      <c r="AK1106" s="156"/>
      <c r="AL1106" s="156"/>
      <c r="AM1106" s="158"/>
      <c r="AN1106" s="156"/>
      <c r="AO1106" s="156"/>
      <c r="AP1106" s="156"/>
      <c r="AQ1106" s="156"/>
      <c r="AR1106" s="156"/>
      <c r="AS1106" s="156"/>
      <c r="AT1106" s="156"/>
      <c r="AU1106" s="156"/>
      <c r="AV1106" s="156"/>
      <c r="AW1106" s="156"/>
      <c r="AX1106" s="156"/>
      <c r="AY1106" s="156"/>
      <c r="AZ1106" s="156"/>
      <c r="BA1106" s="153"/>
      <c r="BD1106" s="153"/>
      <c r="BE1106" s="147"/>
      <c r="BI1106" s="153"/>
      <c r="BO1106" s="153"/>
      <c r="BW1106" s="153"/>
      <c r="CD1106" s="146"/>
      <c r="CF1106" s="147"/>
      <c r="CI1106" s="146"/>
      <c r="CJ1106" s="153"/>
      <c r="CV1106" s="154"/>
      <c r="CX1106" s="154"/>
      <c r="CZ1106" s="154"/>
      <c r="DB1106" s="154"/>
      <c r="DD1106" s="154"/>
      <c r="DH1106" s="474"/>
      <c r="DI1106" s="459"/>
      <c r="DJ1106" s="459"/>
      <c r="DK1106" s="459"/>
      <c r="DL1106" s="459"/>
      <c r="DM1106" s="459"/>
      <c r="DN1106" s="459"/>
      <c r="DO1106" s="459"/>
      <c r="DP1106" s="459"/>
      <c r="DQ1106" s="459"/>
      <c r="DR1106" s="459"/>
      <c r="DS1106" s="459"/>
      <c r="DT1106" s="459"/>
      <c r="DU1106" s="459"/>
      <c r="DV1106" s="468"/>
      <c r="DW1106" s="468"/>
      <c r="DX1106" s="459"/>
      <c r="DY1106" s="459"/>
    </row>
    <row r="1107" spans="1:129" s="128" customFormat="1" ht="54.95" customHeight="1" x14ac:dyDescent="0.25">
      <c r="A1107" s="377"/>
      <c r="B1107" s="175"/>
      <c r="C1107" s="393"/>
      <c r="D1107" s="168"/>
      <c r="E1107" s="168"/>
      <c r="F1107" s="168"/>
      <c r="G1107" s="168"/>
      <c r="H1107" s="168"/>
      <c r="I1107" s="168"/>
      <c r="J1107" s="168"/>
      <c r="K1107" s="168"/>
      <c r="L1107" s="168"/>
      <c r="M1107" s="168"/>
      <c r="N1107" s="168"/>
      <c r="O1107" s="433"/>
      <c r="P1107" s="122"/>
      <c r="Q1107" s="156"/>
      <c r="R1107" s="156"/>
      <c r="S1107" s="156"/>
      <c r="T1107" s="156"/>
      <c r="U1107" s="156"/>
      <c r="V1107" s="156"/>
      <c r="W1107" s="156"/>
      <c r="X1107" s="156"/>
      <c r="Y1107" s="156"/>
      <c r="Z1107" s="157"/>
      <c r="AA1107" s="157"/>
      <c r="AB1107" s="156"/>
      <c r="AC1107" s="156"/>
      <c r="AD1107" s="156"/>
      <c r="AE1107" s="156"/>
      <c r="AF1107" s="156"/>
      <c r="AG1107" s="156"/>
      <c r="AH1107" s="156"/>
      <c r="AI1107" s="156"/>
      <c r="AJ1107" s="156"/>
      <c r="AK1107" s="156"/>
      <c r="AL1107" s="156"/>
      <c r="AM1107" s="158"/>
      <c r="AN1107" s="156"/>
      <c r="AO1107" s="156"/>
      <c r="AP1107" s="156"/>
      <c r="AQ1107" s="156"/>
      <c r="AR1107" s="156"/>
      <c r="AS1107" s="156"/>
      <c r="AT1107" s="156"/>
      <c r="AU1107" s="156"/>
      <c r="AV1107" s="156"/>
      <c r="AW1107" s="156"/>
      <c r="AX1107" s="156"/>
      <c r="AY1107" s="156"/>
      <c r="AZ1107" s="156"/>
      <c r="BA1107" s="153"/>
      <c r="BD1107" s="153"/>
      <c r="BE1107" s="147"/>
      <c r="BI1107" s="153"/>
      <c r="BO1107" s="153"/>
      <c r="BW1107" s="153"/>
      <c r="CD1107" s="146"/>
      <c r="CF1107" s="147"/>
      <c r="CI1107" s="146"/>
      <c r="CJ1107" s="153"/>
      <c r="CV1107" s="154"/>
      <c r="CX1107" s="154"/>
      <c r="CZ1107" s="154"/>
      <c r="DB1107" s="154"/>
      <c r="DD1107" s="154"/>
      <c r="DH1107" s="474"/>
      <c r="DI1107" s="459"/>
      <c r="DJ1107" s="459"/>
      <c r="DK1107" s="459"/>
      <c r="DL1107" s="459"/>
      <c r="DM1107" s="459"/>
      <c r="DN1107" s="459"/>
      <c r="DO1107" s="459"/>
      <c r="DP1107" s="459"/>
      <c r="DQ1107" s="459"/>
      <c r="DR1107" s="459"/>
      <c r="DS1107" s="459"/>
      <c r="DT1107" s="459"/>
      <c r="DU1107" s="459"/>
      <c r="DV1107" s="468"/>
      <c r="DW1107" s="468"/>
      <c r="DX1107" s="459"/>
      <c r="DY1107" s="459"/>
    </row>
    <row r="1108" spans="1:129" s="128" customFormat="1" ht="54.95" customHeight="1" x14ac:dyDescent="0.25">
      <c r="A1108" s="377"/>
      <c r="B1108" s="175"/>
      <c r="C1108" s="393"/>
      <c r="D1108" s="168"/>
      <c r="E1108" s="168"/>
      <c r="F1108" s="168"/>
      <c r="G1108" s="168"/>
      <c r="H1108" s="168"/>
      <c r="I1108" s="168"/>
      <c r="J1108" s="168"/>
      <c r="K1108" s="168"/>
      <c r="L1108" s="168"/>
      <c r="M1108" s="168"/>
      <c r="N1108" s="168"/>
      <c r="O1108" s="433"/>
      <c r="P1108" s="122"/>
      <c r="Q1108" s="156"/>
      <c r="R1108" s="156"/>
      <c r="S1108" s="156"/>
      <c r="T1108" s="156"/>
      <c r="U1108" s="156"/>
      <c r="V1108" s="156"/>
      <c r="W1108" s="156"/>
      <c r="X1108" s="156"/>
      <c r="Y1108" s="156"/>
      <c r="Z1108" s="157"/>
      <c r="AA1108" s="157"/>
      <c r="AB1108" s="156"/>
      <c r="AC1108" s="156"/>
      <c r="AD1108" s="156"/>
      <c r="AE1108" s="156"/>
      <c r="AF1108" s="156"/>
      <c r="AG1108" s="156"/>
      <c r="AH1108" s="156"/>
      <c r="AI1108" s="156"/>
      <c r="AJ1108" s="156"/>
      <c r="AK1108" s="156"/>
      <c r="AL1108" s="156"/>
      <c r="AM1108" s="158"/>
      <c r="AN1108" s="156"/>
      <c r="AO1108" s="156"/>
      <c r="AP1108" s="156"/>
      <c r="AQ1108" s="156"/>
      <c r="AR1108" s="156"/>
      <c r="AS1108" s="156"/>
      <c r="AT1108" s="156"/>
      <c r="AU1108" s="156"/>
      <c r="AV1108" s="156"/>
      <c r="AW1108" s="156"/>
      <c r="AX1108" s="156"/>
      <c r="AY1108" s="156"/>
      <c r="AZ1108" s="156"/>
      <c r="BA1108" s="153"/>
      <c r="BD1108" s="153"/>
      <c r="BE1108" s="147"/>
      <c r="BI1108" s="153"/>
      <c r="BO1108" s="153"/>
      <c r="BW1108" s="153"/>
      <c r="CD1108" s="146"/>
      <c r="CF1108" s="147"/>
      <c r="CI1108" s="146"/>
      <c r="CJ1108" s="153"/>
      <c r="CV1108" s="154"/>
      <c r="CX1108" s="154"/>
      <c r="CZ1108" s="154"/>
      <c r="DB1108" s="154"/>
      <c r="DD1108" s="154"/>
      <c r="DH1108" s="474"/>
      <c r="DI1108" s="459"/>
      <c r="DJ1108" s="459"/>
      <c r="DK1108" s="459"/>
      <c r="DL1108" s="459"/>
      <c r="DM1108" s="459"/>
      <c r="DN1108" s="459"/>
      <c r="DO1108" s="459"/>
      <c r="DP1108" s="459"/>
      <c r="DQ1108" s="459"/>
      <c r="DR1108" s="459"/>
      <c r="DS1108" s="459"/>
      <c r="DT1108" s="459"/>
      <c r="DU1108" s="459"/>
      <c r="DV1108" s="468"/>
      <c r="DW1108" s="468"/>
      <c r="DX1108" s="459"/>
      <c r="DY1108" s="459"/>
    </row>
    <row r="1109" spans="1:129" s="128" customFormat="1" ht="54.95" customHeight="1" x14ac:dyDescent="0.25">
      <c r="A1109" s="377"/>
      <c r="B1109" s="175"/>
      <c r="C1109" s="393"/>
      <c r="D1109" s="168"/>
      <c r="E1109" s="168"/>
      <c r="F1109" s="168"/>
      <c r="G1109" s="168"/>
      <c r="H1109" s="168"/>
      <c r="I1109" s="168"/>
      <c r="J1109" s="168"/>
      <c r="K1109" s="168"/>
      <c r="L1109" s="168"/>
      <c r="M1109" s="168"/>
      <c r="N1109" s="168"/>
      <c r="O1109" s="433"/>
      <c r="P1109" s="122"/>
      <c r="Q1109" s="156"/>
      <c r="R1109" s="156"/>
      <c r="S1109" s="156"/>
      <c r="T1109" s="156"/>
      <c r="U1109" s="156"/>
      <c r="V1109" s="156"/>
      <c r="W1109" s="156"/>
      <c r="X1109" s="156"/>
      <c r="Y1109" s="156"/>
      <c r="Z1109" s="157"/>
      <c r="AA1109" s="157"/>
      <c r="AB1109" s="156"/>
      <c r="AC1109" s="156"/>
      <c r="AD1109" s="156"/>
      <c r="AE1109" s="156"/>
      <c r="AF1109" s="156"/>
      <c r="AG1109" s="156"/>
      <c r="AH1109" s="156"/>
      <c r="AI1109" s="156"/>
      <c r="AJ1109" s="156"/>
      <c r="AK1109" s="156"/>
      <c r="AL1109" s="156"/>
      <c r="AM1109" s="158"/>
      <c r="AN1109" s="156"/>
      <c r="AO1109" s="156"/>
      <c r="AP1109" s="156"/>
      <c r="AQ1109" s="156"/>
      <c r="AR1109" s="156"/>
      <c r="AS1109" s="156"/>
      <c r="AT1109" s="156"/>
      <c r="AU1109" s="156"/>
      <c r="AV1109" s="156"/>
      <c r="AW1109" s="156"/>
      <c r="AX1109" s="156"/>
      <c r="AY1109" s="156"/>
      <c r="AZ1109" s="156"/>
      <c r="BA1109" s="153"/>
      <c r="BD1109" s="153"/>
      <c r="BE1109" s="147"/>
      <c r="BI1109" s="153"/>
      <c r="BO1109" s="153"/>
      <c r="BW1109" s="153"/>
      <c r="CD1109" s="146"/>
      <c r="CF1109" s="147"/>
      <c r="CI1109" s="146"/>
      <c r="CJ1109" s="153"/>
      <c r="CV1109" s="154"/>
      <c r="CX1109" s="154"/>
      <c r="CZ1109" s="154"/>
      <c r="DB1109" s="154"/>
      <c r="DD1109" s="154"/>
      <c r="DH1109" s="474"/>
      <c r="DI1109" s="459"/>
      <c r="DJ1109" s="459"/>
      <c r="DK1109" s="459"/>
      <c r="DL1109" s="459"/>
      <c r="DM1109" s="459"/>
      <c r="DN1109" s="459"/>
      <c r="DO1109" s="459"/>
      <c r="DP1109" s="459"/>
      <c r="DQ1109" s="459"/>
      <c r="DR1109" s="459"/>
      <c r="DS1109" s="459"/>
      <c r="DT1109" s="459"/>
      <c r="DU1109" s="459"/>
      <c r="DV1109" s="468"/>
      <c r="DW1109" s="468"/>
      <c r="DX1109" s="459"/>
      <c r="DY1109" s="459"/>
    </row>
    <row r="1110" spans="1:129" s="128" customFormat="1" ht="54.95" customHeight="1" x14ac:dyDescent="0.25">
      <c r="A1110" s="377"/>
      <c r="B1110" s="175"/>
      <c r="C1110" s="393"/>
      <c r="D1110" s="168"/>
      <c r="E1110" s="168"/>
      <c r="F1110" s="168"/>
      <c r="G1110" s="168"/>
      <c r="H1110" s="168"/>
      <c r="I1110" s="168"/>
      <c r="J1110" s="168"/>
      <c r="K1110" s="168"/>
      <c r="L1110" s="168"/>
      <c r="M1110" s="168"/>
      <c r="N1110" s="168"/>
      <c r="O1110" s="433"/>
      <c r="P1110" s="122"/>
      <c r="Q1110" s="156"/>
      <c r="R1110" s="156"/>
      <c r="S1110" s="156"/>
      <c r="T1110" s="156"/>
      <c r="U1110" s="156"/>
      <c r="V1110" s="156"/>
      <c r="W1110" s="156"/>
      <c r="X1110" s="156"/>
      <c r="Y1110" s="156"/>
      <c r="Z1110" s="157"/>
      <c r="AA1110" s="157"/>
      <c r="AB1110" s="156"/>
      <c r="AC1110" s="156"/>
      <c r="AD1110" s="156"/>
      <c r="AE1110" s="156"/>
      <c r="AF1110" s="156"/>
      <c r="AG1110" s="156"/>
      <c r="AH1110" s="156"/>
      <c r="AI1110" s="156"/>
      <c r="AJ1110" s="156"/>
      <c r="AK1110" s="156"/>
      <c r="AL1110" s="156"/>
      <c r="AM1110" s="158"/>
      <c r="AN1110" s="156"/>
      <c r="AO1110" s="156"/>
      <c r="AP1110" s="156"/>
      <c r="AQ1110" s="156"/>
      <c r="AR1110" s="156"/>
      <c r="AS1110" s="156"/>
      <c r="AT1110" s="156"/>
      <c r="AU1110" s="156"/>
      <c r="AV1110" s="156"/>
      <c r="AW1110" s="156"/>
      <c r="AX1110" s="156"/>
      <c r="AY1110" s="156"/>
      <c r="AZ1110" s="156"/>
      <c r="BA1110" s="153"/>
      <c r="BD1110" s="153"/>
      <c r="BE1110" s="147"/>
      <c r="BI1110" s="153"/>
      <c r="BO1110" s="153"/>
      <c r="BW1110" s="153"/>
      <c r="CD1110" s="146"/>
      <c r="CF1110" s="147"/>
      <c r="CI1110" s="146"/>
      <c r="CJ1110" s="153"/>
      <c r="CV1110" s="154"/>
      <c r="CX1110" s="154"/>
      <c r="CZ1110" s="154"/>
      <c r="DB1110" s="154"/>
      <c r="DD1110" s="154"/>
      <c r="DH1110" s="474"/>
      <c r="DI1110" s="459"/>
      <c r="DJ1110" s="459"/>
      <c r="DK1110" s="459"/>
      <c r="DL1110" s="459"/>
      <c r="DM1110" s="459"/>
      <c r="DN1110" s="459"/>
      <c r="DO1110" s="459"/>
      <c r="DP1110" s="459"/>
      <c r="DQ1110" s="459"/>
      <c r="DR1110" s="459"/>
      <c r="DS1110" s="459"/>
      <c r="DT1110" s="459"/>
      <c r="DU1110" s="459"/>
      <c r="DV1110" s="468"/>
      <c r="DW1110" s="468"/>
      <c r="DX1110" s="459"/>
      <c r="DY1110" s="459"/>
    </row>
    <row r="1111" spans="1:129" s="128" customFormat="1" ht="54.95" customHeight="1" x14ac:dyDescent="0.25">
      <c r="A1111" s="377"/>
      <c r="B1111" s="175"/>
      <c r="C1111" s="393"/>
      <c r="D1111" s="168"/>
      <c r="E1111" s="168"/>
      <c r="F1111" s="168"/>
      <c r="G1111" s="168"/>
      <c r="H1111" s="168"/>
      <c r="I1111" s="168"/>
      <c r="J1111" s="168"/>
      <c r="K1111" s="168"/>
      <c r="L1111" s="168"/>
      <c r="M1111" s="168"/>
      <c r="N1111" s="168"/>
      <c r="O1111" s="433"/>
      <c r="P1111" s="122"/>
      <c r="Q1111" s="156"/>
      <c r="R1111" s="156"/>
      <c r="S1111" s="156"/>
      <c r="T1111" s="156"/>
      <c r="U1111" s="156"/>
      <c r="V1111" s="156"/>
      <c r="W1111" s="156"/>
      <c r="X1111" s="156"/>
      <c r="Y1111" s="156"/>
      <c r="Z1111" s="157"/>
      <c r="AA1111" s="157"/>
      <c r="AB1111" s="156"/>
      <c r="AC1111" s="156"/>
      <c r="AD1111" s="156"/>
      <c r="AE1111" s="156"/>
      <c r="AF1111" s="156"/>
      <c r="AG1111" s="156"/>
      <c r="AH1111" s="156"/>
      <c r="AI1111" s="156"/>
      <c r="AJ1111" s="156"/>
      <c r="AK1111" s="156"/>
      <c r="AL1111" s="156"/>
      <c r="AM1111" s="158"/>
      <c r="AN1111" s="156"/>
      <c r="AO1111" s="156"/>
      <c r="AP1111" s="156"/>
      <c r="AQ1111" s="156"/>
      <c r="AR1111" s="156"/>
      <c r="AS1111" s="156"/>
      <c r="AT1111" s="156"/>
      <c r="AU1111" s="156"/>
      <c r="AV1111" s="156"/>
      <c r="AW1111" s="156"/>
      <c r="AX1111" s="156"/>
      <c r="AY1111" s="156"/>
      <c r="AZ1111" s="156"/>
      <c r="BA1111" s="153"/>
      <c r="BD1111" s="153"/>
      <c r="BE1111" s="147"/>
      <c r="BI1111" s="153"/>
      <c r="BO1111" s="153"/>
      <c r="BW1111" s="153"/>
      <c r="CD1111" s="146"/>
      <c r="CF1111" s="147"/>
      <c r="CI1111" s="146"/>
      <c r="CJ1111" s="153"/>
      <c r="CV1111" s="154"/>
      <c r="CX1111" s="154"/>
      <c r="CZ1111" s="154"/>
      <c r="DB1111" s="154"/>
      <c r="DD1111" s="154"/>
      <c r="DH1111" s="474"/>
      <c r="DI1111" s="459"/>
      <c r="DJ1111" s="459"/>
      <c r="DK1111" s="459"/>
      <c r="DL1111" s="459"/>
      <c r="DM1111" s="459"/>
      <c r="DN1111" s="459"/>
      <c r="DO1111" s="459"/>
      <c r="DP1111" s="459"/>
      <c r="DQ1111" s="459"/>
      <c r="DR1111" s="459"/>
      <c r="DS1111" s="459"/>
      <c r="DT1111" s="459"/>
      <c r="DU1111" s="459"/>
      <c r="DV1111" s="468"/>
      <c r="DW1111" s="468"/>
      <c r="DX1111" s="459"/>
      <c r="DY1111" s="459"/>
    </row>
    <row r="1112" spans="1:129" s="128" customFormat="1" ht="54.95" customHeight="1" x14ac:dyDescent="0.25">
      <c r="A1112" s="377"/>
      <c r="B1112" s="175"/>
      <c r="C1112" s="393"/>
      <c r="D1112" s="168"/>
      <c r="E1112" s="168"/>
      <c r="F1112" s="168"/>
      <c r="G1112" s="168"/>
      <c r="H1112" s="168"/>
      <c r="I1112" s="168"/>
      <c r="J1112" s="168"/>
      <c r="K1112" s="168"/>
      <c r="L1112" s="168"/>
      <c r="M1112" s="168"/>
      <c r="N1112" s="168"/>
      <c r="O1112" s="433"/>
      <c r="P1112" s="122"/>
      <c r="Q1112" s="156"/>
      <c r="R1112" s="156"/>
      <c r="S1112" s="156"/>
      <c r="T1112" s="156"/>
      <c r="U1112" s="156"/>
      <c r="V1112" s="156"/>
      <c r="W1112" s="156"/>
      <c r="X1112" s="156"/>
      <c r="Y1112" s="156"/>
      <c r="Z1112" s="157"/>
      <c r="AA1112" s="157"/>
      <c r="AB1112" s="156"/>
      <c r="AC1112" s="156"/>
      <c r="AD1112" s="156"/>
      <c r="AE1112" s="156"/>
      <c r="AF1112" s="156"/>
      <c r="AG1112" s="156"/>
      <c r="AH1112" s="156"/>
      <c r="AI1112" s="156"/>
      <c r="AJ1112" s="156"/>
      <c r="AK1112" s="156"/>
      <c r="AL1112" s="156"/>
      <c r="AM1112" s="158"/>
      <c r="AN1112" s="156"/>
      <c r="AO1112" s="156"/>
      <c r="AP1112" s="156"/>
      <c r="AQ1112" s="156"/>
      <c r="AR1112" s="156"/>
      <c r="AS1112" s="156"/>
      <c r="AT1112" s="156"/>
      <c r="AU1112" s="156"/>
      <c r="AV1112" s="156"/>
      <c r="AW1112" s="156"/>
      <c r="AX1112" s="156"/>
      <c r="AY1112" s="156"/>
      <c r="AZ1112" s="156"/>
      <c r="BA1112" s="153"/>
      <c r="BD1112" s="153"/>
      <c r="BE1112" s="147"/>
      <c r="BI1112" s="153"/>
      <c r="BO1112" s="153"/>
      <c r="BW1112" s="153"/>
      <c r="CD1112" s="146"/>
      <c r="CF1112" s="147"/>
      <c r="CI1112" s="146"/>
      <c r="CJ1112" s="153"/>
      <c r="CV1112" s="154"/>
      <c r="CX1112" s="154"/>
      <c r="CZ1112" s="154"/>
      <c r="DB1112" s="154"/>
      <c r="DD1112" s="154"/>
      <c r="DH1112" s="474"/>
      <c r="DI1112" s="459"/>
      <c r="DJ1112" s="459"/>
      <c r="DK1112" s="459"/>
      <c r="DL1112" s="459"/>
      <c r="DM1112" s="459"/>
      <c r="DN1112" s="459"/>
      <c r="DO1112" s="459"/>
      <c r="DP1112" s="459"/>
      <c r="DQ1112" s="459"/>
      <c r="DR1112" s="459"/>
      <c r="DS1112" s="459"/>
      <c r="DT1112" s="459"/>
      <c r="DU1112" s="459"/>
      <c r="DV1112" s="468"/>
      <c r="DW1112" s="468"/>
      <c r="DX1112" s="459"/>
      <c r="DY1112" s="459"/>
    </row>
    <row r="1113" spans="1:129" s="128" customFormat="1" ht="54.95" customHeight="1" x14ac:dyDescent="0.25">
      <c r="A1113" s="377"/>
      <c r="B1113" s="175"/>
      <c r="C1113" s="393"/>
      <c r="D1113" s="168"/>
      <c r="E1113" s="168"/>
      <c r="F1113" s="168"/>
      <c r="G1113" s="168"/>
      <c r="H1113" s="168"/>
      <c r="I1113" s="168"/>
      <c r="J1113" s="168"/>
      <c r="K1113" s="168"/>
      <c r="L1113" s="168"/>
      <c r="M1113" s="168"/>
      <c r="N1113" s="168"/>
      <c r="O1113" s="433"/>
      <c r="P1113" s="122"/>
      <c r="Q1113" s="156"/>
      <c r="R1113" s="156"/>
      <c r="S1113" s="156"/>
      <c r="T1113" s="156"/>
      <c r="U1113" s="156"/>
      <c r="V1113" s="156"/>
      <c r="W1113" s="156"/>
      <c r="X1113" s="156"/>
      <c r="Y1113" s="156"/>
      <c r="Z1113" s="157"/>
      <c r="AA1113" s="157"/>
      <c r="AB1113" s="156"/>
      <c r="AC1113" s="156"/>
      <c r="AD1113" s="156"/>
      <c r="AE1113" s="156"/>
      <c r="AF1113" s="156"/>
      <c r="AG1113" s="156"/>
      <c r="AH1113" s="156"/>
      <c r="AI1113" s="156"/>
      <c r="AJ1113" s="156"/>
      <c r="AK1113" s="156"/>
      <c r="AL1113" s="156"/>
      <c r="AM1113" s="158"/>
      <c r="AN1113" s="156"/>
      <c r="AO1113" s="156"/>
      <c r="AP1113" s="156"/>
      <c r="AQ1113" s="156"/>
      <c r="AR1113" s="156"/>
      <c r="AS1113" s="156"/>
      <c r="AT1113" s="156"/>
      <c r="AU1113" s="156"/>
      <c r="AV1113" s="156"/>
      <c r="AW1113" s="156"/>
      <c r="AX1113" s="156"/>
      <c r="AY1113" s="156"/>
      <c r="AZ1113" s="156"/>
      <c r="BA1113" s="153"/>
      <c r="BD1113" s="153"/>
      <c r="BE1113" s="147"/>
      <c r="BI1113" s="153"/>
      <c r="BO1113" s="153"/>
      <c r="BW1113" s="153"/>
      <c r="CD1113" s="146"/>
      <c r="CF1113" s="147"/>
      <c r="CI1113" s="146"/>
      <c r="CJ1113" s="153"/>
      <c r="CV1113" s="154"/>
      <c r="CX1113" s="154"/>
      <c r="CZ1113" s="154"/>
      <c r="DB1113" s="154"/>
      <c r="DD1113" s="154"/>
      <c r="DH1113" s="474"/>
      <c r="DI1113" s="459"/>
      <c r="DJ1113" s="459"/>
      <c r="DK1113" s="459"/>
      <c r="DL1113" s="459"/>
      <c r="DM1113" s="459"/>
      <c r="DN1113" s="459"/>
      <c r="DO1113" s="459"/>
      <c r="DP1113" s="459"/>
      <c r="DQ1113" s="459"/>
      <c r="DR1113" s="459"/>
      <c r="DS1113" s="459"/>
      <c r="DT1113" s="459"/>
      <c r="DU1113" s="459"/>
      <c r="DV1113" s="468"/>
      <c r="DW1113" s="468"/>
      <c r="DX1113" s="459"/>
      <c r="DY1113" s="459"/>
    </row>
    <row r="1114" spans="1:129" s="128" customFormat="1" ht="54.95" customHeight="1" x14ac:dyDescent="0.25">
      <c r="A1114" s="377"/>
      <c r="B1114" s="175"/>
      <c r="C1114" s="393"/>
      <c r="D1114" s="168"/>
      <c r="E1114" s="168"/>
      <c r="F1114" s="168"/>
      <c r="G1114" s="168"/>
      <c r="H1114" s="168"/>
      <c r="I1114" s="168"/>
      <c r="J1114" s="168"/>
      <c r="K1114" s="168"/>
      <c r="L1114" s="168"/>
      <c r="M1114" s="168"/>
      <c r="N1114" s="168"/>
      <c r="O1114" s="433"/>
      <c r="P1114" s="122"/>
      <c r="Q1114" s="156"/>
      <c r="R1114" s="156"/>
      <c r="S1114" s="156"/>
      <c r="T1114" s="156"/>
      <c r="U1114" s="156"/>
      <c r="V1114" s="156"/>
      <c r="W1114" s="156"/>
      <c r="X1114" s="156"/>
      <c r="Y1114" s="156"/>
      <c r="Z1114" s="157"/>
      <c r="AA1114" s="157"/>
      <c r="AB1114" s="156"/>
      <c r="AC1114" s="156"/>
      <c r="AD1114" s="156"/>
      <c r="AE1114" s="156"/>
      <c r="AF1114" s="156"/>
      <c r="AG1114" s="156"/>
      <c r="AH1114" s="156"/>
      <c r="AI1114" s="156"/>
      <c r="AJ1114" s="156"/>
      <c r="AK1114" s="156"/>
      <c r="AL1114" s="156"/>
      <c r="AM1114" s="158"/>
      <c r="AN1114" s="156"/>
      <c r="AO1114" s="156"/>
      <c r="AP1114" s="156"/>
      <c r="AQ1114" s="156"/>
      <c r="AR1114" s="156"/>
      <c r="AS1114" s="156"/>
      <c r="AT1114" s="156"/>
      <c r="AU1114" s="156"/>
      <c r="AV1114" s="156"/>
      <c r="AW1114" s="156"/>
      <c r="AX1114" s="156"/>
      <c r="AY1114" s="156"/>
      <c r="AZ1114" s="156"/>
      <c r="BA1114" s="153"/>
      <c r="BD1114" s="153"/>
      <c r="BE1114" s="147"/>
      <c r="BI1114" s="153"/>
      <c r="BO1114" s="153"/>
      <c r="BW1114" s="153"/>
      <c r="CD1114" s="146"/>
      <c r="CF1114" s="147"/>
      <c r="CI1114" s="146"/>
      <c r="CJ1114" s="153"/>
      <c r="CV1114" s="154"/>
      <c r="CX1114" s="154"/>
      <c r="CZ1114" s="154"/>
      <c r="DB1114" s="154"/>
      <c r="DD1114" s="154"/>
      <c r="DH1114" s="474"/>
      <c r="DI1114" s="459"/>
      <c r="DJ1114" s="459"/>
      <c r="DK1114" s="459"/>
      <c r="DL1114" s="459"/>
      <c r="DM1114" s="459"/>
      <c r="DN1114" s="459"/>
      <c r="DO1114" s="459"/>
      <c r="DP1114" s="459"/>
      <c r="DQ1114" s="459"/>
      <c r="DR1114" s="459"/>
      <c r="DS1114" s="459"/>
      <c r="DT1114" s="459"/>
      <c r="DU1114" s="459"/>
      <c r="DV1114" s="468"/>
      <c r="DW1114" s="468"/>
      <c r="DX1114" s="459"/>
      <c r="DY1114" s="459"/>
    </row>
    <row r="1115" spans="1:129" s="128" customFormat="1" ht="54.95" customHeight="1" x14ac:dyDescent="0.25">
      <c r="A1115" s="377"/>
      <c r="B1115" s="175"/>
      <c r="C1115" s="393"/>
      <c r="D1115" s="168"/>
      <c r="E1115" s="168"/>
      <c r="F1115" s="168"/>
      <c r="G1115" s="168"/>
      <c r="H1115" s="168"/>
      <c r="I1115" s="168"/>
      <c r="J1115" s="168"/>
      <c r="K1115" s="168"/>
      <c r="L1115" s="168"/>
      <c r="M1115" s="168"/>
      <c r="N1115" s="168"/>
      <c r="O1115" s="433"/>
      <c r="P1115" s="122"/>
      <c r="Q1115" s="156"/>
      <c r="R1115" s="156"/>
      <c r="S1115" s="156"/>
      <c r="T1115" s="156"/>
      <c r="U1115" s="156"/>
      <c r="V1115" s="156"/>
      <c r="W1115" s="156"/>
      <c r="X1115" s="156"/>
      <c r="Y1115" s="156"/>
      <c r="Z1115" s="157"/>
      <c r="AA1115" s="157"/>
      <c r="AB1115" s="156"/>
      <c r="AC1115" s="156"/>
      <c r="AD1115" s="156"/>
      <c r="AE1115" s="156"/>
      <c r="AF1115" s="156"/>
      <c r="AG1115" s="156"/>
      <c r="AH1115" s="156"/>
      <c r="AI1115" s="156"/>
      <c r="AJ1115" s="156"/>
      <c r="AK1115" s="156"/>
      <c r="AL1115" s="156"/>
      <c r="AM1115" s="158"/>
      <c r="AN1115" s="156"/>
      <c r="AO1115" s="156"/>
      <c r="AP1115" s="156"/>
      <c r="AQ1115" s="156"/>
      <c r="AR1115" s="156"/>
      <c r="AS1115" s="156"/>
      <c r="AT1115" s="156"/>
      <c r="AU1115" s="156"/>
      <c r="AV1115" s="156"/>
      <c r="AW1115" s="156"/>
      <c r="AX1115" s="156"/>
      <c r="AY1115" s="156"/>
      <c r="AZ1115" s="156"/>
      <c r="BA1115" s="153"/>
      <c r="BD1115" s="153"/>
      <c r="BE1115" s="147"/>
      <c r="BI1115" s="153"/>
      <c r="BO1115" s="153"/>
      <c r="BW1115" s="153"/>
      <c r="CD1115" s="146"/>
      <c r="CF1115" s="147"/>
      <c r="CI1115" s="146"/>
      <c r="CJ1115" s="153"/>
      <c r="CV1115" s="154"/>
      <c r="CX1115" s="154"/>
      <c r="CZ1115" s="154"/>
      <c r="DB1115" s="154"/>
      <c r="DD1115" s="154"/>
      <c r="DH1115" s="474"/>
      <c r="DI1115" s="459"/>
      <c r="DJ1115" s="459"/>
      <c r="DK1115" s="459"/>
      <c r="DL1115" s="459"/>
      <c r="DM1115" s="459"/>
      <c r="DN1115" s="459"/>
      <c r="DO1115" s="459"/>
      <c r="DP1115" s="459"/>
      <c r="DQ1115" s="459"/>
      <c r="DR1115" s="459"/>
      <c r="DS1115" s="459"/>
      <c r="DT1115" s="459"/>
      <c r="DU1115" s="459"/>
      <c r="DV1115" s="468"/>
      <c r="DW1115" s="468"/>
      <c r="DX1115" s="459"/>
      <c r="DY1115" s="459"/>
    </row>
    <row r="1116" spans="1:129" s="128" customFormat="1" ht="54.95" customHeight="1" x14ac:dyDescent="0.25">
      <c r="A1116" s="377"/>
      <c r="B1116" s="175"/>
      <c r="C1116" s="393"/>
      <c r="D1116" s="168"/>
      <c r="E1116" s="168"/>
      <c r="F1116" s="168"/>
      <c r="G1116" s="168"/>
      <c r="H1116" s="168"/>
      <c r="I1116" s="168"/>
      <c r="J1116" s="168"/>
      <c r="K1116" s="168"/>
      <c r="L1116" s="168"/>
      <c r="M1116" s="168"/>
      <c r="N1116" s="168"/>
      <c r="O1116" s="433"/>
      <c r="P1116" s="122"/>
      <c r="Q1116" s="156"/>
      <c r="R1116" s="156"/>
      <c r="S1116" s="156"/>
      <c r="T1116" s="156"/>
      <c r="U1116" s="156"/>
      <c r="V1116" s="156"/>
      <c r="W1116" s="156"/>
      <c r="X1116" s="156"/>
      <c r="Y1116" s="156"/>
      <c r="Z1116" s="157"/>
      <c r="AA1116" s="157"/>
      <c r="AB1116" s="156"/>
      <c r="AC1116" s="156"/>
      <c r="AD1116" s="156"/>
      <c r="AE1116" s="156"/>
      <c r="AF1116" s="156"/>
      <c r="AG1116" s="156"/>
      <c r="AH1116" s="156"/>
      <c r="AI1116" s="156"/>
      <c r="AJ1116" s="156"/>
      <c r="AK1116" s="156"/>
      <c r="AL1116" s="156"/>
      <c r="AM1116" s="158"/>
      <c r="AN1116" s="156"/>
      <c r="AO1116" s="156"/>
      <c r="AP1116" s="156"/>
      <c r="AQ1116" s="156"/>
      <c r="AR1116" s="156"/>
      <c r="AS1116" s="156"/>
      <c r="AT1116" s="156"/>
      <c r="AU1116" s="156"/>
      <c r="AV1116" s="156"/>
      <c r="AW1116" s="156"/>
      <c r="AX1116" s="156"/>
      <c r="AY1116" s="156"/>
      <c r="AZ1116" s="156"/>
      <c r="BA1116" s="153"/>
      <c r="BD1116" s="153"/>
      <c r="BE1116" s="147"/>
      <c r="BI1116" s="153"/>
      <c r="BO1116" s="153"/>
      <c r="BW1116" s="153"/>
      <c r="CD1116" s="146"/>
      <c r="CF1116" s="147"/>
      <c r="CI1116" s="146"/>
      <c r="CJ1116" s="153"/>
      <c r="CV1116" s="154"/>
      <c r="CX1116" s="154"/>
      <c r="CZ1116" s="154"/>
      <c r="DB1116" s="154"/>
      <c r="DD1116" s="154"/>
      <c r="DH1116" s="474"/>
      <c r="DI1116" s="459"/>
      <c r="DJ1116" s="459"/>
      <c r="DK1116" s="459"/>
      <c r="DL1116" s="459"/>
      <c r="DM1116" s="459"/>
      <c r="DN1116" s="459"/>
      <c r="DO1116" s="459"/>
      <c r="DP1116" s="459"/>
      <c r="DQ1116" s="459"/>
      <c r="DR1116" s="459"/>
      <c r="DS1116" s="459"/>
      <c r="DT1116" s="459"/>
      <c r="DU1116" s="459"/>
      <c r="DV1116" s="468"/>
      <c r="DW1116" s="468"/>
      <c r="DX1116" s="459"/>
      <c r="DY1116" s="459"/>
    </row>
    <row r="1117" spans="1:129" s="128" customFormat="1" ht="54.95" customHeight="1" x14ac:dyDescent="0.25">
      <c r="A1117" s="377"/>
      <c r="B1117" s="175"/>
      <c r="C1117" s="393"/>
      <c r="D1117" s="168"/>
      <c r="E1117" s="168"/>
      <c r="F1117" s="168"/>
      <c r="G1117" s="168"/>
      <c r="H1117" s="168"/>
      <c r="I1117" s="168"/>
      <c r="J1117" s="168"/>
      <c r="K1117" s="168"/>
      <c r="L1117" s="168"/>
      <c r="M1117" s="168"/>
      <c r="N1117" s="168"/>
      <c r="O1117" s="433"/>
      <c r="P1117" s="122"/>
      <c r="Q1117" s="156"/>
      <c r="R1117" s="156"/>
      <c r="S1117" s="156"/>
      <c r="T1117" s="156"/>
      <c r="U1117" s="156"/>
      <c r="V1117" s="156"/>
      <c r="W1117" s="156"/>
      <c r="X1117" s="156"/>
      <c r="Y1117" s="156"/>
      <c r="Z1117" s="157"/>
      <c r="AA1117" s="157"/>
      <c r="AB1117" s="156"/>
      <c r="AC1117" s="156"/>
      <c r="AD1117" s="156"/>
      <c r="AE1117" s="156"/>
      <c r="AF1117" s="156"/>
      <c r="AG1117" s="156"/>
      <c r="AH1117" s="156"/>
      <c r="AI1117" s="156"/>
      <c r="AJ1117" s="156"/>
      <c r="AK1117" s="156"/>
      <c r="AL1117" s="156"/>
      <c r="AM1117" s="158"/>
      <c r="AN1117" s="156"/>
      <c r="AO1117" s="156"/>
      <c r="AP1117" s="156"/>
      <c r="AQ1117" s="156"/>
      <c r="AR1117" s="156"/>
      <c r="AS1117" s="156"/>
      <c r="AT1117" s="156"/>
      <c r="AU1117" s="156"/>
      <c r="AV1117" s="156"/>
      <c r="AW1117" s="156"/>
      <c r="AX1117" s="156"/>
      <c r="AY1117" s="156"/>
      <c r="AZ1117" s="156"/>
      <c r="BA1117" s="153"/>
      <c r="BD1117" s="153"/>
      <c r="BE1117" s="147"/>
      <c r="BI1117" s="153"/>
      <c r="BO1117" s="153"/>
      <c r="BW1117" s="153"/>
      <c r="CD1117" s="146"/>
      <c r="CF1117" s="147"/>
      <c r="CI1117" s="146"/>
      <c r="CJ1117" s="153"/>
      <c r="CV1117" s="154"/>
      <c r="CX1117" s="154"/>
      <c r="CZ1117" s="154"/>
      <c r="DB1117" s="154"/>
      <c r="DD1117" s="154"/>
      <c r="DH1117" s="474"/>
      <c r="DI1117" s="459"/>
      <c r="DJ1117" s="459"/>
      <c r="DK1117" s="459"/>
      <c r="DL1117" s="459"/>
      <c r="DM1117" s="459"/>
      <c r="DN1117" s="459"/>
      <c r="DO1117" s="459"/>
      <c r="DP1117" s="459"/>
      <c r="DQ1117" s="459"/>
      <c r="DR1117" s="459"/>
      <c r="DS1117" s="459"/>
      <c r="DT1117" s="459"/>
      <c r="DU1117" s="459"/>
      <c r="DV1117" s="468"/>
      <c r="DW1117" s="468"/>
      <c r="DX1117" s="459"/>
      <c r="DY1117" s="459"/>
    </row>
    <row r="1118" spans="1:129" s="128" customFormat="1" ht="54.95" customHeight="1" x14ac:dyDescent="0.25">
      <c r="A1118" s="377"/>
      <c r="B1118" s="175"/>
      <c r="C1118" s="393"/>
      <c r="D1118" s="168"/>
      <c r="E1118" s="168"/>
      <c r="F1118" s="168"/>
      <c r="G1118" s="168"/>
      <c r="H1118" s="168"/>
      <c r="I1118" s="168"/>
      <c r="J1118" s="168"/>
      <c r="K1118" s="168"/>
      <c r="L1118" s="168"/>
      <c r="M1118" s="168"/>
      <c r="N1118" s="168"/>
      <c r="O1118" s="433"/>
      <c r="P1118" s="122"/>
      <c r="Q1118" s="156"/>
      <c r="R1118" s="156"/>
      <c r="S1118" s="156"/>
      <c r="T1118" s="156"/>
      <c r="U1118" s="156"/>
      <c r="V1118" s="156"/>
      <c r="W1118" s="156"/>
      <c r="X1118" s="156"/>
      <c r="Y1118" s="156"/>
      <c r="Z1118" s="157"/>
      <c r="AA1118" s="157"/>
      <c r="AB1118" s="156"/>
      <c r="AC1118" s="156"/>
      <c r="AD1118" s="156"/>
      <c r="AE1118" s="156"/>
      <c r="AF1118" s="156"/>
      <c r="AG1118" s="156"/>
      <c r="AH1118" s="156"/>
      <c r="AI1118" s="156"/>
      <c r="AJ1118" s="156"/>
      <c r="AK1118" s="156"/>
      <c r="AL1118" s="156"/>
      <c r="AM1118" s="158"/>
      <c r="AN1118" s="156"/>
      <c r="AO1118" s="156"/>
      <c r="AP1118" s="156"/>
      <c r="AQ1118" s="156"/>
      <c r="AR1118" s="156"/>
      <c r="AS1118" s="156"/>
      <c r="AT1118" s="156"/>
      <c r="AU1118" s="156"/>
      <c r="AV1118" s="156"/>
      <c r="AW1118" s="156"/>
      <c r="AX1118" s="156"/>
      <c r="AY1118" s="156"/>
      <c r="AZ1118" s="156"/>
      <c r="BA1118" s="153"/>
      <c r="BD1118" s="153"/>
      <c r="BE1118" s="147"/>
      <c r="BI1118" s="153"/>
      <c r="BO1118" s="153"/>
      <c r="BW1118" s="153"/>
      <c r="CD1118" s="146"/>
      <c r="CF1118" s="147"/>
      <c r="CI1118" s="146"/>
      <c r="CJ1118" s="153"/>
      <c r="CV1118" s="154"/>
      <c r="CX1118" s="154"/>
      <c r="CZ1118" s="154"/>
      <c r="DB1118" s="154"/>
      <c r="DD1118" s="154"/>
      <c r="DH1118" s="474"/>
      <c r="DI1118" s="459"/>
      <c r="DJ1118" s="459"/>
      <c r="DK1118" s="459"/>
      <c r="DL1118" s="459"/>
      <c r="DM1118" s="459"/>
      <c r="DN1118" s="459"/>
      <c r="DO1118" s="459"/>
      <c r="DP1118" s="459"/>
      <c r="DQ1118" s="459"/>
      <c r="DR1118" s="459"/>
      <c r="DS1118" s="459"/>
      <c r="DT1118" s="459"/>
      <c r="DU1118" s="459"/>
      <c r="DV1118" s="468"/>
      <c r="DW1118" s="468"/>
      <c r="DX1118" s="459"/>
      <c r="DY1118" s="459"/>
    </row>
    <row r="1119" spans="1:129" s="128" customFormat="1" ht="54.95" customHeight="1" x14ac:dyDescent="0.25">
      <c r="A1119" s="377"/>
      <c r="B1119" s="175"/>
      <c r="C1119" s="393"/>
      <c r="D1119" s="168"/>
      <c r="E1119" s="168"/>
      <c r="F1119" s="168"/>
      <c r="G1119" s="168"/>
      <c r="H1119" s="168"/>
      <c r="I1119" s="168"/>
      <c r="J1119" s="168"/>
      <c r="K1119" s="168"/>
      <c r="L1119" s="168"/>
      <c r="M1119" s="168"/>
      <c r="N1119" s="168"/>
      <c r="O1119" s="433"/>
      <c r="P1119" s="122"/>
      <c r="Q1119" s="156"/>
      <c r="R1119" s="156"/>
      <c r="S1119" s="156"/>
      <c r="T1119" s="156"/>
      <c r="U1119" s="156"/>
      <c r="V1119" s="156"/>
      <c r="W1119" s="156"/>
      <c r="X1119" s="156"/>
      <c r="Y1119" s="156"/>
      <c r="Z1119" s="157"/>
      <c r="AA1119" s="157"/>
      <c r="AB1119" s="156"/>
      <c r="AC1119" s="156"/>
      <c r="AD1119" s="156"/>
      <c r="AE1119" s="156"/>
      <c r="AF1119" s="156"/>
      <c r="AG1119" s="156"/>
      <c r="AH1119" s="156"/>
      <c r="AI1119" s="156"/>
      <c r="AJ1119" s="156"/>
      <c r="AK1119" s="156"/>
      <c r="AL1119" s="156"/>
      <c r="AM1119" s="158"/>
      <c r="AN1119" s="156"/>
      <c r="AO1119" s="156"/>
      <c r="AP1119" s="156"/>
      <c r="AQ1119" s="156"/>
      <c r="AR1119" s="156"/>
      <c r="AS1119" s="156"/>
      <c r="AT1119" s="156"/>
      <c r="AU1119" s="156"/>
      <c r="AV1119" s="156"/>
      <c r="AW1119" s="156"/>
      <c r="AX1119" s="156"/>
      <c r="AY1119" s="156"/>
      <c r="AZ1119" s="156"/>
      <c r="BA1119" s="153"/>
      <c r="BD1119" s="153"/>
      <c r="BE1119" s="147"/>
      <c r="BI1119" s="153"/>
      <c r="BO1119" s="153"/>
      <c r="BW1119" s="153"/>
      <c r="CD1119" s="146"/>
      <c r="CF1119" s="147"/>
      <c r="CI1119" s="146"/>
      <c r="CJ1119" s="153"/>
      <c r="CV1119" s="154"/>
      <c r="CX1119" s="154"/>
      <c r="CZ1119" s="154"/>
      <c r="DB1119" s="154"/>
      <c r="DD1119" s="154"/>
      <c r="DH1119" s="474"/>
      <c r="DI1119" s="459"/>
      <c r="DJ1119" s="459"/>
      <c r="DK1119" s="459"/>
      <c r="DL1119" s="459"/>
      <c r="DM1119" s="459"/>
      <c r="DN1119" s="459"/>
      <c r="DO1119" s="459"/>
      <c r="DP1119" s="459"/>
      <c r="DQ1119" s="459"/>
      <c r="DR1119" s="459"/>
      <c r="DS1119" s="459"/>
      <c r="DT1119" s="459"/>
      <c r="DU1119" s="459"/>
      <c r="DV1119" s="468"/>
      <c r="DW1119" s="468"/>
      <c r="DX1119" s="459"/>
      <c r="DY1119" s="459"/>
    </row>
    <row r="1120" spans="1:129" s="128" customFormat="1" ht="54.95" customHeight="1" x14ac:dyDescent="0.25">
      <c r="A1120" s="377"/>
      <c r="B1120" s="175"/>
      <c r="C1120" s="393"/>
      <c r="D1120" s="168"/>
      <c r="E1120" s="168"/>
      <c r="F1120" s="168"/>
      <c r="G1120" s="168"/>
      <c r="H1120" s="168"/>
      <c r="I1120" s="168"/>
      <c r="J1120" s="168"/>
      <c r="K1120" s="168"/>
      <c r="L1120" s="168"/>
      <c r="M1120" s="168"/>
      <c r="N1120" s="168"/>
      <c r="O1120" s="433"/>
      <c r="P1120" s="122"/>
      <c r="Q1120" s="156"/>
      <c r="R1120" s="156"/>
      <c r="S1120" s="156"/>
      <c r="T1120" s="156"/>
      <c r="U1120" s="156"/>
      <c r="V1120" s="156"/>
      <c r="W1120" s="156"/>
      <c r="X1120" s="156"/>
      <c r="Y1120" s="156"/>
      <c r="Z1120" s="157"/>
      <c r="AA1120" s="157"/>
      <c r="AB1120" s="156"/>
      <c r="AC1120" s="156"/>
      <c r="AD1120" s="156"/>
      <c r="AE1120" s="156"/>
      <c r="AF1120" s="156"/>
      <c r="AG1120" s="156"/>
      <c r="AH1120" s="156"/>
      <c r="AI1120" s="156"/>
      <c r="AJ1120" s="156"/>
      <c r="AK1120" s="156"/>
      <c r="AL1120" s="156"/>
      <c r="AM1120" s="158"/>
      <c r="AN1120" s="156"/>
      <c r="AO1120" s="156"/>
      <c r="AP1120" s="156"/>
      <c r="AQ1120" s="156"/>
      <c r="AR1120" s="156"/>
      <c r="AS1120" s="156"/>
      <c r="AT1120" s="156"/>
      <c r="AU1120" s="156"/>
      <c r="AV1120" s="156"/>
      <c r="AW1120" s="156"/>
      <c r="AX1120" s="156"/>
      <c r="AY1120" s="156"/>
      <c r="AZ1120" s="156"/>
      <c r="BA1120" s="153"/>
      <c r="BD1120" s="153"/>
      <c r="BE1120" s="147"/>
      <c r="BI1120" s="153"/>
      <c r="BO1120" s="153"/>
      <c r="BW1120" s="153"/>
      <c r="CD1120" s="146"/>
      <c r="CF1120" s="147"/>
      <c r="CI1120" s="146"/>
      <c r="CJ1120" s="153"/>
      <c r="CV1120" s="154"/>
      <c r="CX1120" s="154"/>
      <c r="CZ1120" s="154"/>
      <c r="DB1120" s="154"/>
      <c r="DD1120" s="154"/>
      <c r="DH1120" s="474"/>
      <c r="DI1120" s="459"/>
      <c r="DJ1120" s="459"/>
      <c r="DK1120" s="459"/>
      <c r="DL1120" s="459"/>
      <c r="DM1120" s="459"/>
      <c r="DN1120" s="459"/>
      <c r="DO1120" s="459"/>
      <c r="DP1120" s="459"/>
      <c r="DQ1120" s="459"/>
      <c r="DR1120" s="459"/>
      <c r="DS1120" s="459"/>
      <c r="DT1120" s="459"/>
      <c r="DU1120" s="459"/>
      <c r="DV1120" s="468"/>
      <c r="DW1120" s="468"/>
      <c r="DX1120" s="459"/>
      <c r="DY1120" s="459"/>
    </row>
    <row r="1121" spans="1:129" s="128" customFormat="1" ht="54.95" customHeight="1" x14ac:dyDescent="0.25">
      <c r="A1121" s="377"/>
      <c r="B1121" s="175"/>
      <c r="C1121" s="393"/>
      <c r="D1121" s="168"/>
      <c r="E1121" s="168"/>
      <c r="F1121" s="168"/>
      <c r="G1121" s="168"/>
      <c r="H1121" s="168"/>
      <c r="I1121" s="168"/>
      <c r="J1121" s="168"/>
      <c r="K1121" s="168"/>
      <c r="L1121" s="168"/>
      <c r="M1121" s="168"/>
      <c r="N1121" s="168"/>
      <c r="O1121" s="433"/>
      <c r="P1121" s="122"/>
      <c r="Q1121" s="156"/>
      <c r="R1121" s="156"/>
      <c r="S1121" s="156"/>
      <c r="T1121" s="156"/>
      <c r="U1121" s="156"/>
      <c r="V1121" s="156"/>
      <c r="W1121" s="156"/>
      <c r="X1121" s="156"/>
      <c r="Y1121" s="156"/>
      <c r="Z1121" s="157"/>
      <c r="AA1121" s="157"/>
      <c r="AB1121" s="156"/>
      <c r="AC1121" s="156"/>
      <c r="AD1121" s="156"/>
      <c r="AE1121" s="156"/>
      <c r="AF1121" s="156"/>
      <c r="AG1121" s="156"/>
      <c r="AH1121" s="156"/>
      <c r="AI1121" s="156"/>
      <c r="AJ1121" s="156"/>
      <c r="AK1121" s="156"/>
      <c r="AL1121" s="156"/>
      <c r="AM1121" s="158"/>
      <c r="AN1121" s="156"/>
      <c r="AO1121" s="156"/>
      <c r="AP1121" s="156"/>
      <c r="AQ1121" s="156"/>
      <c r="AR1121" s="156"/>
      <c r="AS1121" s="156"/>
      <c r="AT1121" s="156"/>
      <c r="AU1121" s="156"/>
      <c r="AV1121" s="156"/>
      <c r="AW1121" s="156"/>
      <c r="AX1121" s="156"/>
      <c r="AY1121" s="156"/>
      <c r="AZ1121" s="156"/>
      <c r="BA1121" s="153"/>
      <c r="BD1121" s="153"/>
      <c r="BE1121" s="147"/>
      <c r="BI1121" s="153"/>
      <c r="BO1121" s="153"/>
      <c r="BW1121" s="153"/>
      <c r="CD1121" s="146"/>
      <c r="CF1121" s="147"/>
      <c r="CI1121" s="146"/>
      <c r="CJ1121" s="153"/>
      <c r="CV1121" s="154"/>
      <c r="CX1121" s="154"/>
      <c r="CZ1121" s="154"/>
      <c r="DB1121" s="154"/>
      <c r="DD1121" s="154"/>
      <c r="DH1121" s="474"/>
      <c r="DI1121" s="459"/>
      <c r="DJ1121" s="459"/>
      <c r="DK1121" s="459"/>
      <c r="DL1121" s="459"/>
      <c r="DM1121" s="459"/>
      <c r="DN1121" s="459"/>
      <c r="DO1121" s="459"/>
      <c r="DP1121" s="459"/>
      <c r="DQ1121" s="459"/>
      <c r="DR1121" s="459"/>
      <c r="DS1121" s="459"/>
      <c r="DT1121" s="459"/>
      <c r="DU1121" s="459"/>
      <c r="DV1121" s="468"/>
      <c r="DW1121" s="468"/>
      <c r="DX1121" s="459"/>
      <c r="DY1121" s="459"/>
    </row>
    <row r="1122" spans="1:129" s="128" customFormat="1" ht="54.95" customHeight="1" x14ac:dyDescent="0.25">
      <c r="A1122" s="377"/>
      <c r="B1122" s="175"/>
      <c r="C1122" s="393"/>
      <c r="D1122" s="168"/>
      <c r="E1122" s="168"/>
      <c r="F1122" s="168"/>
      <c r="G1122" s="168"/>
      <c r="H1122" s="168"/>
      <c r="I1122" s="168"/>
      <c r="J1122" s="168"/>
      <c r="K1122" s="168"/>
      <c r="L1122" s="168"/>
      <c r="M1122" s="168"/>
      <c r="N1122" s="168"/>
      <c r="O1122" s="433"/>
      <c r="P1122" s="122"/>
      <c r="Q1122" s="156"/>
      <c r="R1122" s="156"/>
      <c r="S1122" s="156"/>
      <c r="T1122" s="156"/>
      <c r="U1122" s="156"/>
      <c r="V1122" s="156"/>
      <c r="W1122" s="156"/>
      <c r="X1122" s="156"/>
      <c r="Y1122" s="156"/>
      <c r="Z1122" s="157"/>
      <c r="AA1122" s="157"/>
      <c r="AB1122" s="156"/>
      <c r="AC1122" s="156"/>
      <c r="AD1122" s="156"/>
      <c r="AE1122" s="156"/>
      <c r="AF1122" s="156"/>
      <c r="AG1122" s="156"/>
      <c r="AH1122" s="156"/>
      <c r="AI1122" s="156"/>
      <c r="AJ1122" s="156"/>
      <c r="AK1122" s="156"/>
      <c r="AL1122" s="156"/>
      <c r="AM1122" s="158"/>
      <c r="AN1122" s="156"/>
      <c r="AO1122" s="156"/>
      <c r="AP1122" s="156"/>
      <c r="AQ1122" s="156"/>
      <c r="AR1122" s="156"/>
      <c r="AS1122" s="156"/>
      <c r="AT1122" s="156"/>
      <c r="AU1122" s="156"/>
      <c r="AV1122" s="156"/>
      <c r="AW1122" s="156"/>
      <c r="AX1122" s="156"/>
      <c r="AY1122" s="156"/>
      <c r="AZ1122" s="156"/>
      <c r="BA1122" s="153"/>
      <c r="BD1122" s="153"/>
      <c r="BE1122" s="147"/>
      <c r="BI1122" s="153"/>
      <c r="BO1122" s="153"/>
      <c r="BW1122" s="153"/>
      <c r="CD1122" s="146"/>
      <c r="CF1122" s="147"/>
      <c r="CI1122" s="146"/>
      <c r="CJ1122" s="153"/>
      <c r="CV1122" s="154"/>
      <c r="CX1122" s="154"/>
      <c r="CZ1122" s="154"/>
      <c r="DB1122" s="154"/>
      <c r="DD1122" s="154"/>
      <c r="DH1122" s="474"/>
      <c r="DI1122" s="459"/>
      <c r="DJ1122" s="459"/>
      <c r="DK1122" s="459"/>
      <c r="DL1122" s="459"/>
      <c r="DM1122" s="459"/>
      <c r="DN1122" s="459"/>
      <c r="DO1122" s="459"/>
      <c r="DP1122" s="459"/>
      <c r="DQ1122" s="459"/>
      <c r="DR1122" s="459"/>
      <c r="DS1122" s="459"/>
      <c r="DT1122" s="459"/>
      <c r="DU1122" s="459"/>
      <c r="DV1122" s="468"/>
      <c r="DW1122" s="468"/>
      <c r="DX1122" s="459"/>
      <c r="DY1122" s="459"/>
    </row>
    <row r="1123" spans="1:129" s="128" customFormat="1" ht="54.95" customHeight="1" x14ac:dyDescent="0.25">
      <c r="A1123" s="377"/>
      <c r="B1123" s="175"/>
      <c r="C1123" s="393"/>
      <c r="D1123" s="168"/>
      <c r="E1123" s="168"/>
      <c r="F1123" s="168"/>
      <c r="G1123" s="168"/>
      <c r="H1123" s="168"/>
      <c r="I1123" s="168"/>
      <c r="J1123" s="168"/>
      <c r="K1123" s="168"/>
      <c r="L1123" s="168"/>
      <c r="M1123" s="168"/>
      <c r="N1123" s="168"/>
      <c r="O1123" s="433"/>
      <c r="P1123" s="122"/>
      <c r="Q1123" s="156"/>
      <c r="R1123" s="156"/>
      <c r="S1123" s="156"/>
      <c r="T1123" s="156"/>
      <c r="U1123" s="156"/>
      <c r="V1123" s="156"/>
      <c r="W1123" s="156"/>
      <c r="X1123" s="156"/>
      <c r="Y1123" s="156"/>
      <c r="Z1123" s="157"/>
      <c r="AA1123" s="157"/>
      <c r="AB1123" s="156"/>
      <c r="AC1123" s="156"/>
      <c r="AD1123" s="156"/>
      <c r="AE1123" s="156"/>
      <c r="AF1123" s="156"/>
      <c r="AG1123" s="156"/>
      <c r="AH1123" s="156"/>
      <c r="AI1123" s="156"/>
      <c r="AJ1123" s="156"/>
      <c r="AK1123" s="156"/>
      <c r="AL1123" s="156"/>
      <c r="AM1123" s="158"/>
      <c r="AN1123" s="156"/>
      <c r="AO1123" s="156"/>
      <c r="AP1123" s="156"/>
      <c r="AQ1123" s="156"/>
      <c r="AR1123" s="156"/>
      <c r="AS1123" s="156"/>
      <c r="AT1123" s="156"/>
      <c r="AU1123" s="156"/>
      <c r="AV1123" s="156"/>
      <c r="AW1123" s="156"/>
      <c r="AX1123" s="156"/>
      <c r="AY1123" s="156"/>
      <c r="AZ1123" s="156"/>
      <c r="BA1123" s="153"/>
      <c r="BD1123" s="153"/>
      <c r="BE1123" s="147"/>
      <c r="BI1123" s="153"/>
      <c r="BO1123" s="153"/>
      <c r="BW1123" s="153"/>
      <c r="CD1123" s="146"/>
      <c r="CF1123" s="147"/>
      <c r="CI1123" s="146"/>
      <c r="CJ1123" s="153"/>
      <c r="CV1123" s="154"/>
      <c r="CX1123" s="154"/>
      <c r="CZ1123" s="154"/>
      <c r="DB1123" s="154"/>
      <c r="DD1123" s="154"/>
      <c r="DH1123" s="474"/>
      <c r="DI1123" s="459"/>
      <c r="DJ1123" s="459"/>
      <c r="DK1123" s="459"/>
      <c r="DL1123" s="459"/>
      <c r="DM1123" s="459"/>
      <c r="DN1123" s="459"/>
      <c r="DO1123" s="459"/>
      <c r="DP1123" s="459"/>
      <c r="DQ1123" s="459"/>
      <c r="DR1123" s="459"/>
      <c r="DS1123" s="459"/>
      <c r="DT1123" s="459"/>
      <c r="DU1123" s="459"/>
      <c r="DV1123" s="468"/>
      <c r="DW1123" s="468"/>
      <c r="DX1123" s="459"/>
      <c r="DY1123" s="459"/>
    </row>
    <row r="1124" spans="1:129" s="128" customFormat="1" ht="54.95" customHeight="1" x14ac:dyDescent="0.25">
      <c r="A1124" s="377"/>
      <c r="B1124" s="175"/>
      <c r="C1124" s="393"/>
      <c r="D1124" s="168"/>
      <c r="E1124" s="168"/>
      <c r="F1124" s="168"/>
      <c r="G1124" s="168"/>
      <c r="H1124" s="168"/>
      <c r="I1124" s="168"/>
      <c r="J1124" s="168"/>
      <c r="K1124" s="168"/>
      <c r="L1124" s="168"/>
      <c r="M1124" s="168"/>
      <c r="N1124" s="168"/>
      <c r="O1124" s="433"/>
      <c r="P1124" s="122"/>
      <c r="Q1124" s="156"/>
      <c r="R1124" s="156"/>
      <c r="S1124" s="156"/>
      <c r="T1124" s="156"/>
      <c r="U1124" s="156"/>
      <c r="V1124" s="156"/>
      <c r="W1124" s="156"/>
      <c r="X1124" s="156"/>
      <c r="Y1124" s="156"/>
      <c r="Z1124" s="157"/>
      <c r="AA1124" s="157"/>
      <c r="AB1124" s="156"/>
      <c r="AC1124" s="156"/>
      <c r="AD1124" s="156"/>
      <c r="AE1124" s="156"/>
      <c r="AF1124" s="156"/>
      <c r="AG1124" s="156"/>
      <c r="AH1124" s="156"/>
      <c r="AI1124" s="156"/>
      <c r="AJ1124" s="156"/>
      <c r="AK1124" s="156"/>
      <c r="AL1124" s="156"/>
      <c r="AM1124" s="158"/>
      <c r="AN1124" s="156"/>
      <c r="AO1124" s="156"/>
      <c r="AP1124" s="156"/>
      <c r="AQ1124" s="156"/>
      <c r="AR1124" s="156"/>
      <c r="AS1124" s="156"/>
      <c r="AT1124" s="156"/>
      <c r="AU1124" s="156"/>
      <c r="AV1124" s="156"/>
      <c r="AW1124" s="156"/>
      <c r="AX1124" s="156"/>
      <c r="AY1124" s="156"/>
      <c r="AZ1124" s="156"/>
      <c r="BA1124" s="153"/>
      <c r="BD1124" s="153"/>
      <c r="BE1124" s="147"/>
      <c r="BI1124" s="153"/>
      <c r="BO1124" s="153"/>
      <c r="BW1124" s="153"/>
      <c r="CD1124" s="146"/>
      <c r="CF1124" s="147"/>
      <c r="CI1124" s="146"/>
      <c r="CJ1124" s="153"/>
      <c r="CV1124" s="154"/>
      <c r="CX1124" s="154"/>
      <c r="CZ1124" s="154"/>
      <c r="DB1124" s="154"/>
      <c r="DD1124" s="154"/>
      <c r="DH1124" s="474"/>
      <c r="DI1124" s="459"/>
      <c r="DJ1124" s="459"/>
      <c r="DK1124" s="459"/>
      <c r="DL1124" s="459"/>
      <c r="DM1124" s="459"/>
      <c r="DN1124" s="459"/>
      <c r="DO1124" s="459"/>
      <c r="DP1124" s="459"/>
      <c r="DQ1124" s="459"/>
      <c r="DR1124" s="459"/>
      <c r="DS1124" s="459"/>
      <c r="DT1124" s="459"/>
      <c r="DU1124" s="459"/>
      <c r="DV1124" s="468"/>
      <c r="DW1124" s="468"/>
      <c r="DX1124" s="459"/>
      <c r="DY1124" s="459"/>
    </row>
    <row r="1125" spans="1:129" s="128" customFormat="1" ht="54.95" customHeight="1" x14ac:dyDescent="0.25">
      <c r="A1125" s="377"/>
      <c r="B1125" s="175"/>
      <c r="C1125" s="393"/>
      <c r="D1125" s="168"/>
      <c r="E1125" s="168"/>
      <c r="F1125" s="168"/>
      <c r="G1125" s="168"/>
      <c r="H1125" s="168"/>
      <c r="I1125" s="168"/>
      <c r="J1125" s="168"/>
      <c r="K1125" s="168"/>
      <c r="L1125" s="168"/>
      <c r="M1125" s="168"/>
      <c r="N1125" s="168"/>
      <c r="O1125" s="433"/>
      <c r="P1125" s="122"/>
      <c r="Q1125" s="156"/>
      <c r="R1125" s="156"/>
      <c r="S1125" s="156"/>
      <c r="T1125" s="156"/>
      <c r="U1125" s="156"/>
      <c r="V1125" s="156"/>
      <c r="W1125" s="156"/>
      <c r="X1125" s="156"/>
      <c r="Y1125" s="156"/>
      <c r="Z1125" s="157"/>
      <c r="AA1125" s="157"/>
      <c r="AB1125" s="156"/>
      <c r="AC1125" s="156"/>
      <c r="AD1125" s="156"/>
      <c r="AE1125" s="156"/>
      <c r="AF1125" s="156"/>
      <c r="AG1125" s="156"/>
      <c r="AH1125" s="156"/>
      <c r="AI1125" s="156"/>
      <c r="AJ1125" s="156"/>
      <c r="AK1125" s="156"/>
      <c r="AL1125" s="156"/>
      <c r="AM1125" s="158"/>
      <c r="AN1125" s="156"/>
      <c r="AO1125" s="156"/>
      <c r="AP1125" s="156"/>
      <c r="AQ1125" s="156"/>
      <c r="AR1125" s="156"/>
      <c r="AS1125" s="156"/>
      <c r="AT1125" s="156"/>
      <c r="AU1125" s="156"/>
      <c r="AV1125" s="156"/>
      <c r="AW1125" s="156"/>
      <c r="AX1125" s="156"/>
      <c r="AY1125" s="156"/>
      <c r="AZ1125" s="156"/>
      <c r="BA1125" s="153"/>
      <c r="BD1125" s="153"/>
      <c r="BE1125" s="147"/>
      <c r="BI1125" s="153"/>
      <c r="BO1125" s="153"/>
      <c r="BW1125" s="153"/>
      <c r="CD1125" s="146"/>
      <c r="CF1125" s="147"/>
      <c r="CI1125" s="146"/>
      <c r="CJ1125" s="153"/>
      <c r="CV1125" s="154"/>
      <c r="CX1125" s="154"/>
      <c r="CZ1125" s="154"/>
      <c r="DB1125" s="154"/>
      <c r="DD1125" s="154"/>
      <c r="DH1125" s="474"/>
      <c r="DI1125" s="459"/>
      <c r="DJ1125" s="459"/>
      <c r="DK1125" s="459"/>
      <c r="DL1125" s="459"/>
      <c r="DM1125" s="459"/>
      <c r="DN1125" s="459"/>
      <c r="DO1125" s="459"/>
      <c r="DP1125" s="459"/>
      <c r="DQ1125" s="459"/>
      <c r="DR1125" s="459"/>
      <c r="DS1125" s="459"/>
      <c r="DT1125" s="459"/>
      <c r="DU1125" s="459"/>
      <c r="DV1125" s="468"/>
      <c r="DW1125" s="468"/>
      <c r="DX1125" s="459"/>
      <c r="DY1125" s="459"/>
    </row>
    <row r="1126" spans="1:129" s="128" customFormat="1" ht="54.95" customHeight="1" x14ac:dyDescent="0.25">
      <c r="A1126" s="377"/>
      <c r="B1126" s="175"/>
      <c r="C1126" s="393"/>
      <c r="D1126" s="168"/>
      <c r="E1126" s="168"/>
      <c r="F1126" s="168"/>
      <c r="G1126" s="168"/>
      <c r="H1126" s="168"/>
      <c r="I1126" s="168"/>
      <c r="J1126" s="168"/>
      <c r="K1126" s="168"/>
      <c r="L1126" s="168"/>
      <c r="M1126" s="168"/>
      <c r="N1126" s="168"/>
      <c r="O1126" s="433"/>
      <c r="P1126" s="122"/>
      <c r="Q1126" s="156"/>
      <c r="R1126" s="156"/>
      <c r="S1126" s="156"/>
      <c r="T1126" s="156"/>
      <c r="U1126" s="156"/>
      <c r="V1126" s="156"/>
      <c r="W1126" s="156"/>
      <c r="X1126" s="156"/>
      <c r="Y1126" s="156"/>
      <c r="Z1126" s="157"/>
      <c r="AA1126" s="157"/>
      <c r="AB1126" s="156"/>
      <c r="AC1126" s="156"/>
      <c r="AD1126" s="156"/>
      <c r="AE1126" s="156"/>
      <c r="AF1126" s="156"/>
      <c r="AG1126" s="156"/>
      <c r="AH1126" s="156"/>
      <c r="AI1126" s="156"/>
      <c r="AJ1126" s="156"/>
      <c r="AK1126" s="156"/>
      <c r="AL1126" s="156"/>
      <c r="AM1126" s="158"/>
      <c r="AN1126" s="156"/>
      <c r="AO1126" s="156"/>
      <c r="AP1126" s="156"/>
      <c r="AQ1126" s="156"/>
      <c r="AR1126" s="156"/>
      <c r="AS1126" s="156"/>
      <c r="AT1126" s="156"/>
      <c r="AU1126" s="156"/>
      <c r="AV1126" s="156"/>
      <c r="AW1126" s="156"/>
      <c r="AX1126" s="156"/>
      <c r="AY1126" s="156"/>
      <c r="AZ1126" s="156"/>
      <c r="BA1126" s="153"/>
      <c r="BD1126" s="153"/>
      <c r="BE1126" s="147"/>
      <c r="BI1126" s="153"/>
      <c r="BO1126" s="153"/>
      <c r="BW1126" s="153"/>
      <c r="CD1126" s="146"/>
      <c r="CF1126" s="147"/>
      <c r="CI1126" s="146"/>
      <c r="CJ1126" s="153"/>
      <c r="CV1126" s="154"/>
      <c r="CX1126" s="154"/>
      <c r="CZ1126" s="154"/>
      <c r="DB1126" s="154"/>
      <c r="DD1126" s="154"/>
      <c r="DH1126" s="474"/>
      <c r="DI1126" s="459"/>
      <c r="DJ1126" s="459"/>
      <c r="DK1126" s="459"/>
      <c r="DL1126" s="459"/>
      <c r="DM1126" s="459"/>
      <c r="DN1126" s="459"/>
      <c r="DO1126" s="459"/>
      <c r="DP1126" s="459"/>
      <c r="DQ1126" s="459"/>
      <c r="DR1126" s="459"/>
      <c r="DS1126" s="459"/>
      <c r="DT1126" s="459"/>
      <c r="DU1126" s="459"/>
      <c r="DV1126" s="468"/>
      <c r="DW1126" s="468"/>
      <c r="DX1126" s="459"/>
      <c r="DY1126" s="459"/>
    </row>
    <row r="1127" spans="1:129" s="128" customFormat="1" ht="54.95" customHeight="1" x14ac:dyDescent="0.25">
      <c r="A1127" s="377"/>
      <c r="B1127" s="175"/>
      <c r="C1127" s="393"/>
      <c r="D1127" s="168"/>
      <c r="E1127" s="168"/>
      <c r="F1127" s="168"/>
      <c r="G1127" s="168"/>
      <c r="H1127" s="168"/>
      <c r="I1127" s="168"/>
      <c r="J1127" s="168"/>
      <c r="K1127" s="168"/>
      <c r="L1127" s="168"/>
      <c r="M1127" s="168"/>
      <c r="N1127" s="168"/>
      <c r="O1127" s="433"/>
      <c r="P1127" s="122"/>
      <c r="Q1127" s="156"/>
      <c r="R1127" s="156"/>
      <c r="S1127" s="156"/>
      <c r="T1127" s="156"/>
      <c r="U1127" s="156"/>
      <c r="V1127" s="156"/>
      <c r="W1127" s="156"/>
      <c r="X1127" s="156"/>
      <c r="Y1127" s="156"/>
      <c r="Z1127" s="157"/>
      <c r="AA1127" s="157"/>
      <c r="AB1127" s="156"/>
      <c r="AC1127" s="156"/>
      <c r="AD1127" s="156"/>
      <c r="AE1127" s="156"/>
      <c r="AF1127" s="156"/>
      <c r="AG1127" s="156"/>
      <c r="AH1127" s="156"/>
      <c r="AI1127" s="156"/>
      <c r="AJ1127" s="156"/>
      <c r="AK1127" s="156"/>
      <c r="AL1127" s="156"/>
      <c r="AM1127" s="158"/>
      <c r="AN1127" s="156"/>
      <c r="AO1127" s="156"/>
      <c r="AP1127" s="156"/>
      <c r="AQ1127" s="156"/>
      <c r="AR1127" s="156"/>
      <c r="AS1127" s="156"/>
      <c r="AT1127" s="156"/>
      <c r="AU1127" s="156"/>
      <c r="AV1127" s="156"/>
      <c r="AW1127" s="156"/>
      <c r="AX1127" s="156"/>
      <c r="AY1127" s="156"/>
      <c r="AZ1127" s="156"/>
      <c r="BA1127" s="153"/>
      <c r="BD1127" s="153"/>
      <c r="BE1127" s="147"/>
      <c r="BI1127" s="153"/>
      <c r="BO1127" s="153"/>
      <c r="BW1127" s="153"/>
      <c r="CD1127" s="146"/>
      <c r="CF1127" s="147"/>
      <c r="CI1127" s="146"/>
      <c r="CJ1127" s="153"/>
      <c r="CV1127" s="154"/>
      <c r="CX1127" s="154"/>
      <c r="CZ1127" s="154"/>
      <c r="DB1127" s="154"/>
      <c r="DD1127" s="154"/>
      <c r="DH1127" s="474"/>
      <c r="DI1127" s="459"/>
      <c r="DJ1127" s="459"/>
      <c r="DK1127" s="459"/>
      <c r="DL1127" s="459"/>
      <c r="DM1127" s="459"/>
      <c r="DN1127" s="459"/>
      <c r="DO1127" s="459"/>
      <c r="DP1127" s="459"/>
      <c r="DQ1127" s="459"/>
      <c r="DR1127" s="459"/>
      <c r="DS1127" s="459"/>
      <c r="DT1127" s="459"/>
      <c r="DU1127" s="459"/>
      <c r="DV1127" s="468"/>
      <c r="DW1127" s="468"/>
      <c r="DX1127" s="459"/>
      <c r="DY1127" s="459"/>
    </row>
    <row r="1128" spans="1:129" s="128" customFormat="1" ht="54.95" customHeight="1" x14ac:dyDescent="0.25">
      <c r="A1128" s="377"/>
      <c r="B1128" s="175"/>
      <c r="C1128" s="393"/>
      <c r="D1128" s="168"/>
      <c r="E1128" s="168"/>
      <c r="F1128" s="168"/>
      <c r="G1128" s="168"/>
      <c r="H1128" s="168"/>
      <c r="I1128" s="168"/>
      <c r="J1128" s="168"/>
      <c r="K1128" s="168"/>
      <c r="L1128" s="168"/>
      <c r="M1128" s="168"/>
      <c r="N1128" s="168"/>
      <c r="O1128" s="433"/>
      <c r="P1128" s="122"/>
      <c r="Q1128" s="156"/>
      <c r="R1128" s="156"/>
      <c r="S1128" s="156"/>
      <c r="T1128" s="156"/>
      <c r="U1128" s="156"/>
      <c r="V1128" s="156"/>
      <c r="W1128" s="156"/>
      <c r="X1128" s="156"/>
      <c r="Y1128" s="156"/>
      <c r="Z1128" s="157"/>
      <c r="AA1128" s="157"/>
      <c r="AB1128" s="156"/>
      <c r="AC1128" s="156"/>
      <c r="AD1128" s="156"/>
      <c r="AE1128" s="156"/>
      <c r="AF1128" s="156"/>
      <c r="AG1128" s="156"/>
      <c r="AH1128" s="156"/>
      <c r="AI1128" s="156"/>
      <c r="AJ1128" s="156"/>
      <c r="AK1128" s="156"/>
      <c r="AL1128" s="156"/>
      <c r="AM1128" s="158"/>
      <c r="AN1128" s="156"/>
      <c r="AO1128" s="156"/>
      <c r="AP1128" s="156"/>
      <c r="AQ1128" s="156"/>
      <c r="AR1128" s="156"/>
      <c r="AS1128" s="156"/>
      <c r="AT1128" s="156"/>
      <c r="AU1128" s="156"/>
      <c r="AV1128" s="156"/>
      <c r="AW1128" s="156"/>
      <c r="AX1128" s="156"/>
      <c r="AY1128" s="156"/>
      <c r="AZ1128" s="156"/>
      <c r="BA1128" s="153"/>
      <c r="BD1128" s="153"/>
      <c r="BE1128" s="147"/>
      <c r="BI1128" s="153"/>
      <c r="BO1128" s="153"/>
      <c r="BW1128" s="153"/>
      <c r="CD1128" s="146"/>
      <c r="CF1128" s="147"/>
      <c r="CI1128" s="146"/>
      <c r="CJ1128" s="153"/>
      <c r="CV1128" s="154"/>
      <c r="CX1128" s="154"/>
      <c r="CZ1128" s="154"/>
      <c r="DB1128" s="154"/>
      <c r="DD1128" s="154"/>
      <c r="DH1128" s="474"/>
      <c r="DI1128" s="459"/>
      <c r="DJ1128" s="459"/>
      <c r="DK1128" s="459"/>
      <c r="DL1128" s="459"/>
      <c r="DM1128" s="459"/>
      <c r="DN1128" s="459"/>
      <c r="DO1128" s="459"/>
      <c r="DP1128" s="459"/>
      <c r="DQ1128" s="459"/>
      <c r="DR1128" s="459"/>
      <c r="DS1128" s="459"/>
      <c r="DT1128" s="459"/>
      <c r="DU1128" s="459"/>
      <c r="DV1128" s="468"/>
      <c r="DW1128" s="468"/>
      <c r="DX1128" s="459"/>
      <c r="DY1128" s="459"/>
    </row>
    <row r="1129" spans="1:129" s="128" customFormat="1" ht="54.95" customHeight="1" x14ac:dyDescent="0.25">
      <c r="A1129" s="377"/>
      <c r="B1129" s="175"/>
      <c r="C1129" s="393"/>
      <c r="D1129" s="168"/>
      <c r="E1129" s="168"/>
      <c r="F1129" s="168"/>
      <c r="G1129" s="168"/>
      <c r="H1129" s="168"/>
      <c r="I1129" s="168"/>
      <c r="J1129" s="168"/>
      <c r="K1129" s="168"/>
      <c r="L1129" s="168"/>
      <c r="M1129" s="168"/>
      <c r="N1129" s="168"/>
      <c r="O1129" s="433"/>
      <c r="P1129" s="122"/>
      <c r="Q1129" s="156"/>
      <c r="R1129" s="156"/>
      <c r="S1129" s="156"/>
      <c r="T1129" s="156"/>
      <c r="U1129" s="156"/>
      <c r="V1129" s="156"/>
      <c r="W1129" s="156"/>
      <c r="X1129" s="156"/>
      <c r="Y1129" s="156"/>
      <c r="Z1129" s="157"/>
      <c r="AA1129" s="157"/>
      <c r="AB1129" s="156"/>
      <c r="AC1129" s="156"/>
      <c r="AD1129" s="156"/>
      <c r="AE1129" s="156"/>
      <c r="AF1129" s="156"/>
      <c r="AG1129" s="156"/>
      <c r="AH1129" s="156"/>
      <c r="AI1129" s="156"/>
      <c r="AJ1129" s="156"/>
      <c r="AK1129" s="156"/>
      <c r="AL1129" s="156"/>
      <c r="AM1129" s="158"/>
      <c r="AN1129" s="156"/>
      <c r="AO1129" s="156"/>
      <c r="AP1129" s="156"/>
      <c r="AQ1129" s="156"/>
      <c r="AR1129" s="156"/>
      <c r="AS1129" s="156"/>
      <c r="AT1129" s="156"/>
      <c r="AU1129" s="156"/>
      <c r="AV1129" s="156"/>
      <c r="AW1129" s="156"/>
      <c r="AX1129" s="156"/>
      <c r="AY1129" s="156"/>
      <c r="AZ1129" s="156"/>
      <c r="BA1129" s="153"/>
      <c r="BD1129" s="153"/>
      <c r="BE1129" s="147"/>
      <c r="BI1129" s="153"/>
      <c r="BO1129" s="153"/>
      <c r="BW1129" s="153"/>
      <c r="CD1129" s="146"/>
      <c r="CF1129" s="147"/>
      <c r="CI1129" s="146"/>
      <c r="CJ1129" s="153"/>
      <c r="CV1129" s="154"/>
      <c r="CX1129" s="154"/>
      <c r="CZ1129" s="154"/>
      <c r="DB1129" s="154"/>
      <c r="DD1129" s="154"/>
      <c r="DH1129" s="474"/>
      <c r="DI1129" s="459"/>
      <c r="DJ1129" s="459"/>
      <c r="DK1129" s="459"/>
      <c r="DL1129" s="459"/>
      <c r="DM1129" s="459"/>
      <c r="DN1129" s="459"/>
      <c r="DO1129" s="459"/>
      <c r="DP1129" s="459"/>
      <c r="DQ1129" s="459"/>
      <c r="DR1129" s="459"/>
      <c r="DS1129" s="459"/>
      <c r="DT1129" s="459"/>
      <c r="DU1129" s="459"/>
      <c r="DV1129" s="468"/>
      <c r="DW1129" s="468"/>
      <c r="DX1129" s="459"/>
      <c r="DY1129" s="459"/>
    </row>
    <row r="1130" spans="1:129" s="128" customFormat="1" ht="54.95" customHeight="1" x14ac:dyDescent="0.25">
      <c r="A1130" s="377"/>
      <c r="B1130" s="175"/>
      <c r="C1130" s="393"/>
      <c r="D1130" s="168"/>
      <c r="E1130" s="168"/>
      <c r="F1130" s="168"/>
      <c r="G1130" s="168"/>
      <c r="H1130" s="168"/>
      <c r="I1130" s="168"/>
      <c r="J1130" s="168"/>
      <c r="K1130" s="168"/>
      <c r="L1130" s="168"/>
      <c r="M1130" s="168"/>
      <c r="N1130" s="168"/>
      <c r="O1130" s="433"/>
      <c r="P1130" s="122"/>
      <c r="Q1130" s="156"/>
      <c r="R1130" s="156"/>
      <c r="S1130" s="156"/>
      <c r="T1130" s="156"/>
      <c r="U1130" s="156"/>
      <c r="V1130" s="156"/>
      <c r="W1130" s="156"/>
      <c r="X1130" s="156"/>
      <c r="Y1130" s="156"/>
      <c r="Z1130" s="157"/>
      <c r="AA1130" s="157"/>
      <c r="AB1130" s="156"/>
      <c r="AC1130" s="156"/>
      <c r="AD1130" s="156"/>
      <c r="AE1130" s="156"/>
      <c r="AF1130" s="156"/>
      <c r="AG1130" s="156"/>
      <c r="AH1130" s="156"/>
      <c r="AI1130" s="156"/>
      <c r="AJ1130" s="156"/>
      <c r="AK1130" s="156"/>
      <c r="AL1130" s="156"/>
      <c r="AM1130" s="158"/>
      <c r="AN1130" s="156"/>
      <c r="AO1130" s="156"/>
      <c r="AP1130" s="156"/>
      <c r="AQ1130" s="156"/>
      <c r="AR1130" s="156"/>
      <c r="AS1130" s="156"/>
      <c r="AT1130" s="156"/>
      <c r="AU1130" s="156"/>
      <c r="AV1130" s="156"/>
      <c r="AW1130" s="156"/>
      <c r="AX1130" s="156"/>
      <c r="AY1130" s="156"/>
      <c r="AZ1130" s="156"/>
      <c r="BA1130" s="153"/>
      <c r="BD1130" s="153"/>
      <c r="BE1130" s="147"/>
      <c r="BI1130" s="153"/>
      <c r="BO1130" s="153"/>
      <c r="BW1130" s="153"/>
      <c r="CD1130" s="146"/>
      <c r="CF1130" s="147"/>
      <c r="CI1130" s="146"/>
      <c r="CJ1130" s="153"/>
      <c r="CV1130" s="154"/>
      <c r="CX1130" s="154"/>
      <c r="CZ1130" s="154"/>
      <c r="DB1130" s="154"/>
      <c r="DD1130" s="154"/>
      <c r="DH1130" s="474"/>
      <c r="DI1130" s="459"/>
      <c r="DJ1130" s="459"/>
      <c r="DK1130" s="459"/>
      <c r="DL1130" s="459"/>
      <c r="DM1130" s="459"/>
      <c r="DN1130" s="459"/>
      <c r="DO1130" s="459"/>
      <c r="DP1130" s="459"/>
      <c r="DQ1130" s="459"/>
      <c r="DR1130" s="459"/>
      <c r="DS1130" s="459"/>
      <c r="DT1130" s="459"/>
      <c r="DU1130" s="459"/>
      <c r="DV1130" s="468"/>
      <c r="DW1130" s="468"/>
      <c r="DX1130" s="459"/>
      <c r="DY1130" s="459"/>
    </row>
    <row r="1131" spans="1:129" s="128" customFormat="1" ht="54.95" customHeight="1" x14ac:dyDescent="0.25">
      <c r="A1131" s="377"/>
      <c r="B1131" s="175"/>
      <c r="C1131" s="393"/>
      <c r="D1131" s="168"/>
      <c r="E1131" s="168"/>
      <c r="F1131" s="168"/>
      <c r="G1131" s="168"/>
      <c r="H1131" s="168"/>
      <c r="I1131" s="168"/>
      <c r="J1131" s="168"/>
      <c r="K1131" s="168"/>
      <c r="L1131" s="168"/>
      <c r="M1131" s="168"/>
      <c r="N1131" s="168"/>
      <c r="O1131" s="433"/>
      <c r="P1131" s="122"/>
      <c r="Q1131" s="156"/>
      <c r="R1131" s="156"/>
      <c r="S1131" s="156"/>
      <c r="T1131" s="156"/>
      <c r="U1131" s="156"/>
      <c r="V1131" s="156"/>
      <c r="W1131" s="156"/>
      <c r="X1131" s="156"/>
      <c r="Y1131" s="156"/>
      <c r="Z1131" s="157"/>
      <c r="AA1131" s="157"/>
      <c r="AB1131" s="156"/>
      <c r="AC1131" s="156"/>
      <c r="AD1131" s="156"/>
      <c r="AE1131" s="156"/>
      <c r="AF1131" s="156"/>
      <c r="AG1131" s="156"/>
      <c r="AH1131" s="156"/>
      <c r="AI1131" s="156"/>
      <c r="AJ1131" s="156"/>
      <c r="AK1131" s="156"/>
      <c r="AL1131" s="156"/>
      <c r="AM1131" s="158"/>
      <c r="AN1131" s="156"/>
      <c r="AO1131" s="156"/>
      <c r="AP1131" s="156"/>
      <c r="AQ1131" s="156"/>
      <c r="AR1131" s="156"/>
      <c r="AS1131" s="156"/>
      <c r="AT1131" s="156"/>
      <c r="AU1131" s="156"/>
      <c r="AV1131" s="156"/>
      <c r="AW1131" s="156"/>
      <c r="AX1131" s="156"/>
      <c r="AY1131" s="156"/>
      <c r="AZ1131" s="156"/>
      <c r="BA1131" s="153"/>
      <c r="BD1131" s="153"/>
      <c r="BE1131" s="147"/>
      <c r="BI1131" s="153"/>
      <c r="BO1131" s="153"/>
      <c r="BW1131" s="153"/>
      <c r="CD1131" s="146"/>
      <c r="CF1131" s="147"/>
      <c r="CI1131" s="146"/>
      <c r="CJ1131" s="153"/>
      <c r="CV1131" s="154"/>
      <c r="CX1131" s="154"/>
      <c r="CZ1131" s="154"/>
      <c r="DB1131" s="154"/>
      <c r="DD1131" s="154"/>
      <c r="DH1131" s="474"/>
      <c r="DI1131" s="459"/>
      <c r="DJ1131" s="459"/>
      <c r="DK1131" s="459"/>
      <c r="DL1131" s="459"/>
      <c r="DM1131" s="459"/>
      <c r="DN1131" s="459"/>
      <c r="DO1131" s="459"/>
      <c r="DP1131" s="459"/>
      <c r="DQ1131" s="459"/>
      <c r="DR1131" s="459"/>
      <c r="DS1131" s="459"/>
      <c r="DT1131" s="459"/>
      <c r="DU1131" s="459"/>
      <c r="DV1131" s="468"/>
      <c r="DW1131" s="468"/>
      <c r="DX1131" s="459"/>
      <c r="DY1131" s="459"/>
    </row>
    <row r="1132" spans="1:129" s="128" customFormat="1" ht="54.95" customHeight="1" x14ac:dyDescent="0.25">
      <c r="A1132" s="377"/>
      <c r="B1132" s="175"/>
      <c r="C1132" s="393"/>
      <c r="D1132" s="168"/>
      <c r="E1132" s="168"/>
      <c r="F1132" s="168"/>
      <c r="G1132" s="168"/>
      <c r="H1132" s="168"/>
      <c r="I1132" s="168"/>
      <c r="J1132" s="168"/>
      <c r="K1132" s="168"/>
      <c r="L1132" s="168"/>
      <c r="M1132" s="168"/>
      <c r="N1132" s="168"/>
      <c r="O1132" s="433"/>
      <c r="P1132" s="122"/>
      <c r="Q1132" s="156"/>
      <c r="R1132" s="156"/>
      <c r="S1132" s="156"/>
      <c r="T1132" s="156"/>
      <c r="U1132" s="156"/>
      <c r="V1132" s="156"/>
      <c r="W1132" s="156"/>
      <c r="X1132" s="156"/>
      <c r="Y1132" s="156"/>
      <c r="Z1132" s="157"/>
      <c r="AA1132" s="157"/>
      <c r="AB1132" s="156"/>
      <c r="AC1132" s="156"/>
      <c r="AD1132" s="156"/>
      <c r="AE1132" s="156"/>
      <c r="AF1132" s="156"/>
      <c r="AG1132" s="156"/>
      <c r="AH1132" s="156"/>
      <c r="AI1132" s="156"/>
      <c r="AJ1132" s="156"/>
      <c r="AK1132" s="156"/>
      <c r="AL1132" s="156"/>
      <c r="AM1132" s="158"/>
      <c r="AN1132" s="156"/>
      <c r="AO1132" s="156"/>
      <c r="AP1132" s="156"/>
      <c r="AQ1132" s="156"/>
      <c r="AR1132" s="156"/>
      <c r="AS1132" s="156"/>
      <c r="AT1132" s="156"/>
      <c r="AU1132" s="156"/>
      <c r="AV1132" s="156"/>
      <c r="AW1132" s="156"/>
      <c r="AX1132" s="156"/>
      <c r="AY1132" s="156"/>
      <c r="AZ1132" s="156"/>
      <c r="BA1132" s="153"/>
      <c r="BD1132" s="153"/>
      <c r="BE1132" s="147"/>
      <c r="BI1132" s="153"/>
      <c r="BO1132" s="153"/>
      <c r="BW1132" s="153"/>
      <c r="CD1132" s="146"/>
      <c r="CF1132" s="147"/>
      <c r="CI1132" s="146"/>
      <c r="CJ1132" s="153"/>
      <c r="CV1132" s="154"/>
      <c r="CX1132" s="154"/>
      <c r="CZ1132" s="154"/>
      <c r="DB1132" s="154"/>
      <c r="DD1132" s="154"/>
      <c r="DH1132" s="474"/>
      <c r="DI1132" s="459"/>
      <c r="DJ1132" s="459"/>
      <c r="DK1132" s="459"/>
      <c r="DL1132" s="459"/>
      <c r="DM1132" s="459"/>
      <c r="DN1132" s="459"/>
      <c r="DO1132" s="459"/>
      <c r="DP1132" s="459"/>
      <c r="DQ1132" s="459"/>
      <c r="DR1132" s="459"/>
      <c r="DS1132" s="459"/>
      <c r="DT1132" s="459"/>
      <c r="DU1132" s="459"/>
      <c r="DV1132" s="468"/>
      <c r="DW1132" s="468"/>
      <c r="DX1132" s="459"/>
      <c r="DY1132" s="459"/>
    </row>
    <row r="1133" spans="1:129" s="128" customFormat="1" ht="54.95" customHeight="1" x14ac:dyDescent="0.25">
      <c r="A1133" s="377"/>
      <c r="B1133" s="175"/>
      <c r="C1133" s="393"/>
      <c r="D1133" s="168"/>
      <c r="E1133" s="168"/>
      <c r="F1133" s="168"/>
      <c r="G1133" s="168"/>
      <c r="H1133" s="168"/>
      <c r="I1133" s="168"/>
      <c r="J1133" s="168"/>
      <c r="K1133" s="168"/>
      <c r="L1133" s="168"/>
      <c r="M1133" s="168"/>
      <c r="N1133" s="168"/>
      <c r="O1133" s="433"/>
      <c r="P1133" s="122"/>
      <c r="Q1133" s="156"/>
      <c r="R1133" s="156"/>
      <c r="S1133" s="156"/>
      <c r="T1133" s="156"/>
      <c r="U1133" s="156"/>
      <c r="V1133" s="156"/>
      <c r="W1133" s="156"/>
      <c r="X1133" s="156"/>
      <c r="Y1133" s="156"/>
      <c r="Z1133" s="157"/>
      <c r="AA1133" s="157"/>
      <c r="AB1133" s="156"/>
      <c r="AC1133" s="156"/>
      <c r="AD1133" s="156"/>
      <c r="AE1133" s="156"/>
      <c r="AF1133" s="156"/>
      <c r="AG1133" s="156"/>
      <c r="AH1133" s="156"/>
      <c r="AI1133" s="156"/>
      <c r="AJ1133" s="156"/>
      <c r="AK1133" s="156"/>
      <c r="AL1133" s="156"/>
      <c r="AM1133" s="158"/>
      <c r="AN1133" s="156"/>
      <c r="AO1133" s="156"/>
      <c r="AP1133" s="156"/>
      <c r="AQ1133" s="156"/>
      <c r="AR1133" s="156"/>
      <c r="AS1133" s="156"/>
      <c r="AT1133" s="156"/>
      <c r="AU1133" s="156"/>
      <c r="AV1133" s="156"/>
      <c r="AW1133" s="156"/>
      <c r="AX1133" s="156"/>
      <c r="AY1133" s="156"/>
      <c r="AZ1133" s="156"/>
      <c r="BA1133" s="153"/>
      <c r="BD1133" s="153"/>
      <c r="BE1133" s="147"/>
      <c r="BI1133" s="153"/>
      <c r="BO1133" s="153"/>
      <c r="BW1133" s="153"/>
      <c r="CD1133" s="146"/>
      <c r="CF1133" s="147"/>
      <c r="CI1133" s="146"/>
      <c r="CJ1133" s="153"/>
      <c r="CV1133" s="154"/>
      <c r="CX1133" s="154"/>
      <c r="CZ1133" s="154"/>
      <c r="DB1133" s="154"/>
      <c r="DD1133" s="154"/>
      <c r="DH1133" s="474"/>
      <c r="DI1133" s="459"/>
      <c r="DJ1133" s="459"/>
      <c r="DK1133" s="459"/>
      <c r="DL1133" s="459"/>
      <c r="DM1133" s="459"/>
      <c r="DN1133" s="459"/>
      <c r="DO1133" s="459"/>
      <c r="DP1133" s="459"/>
      <c r="DQ1133" s="459"/>
      <c r="DR1133" s="459"/>
      <c r="DS1133" s="459"/>
      <c r="DT1133" s="459"/>
      <c r="DU1133" s="459"/>
      <c r="DV1133" s="468"/>
      <c r="DW1133" s="468"/>
      <c r="DX1133" s="459"/>
      <c r="DY1133" s="459"/>
    </row>
    <row r="1134" spans="1:129" s="128" customFormat="1" ht="54.95" customHeight="1" x14ac:dyDescent="0.25">
      <c r="A1134" s="377"/>
      <c r="B1134" s="175"/>
      <c r="C1134" s="393"/>
      <c r="D1134" s="168"/>
      <c r="E1134" s="168"/>
      <c r="F1134" s="168"/>
      <c r="G1134" s="168"/>
      <c r="H1134" s="168"/>
      <c r="I1134" s="168"/>
      <c r="J1134" s="168"/>
      <c r="K1134" s="168"/>
      <c r="L1134" s="168"/>
      <c r="M1134" s="168"/>
      <c r="N1134" s="168"/>
      <c r="O1134" s="433"/>
      <c r="P1134" s="122"/>
      <c r="Q1134" s="156"/>
      <c r="R1134" s="156"/>
      <c r="S1134" s="156"/>
      <c r="T1134" s="156"/>
      <c r="U1134" s="156"/>
      <c r="V1134" s="156"/>
      <c r="W1134" s="156"/>
      <c r="X1134" s="156"/>
      <c r="Y1134" s="156"/>
      <c r="Z1134" s="157"/>
      <c r="AA1134" s="157"/>
      <c r="AB1134" s="156"/>
      <c r="AC1134" s="156"/>
      <c r="AD1134" s="156"/>
      <c r="AE1134" s="156"/>
      <c r="AF1134" s="156"/>
      <c r="AG1134" s="156"/>
      <c r="AH1134" s="156"/>
      <c r="AI1134" s="156"/>
      <c r="AJ1134" s="156"/>
      <c r="AK1134" s="156"/>
      <c r="AL1134" s="156"/>
      <c r="AM1134" s="158"/>
      <c r="AN1134" s="156"/>
      <c r="AO1134" s="156"/>
      <c r="AP1134" s="156"/>
      <c r="AQ1134" s="156"/>
      <c r="AR1134" s="156"/>
      <c r="AS1134" s="156"/>
      <c r="AT1134" s="156"/>
      <c r="AU1134" s="156"/>
      <c r="AV1134" s="156"/>
      <c r="AW1134" s="156"/>
      <c r="AX1134" s="156"/>
      <c r="AY1134" s="156"/>
      <c r="AZ1134" s="156"/>
      <c r="BA1134" s="153"/>
      <c r="BD1134" s="153"/>
      <c r="BE1134" s="147"/>
      <c r="BI1134" s="153"/>
      <c r="BO1134" s="153"/>
      <c r="BW1134" s="153"/>
      <c r="CD1134" s="146"/>
      <c r="CF1134" s="147"/>
      <c r="CI1134" s="146"/>
      <c r="CJ1134" s="153"/>
      <c r="CV1134" s="154"/>
      <c r="CX1134" s="154"/>
      <c r="CZ1134" s="154"/>
      <c r="DB1134" s="154"/>
      <c r="DD1134" s="154"/>
      <c r="DH1134" s="474"/>
      <c r="DI1134" s="459"/>
      <c r="DJ1134" s="459"/>
      <c r="DK1134" s="459"/>
      <c r="DL1134" s="459"/>
      <c r="DM1134" s="459"/>
      <c r="DN1134" s="459"/>
      <c r="DO1134" s="459"/>
      <c r="DP1134" s="459"/>
      <c r="DQ1134" s="459"/>
      <c r="DR1134" s="459"/>
      <c r="DS1134" s="459"/>
      <c r="DT1134" s="459"/>
      <c r="DU1134" s="459"/>
      <c r="DV1134" s="468"/>
      <c r="DW1134" s="468"/>
      <c r="DX1134" s="459"/>
      <c r="DY1134" s="459"/>
    </row>
    <row r="1135" spans="1:129" s="128" customFormat="1" ht="54.95" customHeight="1" x14ac:dyDescent="0.25">
      <c r="A1135" s="377"/>
      <c r="B1135" s="175"/>
      <c r="C1135" s="393"/>
      <c r="D1135" s="168"/>
      <c r="E1135" s="168"/>
      <c r="F1135" s="168"/>
      <c r="G1135" s="168"/>
      <c r="H1135" s="168"/>
      <c r="I1135" s="168"/>
      <c r="J1135" s="168"/>
      <c r="K1135" s="168"/>
      <c r="L1135" s="168"/>
      <c r="M1135" s="168"/>
      <c r="N1135" s="168"/>
      <c r="O1135" s="433"/>
      <c r="P1135" s="122"/>
      <c r="Q1135" s="156"/>
      <c r="R1135" s="156"/>
      <c r="S1135" s="156"/>
      <c r="T1135" s="156"/>
      <c r="U1135" s="156"/>
      <c r="V1135" s="156"/>
      <c r="W1135" s="156"/>
      <c r="X1135" s="156"/>
      <c r="Y1135" s="156"/>
      <c r="Z1135" s="157"/>
      <c r="AA1135" s="157"/>
      <c r="AB1135" s="156"/>
      <c r="AC1135" s="156"/>
      <c r="AD1135" s="156"/>
      <c r="AE1135" s="156"/>
      <c r="AF1135" s="156"/>
      <c r="AG1135" s="156"/>
      <c r="AH1135" s="156"/>
      <c r="AI1135" s="156"/>
      <c r="AJ1135" s="156"/>
      <c r="AK1135" s="156"/>
      <c r="AL1135" s="156"/>
      <c r="AM1135" s="158"/>
      <c r="AN1135" s="156"/>
      <c r="AO1135" s="156"/>
      <c r="AP1135" s="156"/>
      <c r="AQ1135" s="156"/>
      <c r="AR1135" s="156"/>
      <c r="AS1135" s="156"/>
      <c r="AT1135" s="156"/>
      <c r="AU1135" s="156"/>
      <c r="AV1135" s="156"/>
      <c r="AW1135" s="156"/>
      <c r="AX1135" s="156"/>
      <c r="AY1135" s="156"/>
      <c r="AZ1135" s="156"/>
      <c r="BA1135" s="153"/>
      <c r="BD1135" s="153"/>
      <c r="BE1135" s="147"/>
      <c r="BI1135" s="153"/>
      <c r="BO1135" s="153"/>
      <c r="BW1135" s="153"/>
      <c r="CD1135" s="146"/>
      <c r="CF1135" s="147"/>
      <c r="CI1135" s="146"/>
      <c r="CJ1135" s="153"/>
      <c r="CV1135" s="154"/>
      <c r="CX1135" s="154"/>
      <c r="CZ1135" s="154"/>
      <c r="DB1135" s="154"/>
      <c r="DD1135" s="154"/>
      <c r="DH1135" s="474"/>
      <c r="DI1135" s="459"/>
      <c r="DJ1135" s="459"/>
      <c r="DK1135" s="459"/>
      <c r="DL1135" s="459"/>
      <c r="DM1135" s="459"/>
      <c r="DN1135" s="459"/>
      <c r="DO1135" s="459"/>
      <c r="DP1135" s="459"/>
      <c r="DQ1135" s="459"/>
      <c r="DR1135" s="459"/>
      <c r="DS1135" s="459"/>
      <c r="DT1135" s="459"/>
      <c r="DU1135" s="459"/>
      <c r="DV1135" s="468"/>
      <c r="DW1135" s="468"/>
      <c r="DX1135" s="459"/>
      <c r="DY1135" s="459"/>
    </row>
    <row r="1136" spans="1:129" s="128" customFormat="1" ht="54.95" customHeight="1" x14ac:dyDescent="0.25">
      <c r="A1136" s="377"/>
      <c r="B1136" s="175"/>
      <c r="C1136" s="393"/>
      <c r="D1136" s="168"/>
      <c r="E1136" s="168"/>
      <c r="F1136" s="168"/>
      <c r="G1136" s="168"/>
      <c r="H1136" s="168"/>
      <c r="I1136" s="168"/>
      <c r="J1136" s="168"/>
      <c r="K1136" s="168"/>
      <c r="L1136" s="168"/>
      <c r="M1136" s="168"/>
      <c r="N1136" s="168"/>
      <c r="O1136" s="433"/>
      <c r="P1136" s="122"/>
      <c r="Q1136" s="156"/>
      <c r="R1136" s="156"/>
      <c r="S1136" s="156"/>
      <c r="T1136" s="156"/>
      <c r="U1136" s="156"/>
      <c r="V1136" s="156"/>
      <c r="W1136" s="156"/>
      <c r="X1136" s="156"/>
      <c r="Y1136" s="156"/>
      <c r="Z1136" s="157"/>
      <c r="AA1136" s="157"/>
      <c r="AB1136" s="156"/>
      <c r="AC1136" s="156"/>
      <c r="AD1136" s="156"/>
      <c r="AE1136" s="156"/>
      <c r="AF1136" s="156"/>
      <c r="AG1136" s="156"/>
      <c r="AH1136" s="156"/>
      <c r="AI1136" s="156"/>
      <c r="AJ1136" s="156"/>
      <c r="AK1136" s="156"/>
      <c r="AL1136" s="156"/>
      <c r="AM1136" s="158"/>
      <c r="AN1136" s="156"/>
      <c r="AO1136" s="156"/>
      <c r="AP1136" s="156"/>
      <c r="AQ1136" s="156"/>
      <c r="AR1136" s="156"/>
      <c r="AS1136" s="156"/>
      <c r="AT1136" s="156"/>
      <c r="AU1136" s="156"/>
      <c r="AV1136" s="156"/>
      <c r="AW1136" s="156"/>
      <c r="AX1136" s="156"/>
      <c r="AY1136" s="156"/>
      <c r="AZ1136" s="156"/>
      <c r="BA1136" s="153"/>
      <c r="BD1136" s="153"/>
      <c r="BE1136" s="147"/>
      <c r="BI1136" s="153"/>
      <c r="BO1136" s="153"/>
      <c r="BW1136" s="153"/>
      <c r="CD1136" s="146"/>
      <c r="CF1136" s="147"/>
      <c r="CI1136" s="146"/>
      <c r="CJ1136" s="153"/>
      <c r="CV1136" s="154"/>
      <c r="CX1136" s="154"/>
      <c r="CZ1136" s="154"/>
      <c r="DB1136" s="154"/>
      <c r="DD1136" s="154"/>
      <c r="DH1136" s="474"/>
      <c r="DI1136" s="459"/>
      <c r="DJ1136" s="459"/>
      <c r="DK1136" s="459"/>
      <c r="DL1136" s="459"/>
      <c r="DM1136" s="459"/>
      <c r="DN1136" s="459"/>
      <c r="DO1136" s="459"/>
      <c r="DP1136" s="459"/>
      <c r="DQ1136" s="459"/>
      <c r="DR1136" s="459"/>
      <c r="DS1136" s="459"/>
      <c r="DT1136" s="459"/>
      <c r="DU1136" s="459"/>
      <c r="DV1136" s="468"/>
      <c r="DW1136" s="468"/>
      <c r="DX1136" s="459"/>
      <c r="DY1136" s="459"/>
    </row>
    <row r="1137" spans="1:129" s="128" customFormat="1" ht="54.95" customHeight="1" x14ac:dyDescent="0.25">
      <c r="A1137" s="377"/>
      <c r="B1137" s="175"/>
      <c r="C1137" s="393"/>
      <c r="D1137" s="168"/>
      <c r="E1137" s="168"/>
      <c r="F1137" s="168"/>
      <c r="G1137" s="168"/>
      <c r="H1137" s="168"/>
      <c r="I1137" s="168"/>
      <c r="J1137" s="168"/>
      <c r="K1137" s="168"/>
      <c r="L1137" s="168"/>
      <c r="M1137" s="168"/>
      <c r="N1137" s="168"/>
      <c r="O1137" s="433"/>
      <c r="P1137" s="122"/>
      <c r="Q1137" s="156"/>
      <c r="R1137" s="156"/>
      <c r="S1137" s="156"/>
      <c r="T1137" s="156"/>
      <c r="U1137" s="156"/>
      <c r="V1137" s="156"/>
      <c r="W1137" s="156"/>
      <c r="X1137" s="156"/>
      <c r="Y1137" s="156"/>
      <c r="Z1137" s="157"/>
      <c r="AA1137" s="157"/>
      <c r="AB1137" s="156"/>
      <c r="AC1137" s="156"/>
      <c r="AD1137" s="156"/>
      <c r="AE1137" s="156"/>
      <c r="AF1137" s="156"/>
      <c r="AG1137" s="156"/>
      <c r="AH1137" s="156"/>
      <c r="AI1137" s="156"/>
      <c r="AJ1137" s="156"/>
      <c r="AK1137" s="156"/>
      <c r="AL1137" s="156"/>
      <c r="AM1137" s="158"/>
      <c r="AN1137" s="156"/>
      <c r="AO1137" s="156"/>
      <c r="AP1137" s="156"/>
      <c r="AQ1137" s="156"/>
      <c r="AR1137" s="156"/>
      <c r="AS1137" s="156"/>
      <c r="AT1137" s="156"/>
      <c r="AU1137" s="156"/>
      <c r="AV1137" s="156"/>
      <c r="AW1137" s="156"/>
      <c r="AX1137" s="156"/>
      <c r="AY1137" s="156"/>
      <c r="AZ1137" s="156"/>
      <c r="BA1137" s="153"/>
      <c r="BD1137" s="153"/>
      <c r="BE1137" s="147"/>
      <c r="BI1137" s="153"/>
      <c r="BO1137" s="153"/>
      <c r="BW1137" s="153"/>
      <c r="CD1137" s="146"/>
      <c r="CF1137" s="147"/>
      <c r="CI1137" s="146"/>
      <c r="CJ1137" s="153"/>
      <c r="CV1137" s="154"/>
      <c r="CX1137" s="154"/>
      <c r="CZ1137" s="154"/>
      <c r="DB1137" s="154"/>
      <c r="DD1137" s="154"/>
      <c r="DH1137" s="474"/>
      <c r="DI1137" s="459"/>
      <c r="DJ1137" s="459"/>
      <c r="DK1137" s="459"/>
      <c r="DL1137" s="459"/>
      <c r="DM1137" s="459"/>
      <c r="DN1137" s="459"/>
      <c r="DO1137" s="459"/>
      <c r="DP1137" s="459"/>
      <c r="DQ1137" s="459"/>
      <c r="DR1137" s="459"/>
      <c r="DS1137" s="459"/>
      <c r="DT1137" s="459"/>
      <c r="DU1137" s="459"/>
      <c r="DV1137" s="468"/>
      <c r="DW1137" s="468"/>
      <c r="DX1137" s="459"/>
      <c r="DY1137" s="459"/>
    </row>
    <row r="1138" spans="1:129" s="128" customFormat="1" ht="54.95" customHeight="1" x14ac:dyDescent="0.25">
      <c r="A1138" s="377"/>
      <c r="B1138" s="175"/>
      <c r="C1138" s="393"/>
      <c r="D1138" s="168"/>
      <c r="E1138" s="168"/>
      <c r="F1138" s="168"/>
      <c r="G1138" s="168"/>
      <c r="H1138" s="168"/>
      <c r="I1138" s="168"/>
      <c r="J1138" s="168"/>
      <c r="K1138" s="168"/>
      <c r="L1138" s="168"/>
      <c r="M1138" s="168"/>
      <c r="N1138" s="168"/>
      <c r="O1138" s="433"/>
      <c r="P1138" s="122"/>
      <c r="Q1138" s="156"/>
      <c r="R1138" s="156"/>
      <c r="S1138" s="156"/>
      <c r="T1138" s="156"/>
      <c r="U1138" s="156"/>
      <c r="V1138" s="156"/>
      <c r="W1138" s="156"/>
      <c r="X1138" s="156"/>
      <c r="Y1138" s="156"/>
      <c r="Z1138" s="157"/>
      <c r="AA1138" s="157"/>
      <c r="AB1138" s="156"/>
      <c r="AC1138" s="156"/>
      <c r="AD1138" s="156"/>
      <c r="AE1138" s="156"/>
      <c r="AF1138" s="156"/>
      <c r="AG1138" s="156"/>
      <c r="AH1138" s="156"/>
      <c r="AI1138" s="156"/>
      <c r="AJ1138" s="156"/>
      <c r="AK1138" s="156"/>
      <c r="AL1138" s="156"/>
      <c r="AM1138" s="158"/>
      <c r="AN1138" s="156"/>
      <c r="AO1138" s="156"/>
      <c r="AP1138" s="156"/>
      <c r="AQ1138" s="156"/>
      <c r="AR1138" s="156"/>
      <c r="AS1138" s="156"/>
      <c r="AT1138" s="156"/>
      <c r="AU1138" s="156"/>
      <c r="AV1138" s="156"/>
      <c r="AW1138" s="156"/>
      <c r="AX1138" s="156"/>
      <c r="AY1138" s="156"/>
      <c r="AZ1138" s="156"/>
      <c r="BA1138" s="153"/>
      <c r="BD1138" s="153"/>
      <c r="BE1138" s="147"/>
      <c r="BI1138" s="153"/>
      <c r="BO1138" s="153"/>
      <c r="BW1138" s="153"/>
      <c r="CD1138" s="146"/>
      <c r="CF1138" s="147"/>
      <c r="CI1138" s="146"/>
      <c r="CJ1138" s="153"/>
      <c r="CV1138" s="154"/>
      <c r="CX1138" s="154"/>
      <c r="CZ1138" s="154"/>
      <c r="DB1138" s="154"/>
      <c r="DD1138" s="154"/>
      <c r="DH1138" s="474"/>
      <c r="DI1138" s="459"/>
      <c r="DJ1138" s="459"/>
      <c r="DK1138" s="459"/>
      <c r="DL1138" s="459"/>
      <c r="DM1138" s="459"/>
      <c r="DN1138" s="459"/>
      <c r="DO1138" s="459"/>
      <c r="DP1138" s="459"/>
      <c r="DQ1138" s="459"/>
      <c r="DR1138" s="459"/>
      <c r="DS1138" s="459"/>
      <c r="DT1138" s="459"/>
      <c r="DU1138" s="459"/>
      <c r="DV1138" s="468"/>
      <c r="DW1138" s="468"/>
      <c r="DX1138" s="459"/>
      <c r="DY1138" s="459"/>
    </row>
    <row r="1139" spans="1:129" s="128" customFormat="1" ht="54.95" customHeight="1" x14ac:dyDescent="0.25">
      <c r="A1139" s="377"/>
      <c r="B1139" s="175"/>
      <c r="C1139" s="393"/>
      <c r="D1139" s="168"/>
      <c r="E1139" s="168"/>
      <c r="F1139" s="168"/>
      <c r="G1139" s="168"/>
      <c r="H1139" s="168"/>
      <c r="I1139" s="168"/>
      <c r="J1139" s="168"/>
      <c r="K1139" s="168"/>
      <c r="L1139" s="168"/>
      <c r="M1139" s="168"/>
      <c r="N1139" s="168"/>
      <c r="O1139" s="433"/>
      <c r="P1139" s="122"/>
      <c r="Q1139" s="156"/>
      <c r="R1139" s="156"/>
      <c r="S1139" s="156"/>
      <c r="T1139" s="156"/>
      <c r="U1139" s="156"/>
      <c r="V1139" s="156"/>
      <c r="W1139" s="156"/>
      <c r="X1139" s="156"/>
      <c r="Y1139" s="156"/>
      <c r="Z1139" s="157"/>
      <c r="AA1139" s="157"/>
      <c r="AB1139" s="156"/>
      <c r="AC1139" s="156"/>
      <c r="AD1139" s="156"/>
      <c r="AE1139" s="156"/>
      <c r="AF1139" s="156"/>
      <c r="AG1139" s="156"/>
      <c r="AH1139" s="156"/>
      <c r="AI1139" s="156"/>
      <c r="AJ1139" s="156"/>
      <c r="AK1139" s="156"/>
      <c r="AL1139" s="156"/>
      <c r="AM1139" s="158"/>
      <c r="AN1139" s="156"/>
      <c r="AO1139" s="156"/>
      <c r="AP1139" s="156"/>
      <c r="AQ1139" s="156"/>
      <c r="AR1139" s="156"/>
      <c r="AS1139" s="156"/>
      <c r="AT1139" s="156"/>
      <c r="AU1139" s="156"/>
      <c r="AV1139" s="156"/>
      <c r="AW1139" s="156"/>
      <c r="AX1139" s="156"/>
      <c r="AY1139" s="156"/>
      <c r="AZ1139" s="156"/>
      <c r="BA1139" s="153"/>
      <c r="BD1139" s="153"/>
      <c r="BE1139" s="147"/>
      <c r="BI1139" s="153"/>
      <c r="BO1139" s="153"/>
      <c r="BW1139" s="153"/>
      <c r="CD1139" s="146"/>
      <c r="CF1139" s="147"/>
      <c r="CI1139" s="146"/>
      <c r="CJ1139" s="153"/>
      <c r="CV1139" s="154"/>
      <c r="CX1139" s="154"/>
      <c r="CZ1139" s="154"/>
      <c r="DB1139" s="154"/>
      <c r="DD1139" s="154"/>
      <c r="DH1139" s="474"/>
      <c r="DI1139" s="459"/>
      <c r="DJ1139" s="459"/>
      <c r="DK1139" s="459"/>
      <c r="DL1139" s="459"/>
      <c r="DM1139" s="459"/>
      <c r="DN1139" s="459"/>
      <c r="DO1139" s="459"/>
      <c r="DP1139" s="459"/>
      <c r="DQ1139" s="459"/>
      <c r="DR1139" s="459"/>
      <c r="DS1139" s="459"/>
      <c r="DT1139" s="459"/>
      <c r="DU1139" s="459"/>
      <c r="DV1139" s="468"/>
      <c r="DW1139" s="468"/>
      <c r="DX1139" s="459"/>
      <c r="DY1139" s="459"/>
    </row>
    <row r="1140" spans="1:129" s="128" customFormat="1" ht="54.95" customHeight="1" x14ac:dyDescent="0.25">
      <c r="A1140" s="377"/>
      <c r="B1140" s="175"/>
      <c r="C1140" s="393"/>
      <c r="D1140" s="168"/>
      <c r="E1140" s="168"/>
      <c r="F1140" s="168"/>
      <c r="G1140" s="168"/>
      <c r="H1140" s="168"/>
      <c r="I1140" s="168"/>
      <c r="J1140" s="168"/>
      <c r="K1140" s="168"/>
      <c r="L1140" s="168"/>
      <c r="M1140" s="168"/>
      <c r="N1140" s="168"/>
      <c r="O1140" s="433"/>
      <c r="P1140" s="122"/>
      <c r="Q1140" s="156"/>
      <c r="R1140" s="156"/>
      <c r="S1140" s="156"/>
      <c r="T1140" s="156"/>
      <c r="U1140" s="156"/>
      <c r="V1140" s="156"/>
      <c r="W1140" s="156"/>
      <c r="X1140" s="156"/>
      <c r="Y1140" s="156"/>
      <c r="Z1140" s="157"/>
      <c r="AA1140" s="157"/>
      <c r="AB1140" s="156"/>
      <c r="AC1140" s="156"/>
      <c r="AD1140" s="156"/>
      <c r="AE1140" s="156"/>
      <c r="AF1140" s="156"/>
      <c r="AG1140" s="156"/>
      <c r="AH1140" s="156"/>
      <c r="AI1140" s="156"/>
      <c r="AJ1140" s="156"/>
      <c r="AK1140" s="156"/>
      <c r="AL1140" s="156"/>
      <c r="AM1140" s="158"/>
      <c r="AN1140" s="156"/>
      <c r="AO1140" s="156"/>
      <c r="AP1140" s="156"/>
      <c r="AQ1140" s="156"/>
      <c r="AR1140" s="156"/>
      <c r="AS1140" s="156"/>
      <c r="AT1140" s="156"/>
      <c r="AU1140" s="156"/>
      <c r="AV1140" s="156"/>
      <c r="AW1140" s="156"/>
      <c r="AX1140" s="156"/>
      <c r="AY1140" s="156"/>
      <c r="AZ1140" s="156"/>
      <c r="BA1140" s="153"/>
      <c r="BD1140" s="153"/>
      <c r="BE1140" s="147"/>
      <c r="BI1140" s="153"/>
      <c r="BO1140" s="153"/>
      <c r="BW1140" s="153"/>
      <c r="CD1140" s="146"/>
      <c r="CF1140" s="147"/>
      <c r="CI1140" s="146"/>
      <c r="CJ1140" s="153"/>
      <c r="CV1140" s="154"/>
      <c r="CX1140" s="154"/>
      <c r="CZ1140" s="154"/>
      <c r="DB1140" s="154"/>
      <c r="DD1140" s="154"/>
      <c r="DH1140" s="474"/>
      <c r="DI1140" s="459"/>
      <c r="DJ1140" s="459"/>
      <c r="DK1140" s="459"/>
      <c r="DL1140" s="459"/>
      <c r="DM1140" s="459"/>
      <c r="DN1140" s="459"/>
      <c r="DO1140" s="459"/>
      <c r="DP1140" s="459"/>
      <c r="DQ1140" s="459"/>
      <c r="DR1140" s="459"/>
      <c r="DS1140" s="459"/>
      <c r="DT1140" s="459"/>
      <c r="DU1140" s="459"/>
      <c r="DV1140" s="468"/>
      <c r="DW1140" s="468"/>
      <c r="DX1140" s="459"/>
      <c r="DY1140" s="459"/>
    </row>
    <row r="1141" spans="1:129" s="128" customFormat="1" ht="54.95" customHeight="1" x14ac:dyDescent="0.25">
      <c r="A1141" s="377"/>
      <c r="B1141" s="175"/>
      <c r="C1141" s="393"/>
      <c r="D1141" s="168"/>
      <c r="E1141" s="168"/>
      <c r="F1141" s="168"/>
      <c r="G1141" s="168"/>
      <c r="H1141" s="168"/>
      <c r="I1141" s="168"/>
      <c r="J1141" s="168"/>
      <c r="K1141" s="168"/>
      <c r="L1141" s="168"/>
      <c r="M1141" s="168"/>
      <c r="N1141" s="168"/>
      <c r="O1141" s="433"/>
      <c r="P1141" s="122"/>
      <c r="Q1141" s="156"/>
      <c r="R1141" s="156"/>
      <c r="S1141" s="156"/>
      <c r="T1141" s="156"/>
      <c r="U1141" s="156"/>
      <c r="V1141" s="156"/>
      <c r="W1141" s="156"/>
      <c r="X1141" s="156"/>
      <c r="Y1141" s="156"/>
      <c r="Z1141" s="157"/>
      <c r="AA1141" s="157"/>
      <c r="AB1141" s="156"/>
      <c r="AC1141" s="156"/>
      <c r="AD1141" s="156"/>
      <c r="AE1141" s="156"/>
      <c r="AF1141" s="156"/>
      <c r="AG1141" s="156"/>
      <c r="AH1141" s="156"/>
      <c r="AI1141" s="156"/>
      <c r="AJ1141" s="156"/>
      <c r="AK1141" s="156"/>
      <c r="AL1141" s="156"/>
      <c r="AM1141" s="158"/>
      <c r="AN1141" s="156"/>
      <c r="AO1141" s="156"/>
      <c r="AP1141" s="156"/>
      <c r="AQ1141" s="156"/>
      <c r="AR1141" s="156"/>
      <c r="AS1141" s="156"/>
      <c r="AT1141" s="156"/>
      <c r="AU1141" s="156"/>
      <c r="AV1141" s="156"/>
      <c r="AW1141" s="156"/>
      <c r="AX1141" s="156"/>
      <c r="AY1141" s="156"/>
      <c r="AZ1141" s="156"/>
      <c r="BA1141" s="153"/>
      <c r="BD1141" s="153"/>
      <c r="BE1141" s="147"/>
      <c r="BI1141" s="153"/>
      <c r="BO1141" s="153"/>
      <c r="BW1141" s="153"/>
      <c r="CD1141" s="146"/>
      <c r="CF1141" s="147"/>
      <c r="CI1141" s="146"/>
      <c r="CJ1141" s="153"/>
      <c r="CV1141" s="154"/>
      <c r="CX1141" s="154"/>
      <c r="CZ1141" s="154"/>
      <c r="DB1141" s="154"/>
      <c r="DD1141" s="154"/>
      <c r="DH1141" s="474"/>
      <c r="DI1141" s="459"/>
      <c r="DJ1141" s="459"/>
      <c r="DK1141" s="459"/>
      <c r="DL1141" s="459"/>
      <c r="DM1141" s="459"/>
      <c r="DN1141" s="459"/>
      <c r="DO1141" s="459"/>
      <c r="DP1141" s="459"/>
      <c r="DQ1141" s="459"/>
      <c r="DR1141" s="459"/>
      <c r="DS1141" s="459"/>
      <c r="DT1141" s="459"/>
      <c r="DU1141" s="459"/>
      <c r="DV1141" s="468"/>
      <c r="DW1141" s="468"/>
      <c r="DX1141" s="459"/>
      <c r="DY1141" s="459"/>
    </row>
    <row r="1142" spans="1:129" s="128" customFormat="1" ht="54.95" customHeight="1" x14ac:dyDescent="0.25">
      <c r="A1142" s="377"/>
      <c r="B1142" s="175"/>
      <c r="C1142" s="393"/>
      <c r="D1142" s="168"/>
      <c r="E1142" s="168"/>
      <c r="F1142" s="168"/>
      <c r="G1142" s="168"/>
      <c r="H1142" s="168"/>
      <c r="I1142" s="168"/>
      <c r="J1142" s="168"/>
      <c r="K1142" s="168"/>
      <c r="L1142" s="168"/>
      <c r="M1142" s="168"/>
      <c r="N1142" s="168"/>
      <c r="O1142" s="433"/>
      <c r="P1142" s="122"/>
      <c r="Q1142" s="156"/>
      <c r="R1142" s="156"/>
      <c r="S1142" s="156"/>
      <c r="T1142" s="156"/>
      <c r="U1142" s="156"/>
      <c r="V1142" s="156"/>
      <c r="W1142" s="156"/>
      <c r="X1142" s="156"/>
      <c r="Y1142" s="156"/>
      <c r="Z1142" s="157"/>
      <c r="AA1142" s="157"/>
      <c r="AB1142" s="156"/>
      <c r="AC1142" s="156"/>
      <c r="AD1142" s="156"/>
      <c r="AE1142" s="156"/>
      <c r="AF1142" s="156"/>
      <c r="AG1142" s="156"/>
      <c r="AH1142" s="156"/>
      <c r="AI1142" s="156"/>
      <c r="AJ1142" s="156"/>
      <c r="AK1142" s="156"/>
      <c r="AL1142" s="156"/>
      <c r="AM1142" s="158"/>
      <c r="AN1142" s="156"/>
      <c r="AO1142" s="156"/>
      <c r="AP1142" s="156"/>
      <c r="AQ1142" s="156"/>
      <c r="AR1142" s="156"/>
      <c r="AS1142" s="156"/>
      <c r="AT1142" s="156"/>
      <c r="AU1142" s="156"/>
      <c r="AV1142" s="156"/>
      <c r="AW1142" s="156"/>
      <c r="AX1142" s="156"/>
      <c r="AY1142" s="156"/>
      <c r="AZ1142" s="156"/>
      <c r="BA1142" s="153"/>
      <c r="BD1142" s="153"/>
      <c r="BE1142" s="147"/>
      <c r="BI1142" s="153"/>
      <c r="BO1142" s="153"/>
      <c r="BW1142" s="153"/>
      <c r="CD1142" s="146"/>
      <c r="CF1142" s="147"/>
      <c r="CI1142" s="146"/>
      <c r="CJ1142" s="153"/>
      <c r="CV1142" s="154"/>
      <c r="CX1142" s="154"/>
      <c r="CZ1142" s="154"/>
      <c r="DB1142" s="154"/>
      <c r="DD1142" s="154"/>
      <c r="DH1142" s="474"/>
      <c r="DI1142" s="459"/>
      <c r="DJ1142" s="459"/>
      <c r="DK1142" s="459"/>
      <c r="DL1142" s="459"/>
      <c r="DM1142" s="459"/>
      <c r="DN1142" s="459"/>
      <c r="DO1142" s="459"/>
      <c r="DP1142" s="459"/>
      <c r="DQ1142" s="459"/>
      <c r="DR1142" s="459"/>
      <c r="DS1142" s="459"/>
      <c r="DT1142" s="459"/>
      <c r="DU1142" s="459"/>
      <c r="DV1142" s="468"/>
      <c r="DW1142" s="468"/>
      <c r="DX1142" s="459"/>
      <c r="DY1142" s="459"/>
    </row>
    <row r="1143" spans="1:129" s="128" customFormat="1" ht="54.95" customHeight="1" x14ac:dyDescent="0.25">
      <c r="A1143" s="377"/>
      <c r="B1143" s="175"/>
      <c r="C1143" s="393"/>
      <c r="D1143" s="168"/>
      <c r="E1143" s="168"/>
      <c r="F1143" s="168"/>
      <c r="G1143" s="168"/>
      <c r="H1143" s="168"/>
      <c r="I1143" s="168"/>
      <c r="J1143" s="168"/>
      <c r="K1143" s="168"/>
      <c r="L1143" s="168"/>
      <c r="M1143" s="168"/>
      <c r="N1143" s="168"/>
      <c r="O1143" s="433"/>
      <c r="P1143" s="122"/>
      <c r="Q1143" s="156"/>
      <c r="R1143" s="156"/>
      <c r="S1143" s="156"/>
      <c r="T1143" s="156"/>
      <c r="U1143" s="156"/>
      <c r="V1143" s="156"/>
      <c r="W1143" s="156"/>
      <c r="X1143" s="156"/>
      <c r="Y1143" s="156"/>
      <c r="Z1143" s="157"/>
      <c r="AA1143" s="157"/>
      <c r="AB1143" s="156"/>
      <c r="AC1143" s="156"/>
      <c r="AD1143" s="156"/>
      <c r="AE1143" s="156"/>
      <c r="AF1143" s="156"/>
      <c r="AG1143" s="156"/>
      <c r="AH1143" s="156"/>
      <c r="AI1143" s="156"/>
      <c r="AJ1143" s="156"/>
      <c r="AK1143" s="156"/>
      <c r="AL1143" s="156"/>
      <c r="AM1143" s="158"/>
      <c r="AN1143" s="156"/>
      <c r="AO1143" s="156"/>
      <c r="AP1143" s="156"/>
      <c r="AQ1143" s="156"/>
      <c r="AR1143" s="156"/>
      <c r="AS1143" s="156"/>
      <c r="AT1143" s="156"/>
      <c r="AU1143" s="156"/>
      <c r="AV1143" s="156"/>
      <c r="AW1143" s="156"/>
      <c r="AX1143" s="156"/>
      <c r="AY1143" s="156"/>
      <c r="AZ1143" s="156"/>
      <c r="BA1143" s="153"/>
      <c r="BD1143" s="153"/>
      <c r="BE1143" s="147"/>
      <c r="BI1143" s="153"/>
      <c r="BO1143" s="153"/>
      <c r="BW1143" s="153"/>
      <c r="CD1143" s="146"/>
      <c r="CF1143" s="147"/>
      <c r="CI1143" s="146"/>
      <c r="CJ1143" s="153"/>
      <c r="CV1143" s="154"/>
      <c r="CX1143" s="154"/>
      <c r="CZ1143" s="154"/>
      <c r="DB1143" s="154"/>
      <c r="DD1143" s="154"/>
      <c r="DH1143" s="474"/>
      <c r="DI1143" s="459"/>
      <c r="DJ1143" s="459"/>
      <c r="DK1143" s="459"/>
      <c r="DL1143" s="459"/>
      <c r="DM1143" s="459"/>
      <c r="DN1143" s="459"/>
      <c r="DO1143" s="459"/>
      <c r="DP1143" s="459"/>
      <c r="DQ1143" s="459"/>
      <c r="DR1143" s="459"/>
      <c r="DS1143" s="459"/>
      <c r="DT1143" s="459"/>
      <c r="DU1143" s="459"/>
      <c r="DV1143" s="468"/>
      <c r="DW1143" s="468"/>
      <c r="DX1143" s="459"/>
      <c r="DY1143" s="459"/>
    </row>
    <row r="1144" spans="1:129" s="128" customFormat="1" ht="54.95" customHeight="1" x14ac:dyDescent="0.25">
      <c r="A1144" s="377"/>
      <c r="B1144" s="175"/>
      <c r="C1144" s="393"/>
      <c r="D1144" s="168"/>
      <c r="E1144" s="168"/>
      <c r="F1144" s="168"/>
      <c r="G1144" s="168"/>
      <c r="H1144" s="168"/>
      <c r="I1144" s="168"/>
      <c r="J1144" s="168"/>
      <c r="K1144" s="168"/>
      <c r="L1144" s="168"/>
      <c r="M1144" s="168"/>
      <c r="N1144" s="168"/>
      <c r="O1144" s="433"/>
      <c r="P1144" s="122"/>
      <c r="Q1144" s="156"/>
      <c r="R1144" s="156"/>
      <c r="S1144" s="156"/>
      <c r="T1144" s="156"/>
      <c r="U1144" s="156"/>
      <c r="V1144" s="156"/>
      <c r="W1144" s="156"/>
      <c r="X1144" s="156"/>
      <c r="Y1144" s="156"/>
      <c r="Z1144" s="157"/>
      <c r="AA1144" s="157"/>
      <c r="AB1144" s="156"/>
      <c r="AC1144" s="156"/>
      <c r="AD1144" s="156"/>
      <c r="AE1144" s="156"/>
      <c r="AF1144" s="156"/>
      <c r="AG1144" s="156"/>
      <c r="AH1144" s="156"/>
      <c r="AI1144" s="156"/>
      <c r="AJ1144" s="156"/>
      <c r="AK1144" s="156"/>
      <c r="AL1144" s="156"/>
      <c r="AM1144" s="158"/>
      <c r="AN1144" s="156"/>
      <c r="AO1144" s="156"/>
      <c r="AP1144" s="156"/>
      <c r="AQ1144" s="156"/>
      <c r="AR1144" s="156"/>
      <c r="AS1144" s="156"/>
      <c r="AT1144" s="156"/>
      <c r="AU1144" s="156"/>
      <c r="AV1144" s="156"/>
      <c r="AW1144" s="156"/>
      <c r="AX1144" s="156"/>
      <c r="AY1144" s="156"/>
      <c r="AZ1144" s="156"/>
      <c r="BA1144" s="153"/>
      <c r="BD1144" s="153"/>
      <c r="BE1144" s="147"/>
      <c r="BI1144" s="153"/>
      <c r="BO1144" s="153"/>
      <c r="BW1144" s="153"/>
      <c r="CD1144" s="146"/>
      <c r="CF1144" s="147"/>
      <c r="CI1144" s="146"/>
      <c r="CJ1144" s="153"/>
      <c r="CV1144" s="154"/>
      <c r="CX1144" s="154"/>
      <c r="CZ1144" s="154"/>
      <c r="DB1144" s="154"/>
      <c r="DD1144" s="154"/>
      <c r="DH1144" s="474"/>
      <c r="DI1144" s="459"/>
      <c r="DJ1144" s="459"/>
      <c r="DK1144" s="459"/>
      <c r="DL1144" s="459"/>
      <c r="DM1144" s="459"/>
      <c r="DN1144" s="459"/>
      <c r="DO1144" s="459"/>
      <c r="DP1144" s="459"/>
      <c r="DQ1144" s="459"/>
      <c r="DR1144" s="459"/>
      <c r="DS1144" s="459"/>
      <c r="DT1144" s="459"/>
      <c r="DU1144" s="459"/>
      <c r="DV1144" s="468"/>
      <c r="DW1144" s="468"/>
      <c r="DX1144" s="459"/>
      <c r="DY1144" s="459"/>
    </row>
    <row r="1145" spans="1:129" s="128" customFormat="1" ht="54.95" customHeight="1" x14ac:dyDescent="0.25">
      <c r="A1145" s="377"/>
      <c r="B1145" s="175"/>
      <c r="C1145" s="393"/>
      <c r="D1145" s="168"/>
      <c r="E1145" s="168"/>
      <c r="F1145" s="168"/>
      <c r="G1145" s="168"/>
      <c r="H1145" s="168"/>
      <c r="I1145" s="168"/>
      <c r="J1145" s="168"/>
      <c r="K1145" s="168"/>
      <c r="L1145" s="168"/>
      <c r="M1145" s="168"/>
      <c r="N1145" s="168"/>
      <c r="O1145" s="433"/>
      <c r="P1145" s="122"/>
      <c r="Q1145" s="156"/>
      <c r="R1145" s="156"/>
      <c r="S1145" s="156"/>
      <c r="T1145" s="156"/>
      <c r="U1145" s="156"/>
      <c r="V1145" s="156"/>
      <c r="W1145" s="156"/>
      <c r="X1145" s="156"/>
      <c r="Y1145" s="156"/>
      <c r="Z1145" s="157"/>
      <c r="AA1145" s="157"/>
      <c r="AB1145" s="156"/>
      <c r="AC1145" s="156"/>
      <c r="AD1145" s="156"/>
      <c r="AE1145" s="156"/>
      <c r="AF1145" s="156"/>
      <c r="AG1145" s="156"/>
      <c r="AH1145" s="156"/>
      <c r="AI1145" s="156"/>
      <c r="AJ1145" s="156"/>
      <c r="AK1145" s="156"/>
      <c r="AL1145" s="156"/>
      <c r="AM1145" s="158"/>
      <c r="AN1145" s="156"/>
      <c r="AO1145" s="156"/>
      <c r="AP1145" s="156"/>
      <c r="AQ1145" s="156"/>
      <c r="AR1145" s="156"/>
      <c r="AS1145" s="156"/>
      <c r="AT1145" s="156"/>
      <c r="AU1145" s="156"/>
      <c r="AV1145" s="156"/>
      <c r="AW1145" s="156"/>
      <c r="AX1145" s="156"/>
      <c r="AY1145" s="156"/>
      <c r="AZ1145" s="156"/>
      <c r="BA1145" s="153"/>
      <c r="BD1145" s="153"/>
      <c r="BE1145" s="147"/>
      <c r="BI1145" s="153"/>
      <c r="BO1145" s="153"/>
      <c r="BW1145" s="153"/>
      <c r="CD1145" s="146"/>
      <c r="CF1145" s="147"/>
      <c r="CI1145" s="146"/>
      <c r="CJ1145" s="153"/>
      <c r="CV1145" s="154"/>
      <c r="CX1145" s="154"/>
      <c r="CZ1145" s="154"/>
      <c r="DB1145" s="154"/>
      <c r="DD1145" s="154"/>
      <c r="DH1145" s="474"/>
      <c r="DI1145" s="459"/>
      <c r="DJ1145" s="459"/>
      <c r="DK1145" s="459"/>
      <c r="DL1145" s="459"/>
      <c r="DM1145" s="459"/>
      <c r="DN1145" s="459"/>
      <c r="DO1145" s="459"/>
      <c r="DP1145" s="459"/>
      <c r="DQ1145" s="459"/>
      <c r="DR1145" s="459"/>
      <c r="DS1145" s="459"/>
      <c r="DT1145" s="459"/>
      <c r="DU1145" s="459"/>
      <c r="DV1145" s="468"/>
      <c r="DW1145" s="468"/>
      <c r="DX1145" s="459"/>
      <c r="DY1145" s="459"/>
    </row>
    <row r="1146" spans="1:129" s="128" customFormat="1" ht="54.95" customHeight="1" x14ac:dyDescent="0.25">
      <c r="A1146" s="377"/>
      <c r="B1146" s="175"/>
      <c r="C1146" s="393"/>
      <c r="D1146" s="168"/>
      <c r="E1146" s="168"/>
      <c r="F1146" s="168"/>
      <c r="G1146" s="168"/>
      <c r="H1146" s="168"/>
      <c r="I1146" s="168"/>
      <c r="J1146" s="168"/>
      <c r="K1146" s="168"/>
      <c r="L1146" s="168"/>
      <c r="M1146" s="168"/>
      <c r="N1146" s="168"/>
      <c r="O1146" s="433"/>
      <c r="P1146" s="122"/>
      <c r="Q1146" s="156"/>
      <c r="R1146" s="156"/>
      <c r="S1146" s="156"/>
      <c r="T1146" s="156"/>
      <c r="U1146" s="156"/>
      <c r="V1146" s="156"/>
      <c r="W1146" s="156"/>
      <c r="X1146" s="156"/>
      <c r="Y1146" s="156"/>
      <c r="Z1146" s="157"/>
      <c r="AA1146" s="157"/>
      <c r="AB1146" s="156"/>
      <c r="AC1146" s="156"/>
      <c r="AD1146" s="156"/>
      <c r="AE1146" s="156"/>
      <c r="AF1146" s="156"/>
      <c r="AG1146" s="156"/>
      <c r="AH1146" s="156"/>
      <c r="AI1146" s="156"/>
      <c r="AJ1146" s="156"/>
      <c r="AK1146" s="156"/>
      <c r="AL1146" s="156"/>
      <c r="AM1146" s="158"/>
      <c r="AN1146" s="156"/>
      <c r="AO1146" s="156"/>
      <c r="AP1146" s="156"/>
      <c r="AQ1146" s="156"/>
      <c r="AR1146" s="156"/>
      <c r="AS1146" s="156"/>
      <c r="AT1146" s="156"/>
      <c r="AU1146" s="156"/>
      <c r="AV1146" s="156"/>
      <c r="AW1146" s="156"/>
      <c r="AX1146" s="156"/>
      <c r="AY1146" s="156"/>
      <c r="AZ1146" s="156"/>
      <c r="BA1146" s="153"/>
      <c r="BD1146" s="153"/>
      <c r="BE1146" s="147"/>
      <c r="BI1146" s="153"/>
      <c r="BO1146" s="153"/>
      <c r="BW1146" s="153"/>
      <c r="CD1146" s="146"/>
      <c r="CF1146" s="147"/>
      <c r="CI1146" s="146"/>
      <c r="CJ1146" s="153"/>
      <c r="CV1146" s="154"/>
      <c r="CX1146" s="154"/>
      <c r="CZ1146" s="154"/>
      <c r="DB1146" s="154"/>
      <c r="DD1146" s="154"/>
      <c r="DH1146" s="474"/>
      <c r="DI1146" s="459"/>
      <c r="DJ1146" s="459"/>
      <c r="DK1146" s="459"/>
      <c r="DL1146" s="459"/>
      <c r="DM1146" s="459"/>
      <c r="DN1146" s="459"/>
      <c r="DO1146" s="459"/>
      <c r="DP1146" s="459"/>
      <c r="DQ1146" s="459"/>
      <c r="DR1146" s="459"/>
      <c r="DS1146" s="459"/>
      <c r="DT1146" s="459"/>
      <c r="DU1146" s="459"/>
      <c r="DV1146" s="468"/>
      <c r="DW1146" s="468"/>
      <c r="DX1146" s="459"/>
      <c r="DY1146" s="459"/>
    </row>
    <row r="1147" spans="1:129" s="128" customFormat="1" ht="54.95" customHeight="1" x14ac:dyDescent="0.25">
      <c r="A1147" s="377"/>
      <c r="B1147" s="175"/>
      <c r="C1147" s="393"/>
      <c r="D1147" s="168"/>
      <c r="E1147" s="168"/>
      <c r="F1147" s="168"/>
      <c r="G1147" s="168"/>
      <c r="H1147" s="168"/>
      <c r="I1147" s="168"/>
      <c r="J1147" s="168"/>
      <c r="K1147" s="168"/>
      <c r="L1147" s="168"/>
      <c r="M1147" s="168"/>
      <c r="N1147" s="168"/>
      <c r="O1147" s="433"/>
      <c r="P1147" s="122"/>
      <c r="Q1147" s="156"/>
      <c r="R1147" s="156"/>
      <c r="S1147" s="156"/>
      <c r="T1147" s="156"/>
      <c r="U1147" s="156"/>
      <c r="V1147" s="156"/>
      <c r="W1147" s="156"/>
      <c r="X1147" s="156"/>
      <c r="Y1147" s="156"/>
      <c r="Z1147" s="157"/>
      <c r="AA1147" s="157"/>
      <c r="AB1147" s="156"/>
      <c r="AC1147" s="156"/>
      <c r="AD1147" s="156"/>
      <c r="AE1147" s="156"/>
      <c r="AF1147" s="156"/>
      <c r="AG1147" s="156"/>
      <c r="AH1147" s="156"/>
      <c r="AI1147" s="156"/>
      <c r="AJ1147" s="156"/>
      <c r="AK1147" s="156"/>
      <c r="AL1147" s="156"/>
      <c r="AM1147" s="158"/>
      <c r="AN1147" s="156"/>
      <c r="AO1147" s="156"/>
      <c r="AP1147" s="156"/>
      <c r="AQ1147" s="156"/>
      <c r="AR1147" s="156"/>
      <c r="AS1147" s="156"/>
      <c r="AT1147" s="156"/>
      <c r="AU1147" s="156"/>
      <c r="AV1147" s="156"/>
      <c r="AW1147" s="156"/>
      <c r="AX1147" s="156"/>
      <c r="AY1147" s="156"/>
      <c r="AZ1147" s="156"/>
      <c r="BA1147" s="153"/>
      <c r="BD1147" s="153"/>
      <c r="BE1147" s="147"/>
      <c r="BI1147" s="153"/>
      <c r="BO1147" s="153"/>
      <c r="BW1147" s="153"/>
      <c r="CD1147" s="146"/>
      <c r="CF1147" s="147"/>
      <c r="CI1147" s="146"/>
      <c r="CJ1147" s="153"/>
      <c r="CV1147" s="154"/>
      <c r="CX1147" s="154"/>
      <c r="CZ1147" s="154"/>
      <c r="DB1147" s="154"/>
      <c r="DD1147" s="154"/>
      <c r="DH1147" s="474"/>
      <c r="DI1147" s="459"/>
      <c r="DJ1147" s="459"/>
      <c r="DK1147" s="459"/>
      <c r="DL1147" s="459"/>
      <c r="DM1147" s="459"/>
      <c r="DN1147" s="459"/>
      <c r="DO1147" s="459"/>
      <c r="DP1147" s="459"/>
      <c r="DQ1147" s="459"/>
      <c r="DR1147" s="459"/>
      <c r="DS1147" s="459"/>
      <c r="DT1147" s="459"/>
      <c r="DU1147" s="459"/>
      <c r="DV1147" s="468"/>
      <c r="DW1147" s="468"/>
      <c r="DX1147" s="459"/>
      <c r="DY1147" s="459"/>
    </row>
    <row r="1148" spans="1:129" s="128" customFormat="1" ht="54.95" customHeight="1" x14ac:dyDescent="0.25">
      <c r="A1148" s="377"/>
      <c r="B1148" s="175"/>
      <c r="C1148" s="393"/>
      <c r="D1148" s="168"/>
      <c r="E1148" s="168"/>
      <c r="F1148" s="168"/>
      <c r="G1148" s="168"/>
      <c r="H1148" s="168"/>
      <c r="I1148" s="168"/>
      <c r="J1148" s="168"/>
      <c r="K1148" s="168"/>
      <c r="L1148" s="168"/>
      <c r="M1148" s="168"/>
      <c r="N1148" s="168"/>
      <c r="O1148" s="433"/>
      <c r="P1148" s="122"/>
      <c r="Q1148" s="156"/>
      <c r="R1148" s="156"/>
      <c r="S1148" s="156"/>
      <c r="T1148" s="156"/>
      <c r="U1148" s="156"/>
      <c r="V1148" s="156"/>
      <c r="W1148" s="156"/>
      <c r="X1148" s="156"/>
      <c r="Y1148" s="156"/>
      <c r="Z1148" s="157"/>
      <c r="AA1148" s="157"/>
      <c r="AB1148" s="156"/>
      <c r="AC1148" s="156"/>
      <c r="AD1148" s="156"/>
      <c r="AE1148" s="156"/>
      <c r="AF1148" s="156"/>
      <c r="AG1148" s="156"/>
      <c r="AH1148" s="156"/>
      <c r="AI1148" s="156"/>
      <c r="AJ1148" s="156"/>
      <c r="AK1148" s="156"/>
      <c r="AL1148" s="156"/>
      <c r="AM1148" s="158"/>
      <c r="AN1148" s="156"/>
      <c r="AO1148" s="156"/>
      <c r="AP1148" s="156"/>
      <c r="AQ1148" s="156"/>
      <c r="AR1148" s="156"/>
      <c r="AS1148" s="156"/>
      <c r="AT1148" s="156"/>
      <c r="AU1148" s="156"/>
      <c r="AV1148" s="156"/>
      <c r="AW1148" s="156"/>
      <c r="AX1148" s="156"/>
      <c r="AY1148" s="156"/>
      <c r="AZ1148" s="156"/>
      <c r="BA1148" s="153"/>
      <c r="BD1148" s="153"/>
      <c r="BE1148" s="147"/>
      <c r="BI1148" s="153"/>
      <c r="BO1148" s="153"/>
      <c r="BW1148" s="153"/>
      <c r="CD1148" s="146"/>
      <c r="CF1148" s="147"/>
      <c r="CI1148" s="146"/>
      <c r="CJ1148" s="153"/>
      <c r="CV1148" s="154"/>
      <c r="CX1148" s="154"/>
      <c r="CZ1148" s="154"/>
      <c r="DB1148" s="154"/>
      <c r="DD1148" s="154"/>
      <c r="DH1148" s="474"/>
      <c r="DI1148" s="459"/>
      <c r="DJ1148" s="459"/>
      <c r="DK1148" s="459"/>
      <c r="DL1148" s="459"/>
      <c r="DM1148" s="459"/>
      <c r="DN1148" s="459"/>
      <c r="DO1148" s="459"/>
      <c r="DP1148" s="459"/>
      <c r="DQ1148" s="459"/>
      <c r="DR1148" s="459"/>
      <c r="DS1148" s="459"/>
      <c r="DT1148" s="459"/>
      <c r="DU1148" s="459"/>
      <c r="DV1148" s="468"/>
      <c r="DW1148" s="468"/>
      <c r="DX1148" s="459"/>
      <c r="DY1148" s="459"/>
    </row>
    <row r="1149" spans="1:129" s="128" customFormat="1" ht="54.95" customHeight="1" x14ac:dyDescent="0.25">
      <c r="A1149" s="377"/>
      <c r="B1149" s="175"/>
      <c r="C1149" s="393"/>
      <c r="D1149" s="168"/>
      <c r="E1149" s="168"/>
      <c r="F1149" s="168"/>
      <c r="G1149" s="168"/>
      <c r="H1149" s="168"/>
      <c r="I1149" s="168"/>
      <c r="J1149" s="168"/>
      <c r="K1149" s="168"/>
      <c r="L1149" s="168"/>
      <c r="M1149" s="168"/>
      <c r="N1149" s="168"/>
      <c r="O1149" s="433"/>
      <c r="P1149" s="122"/>
      <c r="Q1149" s="156"/>
      <c r="R1149" s="156"/>
      <c r="S1149" s="156"/>
      <c r="T1149" s="156"/>
      <c r="U1149" s="156"/>
      <c r="V1149" s="156"/>
      <c r="W1149" s="156"/>
      <c r="X1149" s="156"/>
      <c r="Y1149" s="156"/>
      <c r="Z1149" s="157"/>
      <c r="AA1149" s="157"/>
      <c r="AB1149" s="156"/>
      <c r="AC1149" s="156"/>
      <c r="AD1149" s="156"/>
      <c r="AE1149" s="156"/>
      <c r="AF1149" s="156"/>
      <c r="AG1149" s="156"/>
      <c r="AH1149" s="156"/>
      <c r="AI1149" s="156"/>
      <c r="AJ1149" s="156"/>
      <c r="AK1149" s="156"/>
      <c r="AL1149" s="156"/>
      <c r="AM1149" s="158"/>
      <c r="AN1149" s="156"/>
      <c r="AO1149" s="156"/>
      <c r="AP1149" s="156"/>
      <c r="AQ1149" s="156"/>
      <c r="AR1149" s="156"/>
      <c r="AS1149" s="156"/>
      <c r="AT1149" s="156"/>
      <c r="AU1149" s="156"/>
      <c r="AV1149" s="156"/>
      <c r="AW1149" s="156"/>
      <c r="AX1149" s="156"/>
      <c r="AY1149" s="156"/>
      <c r="AZ1149" s="156"/>
      <c r="BA1149" s="153"/>
      <c r="BD1149" s="153"/>
      <c r="BE1149" s="147"/>
      <c r="BI1149" s="153"/>
      <c r="BO1149" s="153"/>
      <c r="BW1149" s="153"/>
      <c r="CD1149" s="146"/>
      <c r="CF1149" s="147"/>
      <c r="CI1149" s="146"/>
      <c r="CJ1149" s="153"/>
      <c r="CV1149" s="154"/>
      <c r="CX1149" s="154"/>
      <c r="CZ1149" s="154"/>
      <c r="DB1149" s="154"/>
      <c r="DD1149" s="154"/>
      <c r="DH1149" s="474"/>
      <c r="DI1149" s="459"/>
      <c r="DJ1149" s="459"/>
      <c r="DK1149" s="459"/>
      <c r="DL1149" s="459"/>
      <c r="DM1149" s="459"/>
      <c r="DN1149" s="459"/>
      <c r="DO1149" s="459"/>
      <c r="DP1149" s="459"/>
      <c r="DQ1149" s="459"/>
      <c r="DR1149" s="459"/>
      <c r="DS1149" s="459"/>
      <c r="DT1149" s="459"/>
      <c r="DU1149" s="459"/>
      <c r="DV1149" s="468"/>
      <c r="DW1149" s="468"/>
      <c r="DX1149" s="459"/>
      <c r="DY1149" s="459"/>
    </row>
    <row r="1150" spans="1:129" s="128" customFormat="1" ht="54.95" customHeight="1" x14ac:dyDescent="0.25">
      <c r="A1150" s="377"/>
      <c r="B1150" s="175"/>
      <c r="C1150" s="393"/>
      <c r="D1150" s="168"/>
      <c r="E1150" s="168"/>
      <c r="F1150" s="168"/>
      <c r="G1150" s="168"/>
      <c r="H1150" s="168"/>
      <c r="I1150" s="168"/>
      <c r="J1150" s="168"/>
      <c r="K1150" s="168"/>
      <c r="L1150" s="168"/>
      <c r="M1150" s="168"/>
      <c r="N1150" s="168"/>
      <c r="O1150" s="433"/>
      <c r="P1150" s="122"/>
      <c r="Q1150" s="156"/>
      <c r="R1150" s="156"/>
      <c r="S1150" s="156"/>
      <c r="T1150" s="156"/>
      <c r="U1150" s="156"/>
      <c r="V1150" s="156"/>
      <c r="W1150" s="156"/>
      <c r="X1150" s="156"/>
      <c r="Y1150" s="156"/>
      <c r="Z1150" s="157"/>
      <c r="AA1150" s="157"/>
      <c r="AB1150" s="156"/>
      <c r="AC1150" s="156"/>
      <c r="AD1150" s="156"/>
      <c r="AE1150" s="156"/>
      <c r="AF1150" s="156"/>
      <c r="AG1150" s="156"/>
      <c r="AH1150" s="156"/>
      <c r="AI1150" s="156"/>
      <c r="AJ1150" s="156"/>
      <c r="AK1150" s="156"/>
      <c r="AL1150" s="156"/>
      <c r="AM1150" s="158"/>
      <c r="AN1150" s="156"/>
      <c r="AO1150" s="156"/>
      <c r="AP1150" s="156"/>
      <c r="AQ1150" s="156"/>
      <c r="AR1150" s="156"/>
      <c r="AS1150" s="156"/>
      <c r="AT1150" s="156"/>
      <c r="AU1150" s="156"/>
      <c r="AV1150" s="156"/>
      <c r="AW1150" s="156"/>
      <c r="AX1150" s="156"/>
      <c r="AY1150" s="156"/>
      <c r="AZ1150" s="156"/>
      <c r="BA1150" s="153"/>
      <c r="BD1150" s="153"/>
      <c r="BE1150" s="147"/>
      <c r="BI1150" s="153"/>
      <c r="BO1150" s="153"/>
      <c r="BW1150" s="153"/>
      <c r="CD1150" s="146"/>
      <c r="CF1150" s="147"/>
      <c r="CI1150" s="146"/>
      <c r="CJ1150" s="153"/>
      <c r="CV1150" s="154"/>
      <c r="CX1150" s="154"/>
      <c r="CZ1150" s="154"/>
      <c r="DB1150" s="154"/>
      <c r="DD1150" s="154"/>
      <c r="DH1150" s="474"/>
      <c r="DI1150" s="459"/>
      <c r="DJ1150" s="459"/>
      <c r="DK1150" s="459"/>
      <c r="DL1150" s="459"/>
      <c r="DM1150" s="459"/>
      <c r="DN1150" s="459"/>
      <c r="DO1150" s="459"/>
      <c r="DP1150" s="459"/>
      <c r="DQ1150" s="459"/>
      <c r="DR1150" s="459"/>
      <c r="DS1150" s="459"/>
      <c r="DT1150" s="459"/>
      <c r="DU1150" s="459"/>
      <c r="DV1150" s="468"/>
      <c r="DW1150" s="468"/>
      <c r="DX1150" s="459"/>
      <c r="DY1150" s="459"/>
    </row>
    <row r="1151" spans="1:129" s="128" customFormat="1" ht="54.95" customHeight="1" x14ac:dyDescent="0.25">
      <c r="A1151" s="377"/>
      <c r="B1151" s="175"/>
      <c r="C1151" s="393"/>
      <c r="D1151" s="168"/>
      <c r="E1151" s="168"/>
      <c r="F1151" s="168"/>
      <c r="G1151" s="168"/>
      <c r="H1151" s="168"/>
      <c r="I1151" s="168"/>
      <c r="J1151" s="168"/>
      <c r="K1151" s="168"/>
      <c r="L1151" s="168"/>
      <c r="M1151" s="168"/>
      <c r="N1151" s="168"/>
      <c r="O1151" s="433"/>
      <c r="P1151" s="122"/>
      <c r="Q1151" s="156"/>
      <c r="R1151" s="156"/>
      <c r="S1151" s="156"/>
      <c r="T1151" s="156"/>
      <c r="U1151" s="156"/>
      <c r="V1151" s="156"/>
      <c r="W1151" s="156"/>
      <c r="X1151" s="156"/>
      <c r="Y1151" s="156"/>
      <c r="Z1151" s="157"/>
      <c r="AA1151" s="157"/>
      <c r="AB1151" s="156"/>
      <c r="AC1151" s="156"/>
      <c r="AD1151" s="156"/>
      <c r="AE1151" s="156"/>
      <c r="AF1151" s="156"/>
      <c r="AG1151" s="156"/>
      <c r="AH1151" s="156"/>
      <c r="AI1151" s="156"/>
      <c r="AJ1151" s="156"/>
      <c r="AK1151" s="156"/>
      <c r="AL1151" s="156"/>
      <c r="AM1151" s="158"/>
      <c r="AN1151" s="156"/>
      <c r="AO1151" s="156"/>
      <c r="AP1151" s="156"/>
      <c r="AQ1151" s="156"/>
      <c r="AR1151" s="156"/>
      <c r="AS1151" s="156"/>
      <c r="AT1151" s="156"/>
      <c r="AU1151" s="156"/>
      <c r="AV1151" s="156"/>
      <c r="AW1151" s="156"/>
      <c r="AX1151" s="156"/>
      <c r="AY1151" s="156"/>
      <c r="AZ1151" s="156"/>
      <c r="BA1151" s="153"/>
      <c r="BD1151" s="153"/>
      <c r="BE1151" s="147"/>
      <c r="BI1151" s="153"/>
      <c r="BO1151" s="153"/>
      <c r="BW1151" s="153"/>
      <c r="CD1151" s="146"/>
      <c r="CF1151" s="147"/>
      <c r="CI1151" s="146"/>
      <c r="CJ1151" s="153"/>
      <c r="CV1151" s="154"/>
      <c r="CX1151" s="154"/>
      <c r="CZ1151" s="154"/>
      <c r="DB1151" s="154"/>
      <c r="DD1151" s="154"/>
      <c r="DH1151" s="474"/>
      <c r="DI1151" s="459"/>
      <c r="DJ1151" s="459"/>
      <c r="DK1151" s="459"/>
      <c r="DL1151" s="459"/>
      <c r="DM1151" s="459"/>
      <c r="DN1151" s="459"/>
      <c r="DO1151" s="459"/>
      <c r="DP1151" s="459"/>
      <c r="DQ1151" s="459"/>
      <c r="DR1151" s="459"/>
      <c r="DS1151" s="459"/>
      <c r="DT1151" s="459"/>
      <c r="DU1151" s="459"/>
      <c r="DV1151" s="468"/>
      <c r="DW1151" s="468"/>
      <c r="DX1151" s="459"/>
      <c r="DY1151" s="459"/>
    </row>
    <row r="1152" spans="1:129" s="128" customFormat="1" ht="54.95" customHeight="1" x14ac:dyDescent="0.25">
      <c r="A1152" s="377"/>
      <c r="B1152" s="175"/>
      <c r="C1152" s="393"/>
      <c r="D1152" s="168"/>
      <c r="E1152" s="168"/>
      <c r="F1152" s="168"/>
      <c r="G1152" s="168"/>
      <c r="H1152" s="168"/>
      <c r="I1152" s="168"/>
      <c r="J1152" s="168"/>
      <c r="K1152" s="168"/>
      <c r="L1152" s="168"/>
      <c r="M1152" s="168"/>
      <c r="N1152" s="168"/>
      <c r="O1152" s="433"/>
      <c r="P1152" s="122"/>
      <c r="Q1152" s="156"/>
      <c r="R1152" s="156"/>
      <c r="S1152" s="156"/>
      <c r="T1152" s="156"/>
      <c r="U1152" s="156"/>
      <c r="V1152" s="156"/>
      <c r="W1152" s="156"/>
      <c r="X1152" s="156"/>
      <c r="Y1152" s="156"/>
      <c r="Z1152" s="157"/>
      <c r="AA1152" s="157"/>
      <c r="AB1152" s="156"/>
      <c r="AC1152" s="156"/>
      <c r="AD1152" s="156"/>
      <c r="AE1152" s="156"/>
      <c r="AF1152" s="156"/>
      <c r="AG1152" s="156"/>
      <c r="AH1152" s="156"/>
      <c r="AI1152" s="156"/>
      <c r="AJ1152" s="156"/>
      <c r="AK1152" s="156"/>
      <c r="AL1152" s="156"/>
      <c r="AM1152" s="158"/>
      <c r="AN1152" s="156"/>
      <c r="AO1152" s="156"/>
      <c r="AP1152" s="156"/>
      <c r="AQ1152" s="156"/>
      <c r="AR1152" s="156"/>
      <c r="AS1152" s="156"/>
      <c r="AT1152" s="156"/>
      <c r="AU1152" s="156"/>
      <c r="AV1152" s="156"/>
      <c r="AW1152" s="156"/>
      <c r="AX1152" s="156"/>
      <c r="AY1152" s="156"/>
      <c r="AZ1152" s="156"/>
      <c r="BA1152" s="153"/>
      <c r="BD1152" s="153"/>
      <c r="BE1152" s="147"/>
      <c r="BI1152" s="153"/>
      <c r="BO1152" s="153"/>
      <c r="BW1152" s="153"/>
      <c r="CD1152" s="146"/>
      <c r="CF1152" s="147"/>
      <c r="CI1152" s="146"/>
      <c r="CJ1152" s="153"/>
      <c r="CV1152" s="154"/>
      <c r="CX1152" s="154"/>
      <c r="CZ1152" s="154"/>
      <c r="DB1152" s="154"/>
      <c r="DD1152" s="154"/>
      <c r="DH1152" s="474"/>
      <c r="DI1152" s="459"/>
      <c r="DJ1152" s="459"/>
      <c r="DK1152" s="459"/>
      <c r="DL1152" s="459"/>
      <c r="DM1152" s="459"/>
      <c r="DN1152" s="459"/>
      <c r="DO1152" s="459"/>
      <c r="DP1152" s="459"/>
      <c r="DQ1152" s="459"/>
      <c r="DR1152" s="459"/>
      <c r="DS1152" s="459"/>
      <c r="DT1152" s="459"/>
      <c r="DU1152" s="459"/>
      <c r="DV1152" s="468"/>
      <c r="DW1152" s="468"/>
      <c r="DX1152" s="459"/>
      <c r="DY1152" s="459"/>
    </row>
    <row r="1153" spans="1:129" s="128" customFormat="1" ht="54.95" customHeight="1" x14ac:dyDescent="0.25">
      <c r="A1153" s="377"/>
      <c r="B1153" s="175"/>
      <c r="C1153" s="393"/>
      <c r="D1153" s="168"/>
      <c r="E1153" s="168"/>
      <c r="F1153" s="168"/>
      <c r="G1153" s="168"/>
      <c r="H1153" s="168"/>
      <c r="I1153" s="168"/>
      <c r="J1153" s="168"/>
      <c r="K1153" s="168"/>
      <c r="L1153" s="168"/>
      <c r="M1153" s="168"/>
      <c r="N1153" s="168"/>
      <c r="O1153" s="433"/>
      <c r="P1153" s="122"/>
      <c r="Q1153" s="156"/>
      <c r="R1153" s="156"/>
      <c r="S1153" s="156"/>
      <c r="T1153" s="156"/>
      <c r="U1153" s="156"/>
      <c r="V1153" s="156"/>
      <c r="W1153" s="156"/>
      <c r="X1153" s="156"/>
      <c r="Y1153" s="156"/>
      <c r="Z1153" s="157"/>
      <c r="AA1153" s="157"/>
      <c r="AB1153" s="156"/>
      <c r="AC1153" s="156"/>
      <c r="AD1153" s="156"/>
      <c r="AE1153" s="156"/>
      <c r="AF1153" s="156"/>
      <c r="AG1153" s="156"/>
      <c r="AH1153" s="156"/>
      <c r="AI1153" s="156"/>
      <c r="AJ1153" s="156"/>
      <c r="AK1153" s="156"/>
      <c r="AL1153" s="156"/>
      <c r="AM1153" s="158"/>
      <c r="AN1153" s="156"/>
      <c r="AO1153" s="156"/>
      <c r="AP1153" s="156"/>
      <c r="AQ1153" s="156"/>
      <c r="AR1153" s="156"/>
      <c r="AS1153" s="156"/>
      <c r="AT1153" s="156"/>
      <c r="AU1153" s="156"/>
      <c r="AV1153" s="156"/>
      <c r="AW1153" s="156"/>
      <c r="AX1153" s="156"/>
      <c r="AY1153" s="156"/>
      <c r="AZ1153" s="156"/>
      <c r="BA1153" s="153"/>
      <c r="BD1153" s="153"/>
      <c r="BE1153" s="147"/>
      <c r="BI1153" s="153"/>
      <c r="BO1153" s="153"/>
      <c r="BW1153" s="153"/>
      <c r="CD1153" s="146"/>
      <c r="CF1153" s="147"/>
      <c r="CI1153" s="146"/>
      <c r="CJ1153" s="153"/>
      <c r="CV1153" s="154"/>
      <c r="CX1153" s="154"/>
      <c r="CZ1153" s="154"/>
      <c r="DB1153" s="154"/>
      <c r="DD1153" s="154"/>
      <c r="DH1153" s="474"/>
      <c r="DI1153" s="459"/>
      <c r="DJ1153" s="459"/>
      <c r="DK1153" s="459"/>
      <c r="DL1153" s="459"/>
      <c r="DM1153" s="459"/>
      <c r="DN1153" s="459"/>
      <c r="DO1153" s="459"/>
      <c r="DP1153" s="459"/>
      <c r="DQ1153" s="459"/>
      <c r="DR1153" s="459"/>
      <c r="DS1153" s="459"/>
      <c r="DT1153" s="459"/>
      <c r="DU1153" s="459"/>
      <c r="DV1153" s="468"/>
      <c r="DW1153" s="468"/>
      <c r="DX1153" s="459"/>
      <c r="DY1153" s="459"/>
    </row>
    <row r="1154" spans="1:129" s="128" customFormat="1" ht="54.95" customHeight="1" x14ac:dyDescent="0.25">
      <c r="A1154" s="377"/>
      <c r="B1154" s="175"/>
      <c r="C1154" s="393"/>
      <c r="D1154" s="168"/>
      <c r="E1154" s="168"/>
      <c r="F1154" s="168"/>
      <c r="G1154" s="168"/>
      <c r="H1154" s="168"/>
      <c r="I1154" s="168"/>
      <c r="J1154" s="168"/>
      <c r="K1154" s="168"/>
      <c r="L1154" s="168"/>
      <c r="M1154" s="168"/>
      <c r="N1154" s="168"/>
      <c r="O1154" s="433"/>
      <c r="P1154" s="122"/>
      <c r="Q1154" s="156"/>
      <c r="R1154" s="156"/>
      <c r="S1154" s="156"/>
      <c r="T1154" s="156"/>
      <c r="U1154" s="156"/>
      <c r="V1154" s="156"/>
      <c r="W1154" s="156"/>
      <c r="X1154" s="156"/>
      <c r="Y1154" s="156"/>
      <c r="Z1154" s="157"/>
      <c r="AA1154" s="157"/>
      <c r="AB1154" s="156"/>
      <c r="AC1154" s="156"/>
      <c r="AD1154" s="156"/>
      <c r="AE1154" s="156"/>
      <c r="AF1154" s="156"/>
      <c r="AG1154" s="156"/>
      <c r="AH1154" s="156"/>
      <c r="AI1154" s="156"/>
      <c r="AJ1154" s="156"/>
      <c r="AK1154" s="156"/>
      <c r="AL1154" s="156"/>
      <c r="AM1154" s="158"/>
      <c r="AN1154" s="156"/>
      <c r="AO1154" s="156"/>
      <c r="AP1154" s="156"/>
      <c r="AQ1154" s="156"/>
      <c r="AR1154" s="156"/>
      <c r="AS1154" s="156"/>
      <c r="AT1154" s="156"/>
      <c r="AU1154" s="156"/>
      <c r="AV1154" s="156"/>
      <c r="AW1154" s="156"/>
      <c r="AX1154" s="156"/>
      <c r="AY1154" s="156"/>
      <c r="AZ1154" s="156"/>
      <c r="BA1154" s="153"/>
      <c r="BD1154" s="153"/>
      <c r="BE1154" s="147"/>
      <c r="BI1154" s="153"/>
      <c r="BO1154" s="153"/>
      <c r="BW1154" s="153"/>
      <c r="CD1154" s="146"/>
      <c r="CF1154" s="147"/>
      <c r="CI1154" s="146"/>
      <c r="CJ1154" s="153"/>
      <c r="CV1154" s="154"/>
      <c r="CX1154" s="154"/>
      <c r="CZ1154" s="154"/>
      <c r="DB1154" s="154"/>
      <c r="DD1154" s="154"/>
      <c r="DH1154" s="474"/>
      <c r="DI1154" s="459"/>
      <c r="DJ1154" s="459"/>
      <c r="DK1154" s="459"/>
      <c r="DL1154" s="459"/>
      <c r="DM1154" s="459"/>
      <c r="DN1154" s="459"/>
      <c r="DO1154" s="459"/>
      <c r="DP1154" s="459"/>
      <c r="DQ1154" s="459"/>
      <c r="DR1154" s="459"/>
      <c r="DS1154" s="459"/>
      <c r="DT1154" s="459"/>
      <c r="DU1154" s="459"/>
      <c r="DV1154" s="468"/>
      <c r="DW1154" s="468"/>
      <c r="DX1154" s="459"/>
      <c r="DY1154" s="459"/>
    </row>
    <row r="1155" spans="1:129" s="128" customFormat="1" ht="54.95" customHeight="1" x14ac:dyDescent="0.25">
      <c r="A1155" s="377"/>
      <c r="B1155" s="175"/>
      <c r="C1155" s="393"/>
      <c r="D1155" s="168"/>
      <c r="E1155" s="168"/>
      <c r="F1155" s="168"/>
      <c r="G1155" s="168"/>
      <c r="H1155" s="168"/>
      <c r="I1155" s="168"/>
      <c r="J1155" s="168"/>
      <c r="K1155" s="168"/>
      <c r="L1155" s="168"/>
      <c r="M1155" s="168"/>
      <c r="N1155" s="168"/>
      <c r="O1155" s="433"/>
      <c r="P1155" s="122"/>
      <c r="Q1155" s="156"/>
      <c r="R1155" s="156"/>
      <c r="S1155" s="156"/>
      <c r="T1155" s="156"/>
      <c r="U1155" s="156"/>
      <c r="V1155" s="156"/>
      <c r="W1155" s="156"/>
      <c r="X1155" s="156"/>
      <c r="Y1155" s="156"/>
      <c r="Z1155" s="157"/>
      <c r="AA1155" s="157"/>
      <c r="AB1155" s="156"/>
      <c r="AC1155" s="156"/>
      <c r="AD1155" s="156"/>
      <c r="AE1155" s="156"/>
      <c r="AF1155" s="156"/>
      <c r="AG1155" s="156"/>
      <c r="AH1155" s="156"/>
      <c r="AI1155" s="156"/>
      <c r="AJ1155" s="156"/>
      <c r="AK1155" s="156"/>
      <c r="AL1155" s="156"/>
      <c r="AM1155" s="158"/>
      <c r="AN1155" s="156"/>
      <c r="AO1155" s="156"/>
      <c r="AP1155" s="156"/>
      <c r="AQ1155" s="156"/>
      <c r="AR1155" s="156"/>
      <c r="AS1155" s="156"/>
      <c r="AT1155" s="156"/>
      <c r="AU1155" s="156"/>
      <c r="AV1155" s="156"/>
      <c r="AW1155" s="156"/>
      <c r="AX1155" s="156"/>
      <c r="AY1155" s="156"/>
      <c r="AZ1155" s="156"/>
      <c r="BA1155" s="153"/>
      <c r="BD1155" s="153"/>
      <c r="BE1155" s="147"/>
      <c r="BI1155" s="153"/>
      <c r="BO1155" s="153"/>
      <c r="BW1155" s="153"/>
      <c r="CD1155" s="146"/>
      <c r="CF1155" s="147"/>
      <c r="CI1155" s="146"/>
      <c r="CJ1155" s="153"/>
      <c r="CV1155" s="154"/>
      <c r="CX1155" s="154"/>
      <c r="CZ1155" s="154"/>
      <c r="DB1155" s="154"/>
      <c r="DD1155" s="154"/>
      <c r="DH1155" s="474"/>
      <c r="DI1155" s="459"/>
      <c r="DJ1155" s="459"/>
      <c r="DK1155" s="459"/>
      <c r="DL1155" s="459"/>
      <c r="DM1155" s="459"/>
      <c r="DN1155" s="459"/>
      <c r="DO1155" s="459"/>
      <c r="DP1155" s="459"/>
      <c r="DQ1155" s="459"/>
      <c r="DR1155" s="459"/>
      <c r="DS1155" s="459"/>
      <c r="DT1155" s="459"/>
      <c r="DU1155" s="459"/>
      <c r="DV1155" s="468"/>
      <c r="DW1155" s="468"/>
      <c r="DX1155" s="459"/>
      <c r="DY1155" s="459"/>
    </row>
    <row r="1156" spans="1:129" s="128" customFormat="1" ht="54.95" customHeight="1" x14ac:dyDescent="0.25">
      <c r="A1156" s="377"/>
      <c r="B1156" s="175"/>
      <c r="C1156" s="393"/>
      <c r="D1156" s="168"/>
      <c r="E1156" s="168"/>
      <c r="F1156" s="168"/>
      <c r="G1156" s="168"/>
      <c r="H1156" s="168"/>
      <c r="I1156" s="168"/>
      <c r="J1156" s="168"/>
      <c r="K1156" s="168"/>
      <c r="L1156" s="168"/>
      <c r="M1156" s="168"/>
      <c r="N1156" s="168"/>
      <c r="O1156" s="433"/>
      <c r="P1156" s="122"/>
      <c r="Q1156" s="156"/>
      <c r="R1156" s="156"/>
      <c r="S1156" s="156"/>
      <c r="T1156" s="156"/>
      <c r="U1156" s="156"/>
      <c r="V1156" s="156"/>
      <c r="W1156" s="156"/>
      <c r="X1156" s="156"/>
      <c r="Y1156" s="156"/>
      <c r="Z1156" s="157"/>
      <c r="AA1156" s="157"/>
      <c r="AB1156" s="156"/>
      <c r="AC1156" s="156"/>
      <c r="AD1156" s="156"/>
      <c r="AE1156" s="156"/>
      <c r="AF1156" s="156"/>
      <c r="AG1156" s="156"/>
      <c r="AH1156" s="156"/>
      <c r="AI1156" s="156"/>
      <c r="AJ1156" s="156"/>
      <c r="AK1156" s="156"/>
      <c r="AL1156" s="156"/>
      <c r="AM1156" s="158"/>
      <c r="AN1156" s="156"/>
      <c r="AO1156" s="156"/>
      <c r="AP1156" s="156"/>
      <c r="AQ1156" s="156"/>
      <c r="AR1156" s="156"/>
      <c r="AS1156" s="156"/>
      <c r="AT1156" s="156"/>
      <c r="AU1156" s="156"/>
      <c r="AV1156" s="156"/>
      <c r="AW1156" s="156"/>
      <c r="AX1156" s="156"/>
      <c r="AY1156" s="156"/>
      <c r="AZ1156" s="156"/>
      <c r="BA1156" s="153"/>
      <c r="BD1156" s="153"/>
      <c r="BE1156" s="147"/>
      <c r="BI1156" s="153"/>
      <c r="BO1156" s="153"/>
      <c r="BW1156" s="153"/>
      <c r="CD1156" s="146"/>
      <c r="CF1156" s="147"/>
      <c r="CI1156" s="146"/>
      <c r="CJ1156" s="153"/>
      <c r="CV1156" s="154"/>
      <c r="CX1156" s="154"/>
      <c r="CZ1156" s="154"/>
      <c r="DB1156" s="154"/>
      <c r="DD1156" s="154"/>
      <c r="DH1156" s="474"/>
      <c r="DI1156" s="459"/>
      <c r="DJ1156" s="459"/>
      <c r="DK1156" s="459"/>
      <c r="DL1156" s="459"/>
      <c r="DM1156" s="459"/>
      <c r="DN1156" s="459"/>
      <c r="DO1156" s="459"/>
      <c r="DP1156" s="459"/>
      <c r="DQ1156" s="459"/>
      <c r="DR1156" s="459"/>
      <c r="DS1156" s="459"/>
      <c r="DT1156" s="459"/>
      <c r="DU1156" s="459"/>
      <c r="DV1156" s="468"/>
      <c r="DW1156" s="468"/>
      <c r="DX1156" s="459"/>
      <c r="DY1156" s="459"/>
    </row>
    <row r="1157" spans="1:129" s="128" customFormat="1" ht="54.95" customHeight="1" x14ac:dyDescent="0.25">
      <c r="A1157" s="377"/>
      <c r="B1157" s="175"/>
      <c r="C1157" s="393"/>
      <c r="D1157" s="168"/>
      <c r="E1157" s="168"/>
      <c r="F1157" s="168"/>
      <c r="G1157" s="168"/>
      <c r="H1157" s="168"/>
      <c r="I1157" s="168"/>
      <c r="J1157" s="168"/>
      <c r="K1157" s="168"/>
      <c r="L1157" s="168"/>
      <c r="M1157" s="168"/>
      <c r="N1157" s="168"/>
      <c r="O1157" s="433"/>
      <c r="P1157" s="122"/>
      <c r="Q1157" s="156"/>
      <c r="R1157" s="156"/>
      <c r="S1157" s="156"/>
      <c r="T1157" s="156"/>
      <c r="U1157" s="156"/>
      <c r="V1157" s="156"/>
      <c r="W1157" s="156"/>
      <c r="X1157" s="156"/>
      <c r="Y1157" s="156"/>
      <c r="Z1157" s="157"/>
      <c r="AA1157" s="157"/>
      <c r="AB1157" s="156"/>
      <c r="AC1157" s="156"/>
      <c r="AD1157" s="156"/>
      <c r="AE1157" s="156"/>
      <c r="AF1157" s="156"/>
      <c r="AG1157" s="156"/>
      <c r="AH1157" s="156"/>
      <c r="AI1157" s="156"/>
      <c r="AJ1157" s="156"/>
      <c r="AK1157" s="156"/>
      <c r="AL1157" s="156"/>
      <c r="AM1157" s="158"/>
      <c r="AN1157" s="156"/>
      <c r="AO1157" s="156"/>
      <c r="AP1157" s="156"/>
      <c r="AQ1157" s="156"/>
      <c r="AR1157" s="156"/>
      <c r="AS1157" s="156"/>
      <c r="AT1157" s="156"/>
      <c r="AU1157" s="156"/>
      <c r="AV1157" s="156"/>
      <c r="AW1157" s="156"/>
      <c r="AX1157" s="156"/>
      <c r="AY1157" s="156"/>
      <c r="AZ1157" s="156"/>
      <c r="BA1157" s="153"/>
      <c r="BD1157" s="153"/>
      <c r="BE1157" s="147"/>
      <c r="BI1157" s="153"/>
      <c r="BO1157" s="153"/>
      <c r="BW1157" s="153"/>
      <c r="CD1157" s="146"/>
      <c r="CF1157" s="147"/>
      <c r="CI1157" s="146"/>
      <c r="CJ1157" s="153"/>
      <c r="CV1157" s="154"/>
      <c r="CX1157" s="154"/>
      <c r="CZ1157" s="154"/>
      <c r="DB1157" s="154"/>
      <c r="DD1157" s="154"/>
      <c r="DH1157" s="474"/>
      <c r="DI1157" s="459"/>
      <c r="DJ1157" s="459"/>
      <c r="DK1157" s="459"/>
      <c r="DL1157" s="459"/>
      <c r="DM1157" s="459"/>
      <c r="DN1157" s="459"/>
      <c r="DO1157" s="459"/>
      <c r="DP1157" s="459"/>
      <c r="DQ1157" s="459"/>
      <c r="DR1157" s="459"/>
      <c r="DS1157" s="459"/>
      <c r="DT1157" s="459"/>
      <c r="DU1157" s="459"/>
      <c r="DV1157" s="468"/>
      <c r="DW1157" s="468"/>
      <c r="DX1157" s="459"/>
      <c r="DY1157" s="459"/>
    </row>
    <row r="1158" spans="1:129" s="128" customFormat="1" ht="54.95" customHeight="1" x14ac:dyDescent="0.25">
      <c r="A1158" s="377"/>
      <c r="B1158" s="175"/>
      <c r="C1158" s="393"/>
      <c r="D1158" s="168"/>
      <c r="E1158" s="168"/>
      <c r="F1158" s="168"/>
      <c r="G1158" s="168"/>
      <c r="H1158" s="168"/>
      <c r="I1158" s="168"/>
      <c r="J1158" s="168"/>
      <c r="K1158" s="168"/>
      <c r="L1158" s="168"/>
      <c r="M1158" s="168"/>
      <c r="N1158" s="168"/>
      <c r="O1158" s="433"/>
      <c r="P1158" s="122"/>
      <c r="Q1158" s="156"/>
      <c r="R1158" s="156"/>
      <c r="S1158" s="156"/>
      <c r="T1158" s="156"/>
      <c r="U1158" s="156"/>
      <c r="V1158" s="156"/>
      <c r="W1158" s="156"/>
      <c r="X1158" s="156"/>
      <c r="Y1158" s="156"/>
      <c r="Z1158" s="157"/>
      <c r="AA1158" s="157"/>
      <c r="AB1158" s="156"/>
      <c r="AC1158" s="156"/>
      <c r="AD1158" s="156"/>
      <c r="AE1158" s="156"/>
      <c r="AF1158" s="156"/>
      <c r="AG1158" s="156"/>
      <c r="AH1158" s="156"/>
      <c r="AI1158" s="156"/>
      <c r="AJ1158" s="156"/>
      <c r="AK1158" s="156"/>
      <c r="AL1158" s="156"/>
      <c r="AM1158" s="158"/>
      <c r="AN1158" s="156"/>
      <c r="AO1158" s="156"/>
      <c r="AP1158" s="156"/>
      <c r="AQ1158" s="156"/>
      <c r="AR1158" s="156"/>
      <c r="AS1158" s="156"/>
      <c r="AT1158" s="156"/>
      <c r="AU1158" s="156"/>
      <c r="AV1158" s="156"/>
      <c r="AW1158" s="156"/>
      <c r="AX1158" s="156"/>
      <c r="AY1158" s="156"/>
      <c r="AZ1158" s="156"/>
      <c r="BA1158" s="153"/>
      <c r="BD1158" s="153"/>
      <c r="BE1158" s="147"/>
      <c r="BI1158" s="153"/>
      <c r="BO1158" s="153"/>
      <c r="BW1158" s="153"/>
      <c r="CD1158" s="146"/>
      <c r="CF1158" s="147"/>
      <c r="CI1158" s="146"/>
      <c r="CJ1158" s="153"/>
      <c r="CV1158" s="154"/>
      <c r="CX1158" s="154"/>
      <c r="CZ1158" s="154"/>
      <c r="DB1158" s="154"/>
      <c r="DD1158" s="154"/>
      <c r="DH1158" s="474"/>
      <c r="DI1158" s="459"/>
      <c r="DJ1158" s="459"/>
      <c r="DK1158" s="459"/>
      <c r="DL1158" s="459"/>
      <c r="DM1158" s="459"/>
      <c r="DN1158" s="459"/>
      <c r="DO1158" s="459"/>
      <c r="DP1158" s="459"/>
      <c r="DQ1158" s="459"/>
      <c r="DR1158" s="459"/>
      <c r="DS1158" s="459"/>
      <c r="DT1158" s="459"/>
      <c r="DU1158" s="459"/>
      <c r="DV1158" s="468"/>
      <c r="DW1158" s="468"/>
      <c r="DX1158" s="459"/>
      <c r="DY1158" s="459"/>
    </row>
    <row r="1159" spans="1:129" s="128" customFormat="1" ht="54.95" customHeight="1" x14ac:dyDescent="0.25">
      <c r="A1159" s="377"/>
      <c r="B1159" s="175"/>
      <c r="C1159" s="393"/>
      <c r="D1159" s="168"/>
      <c r="E1159" s="168"/>
      <c r="F1159" s="168"/>
      <c r="G1159" s="168"/>
      <c r="H1159" s="168"/>
      <c r="I1159" s="168"/>
      <c r="J1159" s="168"/>
      <c r="K1159" s="168"/>
      <c r="L1159" s="168"/>
      <c r="M1159" s="168"/>
      <c r="N1159" s="168"/>
      <c r="O1159" s="433"/>
      <c r="P1159" s="122"/>
      <c r="Q1159" s="156"/>
      <c r="R1159" s="156"/>
      <c r="S1159" s="156"/>
      <c r="T1159" s="156"/>
      <c r="U1159" s="156"/>
      <c r="V1159" s="156"/>
      <c r="W1159" s="156"/>
      <c r="X1159" s="156"/>
      <c r="Y1159" s="156"/>
      <c r="Z1159" s="157"/>
      <c r="AA1159" s="157"/>
      <c r="AB1159" s="156"/>
      <c r="AC1159" s="156"/>
      <c r="AD1159" s="156"/>
      <c r="AE1159" s="156"/>
      <c r="AF1159" s="156"/>
      <c r="AG1159" s="156"/>
      <c r="AH1159" s="156"/>
      <c r="AI1159" s="156"/>
      <c r="AJ1159" s="156"/>
      <c r="AK1159" s="156"/>
      <c r="AL1159" s="156"/>
      <c r="AM1159" s="158"/>
      <c r="AN1159" s="156"/>
      <c r="AO1159" s="156"/>
      <c r="AP1159" s="156"/>
      <c r="AQ1159" s="156"/>
      <c r="AR1159" s="156"/>
      <c r="AS1159" s="156"/>
      <c r="AT1159" s="156"/>
      <c r="AU1159" s="156"/>
      <c r="AV1159" s="156"/>
      <c r="AW1159" s="156"/>
      <c r="AX1159" s="156"/>
      <c r="AY1159" s="156"/>
      <c r="AZ1159" s="156"/>
      <c r="BA1159" s="153"/>
      <c r="BD1159" s="153"/>
      <c r="BE1159" s="147"/>
      <c r="BI1159" s="153"/>
      <c r="BO1159" s="153"/>
      <c r="BW1159" s="153"/>
      <c r="CD1159" s="146"/>
      <c r="CF1159" s="147"/>
      <c r="CI1159" s="146"/>
      <c r="CJ1159" s="153"/>
      <c r="CV1159" s="154"/>
      <c r="CX1159" s="154"/>
      <c r="CZ1159" s="154"/>
      <c r="DB1159" s="154"/>
      <c r="DD1159" s="154"/>
      <c r="DH1159" s="474"/>
      <c r="DI1159" s="459"/>
      <c r="DJ1159" s="459"/>
      <c r="DK1159" s="459"/>
      <c r="DL1159" s="459"/>
      <c r="DM1159" s="459"/>
      <c r="DN1159" s="459"/>
      <c r="DO1159" s="459"/>
      <c r="DP1159" s="459"/>
      <c r="DQ1159" s="459"/>
      <c r="DR1159" s="459"/>
      <c r="DS1159" s="459"/>
      <c r="DT1159" s="459"/>
      <c r="DU1159" s="459"/>
      <c r="DV1159" s="468"/>
      <c r="DW1159" s="468"/>
      <c r="DX1159" s="459"/>
      <c r="DY1159" s="459"/>
    </row>
    <row r="1160" spans="1:129" s="128" customFormat="1" ht="54.95" customHeight="1" x14ac:dyDescent="0.25">
      <c r="A1160" s="377"/>
      <c r="B1160" s="175"/>
      <c r="C1160" s="393"/>
      <c r="D1160" s="168"/>
      <c r="E1160" s="168"/>
      <c r="F1160" s="168"/>
      <c r="G1160" s="168"/>
      <c r="H1160" s="168"/>
      <c r="I1160" s="168"/>
      <c r="J1160" s="168"/>
      <c r="K1160" s="168"/>
      <c r="L1160" s="168"/>
      <c r="M1160" s="168"/>
      <c r="N1160" s="168"/>
      <c r="O1160" s="433"/>
      <c r="P1160" s="122"/>
      <c r="Q1160" s="156"/>
      <c r="R1160" s="156"/>
      <c r="S1160" s="156"/>
      <c r="T1160" s="156"/>
      <c r="U1160" s="156"/>
      <c r="V1160" s="156"/>
      <c r="W1160" s="156"/>
      <c r="X1160" s="156"/>
      <c r="Y1160" s="156"/>
      <c r="Z1160" s="157"/>
      <c r="AA1160" s="157"/>
      <c r="AB1160" s="156"/>
      <c r="AC1160" s="156"/>
      <c r="AD1160" s="156"/>
      <c r="AE1160" s="156"/>
      <c r="AF1160" s="156"/>
      <c r="AG1160" s="156"/>
      <c r="AH1160" s="156"/>
      <c r="AI1160" s="156"/>
      <c r="AJ1160" s="156"/>
      <c r="AK1160" s="156"/>
      <c r="AL1160" s="156"/>
      <c r="AM1160" s="158"/>
      <c r="AN1160" s="156"/>
      <c r="AO1160" s="156"/>
      <c r="AP1160" s="156"/>
      <c r="AQ1160" s="156"/>
      <c r="AR1160" s="156"/>
      <c r="AS1160" s="156"/>
      <c r="AT1160" s="156"/>
      <c r="AU1160" s="156"/>
      <c r="AV1160" s="156"/>
      <c r="AW1160" s="156"/>
      <c r="AX1160" s="156"/>
      <c r="AY1160" s="156"/>
      <c r="AZ1160" s="156"/>
      <c r="BA1160" s="153"/>
      <c r="BD1160" s="153"/>
      <c r="BE1160" s="147"/>
      <c r="BI1160" s="153"/>
      <c r="BO1160" s="153"/>
      <c r="BW1160" s="153"/>
      <c r="CD1160" s="146"/>
      <c r="CF1160" s="147"/>
      <c r="CI1160" s="146"/>
      <c r="CJ1160" s="153"/>
      <c r="CV1160" s="154"/>
      <c r="CX1160" s="154"/>
      <c r="CZ1160" s="154"/>
      <c r="DB1160" s="154"/>
      <c r="DD1160" s="154"/>
      <c r="DH1160" s="474"/>
      <c r="DI1160" s="459"/>
      <c r="DJ1160" s="459"/>
      <c r="DK1160" s="459"/>
      <c r="DL1160" s="459"/>
      <c r="DM1160" s="459"/>
      <c r="DN1160" s="459"/>
      <c r="DO1160" s="459"/>
      <c r="DP1160" s="459"/>
      <c r="DQ1160" s="459"/>
      <c r="DR1160" s="459"/>
      <c r="DS1160" s="459"/>
      <c r="DT1160" s="459"/>
      <c r="DU1160" s="459"/>
      <c r="DV1160" s="468"/>
      <c r="DW1160" s="468"/>
      <c r="DX1160" s="459"/>
      <c r="DY1160" s="459"/>
    </row>
    <row r="1161" spans="1:129" s="128" customFormat="1" ht="54.95" customHeight="1" x14ac:dyDescent="0.25">
      <c r="A1161" s="377"/>
      <c r="B1161" s="175"/>
      <c r="C1161" s="393"/>
      <c r="D1161" s="168"/>
      <c r="E1161" s="168"/>
      <c r="F1161" s="168"/>
      <c r="G1161" s="168"/>
      <c r="H1161" s="168"/>
      <c r="I1161" s="168"/>
      <c r="J1161" s="168"/>
      <c r="K1161" s="168"/>
      <c r="L1161" s="168"/>
      <c r="M1161" s="168"/>
      <c r="N1161" s="168"/>
      <c r="O1161" s="433"/>
      <c r="P1161" s="122"/>
      <c r="Q1161" s="156"/>
      <c r="R1161" s="156"/>
      <c r="S1161" s="156"/>
      <c r="T1161" s="156"/>
      <c r="U1161" s="156"/>
      <c r="V1161" s="156"/>
      <c r="W1161" s="156"/>
      <c r="X1161" s="156"/>
      <c r="Y1161" s="156"/>
      <c r="Z1161" s="157"/>
      <c r="AA1161" s="157"/>
      <c r="AB1161" s="156"/>
      <c r="AC1161" s="156"/>
      <c r="AD1161" s="156"/>
      <c r="AE1161" s="156"/>
      <c r="AF1161" s="156"/>
      <c r="AG1161" s="156"/>
      <c r="AH1161" s="156"/>
      <c r="AI1161" s="156"/>
      <c r="AJ1161" s="156"/>
      <c r="AK1161" s="156"/>
      <c r="AL1161" s="156"/>
      <c r="AM1161" s="158"/>
      <c r="AN1161" s="156"/>
      <c r="AO1161" s="156"/>
      <c r="AP1161" s="156"/>
      <c r="AQ1161" s="156"/>
      <c r="AR1161" s="156"/>
      <c r="AS1161" s="156"/>
      <c r="AT1161" s="156"/>
      <c r="AU1161" s="156"/>
      <c r="AV1161" s="156"/>
      <c r="AW1161" s="156"/>
      <c r="AX1161" s="156"/>
      <c r="AY1161" s="156"/>
      <c r="AZ1161" s="156"/>
      <c r="BA1161" s="153"/>
      <c r="BD1161" s="153"/>
      <c r="BE1161" s="147"/>
      <c r="BI1161" s="153"/>
      <c r="BO1161" s="153"/>
      <c r="BW1161" s="153"/>
      <c r="CD1161" s="146"/>
      <c r="CF1161" s="147"/>
      <c r="CI1161" s="146"/>
      <c r="CJ1161" s="153"/>
      <c r="CV1161" s="154"/>
      <c r="CX1161" s="154"/>
      <c r="CZ1161" s="154"/>
      <c r="DB1161" s="154"/>
      <c r="DD1161" s="154"/>
      <c r="DH1161" s="474"/>
      <c r="DI1161" s="459"/>
      <c r="DJ1161" s="459"/>
      <c r="DK1161" s="459"/>
      <c r="DL1161" s="459"/>
      <c r="DM1161" s="459"/>
      <c r="DN1161" s="459"/>
      <c r="DO1161" s="459"/>
      <c r="DP1161" s="459"/>
      <c r="DQ1161" s="459"/>
      <c r="DR1161" s="459"/>
      <c r="DS1161" s="459"/>
      <c r="DT1161" s="459"/>
      <c r="DU1161" s="459"/>
      <c r="DV1161" s="468"/>
      <c r="DW1161" s="468"/>
      <c r="DX1161" s="459"/>
      <c r="DY1161" s="459"/>
    </row>
    <row r="1162" spans="1:129" s="128" customFormat="1" ht="54.95" customHeight="1" x14ac:dyDescent="0.25">
      <c r="A1162" s="377"/>
      <c r="B1162" s="175"/>
      <c r="C1162" s="393"/>
      <c r="D1162" s="168"/>
      <c r="E1162" s="168"/>
      <c r="F1162" s="168"/>
      <c r="G1162" s="168"/>
      <c r="H1162" s="168"/>
      <c r="I1162" s="168"/>
      <c r="J1162" s="168"/>
      <c r="K1162" s="168"/>
      <c r="L1162" s="168"/>
      <c r="M1162" s="168"/>
      <c r="N1162" s="168"/>
      <c r="O1162" s="433"/>
      <c r="P1162" s="122"/>
      <c r="Q1162" s="156"/>
      <c r="R1162" s="156"/>
      <c r="S1162" s="156"/>
      <c r="T1162" s="156"/>
      <c r="U1162" s="156"/>
      <c r="V1162" s="156"/>
      <c r="W1162" s="156"/>
      <c r="X1162" s="156"/>
      <c r="Y1162" s="156"/>
      <c r="Z1162" s="157"/>
      <c r="AA1162" s="157"/>
      <c r="AB1162" s="156"/>
      <c r="AC1162" s="156"/>
      <c r="AD1162" s="156"/>
      <c r="AE1162" s="156"/>
      <c r="AF1162" s="156"/>
      <c r="AG1162" s="156"/>
      <c r="AH1162" s="156"/>
      <c r="AI1162" s="156"/>
      <c r="AJ1162" s="156"/>
      <c r="AK1162" s="156"/>
      <c r="AL1162" s="156"/>
      <c r="AM1162" s="158"/>
      <c r="AN1162" s="156"/>
      <c r="AO1162" s="156"/>
      <c r="AP1162" s="156"/>
      <c r="AQ1162" s="156"/>
      <c r="AR1162" s="156"/>
      <c r="AS1162" s="156"/>
      <c r="AT1162" s="156"/>
      <c r="AU1162" s="156"/>
      <c r="AV1162" s="156"/>
      <c r="AW1162" s="156"/>
      <c r="AX1162" s="156"/>
      <c r="AY1162" s="156"/>
      <c r="AZ1162" s="156"/>
      <c r="BA1162" s="153"/>
      <c r="BD1162" s="153"/>
      <c r="BE1162" s="147"/>
      <c r="BI1162" s="153"/>
      <c r="BO1162" s="153"/>
      <c r="BW1162" s="153"/>
      <c r="CD1162" s="146"/>
      <c r="CF1162" s="147"/>
      <c r="CI1162" s="146"/>
      <c r="CJ1162" s="153"/>
      <c r="CV1162" s="154"/>
      <c r="CX1162" s="154"/>
      <c r="CZ1162" s="154"/>
      <c r="DB1162" s="154"/>
      <c r="DD1162" s="154"/>
      <c r="DH1162" s="474"/>
      <c r="DI1162" s="459"/>
      <c r="DJ1162" s="459"/>
      <c r="DK1162" s="459"/>
      <c r="DL1162" s="459"/>
      <c r="DM1162" s="459"/>
      <c r="DN1162" s="459"/>
      <c r="DO1162" s="459"/>
      <c r="DP1162" s="459"/>
      <c r="DQ1162" s="459"/>
      <c r="DR1162" s="459"/>
      <c r="DS1162" s="459"/>
      <c r="DT1162" s="459"/>
      <c r="DU1162" s="459"/>
      <c r="DV1162" s="468"/>
      <c r="DW1162" s="468"/>
      <c r="DX1162" s="459"/>
      <c r="DY1162" s="459"/>
    </row>
    <row r="1163" spans="1:129" s="128" customFormat="1" ht="54.95" customHeight="1" x14ac:dyDescent="0.25">
      <c r="A1163" s="377"/>
      <c r="B1163" s="175"/>
      <c r="C1163" s="393"/>
      <c r="D1163" s="168"/>
      <c r="E1163" s="168"/>
      <c r="F1163" s="168"/>
      <c r="G1163" s="168"/>
      <c r="H1163" s="168"/>
      <c r="I1163" s="168"/>
      <c r="J1163" s="168"/>
      <c r="K1163" s="168"/>
      <c r="L1163" s="168"/>
      <c r="M1163" s="168"/>
      <c r="N1163" s="168"/>
      <c r="O1163" s="433"/>
      <c r="P1163" s="122"/>
      <c r="Q1163" s="156"/>
      <c r="R1163" s="156"/>
      <c r="S1163" s="156"/>
      <c r="T1163" s="156"/>
      <c r="U1163" s="156"/>
      <c r="V1163" s="156"/>
      <c r="W1163" s="156"/>
      <c r="X1163" s="156"/>
      <c r="Y1163" s="156"/>
      <c r="Z1163" s="157"/>
      <c r="AA1163" s="157"/>
      <c r="AB1163" s="156"/>
      <c r="AC1163" s="156"/>
      <c r="AD1163" s="156"/>
      <c r="AE1163" s="156"/>
      <c r="AF1163" s="156"/>
      <c r="AG1163" s="156"/>
      <c r="AH1163" s="156"/>
      <c r="AI1163" s="156"/>
      <c r="AJ1163" s="156"/>
      <c r="AK1163" s="156"/>
      <c r="AL1163" s="156"/>
      <c r="AM1163" s="158"/>
      <c r="AN1163" s="156"/>
      <c r="AO1163" s="156"/>
      <c r="AP1163" s="156"/>
      <c r="AQ1163" s="156"/>
      <c r="AR1163" s="156"/>
      <c r="AS1163" s="156"/>
      <c r="AT1163" s="156"/>
      <c r="AU1163" s="156"/>
      <c r="AV1163" s="156"/>
      <c r="AW1163" s="156"/>
      <c r="AX1163" s="156"/>
      <c r="AY1163" s="156"/>
      <c r="AZ1163" s="156"/>
      <c r="BA1163" s="153"/>
      <c r="BD1163" s="153"/>
      <c r="BE1163" s="147"/>
      <c r="BI1163" s="153"/>
      <c r="BO1163" s="153"/>
      <c r="BW1163" s="153"/>
      <c r="CD1163" s="146"/>
      <c r="CF1163" s="147"/>
      <c r="CI1163" s="146"/>
      <c r="CJ1163" s="153"/>
      <c r="CV1163" s="154"/>
      <c r="CX1163" s="154"/>
      <c r="CZ1163" s="154"/>
      <c r="DB1163" s="154"/>
      <c r="DD1163" s="154"/>
      <c r="DH1163" s="474"/>
      <c r="DI1163" s="459"/>
      <c r="DJ1163" s="459"/>
      <c r="DK1163" s="459"/>
      <c r="DL1163" s="459"/>
      <c r="DM1163" s="459"/>
      <c r="DN1163" s="459"/>
      <c r="DO1163" s="459"/>
      <c r="DP1163" s="459"/>
      <c r="DQ1163" s="459"/>
      <c r="DR1163" s="459"/>
      <c r="DS1163" s="459"/>
      <c r="DT1163" s="459"/>
      <c r="DU1163" s="459"/>
      <c r="DV1163" s="468"/>
      <c r="DW1163" s="468"/>
      <c r="DX1163" s="459"/>
      <c r="DY1163" s="459"/>
    </row>
    <row r="1164" spans="1:129" s="128" customFormat="1" ht="54.95" customHeight="1" x14ac:dyDescent="0.25">
      <c r="A1164" s="377"/>
      <c r="B1164" s="175"/>
      <c r="C1164" s="393"/>
      <c r="D1164" s="168"/>
      <c r="E1164" s="168"/>
      <c r="F1164" s="168"/>
      <c r="G1164" s="168"/>
      <c r="H1164" s="168"/>
      <c r="I1164" s="168"/>
      <c r="J1164" s="168"/>
      <c r="K1164" s="168"/>
      <c r="L1164" s="168"/>
      <c r="M1164" s="168"/>
      <c r="N1164" s="168"/>
      <c r="O1164" s="433"/>
      <c r="P1164" s="122"/>
      <c r="Q1164" s="156"/>
      <c r="R1164" s="156"/>
      <c r="S1164" s="156"/>
      <c r="T1164" s="156"/>
      <c r="U1164" s="156"/>
      <c r="V1164" s="156"/>
      <c r="W1164" s="156"/>
      <c r="X1164" s="156"/>
      <c r="Y1164" s="156"/>
      <c r="Z1164" s="157"/>
      <c r="AA1164" s="157"/>
      <c r="AB1164" s="156"/>
      <c r="AC1164" s="156"/>
      <c r="AD1164" s="156"/>
      <c r="AE1164" s="156"/>
      <c r="AF1164" s="156"/>
      <c r="AG1164" s="156"/>
      <c r="AH1164" s="156"/>
      <c r="AI1164" s="156"/>
      <c r="AJ1164" s="156"/>
      <c r="AK1164" s="156"/>
      <c r="AL1164" s="156"/>
      <c r="AM1164" s="158"/>
      <c r="AN1164" s="156"/>
      <c r="AO1164" s="156"/>
      <c r="AP1164" s="156"/>
      <c r="AQ1164" s="156"/>
      <c r="AR1164" s="156"/>
      <c r="AS1164" s="156"/>
      <c r="AT1164" s="156"/>
      <c r="AU1164" s="156"/>
      <c r="AV1164" s="156"/>
      <c r="AW1164" s="156"/>
      <c r="AX1164" s="156"/>
      <c r="AY1164" s="156"/>
      <c r="AZ1164" s="156"/>
      <c r="BA1164" s="153"/>
      <c r="BD1164" s="153"/>
      <c r="BE1164" s="147"/>
      <c r="BI1164" s="153"/>
      <c r="BO1164" s="153"/>
      <c r="BW1164" s="153"/>
      <c r="CD1164" s="146"/>
      <c r="CF1164" s="147"/>
      <c r="CI1164" s="146"/>
      <c r="CJ1164" s="153"/>
      <c r="CV1164" s="154"/>
      <c r="CX1164" s="154"/>
      <c r="CZ1164" s="154"/>
      <c r="DB1164" s="154"/>
      <c r="DD1164" s="154"/>
      <c r="DH1164" s="474"/>
      <c r="DI1164" s="459"/>
      <c r="DJ1164" s="459"/>
      <c r="DK1164" s="459"/>
      <c r="DL1164" s="459"/>
      <c r="DM1164" s="459"/>
      <c r="DN1164" s="459"/>
      <c r="DO1164" s="459"/>
      <c r="DP1164" s="459"/>
      <c r="DQ1164" s="459"/>
      <c r="DR1164" s="459"/>
      <c r="DS1164" s="459"/>
      <c r="DT1164" s="459"/>
      <c r="DU1164" s="459"/>
      <c r="DV1164" s="468"/>
      <c r="DW1164" s="468"/>
      <c r="DX1164" s="459"/>
      <c r="DY1164" s="459"/>
    </row>
    <row r="1165" spans="1:129" s="128" customFormat="1" ht="54.95" customHeight="1" x14ac:dyDescent="0.25">
      <c r="A1165" s="377"/>
      <c r="B1165" s="175"/>
      <c r="C1165" s="393"/>
      <c r="D1165" s="168"/>
      <c r="E1165" s="168"/>
      <c r="F1165" s="168"/>
      <c r="G1165" s="168"/>
      <c r="H1165" s="168"/>
      <c r="I1165" s="168"/>
      <c r="J1165" s="168"/>
      <c r="K1165" s="168"/>
      <c r="L1165" s="168"/>
      <c r="M1165" s="168"/>
      <c r="N1165" s="168"/>
      <c r="O1165" s="433"/>
      <c r="P1165" s="122"/>
      <c r="Q1165" s="156"/>
      <c r="R1165" s="156"/>
      <c r="S1165" s="156"/>
      <c r="T1165" s="156"/>
      <c r="U1165" s="156"/>
      <c r="V1165" s="156"/>
      <c r="W1165" s="156"/>
      <c r="X1165" s="156"/>
      <c r="Y1165" s="156"/>
      <c r="Z1165" s="157"/>
      <c r="AA1165" s="157"/>
      <c r="AB1165" s="156"/>
      <c r="AC1165" s="156"/>
      <c r="AD1165" s="156"/>
      <c r="AE1165" s="156"/>
      <c r="AF1165" s="156"/>
      <c r="AG1165" s="156"/>
      <c r="AH1165" s="156"/>
      <c r="AI1165" s="156"/>
      <c r="AJ1165" s="156"/>
      <c r="AK1165" s="156"/>
      <c r="AL1165" s="156"/>
      <c r="AM1165" s="158"/>
      <c r="AN1165" s="156"/>
      <c r="AO1165" s="156"/>
      <c r="AP1165" s="156"/>
      <c r="AQ1165" s="156"/>
      <c r="AR1165" s="156"/>
      <c r="AS1165" s="156"/>
      <c r="AT1165" s="156"/>
      <c r="AU1165" s="156"/>
      <c r="AV1165" s="156"/>
      <c r="AW1165" s="156"/>
      <c r="AX1165" s="156"/>
      <c r="AY1165" s="156"/>
      <c r="AZ1165" s="156"/>
      <c r="BA1165" s="153"/>
      <c r="BD1165" s="153"/>
      <c r="BE1165" s="147"/>
      <c r="BI1165" s="153"/>
      <c r="BO1165" s="153"/>
      <c r="BW1165" s="153"/>
      <c r="CD1165" s="146"/>
      <c r="CF1165" s="147"/>
      <c r="CI1165" s="146"/>
      <c r="CJ1165" s="153"/>
      <c r="CV1165" s="154"/>
      <c r="CX1165" s="154"/>
      <c r="CZ1165" s="154"/>
      <c r="DB1165" s="154"/>
      <c r="DD1165" s="154"/>
      <c r="DH1165" s="474"/>
      <c r="DI1165" s="459"/>
      <c r="DJ1165" s="459"/>
      <c r="DK1165" s="459"/>
      <c r="DL1165" s="459"/>
      <c r="DM1165" s="459"/>
      <c r="DN1165" s="459"/>
      <c r="DO1165" s="459"/>
      <c r="DP1165" s="459"/>
      <c r="DQ1165" s="459"/>
      <c r="DR1165" s="459"/>
      <c r="DS1165" s="459"/>
      <c r="DT1165" s="459"/>
      <c r="DU1165" s="459"/>
      <c r="DV1165" s="468"/>
      <c r="DW1165" s="468"/>
      <c r="DX1165" s="459"/>
      <c r="DY1165" s="459"/>
    </row>
    <row r="1166" spans="1:129" s="128" customFormat="1" ht="54.95" customHeight="1" x14ac:dyDescent="0.25">
      <c r="A1166" s="377"/>
      <c r="B1166" s="175"/>
      <c r="C1166" s="393"/>
      <c r="D1166" s="168"/>
      <c r="E1166" s="168"/>
      <c r="F1166" s="168"/>
      <c r="G1166" s="168"/>
      <c r="H1166" s="168"/>
      <c r="I1166" s="168"/>
      <c r="J1166" s="168"/>
      <c r="K1166" s="168"/>
      <c r="L1166" s="168"/>
      <c r="M1166" s="168"/>
      <c r="N1166" s="168"/>
      <c r="O1166" s="433"/>
      <c r="P1166" s="122"/>
      <c r="Q1166" s="156"/>
      <c r="R1166" s="156"/>
      <c r="S1166" s="156"/>
      <c r="T1166" s="156"/>
      <c r="U1166" s="156"/>
      <c r="V1166" s="156"/>
      <c r="W1166" s="156"/>
      <c r="X1166" s="156"/>
      <c r="Y1166" s="156"/>
      <c r="Z1166" s="157"/>
      <c r="AA1166" s="157"/>
      <c r="AB1166" s="156"/>
      <c r="AC1166" s="156"/>
      <c r="AD1166" s="156"/>
      <c r="AE1166" s="156"/>
      <c r="AF1166" s="156"/>
      <c r="AG1166" s="156"/>
      <c r="AH1166" s="156"/>
      <c r="AI1166" s="156"/>
      <c r="AJ1166" s="156"/>
      <c r="AK1166" s="156"/>
      <c r="AL1166" s="156"/>
      <c r="AM1166" s="158"/>
      <c r="AN1166" s="156"/>
      <c r="AO1166" s="156"/>
      <c r="AP1166" s="156"/>
      <c r="AQ1166" s="156"/>
      <c r="AR1166" s="156"/>
      <c r="AS1166" s="156"/>
      <c r="AT1166" s="156"/>
      <c r="AU1166" s="156"/>
      <c r="AV1166" s="156"/>
      <c r="AW1166" s="156"/>
      <c r="AX1166" s="156"/>
      <c r="AY1166" s="156"/>
      <c r="AZ1166" s="156"/>
      <c r="BA1166" s="153"/>
      <c r="BD1166" s="153"/>
      <c r="BE1166" s="147"/>
      <c r="BI1166" s="153"/>
      <c r="BO1166" s="153"/>
      <c r="BW1166" s="153"/>
      <c r="CD1166" s="146"/>
      <c r="CF1166" s="147"/>
      <c r="CI1166" s="146"/>
      <c r="CJ1166" s="153"/>
      <c r="CV1166" s="154"/>
      <c r="CX1166" s="154"/>
      <c r="CZ1166" s="154"/>
      <c r="DB1166" s="154"/>
      <c r="DD1166" s="154"/>
      <c r="DH1166" s="474"/>
      <c r="DI1166" s="459"/>
      <c r="DJ1166" s="459"/>
      <c r="DK1166" s="459"/>
      <c r="DL1166" s="459"/>
      <c r="DM1166" s="459"/>
      <c r="DN1166" s="459"/>
      <c r="DO1166" s="459"/>
      <c r="DP1166" s="459"/>
      <c r="DQ1166" s="459"/>
      <c r="DR1166" s="459"/>
      <c r="DS1166" s="459"/>
      <c r="DT1166" s="459"/>
      <c r="DU1166" s="459"/>
      <c r="DV1166" s="468"/>
      <c r="DW1166" s="468"/>
      <c r="DX1166" s="459"/>
      <c r="DY1166" s="459"/>
    </row>
    <row r="1167" spans="1:129" s="128" customFormat="1" ht="54.95" customHeight="1" x14ac:dyDescent="0.25">
      <c r="A1167" s="377"/>
      <c r="B1167" s="175"/>
      <c r="C1167" s="393"/>
      <c r="D1167" s="168"/>
      <c r="E1167" s="168"/>
      <c r="F1167" s="168"/>
      <c r="G1167" s="168"/>
      <c r="H1167" s="168"/>
      <c r="I1167" s="168"/>
      <c r="J1167" s="168"/>
      <c r="K1167" s="168"/>
      <c r="L1167" s="168"/>
      <c r="M1167" s="168"/>
      <c r="N1167" s="168"/>
      <c r="O1167" s="433"/>
      <c r="P1167" s="122"/>
      <c r="Q1167" s="156"/>
      <c r="R1167" s="156"/>
      <c r="S1167" s="156"/>
      <c r="T1167" s="156"/>
      <c r="U1167" s="156"/>
      <c r="V1167" s="156"/>
      <c r="W1167" s="156"/>
      <c r="X1167" s="156"/>
      <c r="Y1167" s="156"/>
      <c r="Z1167" s="157"/>
      <c r="AA1167" s="157"/>
      <c r="AB1167" s="156"/>
      <c r="AC1167" s="156"/>
      <c r="AD1167" s="156"/>
      <c r="AE1167" s="156"/>
      <c r="AF1167" s="156"/>
      <c r="AG1167" s="156"/>
      <c r="AH1167" s="156"/>
      <c r="AI1167" s="156"/>
      <c r="AJ1167" s="156"/>
      <c r="AK1167" s="156"/>
      <c r="AL1167" s="156"/>
      <c r="AM1167" s="158"/>
      <c r="AN1167" s="156"/>
      <c r="AO1167" s="156"/>
      <c r="AP1167" s="156"/>
      <c r="AQ1167" s="156"/>
      <c r="AR1167" s="156"/>
      <c r="AS1167" s="156"/>
      <c r="AT1167" s="156"/>
      <c r="AU1167" s="156"/>
      <c r="AV1167" s="156"/>
      <c r="AW1167" s="156"/>
      <c r="AX1167" s="156"/>
      <c r="AY1167" s="156"/>
      <c r="AZ1167" s="156"/>
      <c r="BA1167" s="153"/>
      <c r="BD1167" s="153"/>
      <c r="BE1167" s="147"/>
      <c r="BI1167" s="153"/>
      <c r="BO1167" s="153"/>
      <c r="BW1167" s="153"/>
      <c r="CD1167" s="146"/>
      <c r="CF1167" s="147"/>
      <c r="CI1167" s="146"/>
      <c r="CJ1167" s="153"/>
      <c r="CV1167" s="154"/>
      <c r="CX1167" s="154"/>
      <c r="CZ1167" s="154"/>
      <c r="DB1167" s="154"/>
      <c r="DD1167" s="154"/>
      <c r="DH1167" s="474"/>
      <c r="DI1167" s="459"/>
      <c r="DJ1167" s="459"/>
      <c r="DK1167" s="459"/>
      <c r="DL1167" s="459"/>
      <c r="DM1167" s="459"/>
      <c r="DN1167" s="459"/>
      <c r="DO1167" s="459"/>
      <c r="DP1167" s="459"/>
      <c r="DQ1167" s="459"/>
      <c r="DR1167" s="459"/>
      <c r="DS1167" s="459"/>
      <c r="DT1167" s="459"/>
      <c r="DU1167" s="459"/>
      <c r="DV1167" s="468"/>
      <c r="DW1167" s="468"/>
      <c r="DX1167" s="459"/>
      <c r="DY1167" s="459"/>
    </row>
    <row r="1168" spans="1:129" s="128" customFormat="1" ht="54.95" customHeight="1" x14ac:dyDescent="0.25">
      <c r="A1168" s="377"/>
      <c r="B1168" s="175"/>
      <c r="C1168" s="393"/>
      <c r="D1168" s="168"/>
      <c r="E1168" s="168"/>
      <c r="F1168" s="168"/>
      <c r="G1168" s="168"/>
      <c r="H1168" s="168"/>
      <c r="I1168" s="168"/>
      <c r="J1168" s="168"/>
      <c r="K1168" s="168"/>
      <c r="L1168" s="168"/>
      <c r="M1168" s="168"/>
      <c r="N1168" s="168"/>
      <c r="O1168" s="433"/>
      <c r="P1168" s="122"/>
      <c r="Q1168" s="156"/>
      <c r="R1168" s="156"/>
      <c r="S1168" s="156"/>
      <c r="T1168" s="156"/>
      <c r="U1168" s="156"/>
      <c r="V1168" s="156"/>
      <c r="W1168" s="156"/>
      <c r="X1168" s="156"/>
      <c r="Y1168" s="156"/>
      <c r="Z1168" s="157"/>
      <c r="AA1168" s="157"/>
      <c r="AB1168" s="156"/>
      <c r="AC1168" s="156"/>
      <c r="AD1168" s="156"/>
      <c r="AE1168" s="156"/>
      <c r="AF1168" s="156"/>
      <c r="AG1168" s="156"/>
      <c r="AH1168" s="156"/>
      <c r="AI1168" s="156"/>
      <c r="AJ1168" s="156"/>
      <c r="AK1168" s="156"/>
      <c r="AL1168" s="156"/>
      <c r="AM1168" s="158"/>
      <c r="AN1168" s="156"/>
      <c r="AO1168" s="156"/>
      <c r="AP1168" s="156"/>
      <c r="AQ1168" s="156"/>
      <c r="AR1168" s="156"/>
      <c r="AS1168" s="156"/>
      <c r="AT1168" s="156"/>
      <c r="AU1168" s="156"/>
      <c r="AV1168" s="156"/>
      <c r="AW1168" s="156"/>
      <c r="AX1168" s="156"/>
      <c r="AY1168" s="156"/>
      <c r="AZ1168" s="156"/>
      <c r="BA1168" s="153"/>
      <c r="BD1168" s="153"/>
      <c r="BE1168" s="147"/>
      <c r="BI1168" s="153"/>
      <c r="BO1168" s="153"/>
      <c r="BW1168" s="153"/>
      <c r="CD1168" s="146"/>
      <c r="CF1168" s="147"/>
      <c r="CI1168" s="146"/>
      <c r="CJ1168" s="153"/>
      <c r="CV1168" s="154"/>
      <c r="CX1168" s="154"/>
      <c r="CZ1168" s="154"/>
      <c r="DB1168" s="154"/>
      <c r="DD1168" s="154"/>
      <c r="DH1168" s="474"/>
      <c r="DI1168" s="459"/>
      <c r="DJ1168" s="459"/>
      <c r="DK1168" s="459"/>
      <c r="DL1168" s="459"/>
      <c r="DM1168" s="459"/>
      <c r="DN1168" s="459"/>
      <c r="DO1168" s="459"/>
      <c r="DP1168" s="459"/>
      <c r="DQ1168" s="459"/>
      <c r="DR1168" s="459"/>
      <c r="DS1168" s="459"/>
      <c r="DT1168" s="459"/>
      <c r="DU1168" s="459"/>
      <c r="DV1168" s="468"/>
      <c r="DW1168" s="468"/>
      <c r="DX1168" s="459"/>
      <c r="DY1168" s="459"/>
    </row>
    <row r="1169" spans="1:129" s="128" customFormat="1" ht="54.95" customHeight="1" x14ac:dyDescent="0.25">
      <c r="A1169" s="377"/>
      <c r="B1169" s="175"/>
      <c r="C1169" s="393"/>
      <c r="D1169" s="168"/>
      <c r="E1169" s="168"/>
      <c r="F1169" s="168"/>
      <c r="G1169" s="168"/>
      <c r="H1169" s="168"/>
      <c r="I1169" s="168"/>
      <c r="J1169" s="168"/>
      <c r="K1169" s="168"/>
      <c r="L1169" s="168"/>
      <c r="M1169" s="168"/>
      <c r="N1169" s="168"/>
      <c r="O1169" s="433"/>
      <c r="P1169" s="122"/>
      <c r="Q1169" s="156"/>
      <c r="R1169" s="156"/>
      <c r="S1169" s="156"/>
      <c r="T1169" s="156"/>
      <c r="U1169" s="156"/>
      <c r="V1169" s="156"/>
      <c r="W1169" s="156"/>
      <c r="X1169" s="156"/>
      <c r="Y1169" s="156"/>
      <c r="Z1169" s="157"/>
      <c r="AA1169" s="157"/>
      <c r="AB1169" s="156"/>
      <c r="AC1169" s="156"/>
      <c r="AD1169" s="156"/>
      <c r="AE1169" s="156"/>
      <c r="AF1169" s="156"/>
      <c r="AG1169" s="156"/>
      <c r="AH1169" s="156"/>
      <c r="AI1169" s="156"/>
      <c r="AJ1169" s="156"/>
      <c r="AK1169" s="156"/>
      <c r="AL1169" s="156"/>
      <c r="AM1169" s="158"/>
      <c r="AN1169" s="156"/>
      <c r="AO1169" s="156"/>
      <c r="AP1169" s="156"/>
      <c r="AQ1169" s="156"/>
      <c r="AR1169" s="156"/>
      <c r="AS1169" s="156"/>
      <c r="AT1169" s="156"/>
      <c r="AU1169" s="156"/>
      <c r="AV1169" s="156"/>
      <c r="AW1169" s="156"/>
      <c r="AX1169" s="156"/>
      <c r="AY1169" s="156"/>
      <c r="AZ1169" s="156"/>
      <c r="BA1169" s="153"/>
      <c r="BD1169" s="153"/>
      <c r="BE1169" s="147"/>
      <c r="BI1169" s="153"/>
      <c r="BO1169" s="153"/>
      <c r="BW1169" s="153"/>
      <c r="CD1169" s="146"/>
      <c r="CF1169" s="147"/>
      <c r="CI1169" s="146"/>
      <c r="CJ1169" s="153"/>
      <c r="CV1169" s="154"/>
      <c r="CX1169" s="154"/>
      <c r="CZ1169" s="154"/>
      <c r="DB1169" s="154"/>
      <c r="DD1169" s="154"/>
      <c r="DH1169" s="474"/>
      <c r="DI1169" s="459"/>
      <c r="DJ1169" s="459"/>
      <c r="DK1169" s="459"/>
      <c r="DL1169" s="459"/>
      <c r="DM1169" s="459"/>
      <c r="DN1169" s="459"/>
      <c r="DO1169" s="459"/>
      <c r="DP1169" s="459"/>
      <c r="DQ1169" s="459"/>
      <c r="DR1169" s="459"/>
      <c r="DS1169" s="459"/>
      <c r="DT1169" s="459"/>
      <c r="DU1169" s="459"/>
      <c r="DV1169" s="468"/>
      <c r="DW1169" s="468"/>
      <c r="DX1169" s="459"/>
      <c r="DY1169" s="459"/>
    </row>
    <row r="1170" spans="1:129" s="128" customFormat="1" ht="54.95" customHeight="1" x14ac:dyDescent="0.25">
      <c r="A1170" s="377"/>
      <c r="B1170" s="175"/>
      <c r="C1170" s="393"/>
      <c r="D1170" s="168"/>
      <c r="E1170" s="168"/>
      <c r="F1170" s="168"/>
      <c r="G1170" s="168"/>
      <c r="H1170" s="168"/>
      <c r="I1170" s="168"/>
      <c r="J1170" s="168"/>
      <c r="K1170" s="168"/>
      <c r="L1170" s="168"/>
      <c r="M1170" s="168"/>
      <c r="N1170" s="168"/>
      <c r="O1170" s="433"/>
      <c r="P1170" s="122"/>
      <c r="Q1170" s="156"/>
      <c r="R1170" s="156"/>
      <c r="S1170" s="156"/>
      <c r="T1170" s="156"/>
      <c r="U1170" s="156"/>
      <c r="V1170" s="156"/>
      <c r="W1170" s="156"/>
      <c r="X1170" s="156"/>
      <c r="Y1170" s="156"/>
      <c r="Z1170" s="157"/>
      <c r="AA1170" s="157"/>
      <c r="AB1170" s="156"/>
      <c r="AC1170" s="156"/>
      <c r="AD1170" s="156"/>
      <c r="AE1170" s="156"/>
      <c r="AF1170" s="156"/>
      <c r="AG1170" s="156"/>
      <c r="AH1170" s="156"/>
      <c r="AI1170" s="156"/>
      <c r="AJ1170" s="156"/>
      <c r="AK1170" s="156"/>
      <c r="AL1170" s="156"/>
      <c r="AM1170" s="158"/>
      <c r="AN1170" s="156"/>
      <c r="AO1170" s="156"/>
      <c r="AP1170" s="156"/>
      <c r="AQ1170" s="156"/>
      <c r="AR1170" s="156"/>
      <c r="AS1170" s="156"/>
      <c r="AT1170" s="156"/>
      <c r="AU1170" s="156"/>
      <c r="AV1170" s="156"/>
      <c r="AW1170" s="156"/>
      <c r="AX1170" s="156"/>
      <c r="AY1170" s="156"/>
      <c r="AZ1170" s="156"/>
      <c r="BA1170" s="153"/>
      <c r="BD1170" s="153"/>
      <c r="BE1170" s="147"/>
      <c r="BI1170" s="153"/>
      <c r="BO1170" s="153"/>
      <c r="BW1170" s="153"/>
      <c r="CD1170" s="146"/>
      <c r="CF1170" s="147"/>
      <c r="CI1170" s="146"/>
      <c r="CJ1170" s="153"/>
      <c r="CV1170" s="154"/>
      <c r="CX1170" s="154"/>
      <c r="CZ1170" s="154"/>
      <c r="DB1170" s="154"/>
      <c r="DD1170" s="154"/>
      <c r="DH1170" s="474"/>
      <c r="DI1170" s="459"/>
      <c r="DJ1170" s="459"/>
      <c r="DK1170" s="459"/>
      <c r="DL1170" s="459"/>
      <c r="DM1170" s="459"/>
      <c r="DN1170" s="459"/>
      <c r="DO1170" s="459"/>
      <c r="DP1170" s="459"/>
      <c r="DQ1170" s="459"/>
      <c r="DR1170" s="459"/>
      <c r="DS1170" s="459"/>
      <c r="DT1170" s="459"/>
      <c r="DU1170" s="459"/>
      <c r="DV1170" s="468"/>
      <c r="DW1170" s="468"/>
      <c r="DX1170" s="459"/>
      <c r="DY1170" s="459"/>
    </row>
    <row r="1171" spans="1:129" s="128" customFormat="1" ht="54.95" customHeight="1" x14ac:dyDescent="0.25">
      <c r="A1171" s="377"/>
      <c r="B1171" s="175"/>
      <c r="C1171" s="393"/>
      <c r="D1171" s="168"/>
      <c r="E1171" s="168"/>
      <c r="F1171" s="168"/>
      <c r="G1171" s="168"/>
      <c r="H1171" s="168"/>
      <c r="I1171" s="168"/>
      <c r="J1171" s="168"/>
      <c r="K1171" s="168"/>
      <c r="L1171" s="168"/>
      <c r="M1171" s="168"/>
      <c r="N1171" s="168"/>
      <c r="O1171" s="433"/>
      <c r="P1171" s="122"/>
      <c r="Q1171" s="156"/>
      <c r="R1171" s="156"/>
      <c r="S1171" s="156"/>
      <c r="T1171" s="156"/>
      <c r="U1171" s="156"/>
      <c r="V1171" s="156"/>
      <c r="W1171" s="156"/>
      <c r="X1171" s="156"/>
      <c r="Y1171" s="156"/>
      <c r="Z1171" s="157"/>
      <c r="AA1171" s="157"/>
      <c r="AB1171" s="156"/>
      <c r="AC1171" s="156"/>
      <c r="AD1171" s="156"/>
      <c r="AE1171" s="156"/>
      <c r="AF1171" s="156"/>
      <c r="AG1171" s="156"/>
      <c r="AH1171" s="156"/>
      <c r="AI1171" s="156"/>
      <c r="AJ1171" s="156"/>
      <c r="AK1171" s="156"/>
      <c r="AL1171" s="156"/>
      <c r="AM1171" s="158"/>
      <c r="AN1171" s="156"/>
      <c r="AO1171" s="156"/>
      <c r="AP1171" s="156"/>
      <c r="AQ1171" s="156"/>
      <c r="AR1171" s="156"/>
      <c r="AS1171" s="156"/>
      <c r="AT1171" s="156"/>
      <c r="AU1171" s="156"/>
      <c r="AV1171" s="156"/>
      <c r="AW1171" s="156"/>
      <c r="AX1171" s="156"/>
      <c r="AY1171" s="156"/>
      <c r="AZ1171" s="156"/>
      <c r="BA1171" s="153"/>
      <c r="BD1171" s="153"/>
      <c r="BE1171" s="147"/>
      <c r="BI1171" s="153"/>
      <c r="BO1171" s="153"/>
      <c r="BW1171" s="153"/>
      <c r="CD1171" s="146"/>
      <c r="CF1171" s="147"/>
      <c r="CI1171" s="146"/>
      <c r="CJ1171" s="153"/>
      <c r="CV1171" s="154"/>
      <c r="CX1171" s="154"/>
      <c r="CZ1171" s="154"/>
      <c r="DB1171" s="154"/>
      <c r="DD1171" s="154"/>
      <c r="DH1171" s="474"/>
      <c r="DI1171" s="459"/>
      <c r="DJ1171" s="459"/>
      <c r="DK1171" s="459"/>
      <c r="DL1171" s="459"/>
      <c r="DM1171" s="459"/>
      <c r="DN1171" s="459"/>
      <c r="DO1171" s="459"/>
      <c r="DP1171" s="459"/>
      <c r="DQ1171" s="459"/>
      <c r="DR1171" s="459"/>
      <c r="DS1171" s="459"/>
      <c r="DT1171" s="459"/>
      <c r="DU1171" s="459"/>
      <c r="DV1171" s="468"/>
      <c r="DW1171" s="468"/>
      <c r="DX1171" s="459"/>
      <c r="DY1171" s="459"/>
    </row>
    <row r="1172" spans="1:129" s="128" customFormat="1" ht="54.95" customHeight="1" x14ac:dyDescent="0.25">
      <c r="A1172" s="377"/>
      <c r="B1172" s="175"/>
      <c r="C1172" s="393"/>
      <c r="D1172" s="168"/>
      <c r="E1172" s="168"/>
      <c r="F1172" s="168"/>
      <c r="G1172" s="168"/>
      <c r="H1172" s="168"/>
      <c r="I1172" s="168"/>
      <c r="J1172" s="168"/>
      <c r="K1172" s="168"/>
      <c r="L1172" s="168"/>
      <c r="M1172" s="168"/>
      <c r="N1172" s="168"/>
      <c r="O1172" s="433"/>
      <c r="P1172" s="122"/>
      <c r="Q1172" s="156"/>
      <c r="R1172" s="156"/>
      <c r="S1172" s="156"/>
      <c r="T1172" s="156"/>
      <c r="U1172" s="156"/>
      <c r="V1172" s="156"/>
      <c r="W1172" s="156"/>
      <c r="X1172" s="156"/>
      <c r="Y1172" s="156"/>
      <c r="Z1172" s="157"/>
      <c r="AA1172" s="157"/>
      <c r="AB1172" s="156"/>
      <c r="AC1172" s="156"/>
      <c r="AD1172" s="156"/>
      <c r="AE1172" s="156"/>
      <c r="AF1172" s="156"/>
      <c r="AG1172" s="156"/>
      <c r="AH1172" s="156"/>
      <c r="AI1172" s="156"/>
      <c r="AJ1172" s="156"/>
      <c r="AK1172" s="156"/>
      <c r="AL1172" s="156"/>
      <c r="AM1172" s="158"/>
      <c r="AN1172" s="156"/>
      <c r="AO1172" s="156"/>
      <c r="AP1172" s="156"/>
      <c r="AQ1172" s="156"/>
      <c r="AR1172" s="156"/>
      <c r="AS1172" s="156"/>
      <c r="AT1172" s="156"/>
      <c r="AU1172" s="156"/>
      <c r="AV1172" s="156"/>
      <c r="AW1172" s="156"/>
      <c r="AX1172" s="156"/>
      <c r="AY1172" s="156"/>
      <c r="AZ1172" s="156"/>
      <c r="BA1172" s="153"/>
      <c r="BD1172" s="153"/>
      <c r="BE1172" s="147"/>
      <c r="BI1172" s="153"/>
      <c r="BO1172" s="153"/>
      <c r="BW1172" s="153"/>
      <c r="CD1172" s="146"/>
      <c r="CF1172" s="147"/>
      <c r="CI1172" s="146"/>
      <c r="CJ1172" s="153"/>
      <c r="CV1172" s="154"/>
      <c r="CX1172" s="154"/>
      <c r="CZ1172" s="154"/>
      <c r="DB1172" s="154"/>
      <c r="DD1172" s="154"/>
      <c r="DH1172" s="474"/>
      <c r="DI1172" s="459"/>
      <c r="DJ1172" s="459"/>
      <c r="DK1172" s="459"/>
      <c r="DL1172" s="459"/>
      <c r="DM1172" s="459"/>
      <c r="DN1172" s="459"/>
      <c r="DO1172" s="459"/>
      <c r="DP1172" s="459"/>
      <c r="DQ1172" s="459"/>
      <c r="DR1172" s="459"/>
      <c r="DS1172" s="459"/>
      <c r="DT1172" s="459"/>
      <c r="DU1172" s="459"/>
      <c r="DV1172" s="468"/>
      <c r="DW1172" s="468"/>
      <c r="DX1172" s="459"/>
      <c r="DY1172" s="459"/>
    </row>
    <row r="1173" spans="1:129" s="128" customFormat="1" ht="54.95" customHeight="1" x14ac:dyDescent="0.25">
      <c r="A1173" s="377"/>
      <c r="B1173" s="175"/>
      <c r="C1173" s="393"/>
      <c r="D1173" s="168"/>
      <c r="E1173" s="168"/>
      <c r="F1173" s="168"/>
      <c r="G1173" s="168"/>
      <c r="H1173" s="168"/>
      <c r="I1173" s="168"/>
      <c r="J1173" s="168"/>
      <c r="K1173" s="168"/>
      <c r="L1173" s="168"/>
      <c r="M1173" s="168"/>
      <c r="N1173" s="168"/>
      <c r="O1173" s="433"/>
      <c r="P1173" s="122"/>
      <c r="Q1173" s="156"/>
      <c r="R1173" s="156"/>
      <c r="S1173" s="156"/>
      <c r="T1173" s="156"/>
      <c r="U1173" s="156"/>
      <c r="V1173" s="156"/>
      <c r="W1173" s="156"/>
      <c r="X1173" s="156"/>
      <c r="Y1173" s="156"/>
      <c r="Z1173" s="157"/>
      <c r="AA1173" s="157"/>
      <c r="AB1173" s="156"/>
      <c r="AC1173" s="156"/>
      <c r="AD1173" s="156"/>
      <c r="AE1173" s="156"/>
      <c r="AF1173" s="156"/>
      <c r="AG1173" s="156"/>
      <c r="AH1173" s="156"/>
      <c r="AI1173" s="156"/>
      <c r="AJ1173" s="156"/>
      <c r="AK1173" s="156"/>
      <c r="AL1173" s="156"/>
      <c r="AM1173" s="158"/>
      <c r="AN1173" s="156"/>
      <c r="AO1173" s="156"/>
      <c r="AP1173" s="156"/>
      <c r="AQ1173" s="156"/>
      <c r="AR1173" s="156"/>
      <c r="AS1173" s="156"/>
      <c r="AT1173" s="156"/>
      <c r="AU1173" s="156"/>
      <c r="AV1173" s="156"/>
      <c r="AW1173" s="156"/>
      <c r="AX1173" s="156"/>
      <c r="AY1173" s="156"/>
      <c r="AZ1173" s="156"/>
      <c r="BA1173" s="153"/>
      <c r="BD1173" s="153"/>
      <c r="BE1173" s="147"/>
      <c r="BI1173" s="153"/>
      <c r="BO1173" s="153"/>
      <c r="BW1173" s="153"/>
      <c r="CD1173" s="146"/>
      <c r="CF1173" s="147"/>
      <c r="CI1173" s="146"/>
      <c r="CJ1173" s="153"/>
      <c r="CV1173" s="154"/>
      <c r="CX1173" s="154"/>
      <c r="CZ1173" s="154"/>
      <c r="DB1173" s="154"/>
      <c r="DD1173" s="154"/>
      <c r="DH1173" s="474"/>
      <c r="DI1173" s="459"/>
      <c r="DJ1173" s="459"/>
      <c r="DK1173" s="459"/>
      <c r="DL1173" s="459"/>
      <c r="DM1173" s="459"/>
      <c r="DN1173" s="459"/>
      <c r="DO1173" s="459"/>
      <c r="DP1173" s="459"/>
      <c r="DQ1173" s="459"/>
      <c r="DR1173" s="459"/>
      <c r="DS1173" s="459"/>
      <c r="DT1173" s="459"/>
      <c r="DU1173" s="459"/>
      <c r="DV1173" s="468"/>
      <c r="DW1173" s="468"/>
      <c r="DX1173" s="459"/>
      <c r="DY1173" s="459"/>
    </row>
    <row r="1174" spans="1:129" s="128" customFormat="1" ht="54.95" customHeight="1" x14ac:dyDescent="0.25">
      <c r="A1174" s="377"/>
      <c r="B1174" s="175"/>
      <c r="C1174" s="393"/>
      <c r="D1174" s="168"/>
      <c r="E1174" s="168"/>
      <c r="F1174" s="168"/>
      <c r="G1174" s="168"/>
      <c r="H1174" s="168"/>
      <c r="I1174" s="168"/>
      <c r="J1174" s="168"/>
      <c r="K1174" s="168"/>
      <c r="L1174" s="168"/>
      <c r="M1174" s="168"/>
      <c r="N1174" s="168"/>
      <c r="O1174" s="433"/>
      <c r="P1174" s="122"/>
      <c r="Q1174" s="156"/>
      <c r="R1174" s="156"/>
      <c r="S1174" s="156"/>
      <c r="T1174" s="156"/>
      <c r="U1174" s="156"/>
      <c r="V1174" s="156"/>
      <c r="W1174" s="156"/>
      <c r="X1174" s="156"/>
      <c r="Y1174" s="156"/>
      <c r="Z1174" s="157"/>
      <c r="AA1174" s="157"/>
      <c r="AB1174" s="156"/>
      <c r="AC1174" s="156"/>
      <c r="AD1174" s="156"/>
      <c r="AE1174" s="156"/>
      <c r="AF1174" s="156"/>
      <c r="AG1174" s="156"/>
      <c r="AH1174" s="156"/>
      <c r="AI1174" s="156"/>
      <c r="AJ1174" s="156"/>
      <c r="AK1174" s="156"/>
      <c r="AL1174" s="156"/>
      <c r="AM1174" s="158"/>
      <c r="AN1174" s="156"/>
      <c r="AO1174" s="156"/>
      <c r="AP1174" s="156"/>
      <c r="AQ1174" s="156"/>
      <c r="AR1174" s="156"/>
      <c r="AS1174" s="156"/>
      <c r="AT1174" s="156"/>
      <c r="AU1174" s="156"/>
      <c r="AV1174" s="156"/>
      <c r="AW1174" s="156"/>
      <c r="AX1174" s="156"/>
      <c r="AY1174" s="156"/>
      <c r="AZ1174" s="156"/>
      <c r="BA1174" s="153"/>
      <c r="BD1174" s="153"/>
      <c r="BE1174" s="147"/>
      <c r="BI1174" s="153"/>
      <c r="BO1174" s="153"/>
      <c r="BW1174" s="153"/>
      <c r="CD1174" s="146"/>
      <c r="CF1174" s="147"/>
      <c r="CI1174" s="146"/>
      <c r="CJ1174" s="153"/>
      <c r="CV1174" s="154"/>
      <c r="CX1174" s="154"/>
      <c r="CZ1174" s="154"/>
      <c r="DB1174" s="154"/>
      <c r="DD1174" s="154"/>
      <c r="DH1174" s="474"/>
      <c r="DI1174" s="459"/>
      <c r="DJ1174" s="459"/>
      <c r="DK1174" s="459"/>
      <c r="DL1174" s="459"/>
      <c r="DM1174" s="459"/>
      <c r="DN1174" s="459"/>
      <c r="DO1174" s="459"/>
      <c r="DP1174" s="459"/>
      <c r="DQ1174" s="459"/>
      <c r="DR1174" s="459"/>
      <c r="DS1174" s="459"/>
      <c r="DT1174" s="459"/>
      <c r="DU1174" s="459"/>
      <c r="DV1174" s="468"/>
      <c r="DW1174" s="468"/>
      <c r="DX1174" s="459"/>
      <c r="DY1174" s="459"/>
    </row>
    <row r="1175" spans="1:129" s="128" customFormat="1" ht="54.95" customHeight="1" x14ac:dyDescent="0.25">
      <c r="A1175" s="377"/>
      <c r="B1175" s="175"/>
      <c r="C1175" s="393"/>
      <c r="D1175" s="168"/>
      <c r="E1175" s="168"/>
      <c r="F1175" s="168"/>
      <c r="G1175" s="168"/>
      <c r="H1175" s="168"/>
      <c r="I1175" s="168"/>
      <c r="J1175" s="168"/>
      <c r="K1175" s="168"/>
      <c r="L1175" s="168"/>
      <c r="M1175" s="168"/>
      <c r="N1175" s="168"/>
      <c r="O1175" s="433"/>
      <c r="P1175" s="122"/>
      <c r="Q1175" s="156"/>
      <c r="R1175" s="156"/>
      <c r="S1175" s="156"/>
      <c r="T1175" s="156"/>
      <c r="U1175" s="156"/>
      <c r="V1175" s="156"/>
      <c r="W1175" s="156"/>
      <c r="X1175" s="156"/>
      <c r="Y1175" s="156"/>
      <c r="Z1175" s="157"/>
      <c r="AA1175" s="157"/>
      <c r="AB1175" s="156"/>
      <c r="AC1175" s="156"/>
      <c r="AD1175" s="156"/>
      <c r="AE1175" s="156"/>
      <c r="AF1175" s="156"/>
      <c r="AG1175" s="156"/>
      <c r="AH1175" s="156"/>
      <c r="AI1175" s="156"/>
      <c r="AJ1175" s="156"/>
      <c r="AK1175" s="156"/>
      <c r="AL1175" s="156"/>
      <c r="AM1175" s="158"/>
      <c r="AN1175" s="156"/>
      <c r="AO1175" s="156"/>
      <c r="AP1175" s="156"/>
      <c r="AQ1175" s="156"/>
      <c r="AR1175" s="156"/>
      <c r="AS1175" s="156"/>
      <c r="AT1175" s="156"/>
      <c r="AU1175" s="156"/>
      <c r="AV1175" s="156"/>
      <c r="AW1175" s="156"/>
      <c r="AX1175" s="156"/>
      <c r="AY1175" s="156"/>
      <c r="AZ1175" s="156"/>
      <c r="BA1175" s="153"/>
      <c r="BD1175" s="153"/>
      <c r="BE1175" s="147"/>
      <c r="BI1175" s="153"/>
      <c r="BO1175" s="153"/>
      <c r="BW1175" s="153"/>
      <c r="CD1175" s="146"/>
      <c r="CF1175" s="147"/>
      <c r="CI1175" s="146"/>
      <c r="CJ1175" s="153"/>
      <c r="CV1175" s="154"/>
      <c r="CX1175" s="154"/>
      <c r="CZ1175" s="154"/>
      <c r="DB1175" s="154"/>
      <c r="DD1175" s="154"/>
      <c r="DH1175" s="474"/>
      <c r="DI1175" s="459"/>
      <c r="DJ1175" s="459"/>
      <c r="DK1175" s="459"/>
      <c r="DL1175" s="459"/>
      <c r="DM1175" s="459"/>
      <c r="DN1175" s="459"/>
      <c r="DO1175" s="459"/>
      <c r="DP1175" s="459"/>
      <c r="DQ1175" s="459"/>
      <c r="DR1175" s="459"/>
      <c r="DS1175" s="459"/>
      <c r="DT1175" s="459"/>
      <c r="DU1175" s="459"/>
      <c r="DV1175" s="468"/>
      <c r="DW1175" s="468"/>
      <c r="DX1175" s="459"/>
      <c r="DY1175" s="459"/>
    </row>
    <row r="1176" spans="1:129" s="128" customFormat="1" ht="54.95" customHeight="1" x14ac:dyDescent="0.25">
      <c r="A1176" s="377"/>
      <c r="B1176" s="175"/>
      <c r="C1176" s="393"/>
      <c r="D1176" s="168"/>
      <c r="E1176" s="168"/>
      <c r="F1176" s="168"/>
      <c r="G1176" s="168"/>
      <c r="H1176" s="168"/>
      <c r="I1176" s="168"/>
      <c r="J1176" s="168"/>
      <c r="K1176" s="168"/>
      <c r="L1176" s="168"/>
      <c r="M1176" s="168"/>
      <c r="N1176" s="168"/>
      <c r="O1176" s="433"/>
      <c r="P1176" s="122"/>
      <c r="Q1176" s="156"/>
      <c r="R1176" s="156"/>
      <c r="S1176" s="156"/>
      <c r="T1176" s="156"/>
      <c r="U1176" s="156"/>
      <c r="V1176" s="156"/>
      <c r="W1176" s="156"/>
      <c r="X1176" s="156"/>
      <c r="Y1176" s="156"/>
      <c r="Z1176" s="157"/>
      <c r="AA1176" s="157"/>
      <c r="AB1176" s="156"/>
      <c r="AC1176" s="156"/>
      <c r="AD1176" s="156"/>
      <c r="AE1176" s="156"/>
      <c r="AF1176" s="156"/>
      <c r="AG1176" s="156"/>
      <c r="AH1176" s="156"/>
      <c r="AI1176" s="156"/>
      <c r="AJ1176" s="156"/>
      <c r="AK1176" s="156"/>
      <c r="AL1176" s="156"/>
      <c r="AM1176" s="158"/>
      <c r="AN1176" s="156"/>
      <c r="AO1176" s="156"/>
      <c r="AP1176" s="156"/>
      <c r="AQ1176" s="156"/>
      <c r="AR1176" s="156"/>
      <c r="AS1176" s="156"/>
      <c r="AT1176" s="156"/>
      <c r="AU1176" s="156"/>
      <c r="AV1176" s="156"/>
      <c r="AW1176" s="156"/>
      <c r="AX1176" s="156"/>
      <c r="AY1176" s="156"/>
      <c r="AZ1176" s="156"/>
      <c r="BA1176" s="153"/>
      <c r="BD1176" s="153"/>
      <c r="BE1176" s="147"/>
      <c r="BI1176" s="153"/>
      <c r="BO1176" s="153"/>
      <c r="BW1176" s="153"/>
      <c r="CD1176" s="146"/>
      <c r="CF1176" s="147"/>
      <c r="CI1176" s="146"/>
      <c r="CJ1176" s="153"/>
      <c r="CV1176" s="154"/>
      <c r="CX1176" s="154"/>
      <c r="CZ1176" s="154"/>
      <c r="DB1176" s="154"/>
      <c r="DD1176" s="154"/>
      <c r="DH1176" s="474"/>
      <c r="DI1176" s="459"/>
      <c r="DJ1176" s="459"/>
      <c r="DK1176" s="459"/>
      <c r="DL1176" s="459"/>
      <c r="DM1176" s="459"/>
      <c r="DN1176" s="459"/>
      <c r="DO1176" s="459"/>
      <c r="DP1176" s="459"/>
      <c r="DQ1176" s="459"/>
      <c r="DR1176" s="459"/>
      <c r="DS1176" s="459"/>
      <c r="DT1176" s="459"/>
      <c r="DU1176" s="459"/>
      <c r="DV1176" s="468"/>
      <c r="DW1176" s="468"/>
      <c r="DX1176" s="459"/>
      <c r="DY1176" s="459"/>
    </row>
    <row r="1177" spans="1:129" s="128" customFormat="1" ht="54.95" customHeight="1" x14ac:dyDescent="0.25">
      <c r="A1177" s="377"/>
      <c r="B1177" s="175"/>
      <c r="C1177" s="393"/>
      <c r="D1177" s="168"/>
      <c r="E1177" s="168"/>
      <c r="F1177" s="168"/>
      <c r="G1177" s="168"/>
      <c r="H1177" s="168"/>
      <c r="I1177" s="168"/>
      <c r="J1177" s="168"/>
      <c r="K1177" s="168"/>
      <c r="L1177" s="168"/>
      <c r="M1177" s="168"/>
      <c r="N1177" s="168"/>
      <c r="O1177" s="433"/>
      <c r="P1177" s="122"/>
      <c r="Q1177" s="156"/>
      <c r="R1177" s="156"/>
      <c r="S1177" s="156"/>
      <c r="T1177" s="156"/>
      <c r="U1177" s="156"/>
      <c r="V1177" s="156"/>
      <c r="W1177" s="156"/>
      <c r="X1177" s="156"/>
      <c r="Y1177" s="156"/>
      <c r="Z1177" s="157"/>
      <c r="AA1177" s="157"/>
      <c r="AB1177" s="156"/>
      <c r="AC1177" s="156"/>
      <c r="AD1177" s="156"/>
      <c r="AE1177" s="156"/>
      <c r="AF1177" s="156"/>
      <c r="AG1177" s="156"/>
      <c r="AH1177" s="156"/>
      <c r="AI1177" s="156"/>
      <c r="AJ1177" s="156"/>
      <c r="AK1177" s="156"/>
      <c r="AL1177" s="156"/>
      <c r="AM1177" s="158"/>
      <c r="AN1177" s="156"/>
      <c r="AO1177" s="156"/>
      <c r="AP1177" s="156"/>
      <c r="AQ1177" s="156"/>
      <c r="AR1177" s="156"/>
      <c r="AS1177" s="156"/>
      <c r="AT1177" s="156"/>
      <c r="AU1177" s="156"/>
      <c r="AV1177" s="156"/>
      <c r="AW1177" s="156"/>
      <c r="AX1177" s="156"/>
      <c r="AY1177" s="156"/>
      <c r="AZ1177" s="156"/>
      <c r="BA1177" s="153"/>
      <c r="BD1177" s="153"/>
      <c r="BE1177" s="147"/>
      <c r="BI1177" s="153"/>
      <c r="BO1177" s="153"/>
      <c r="BW1177" s="153"/>
      <c r="CD1177" s="146"/>
      <c r="CF1177" s="147"/>
      <c r="CI1177" s="146"/>
      <c r="CJ1177" s="153"/>
      <c r="CV1177" s="154"/>
      <c r="CX1177" s="154"/>
      <c r="CZ1177" s="154"/>
      <c r="DB1177" s="154"/>
      <c r="DD1177" s="154"/>
      <c r="DH1177" s="474"/>
      <c r="DI1177" s="459"/>
      <c r="DJ1177" s="459"/>
      <c r="DK1177" s="459"/>
      <c r="DL1177" s="459"/>
      <c r="DM1177" s="459"/>
      <c r="DN1177" s="459"/>
      <c r="DO1177" s="459"/>
      <c r="DP1177" s="459"/>
      <c r="DQ1177" s="459"/>
      <c r="DR1177" s="459"/>
      <c r="DS1177" s="459"/>
      <c r="DT1177" s="459"/>
      <c r="DU1177" s="459"/>
      <c r="DV1177" s="468"/>
      <c r="DW1177" s="468"/>
      <c r="DX1177" s="459"/>
      <c r="DY1177" s="459"/>
    </row>
    <row r="1178" spans="1:129" s="128" customFormat="1" ht="54.95" customHeight="1" x14ac:dyDescent="0.25">
      <c r="A1178" s="377"/>
      <c r="B1178" s="175"/>
      <c r="C1178" s="393"/>
      <c r="D1178" s="168"/>
      <c r="E1178" s="168"/>
      <c r="F1178" s="168"/>
      <c r="G1178" s="168"/>
      <c r="H1178" s="168"/>
      <c r="I1178" s="168"/>
      <c r="J1178" s="168"/>
      <c r="K1178" s="168"/>
      <c r="L1178" s="168"/>
      <c r="M1178" s="168"/>
      <c r="N1178" s="168"/>
      <c r="O1178" s="433"/>
      <c r="P1178" s="122"/>
      <c r="Q1178" s="156"/>
      <c r="R1178" s="156"/>
      <c r="S1178" s="156"/>
      <c r="T1178" s="156"/>
      <c r="U1178" s="156"/>
      <c r="V1178" s="156"/>
      <c r="W1178" s="156"/>
      <c r="X1178" s="156"/>
      <c r="Y1178" s="156"/>
      <c r="Z1178" s="157"/>
      <c r="AA1178" s="157"/>
      <c r="AB1178" s="156"/>
      <c r="AC1178" s="156"/>
      <c r="AD1178" s="156"/>
      <c r="AE1178" s="156"/>
      <c r="AF1178" s="156"/>
      <c r="AG1178" s="156"/>
      <c r="AH1178" s="156"/>
      <c r="AI1178" s="156"/>
      <c r="AJ1178" s="156"/>
      <c r="AK1178" s="156"/>
      <c r="AL1178" s="156"/>
      <c r="AM1178" s="158"/>
      <c r="AN1178" s="156"/>
      <c r="AO1178" s="156"/>
      <c r="AP1178" s="156"/>
      <c r="AQ1178" s="156"/>
      <c r="AR1178" s="156"/>
      <c r="AS1178" s="156"/>
      <c r="AT1178" s="156"/>
      <c r="AU1178" s="156"/>
      <c r="AV1178" s="156"/>
      <c r="AW1178" s="156"/>
      <c r="AX1178" s="156"/>
      <c r="AY1178" s="156"/>
      <c r="AZ1178" s="156"/>
      <c r="BA1178" s="153"/>
      <c r="BD1178" s="153"/>
      <c r="BE1178" s="147"/>
      <c r="BI1178" s="153"/>
      <c r="BO1178" s="153"/>
      <c r="BW1178" s="153"/>
      <c r="CD1178" s="146"/>
      <c r="CF1178" s="147"/>
      <c r="CI1178" s="146"/>
      <c r="CJ1178" s="153"/>
      <c r="CV1178" s="154"/>
      <c r="CX1178" s="154"/>
      <c r="CZ1178" s="154"/>
      <c r="DB1178" s="154"/>
      <c r="DD1178" s="154"/>
      <c r="DH1178" s="474"/>
      <c r="DI1178" s="459"/>
      <c r="DJ1178" s="459"/>
      <c r="DK1178" s="459"/>
      <c r="DL1178" s="459"/>
      <c r="DM1178" s="459"/>
      <c r="DN1178" s="459"/>
      <c r="DO1178" s="459"/>
      <c r="DP1178" s="459"/>
      <c r="DQ1178" s="459"/>
      <c r="DR1178" s="459"/>
      <c r="DS1178" s="459"/>
      <c r="DT1178" s="459"/>
      <c r="DU1178" s="459"/>
      <c r="DV1178" s="468"/>
      <c r="DW1178" s="468"/>
      <c r="DX1178" s="459"/>
      <c r="DY1178" s="459"/>
    </row>
    <row r="1179" spans="1:129" s="128" customFormat="1" ht="54.95" customHeight="1" x14ac:dyDescent="0.25">
      <c r="A1179" s="377"/>
      <c r="B1179" s="175"/>
      <c r="C1179" s="393"/>
      <c r="D1179" s="168"/>
      <c r="E1179" s="168"/>
      <c r="F1179" s="168"/>
      <c r="G1179" s="168"/>
      <c r="H1179" s="168"/>
      <c r="I1179" s="168"/>
      <c r="J1179" s="168"/>
      <c r="K1179" s="168"/>
      <c r="L1179" s="168"/>
      <c r="M1179" s="168"/>
      <c r="N1179" s="168"/>
      <c r="O1179" s="433"/>
      <c r="P1179" s="122"/>
      <c r="Q1179" s="156"/>
      <c r="R1179" s="156"/>
      <c r="S1179" s="156"/>
      <c r="T1179" s="156"/>
      <c r="U1179" s="156"/>
      <c r="V1179" s="156"/>
      <c r="W1179" s="156"/>
      <c r="X1179" s="156"/>
      <c r="Y1179" s="156"/>
      <c r="Z1179" s="157"/>
      <c r="AA1179" s="157"/>
      <c r="AB1179" s="156"/>
      <c r="AC1179" s="156"/>
      <c r="AD1179" s="156"/>
      <c r="AE1179" s="156"/>
      <c r="AF1179" s="156"/>
      <c r="AG1179" s="156"/>
      <c r="AH1179" s="156"/>
      <c r="AI1179" s="156"/>
      <c r="AJ1179" s="156"/>
      <c r="AK1179" s="156"/>
      <c r="AL1179" s="156"/>
      <c r="AM1179" s="158"/>
      <c r="AN1179" s="156"/>
      <c r="AO1179" s="156"/>
      <c r="AP1179" s="156"/>
      <c r="AQ1179" s="156"/>
      <c r="AR1179" s="156"/>
      <c r="AS1179" s="156"/>
      <c r="AT1179" s="156"/>
      <c r="AU1179" s="156"/>
      <c r="AV1179" s="156"/>
      <c r="AW1179" s="156"/>
      <c r="AX1179" s="156"/>
      <c r="AY1179" s="156"/>
      <c r="AZ1179" s="156"/>
      <c r="BA1179" s="153"/>
      <c r="BD1179" s="153"/>
      <c r="BE1179" s="147"/>
      <c r="BI1179" s="153"/>
      <c r="BO1179" s="153"/>
      <c r="BW1179" s="153"/>
      <c r="CD1179" s="146"/>
      <c r="CF1179" s="147"/>
      <c r="CI1179" s="146"/>
      <c r="CJ1179" s="153"/>
      <c r="CV1179" s="154"/>
      <c r="CX1179" s="154"/>
      <c r="CZ1179" s="154"/>
      <c r="DB1179" s="154"/>
      <c r="DD1179" s="154"/>
      <c r="DH1179" s="474"/>
      <c r="DI1179" s="459"/>
      <c r="DJ1179" s="459"/>
      <c r="DK1179" s="459"/>
      <c r="DL1179" s="459"/>
      <c r="DM1179" s="459"/>
      <c r="DN1179" s="459"/>
      <c r="DO1179" s="459"/>
      <c r="DP1179" s="459"/>
      <c r="DQ1179" s="459"/>
      <c r="DR1179" s="459"/>
      <c r="DS1179" s="459"/>
      <c r="DT1179" s="459"/>
      <c r="DU1179" s="459"/>
      <c r="DV1179" s="468"/>
      <c r="DW1179" s="468"/>
      <c r="DX1179" s="459"/>
      <c r="DY1179" s="459"/>
    </row>
    <row r="1180" spans="1:129" s="128" customFormat="1" ht="54.95" customHeight="1" x14ac:dyDescent="0.25">
      <c r="A1180" s="377"/>
      <c r="B1180" s="175"/>
      <c r="C1180" s="393"/>
      <c r="D1180" s="168"/>
      <c r="E1180" s="168"/>
      <c r="F1180" s="168"/>
      <c r="G1180" s="168"/>
      <c r="H1180" s="168"/>
      <c r="I1180" s="168"/>
      <c r="J1180" s="168"/>
      <c r="K1180" s="168"/>
      <c r="L1180" s="168"/>
      <c r="M1180" s="168"/>
      <c r="N1180" s="168"/>
      <c r="O1180" s="433"/>
      <c r="P1180" s="122"/>
      <c r="Q1180" s="156"/>
      <c r="R1180" s="156"/>
      <c r="S1180" s="156"/>
      <c r="T1180" s="156"/>
      <c r="U1180" s="156"/>
      <c r="V1180" s="156"/>
      <c r="W1180" s="156"/>
      <c r="X1180" s="156"/>
      <c r="Y1180" s="156"/>
      <c r="Z1180" s="157"/>
      <c r="AA1180" s="157"/>
      <c r="AB1180" s="156"/>
      <c r="AC1180" s="156"/>
      <c r="AD1180" s="156"/>
      <c r="AE1180" s="156"/>
      <c r="AF1180" s="156"/>
      <c r="AG1180" s="156"/>
      <c r="AH1180" s="156"/>
      <c r="AI1180" s="156"/>
      <c r="AJ1180" s="156"/>
      <c r="AK1180" s="156"/>
      <c r="AL1180" s="156"/>
      <c r="AM1180" s="158"/>
      <c r="AN1180" s="156"/>
      <c r="AO1180" s="156"/>
      <c r="AP1180" s="156"/>
      <c r="AQ1180" s="156"/>
      <c r="AR1180" s="156"/>
      <c r="AS1180" s="156"/>
      <c r="AT1180" s="156"/>
      <c r="AU1180" s="156"/>
      <c r="AV1180" s="156"/>
      <c r="AW1180" s="156"/>
      <c r="AX1180" s="156"/>
      <c r="AY1180" s="156"/>
      <c r="AZ1180" s="156"/>
      <c r="BA1180" s="153"/>
      <c r="BD1180" s="153"/>
      <c r="BE1180" s="147"/>
      <c r="BI1180" s="153"/>
      <c r="BO1180" s="153"/>
      <c r="BW1180" s="153"/>
      <c r="CD1180" s="146"/>
      <c r="CF1180" s="147"/>
      <c r="CI1180" s="146"/>
      <c r="CJ1180" s="153"/>
      <c r="CV1180" s="154"/>
      <c r="CX1180" s="154"/>
      <c r="CZ1180" s="154"/>
      <c r="DB1180" s="154"/>
      <c r="DD1180" s="154"/>
      <c r="DH1180" s="474"/>
      <c r="DI1180" s="459"/>
      <c r="DJ1180" s="459"/>
      <c r="DK1180" s="459"/>
      <c r="DL1180" s="459"/>
      <c r="DM1180" s="459"/>
      <c r="DN1180" s="459"/>
      <c r="DO1180" s="459"/>
      <c r="DP1180" s="459"/>
      <c r="DQ1180" s="459"/>
      <c r="DR1180" s="459"/>
      <c r="DS1180" s="459"/>
      <c r="DT1180" s="459"/>
      <c r="DU1180" s="459"/>
      <c r="DV1180" s="468"/>
      <c r="DW1180" s="468"/>
      <c r="DX1180" s="459"/>
      <c r="DY1180" s="459"/>
    </row>
    <row r="1181" spans="1:129" s="128" customFormat="1" ht="54.95" customHeight="1" x14ac:dyDescent="0.25">
      <c r="A1181" s="377"/>
      <c r="B1181" s="175"/>
      <c r="C1181" s="393"/>
      <c r="D1181" s="168"/>
      <c r="E1181" s="168"/>
      <c r="F1181" s="168"/>
      <c r="G1181" s="168"/>
      <c r="H1181" s="168"/>
      <c r="I1181" s="168"/>
      <c r="J1181" s="168"/>
      <c r="K1181" s="168"/>
      <c r="L1181" s="168"/>
      <c r="M1181" s="168"/>
      <c r="N1181" s="168"/>
      <c r="O1181" s="433"/>
      <c r="P1181" s="122"/>
      <c r="Q1181" s="156"/>
      <c r="R1181" s="156"/>
      <c r="S1181" s="156"/>
      <c r="T1181" s="156"/>
      <c r="U1181" s="156"/>
      <c r="V1181" s="156"/>
      <c r="W1181" s="156"/>
      <c r="X1181" s="156"/>
      <c r="Y1181" s="156"/>
      <c r="Z1181" s="157"/>
      <c r="AA1181" s="157"/>
      <c r="AB1181" s="156"/>
      <c r="AC1181" s="156"/>
      <c r="AD1181" s="156"/>
      <c r="AE1181" s="156"/>
      <c r="AF1181" s="156"/>
      <c r="AG1181" s="156"/>
      <c r="AH1181" s="156"/>
      <c r="AI1181" s="156"/>
      <c r="AJ1181" s="156"/>
      <c r="AK1181" s="156"/>
      <c r="AL1181" s="156"/>
      <c r="AM1181" s="158"/>
      <c r="AN1181" s="156"/>
      <c r="AO1181" s="156"/>
      <c r="AP1181" s="156"/>
      <c r="AQ1181" s="156"/>
      <c r="AR1181" s="156"/>
      <c r="AS1181" s="156"/>
      <c r="AT1181" s="156"/>
      <c r="AU1181" s="156"/>
      <c r="AV1181" s="156"/>
      <c r="AW1181" s="156"/>
      <c r="AX1181" s="156"/>
      <c r="AY1181" s="156"/>
      <c r="AZ1181" s="156"/>
      <c r="BA1181" s="153"/>
      <c r="BD1181" s="153"/>
      <c r="BE1181" s="147"/>
      <c r="BI1181" s="153"/>
      <c r="BO1181" s="153"/>
      <c r="BW1181" s="153"/>
      <c r="CD1181" s="146"/>
      <c r="CF1181" s="147"/>
      <c r="CI1181" s="146"/>
      <c r="CJ1181" s="153"/>
      <c r="CV1181" s="154"/>
      <c r="CX1181" s="154"/>
      <c r="CZ1181" s="154"/>
      <c r="DB1181" s="154"/>
      <c r="DD1181" s="154"/>
      <c r="DH1181" s="474"/>
      <c r="DI1181" s="459"/>
      <c r="DJ1181" s="459"/>
      <c r="DK1181" s="459"/>
      <c r="DL1181" s="459"/>
      <c r="DM1181" s="459"/>
      <c r="DN1181" s="459"/>
      <c r="DO1181" s="459"/>
      <c r="DP1181" s="459"/>
      <c r="DQ1181" s="459"/>
      <c r="DR1181" s="459"/>
      <c r="DS1181" s="459"/>
      <c r="DT1181" s="459"/>
      <c r="DU1181" s="459"/>
      <c r="DV1181" s="468"/>
      <c r="DW1181" s="468"/>
      <c r="DX1181" s="459"/>
      <c r="DY1181" s="459"/>
    </row>
    <row r="1182" spans="1:129" s="128" customFormat="1" ht="54.95" customHeight="1" x14ac:dyDescent="0.25">
      <c r="A1182" s="377"/>
      <c r="B1182" s="175"/>
      <c r="C1182" s="393"/>
      <c r="D1182" s="168"/>
      <c r="E1182" s="168"/>
      <c r="F1182" s="168"/>
      <c r="G1182" s="168"/>
      <c r="H1182" s="168"/>
      <c r="I1182" s="168"/>
      <c r="J1182" s="168"/>
      <c r="K1182" s="168"/>
      <c r="L1182" s="168"/>
      <c r="M1182" s="168"/>
      <c r="N1182" s="168"/>
      <c r="O1182" s="433"/>
      <c r="P1182" s="122"/>
      <c r="Q1182" s="156"/>
      <c r="R1182" s="156"/>
      <c r="S1182" s="156"/>
      <c r="T1182" s="156"/>
      <c r="U1182" s="156"/>
      <c r="V1182" s="156"/>
      <c r="W1182" s="156"/>
      <c r="X1182" s="156"/>
      <c r="Y1182" s="156"/>
      <c r="Z1182" s="157"/>
      <c r="AA1182" s="157"/>
      <c r="AB1182" s="156"/>
      <c r="AC1182" s="156"/>
      <c r="AD1182" s="156"/>
      <c r="AE1182" s="156"/>
      <c r="AF1182" s="156"/>
      <c r="AG1182" s="156"/>
      <c r="AH1182" s="156"/>
      <c r="AI1182" s="156"/>
      <c r="AJ1182" s="156"/>
      <c r="AK1182" s="156"/>
      <c r="AL1182" s="156"/>
      <c r="AM1182" s="158"/>
      <c r="AN1182" s="156"/>
      <c r="AO1182" s="156"/>
      <c r="AP1182" s="156"/>
      <c r="AQ1182" s="156"/>
      <c r="AR1182" s="156"/>
      <c r="AS1182" s="156"/>
      <c r="AT1182" s="156"/>
      <c r="AU1182" s="156"/>
      <c r="AV1182" s="156"/>
      <c r="AW1182" s="156"/>
      <c r="AX1182" s="156"/>
      <c r="AY1182" s="156"/>
      <c r="AZ1182" s="156"/>
      <c r="BA1182" s="153"/>
      <c r="BD1182" s="153"/>
      <c r="BE1182" s="147"/>
      <c r="BI1182" s="153"/>
      <c r="BO1182" s="153"/>
      <c r="BW1182" s="153"/>
      <c r="CD1182" s="146"/>
      <c r="CF1182" s="147"/>
      <c r="CI1182" s="146"/>
      <c r="CJ1182" s="153"/>
      <c r="CV1182" s="154"/>
      <c r="CX1182" s="154"/>
      <c r="CZ1182" s="154"/>
      <c r="DB1182" s="154"/>
      <c r="DD1182" s="154"/>
      <c r="DH1182" s="474"/>
      <c r="DI1182" s="459"/>
      <c r="DJ1182" s="459"/>
      <c r="DK1182" s="459"/>
      <c r="DL1182" s="459"/>
      <c r="DM1182" s="459"/>
      <c r="DN1182" s="459"/>
      <c r="DO1182" s="459"/>
      <c r="DP1182" s="459"/>
      <c r="DQ1182" s="459"/>
      <c r="DR1182" s="459"/>
      <c r="DS1182" s="459"/>
      <c r="DT1182" s="459"/>
      <c r="DU1182" s="459"/>
      <c r="DV1182" s="468"/>
      <c r="DW1182" s="468"/>
      <c r="DX1182" s="459"/>
      <c r="DY1182" s="459"/>
    </row>
    <row r="1183" spans="1:129" s="128" customFormat="1" ht="54.95" customHeight="1" x14ac:dyDescent="0.25">
      <c r="A1183" s="377"/>
      <c r="B1183" s="175"/>
      <c r="C1183" s="393"/>
      <c r="D1183" s="168"/>
      <c r="E1183" s="168"/>
      <c r="F1183" s="168"/>
      <c r="G1183" s="168"/>
      <c r="H1183" s="168"/>
      <c r="I1183" s="168"/>
      <c r="J1183" s="168"/>
      <c r="K1183" s="168"/>
      <c r="L1183" s="168"/>
      <c r="M1183" s="168"/>
      <c r="N1183" s="168"/>
      <c r="O1183" s="433"/>
      <c r="P1183" s="122"/>
      <c r="Q1183" s="156"/>
      <c r="R1183" s="156"/>
      <c r="S1183" s="156"/>
      <c r="T1183" s="156"/>
      <c r="U1183" s="156"/>
      <c r="V1183" s="156"/>
      <c r="W1183" s="156"/>
      <c r="X1183" s="156"/>
      <c r="Y1183" s="156"/>
      <c r="Z1183" s="157"/>
      <c r="AA1183" s="157"/>
      <c r="AB1183" s="156"/>
      <c r="AC1183" s="156"/>
      <c r="AD1183" s="156"/>
      <c r="AE1183" s="156"/>
      <c r="AF1183" s="156"/>
      <c r="AG1183" s="156"/>
      <c r="AH1183" s="156"/>
      <c r="AI1183" s="156"/>
      <c r="AJ1183" s="156"/>
      <c r="AK1183" s="156"/>
      <c r="AL1183" s="156"/>
      <c r="AM1183" s="158"/>
      <c r="AN1183" s="156"/>
      <c r="AO1183" s="156"/>
      <c r="AP1183" s="156"/>
      <c r="AQ1183" s="156"/>
      <c r="AR1183" s="156"/>
      <c r="AS1183" s="156"/>
      <c r="AT1183" s="156"/>
      <c r="AU1183" s="156"/>
      <c r="AV1183" s="156"/>
      <c r="AW1183" s="156"/>
      <c r="AX1183" s="156"/>
      <c r="AY1183" s="156"/>
      <c r="AZ1183" s="156"/>
      <c r="BA1183" s="153"/>
      <c r="BD1183" s="153"/>
      <c r="BE1183" s="147"/>
      <c r="BI1183" s="153"/>
      <c r="BO1183" s="153"/>
      <c r="BW1183" s="153"/>
      <c r="CD1183" s="146"/>
      <c r="CF1183" s="147"/>
      <c r="CI1183" s="146"/>
      <c r="CJ1183" s="153"/>
      <c r="CV1183" s="154"/>
      <c r="CX1183" s="154"/>
      <c r="CZ1183" s="154"/>
      <c r="DB1183" s="154"/>
      <c r="DD1183" s="154"/>
      <c r="DH1183" s="474"/>
      <c r="DI1183" s="459"/>
      <c r="DJ1183" s="459"/>
      <c r="DK1183" s="459"/>
      <c r="DL1183" s="459"/>
      <c r="DM1183" s="459"/>
      <c r="DN1183" s="459"/>
      <c r="DO1183" s="459"/>
      <c r="DP1183" s="459"/>
      <c r="DQ1183" s="459"/>
      <c r="DR1183" s="459"/>
      <c r="DS1183" s="459"/>
      <c r="DT1183" s="459"/>
      <c r="DU1183" s="459"/>
      <c r="DV1183" s="468"/>
      <c r="DW1183" s="468"/>
      <c r="DX1183" s="459"/>
      <c r="DY1183" s="459"/>
    </row>
    <row r="1184" spans="1:129" s="128" customFormat="1" ht="54.95" customHeight="1" x14ac:dyDescent="0.25">
      <c r="A1184" s="377"/>
      <c r="B1184" s="175"/>
      <c r="C1184" s="393"/>
      <c r="D1184" s="168"/>
      <c r="E1184" s="168"/>
      <c r="F1184" s="168"/>
      <c r="G1184" s="168"/>
      <c r="H1184" s="168"/>
      <c r="I1184" s="168"/>
      <c r="J1184" s="168"/>
      <c r="K1184" s="168"/>
      <c r="L1184" s="168"/>
      <c r="M1184" s="168"/>
      <c r="N1184" s="168"/>
      <c r="O1184" s="433"/>
      <c r="P1184" s="122"/>
      <c r="Q1184" s="156"/>
      <c r="R1184" s="156"/>
      <c r="S1184" s="156"/>
      <c r="T1184" s="156"/>
      <c r="U1184" s="156"/>
      <c r="V1184" s="156"/>
      <c r="W1184" s="156"/>
      <c r="X1184" s="156"/>
      <c r="Y1184" s="156"/>
      <c r="Z1184" s="157"/>
      <c r="AA1184" s="157"/>
      <c r="AB1184" s="156"/>
      <c r="AC1184" s="156"/>
      <c r="AD1184" s="156"/>
      <c r="AE1184" s="156"/>
      <c r="AF1184" s="156"/>
      <c r="AG1184" s="156"/>
      <c r="AH1184" s="156"/>
      <c r="AI1184" s="156"/>
      <c r="AJ1184" s="156"/>
      <c r="AK1184" s="156"/>
      <c r="AL1184" s="156"/>
      <c r="AM1184" s="158"/>
      <c r="AN1184" s="156"/>
      <c r="AO1184" s="156"/>
      <c r="AP1184" s="156"/>
      <c r="AQ1184" s="156"/>
      <c r="AR1184" s="156"/>
      <c r="AS1184" s="156"/>
      <c r="AT1184" s="156"/>
      <c r="AU1184" s="156"/>
      <c r="AV1184" s="156"/>
      <c r="AW1184" s="156"/>
      <c r="AX1184" s="156"/>
      <c r="AY1184" s="156"/>
      <c r="AZ1184" s="156"/>
      <c r="BA1184" s="153"/>
      <c r="BD1184" s="153"/>
      <c r="BE1184" s="147"/>
      <c r="BI1184" s="153"/>
      <c r="BO1184" s="153"/>
      <c r="BW1184" s="153"/>
      <c r="CD1184" s="146"/>
      <c r="CF1184" s="147"/>
      <c r="CI1184" s="146"/>
      <c r="CJ1184" s="153"/>
      <c r="CV1184" s="154"/>
      <c r="CX1184" s="154"/>
      <c r="CZ1184" s="154"/>
      <c r="DB1184" s="154"/>
      <c r="DD1184" s="154"/>
      <c r="DH1184" s="474"/>
      <c r="DI1184" s="459"/>
      <c r="DJ1184" s="459"/>
      <c r="DK1184" s="459"/>
      <c r="DL1184" s="459"/>
      <c r="DM1184" s="459"/>
      <c r="DN1184" s="459"/>
      <c r="DO1184" s="459"/>
      <c r="DP1184" s="459"/>
      <c r="DQ1184" s="459"/>
      <c r="DR1184" s="459"/>
      <c r="DS1184" s="459"/>
      <c r="DT1184" s="459"/>
      <c r="DU1184" s="459"/>
      <c r="DV1184" s="468"/>
      <c r="DW1184" s="468"/>
      <c r="DX1184" s="459"/>
      <c r="DY1184" s="459"/>
    </row>
    <row r="1185" spans="1:129" s="128" customFormat="1" ht="54.95" customHeight="1" x14ac:dyDescent="0.25">
      <c r="A1185" s="377"/>
      <c r="B1185" s="175"/>
      <c r="C1185" s="393"/>
      <c r="D1185" s="168"/>
      <c r="E1185" s="168"/>
      <c r="F1185" s="168"/>
      <c r="G1185" s="168"/>
      <c r="H1185" s="168"/>
      <c r="I1185" s="168"/>
      <c r="J1185" s="168"/>
      <c r="K1185" s="168"/>
      <c r="L1185" s="168"/>
      <c r="M1185" s="168"/>
      <c r="N1185" s="168"/>
      <c r="O1185" s="433"/>
      <c r="P1185" s="122"/>
      <c r="Q1185" s="156"/>
      <c r="R1185" s="156"/>
      <c r="S1185" s="156"/>
      <c r="T1185" s="156"/>
      <c r="U1185" s="156"/>
      <c r="V1185" s="156"/>
      <c r="W1185" s="156"/>
      <c r="X1185" s="156"/>
      <c r="Y1185" s="156"/>
      <c r="Z1185" s="157"/>
      <c r="AA1185" s="157"/>
      <c r="AB1185" s="156"/>
      <c r="AC1185" s="156"/>
      <c r="AD1185" s="156"/>
      <c r="AE1185" s="156"/>
      <c r="AF1185" s="156"/>
      <c r="AG1185" s="156"/>
      <c r="AH1185" s="156"/>
      <c r="AI1185" s="156"/>
      <c r="AJ1185" s="156"/>
      <c r="AK1185" s="156"/>
      <c r="AL1185" s="156"/>
      <c r="AM1185" s="158"/>
      <c r="AN1185" s="156"/>
      <c r="AO1185" s="156"/>
      <c r="AP1185" s="156"/>
      <c r="AQ1185" s="156"/>
      <c r="AR1185" s="156"/>
      <c r="AS1185" s="156"/>
      <c r="AT1185" s="156"/>
      <c r="AU1185" s="156"/>
      <c r="AV1185" s="156"/>
      <c r="AW1185" s="156"/>
      <c r="AX1185" s="156"/>
      <c r="AY1185" s="156"/>
      <c r="AZ1185" s="156"/>
      <c r="BA1185" s="153"/>
      <c r="BD1185" s="153"/>
      <c r="BE1185" s="147"/>
      <c r="BI1185" s="153"/>
      <c r="BO1185" s="153"/>
      <c r="BW1185" s="153"/>
      <c r="CD1185" s="146"/>
      <c r="CF1185" s="147"/>
      <c r="CI1185" s="146"/>
      <c r="CJ1185" s="153"/>
      <c r="CV1185" s="154"/>
      <c r="CX1185" s="154"/>
      <c r="CZ1185" s="154"/>
      <c r="DB1185" s="154"/>
      <c r="DD1185" s="154"/>
      <c r="DH1185" s="474"/>
      <c r="DI1185" s="459"/>
      <c r="DJ1185" s="459"/>
      <c r="DK1185" s="459"/>
      <c r="DL1185" s="459"/>
      <c r="DM1185" s="459"/>
      <c r="DN1185" s="459"/>
      <c r="DO1185" s="459"/>
      <c r="DP1185" s="459"/>
      <c r="DQ1185" s="459"/>
      <c r="DR1185" s="459"/>
      <c r="DS1185" s="459"/>
      <c r="DT1185" s="459"/>
      <c r="DU1185" s="459"/>
      <c r="DV1185" s="468"/>
      <c r="DW1185" s="468"/>
      <c r="DX1185" s="459"/>
      <c r="DY1185" s="459"/>
    </row>
    <row r="1186" spans="1:129" s="128" customFormat="1" ht="54.95" customHeight="1" x14ac:dyDescent="0.25">
      <c r="A1186" s="377"/>
      <c r="B1186" s="175"/>
      <c r="C1186" s="393"/>
      <c r="D1186" s="168"/>
      <c r="E1186" s="168"/>
      <c r="F1186" s="168"/>
      <c r="G1186" s="168"/>
      <c r="H1186" s="168"/>
      <c r="I1186" s="168"/>
      <c r="J1186" s="168"/>
      <c r="K1186" s="168"/>
      <c r="L1186" s="168"/>
      <c r="M1186" s="168"/>
      <c r="N1186" s="168"/>
      <c r="O1186" s="433"/>
      <c r="P1186" s="122"/>
      <c r="Q1186" s="156"/>
      <c r="R1186" s="156"/>
      <c r="S1186" s="156"/>
      <c r="T1186" s="156"/>
      <c r="U1186" s="156"/>
      <c r="V1186" s="156"/>
      <c r="W1186" s="156"/>
      <c r="X1186" s="156"/>
      <c r="Y1186" s="156"/>
      <c r="Z1186" s="157"/>
      <c r="AA1186" s="157"/>
      <c r="AB1186" s="156"/>
      <c r="AC1186" s="156"/>
      <c r="AD1186" s="156"/>
      <c r="AE1186" s="156"/>
      <c r="AF1186" s="156"/>
      <c r="AG1186" s="156"/>
      <c r="AH1186" s="156"/>
      <c r="AI1186" s="156"/>
      <c r="AJ1186" s="156"/>
      <c r="AK1186" s="156"/>
      <c r="AL1186" s="156"/>
      <c r="AM1186" s="158"/>
      <c r="AN1186" s="156"/>
      <c r="AO1186" s="156"/>
      <c r="AP1186" s="156"/>
      <c r="AQ1186" s="156"/>
      <c r="AR1186" s="156"/>
      <c r="AS1186" s="156"/>
      <c r="AT1186" s="156"/>
      <c r="AU1186" s="156"/>
      <c r="AV1186" s="156"/>
      <c r="AW1186" s="156"/>
      <c r="AX1186" s="156"/>
      <c r="AY1186" s="156"/>
      <c r="AZ1186" s="156"/>
      <c r="BA1186" s="153"/>
      <c r="BD1186" s="153"/>
      <c r="BE1186" s="147"/>
      <c r="BI1186" s="153"/>
      <c r="BO1186" s="153"/>
      <c r="BW1186" s="153"/>
      <c r="CD1186" s="146"/>
      <c r="CF1186" s="147"/>
      <c r="CI1186" s="146"/>
      <c r="CJ1186" s="153"/>
      <c r="CV1186" s="154"/>
      <c r="CX1186" s="154"/>
      <c r="CZ1186" s="154"/>
      <c r="DB1186" s="154"/>
      <c r="DD1186" s="154"/>
      <c r="DH1186" s="474"/>
      <c r="DI1186" s="459"/>
      <c r="DJ1186" s="459"/>
      <c r="DK1186" s="459"/>
      <c r="DL1186" s="459"/>
      <c r="DM1186" s="459"/>
      <c r="DN1186" s="459"/>
      <c r="DO1186" s="459"/>
      <c r="DP1186" s="459"/>
      <c r="DQ1186" s="459"/>
      <c r="DR1186" s="459"/>
      <c r="DS1186" s="459"/>
      <c r="DT1186" s="459"/>
      <c r="DU1186" s="459"/>
      <c r="DV1186" s="468"/>
      <c r="DW1186" s="468"/>
      <c r="DX1186" s="459"/>
      <c r="DY1186" s="459"/>
    </row>
    <row r="1187" spans="1:129" s="128" customFormat="1" ht="54.95" customHeight="1" x14ac:dyDescent="0.25">
      <c r="A1187" s="377"/>
      <c r="B1187" s="175"/>
      <c r="C1187" s="393"/>
      <c r="D1187" s="168"/>
      <c r="E1187" s="168"/>
      <c r="F1187" s="168"/>
      <c r="G1187" s="168"/>
      <c r="H1187" s="168"/>
      <c r="I1187" s="168"/>
      <c r="J1187" s="168"/>
      <c r="K1187" s="168"/>
      <c r="L1187" s="168"/>
      <c r="M1187" s="168"/>
      <c r="N1187" s="168"/>
      <c r="O1187" s="433"/>
      <c r="P1187" s="122"/>
      <c r="Q1187" s="156"/>
      <c r="R1187" s="156"/>
      <c r="S1187" s="156"/>
      <c r="T1187" s="156"/>
      <c r="U1187" s="156"/>
      <c r="V1187" s="156"/>
      <c r="W1187" s="156"/>
      <c r="X1187" s="156"/>
      <c r="Y1187" s="156"/>
      <c r="Z1187" s="157"/>
      <c r="AA1187" s="157"/>
      <c r="AB1187" s="156"/>
      <c r="AC1187" s="156"/>
      <c r="AD1187" s="156"/>
      <c r="AE1187" s="156"/>
      <c r="AF1187" s="156"/>
      <c r="AG1187" s="156"/>
      <c r="AH1187" s="156"/>
      <c r="AI1187" s="156"/>
      <c r="AJ1187" s="156"/>
      <c r="AK1187" s="156"/>
      <c r="AL1187" s="156"/>
      <c r="AM1187" s="158"/>
      <c r="AN1187" s="156"/>
      <c r="AO1187" s="156"/>
      <c r="AP1187" s="156"/>
      <c r="AQ1187" s="156"/>
      <c r="AR1187" s="156"/>
      <c r="AS1187" s="156"/>
      <c r="AT1187" s="156"/>
      <c r="AU1187" s="156"/>
      <c r="AV1187" s="156"/>
      <c r="AW1187" s="156"/>
      <c r="AX1187" s="156"/>
      <c r="AY1187" s="156"/>
      <c r="AZ1187" s="156"/>
      <c r="BA1187" s="153"/>
      <c r="BD1187" s="153"/>
      <c r="BE1187" s="147"/>
      <c r="BI1187" s="153"/>
      <c r="BO1187" s="153"/>
      <c r="BW1187" s="153"/>
      <c r="CD1187" s="146"/>
      <c r="CF1187" s="147"/>
      <c r="CI1187" s="146"/>
      <c r="CJ1187" s="153"/>
      <c r="CV1187" s="154"/>
      <c r="CX1187" s="154"/>
      <c r="CZ1187" s="154"/>
      <c r="DB1187" s="154"/>
      <c r="DD1187" s="154"/>
      <c r="DH1187" s="474"/>
      <c r="DI1187" s="459"/>
      <c r="DJ1187" s="459"/>
      <c r="DK1187" s="459"/>
      <c r="DL1187" s="459"/>
      <c r="DM1187" s="459"/>
      <c r="DN1187" s="459"/>
      <c r="DO1187" s="459"/>
      <c r="DP1187" s="459"/>
      <c r="DQ1187" s="459"/>
      <c r="DR1187" s="459"/>
      <c r="DS1187" s="459"/>
      <c r="DT1187" s="459"/>
      <c r="DU1187" s="459"/>
      <c r="DV1187" s="468"/>
      <c r="DW1187" s="468"/>
      <c r="DX1187" s="459"/>
      <c r="DY1187" s="459"/>
    </row>
    <row r="1188" spans="1:129" s="128" customFormat="1" ht="54.95" customHeight="1" x14ac:dyDescent="0.25">
      <c r="A1188" s="377"/>
      <c r="B1188" s="175"/>
      <c r="C1188" s="393"/>
      <c r="D1188" s="168"/>
      <c r="E1188" s="168"/>
      <c r="F1188" s="168"/>
      <c r="G1188" s="168"/>
      <c r="H1188" s="168"/>
      <c r="I1188" s="168"/>
      <c r="J1188" s="168"/>
      <c r="K1188" s="168"/>
      <c r="L1188" s="168"/>
      <c r="M1188" s="168"/>
      <c r="N1188" s="168"/>
      <c r="O1188" s="433"/>
      <c r="P1188" s="122"/>
      <c r="Q1188" s="156"/>
      <c r="R1188" s="156"/>
      <c r="S1188" s="156"/>
      <c r="T1188" s="156"/>
      <c r="U1188" s="156"/>
      <c r="V1188" s="156"/>
      <c r="W1188" s="156"/>
      <c r="X1188" s="156"/>
      <c r="Y1188" s="156"/>
      <c r="Z1188" s="157"/>
      <c r="AA1188" s="157"/>
      <c r="AB1188" s="156"/>
      <c r="AC1188" s="156"/>
      <c r="AD1188" s="156"/>
      <c r="AE1188" s="156"/>
      <c r="AF1188" s="156"/>
      <c r="AG1188" s="156"/>
      <c r="AH1188" s="156"/>
      <c r="AI1188" s="156"/>
      <c r="AJ1188" s="156"/>
      <c r="AK1188" s="156"/>
      <c r="AL1188" s="156"/>
      <c r="AM1188" s="158"/>
      <c r="AN1188" s="156"/>
      <c r="AO1188" s="156"/>
      <c r="AP1188" s="156"/>
      <c r="AQ1188" s="156"/>
      <c r="AR1188" s="156"/>
      <c r="AS1188" s="156"/>
      <c r="AT1188" s="156"/>
      <c r="AU1188" s="156"/>
      <c r="AV1188" s="156"/>
      <c r="AW1188" s="156"/>
      <c r="AX1188" s="156"/>
      <c r="AY1188" s="156"/>
      <c r="AZ1188" s="156"/>
      <c r="BA1188" s="153"/>
      <c r="BD1188" s="153"/>
      <c r="BE1188" s="147"/>
      <c r="BI1188" s="153"/>
      <c r="BO1188" s="153"/>
      <c r="BW1188" s="153"/>
      <c r="CD1188" s="146"/>
      <c r="CF1188" s="147"/>
      <c r="CI1188" s="146"/>
      <c r="CJ1188" s="153"/>
      <c r="CV1188" s="154"/>
      <c r="CX1188" s="154"/>
      <c r="CZ1188" s="154"/>
      <c r="DB1188" s="154"/>
      <c r="DD1188" s="154"/>
      <c r="DH1188" s="474"/>
      <c r="DI1188" s="459"/>
      <c r="DJ1188" s="459"/>
      <c r="DK1188" s="459"/>
      <c r="DL1188" s="459"/>
      <c r="DM1188" s="459"/>
      <c r="DN1188" s="459"/>
      <c r="DO1188" s="459"/>
      <c r="DP1188" s="459"/>
      <c r="DQ1188" s="459"/>
      <c r="DR1188" s="459"/>
      <c r="DS1188" s="459"/>
      <c r="DT1188" s="459"/>
      <c r="DU1188" s="459"/>
      <c r="DV1188" s="468"/>
      <c r="DW1188" s="468"/>
      <c r="DX1188" s="459"/>
      <c r="DY1188" s="459"/>
    </row>
    <row r="1189" spans="1:129" s="128" customFormat="1" ht="54.95" customHeight="1" x14ac:dyDescent="0.25">
      <c r="A1189" s="377"/>
      <c r="B1189" s="175"/>
      <c r="C1189" s="393"/>
      <c r="D1189" s="168"/>
      <c r="E1189" s="168"/>
      <c r="F1189" s="168"/>
      <c r="G1189" s="168"/>
      <c r="H1189" s="168"/>
      <c r="I1189" s="168"/>
      <c r="J1189" s="168"/>
      <c r="K1189" s="168"/>
      <c r="L1189" s="168"/>
      <c r="M1189" s="168"/>
      <c r="N1189" s="168"/>
      <c r="O1189" s="433"/>
      <c r="P1189" s="122"/>
      <c r="Q1189" s="156"/>
      <c r="R1189" s="156"/>
      <c r="S1189" s="156"/>
      <c r="T1189" s="156"/>
      <c r="U1189" s="156"/>
      <c r="V1189" s="156"/>
      <c r="W1189" s="156"/>
      <c r="X1189" s="156"/>
      <c r="Y1189" s="156"/>
      <c r="Z1189" s="157"/>
      <c r="AA1189" s="157"/>
      <c r="AB1189" s="156"/>
      <c r="AC1189" s="156"/>
      <c r="AD1189" s="156"/>
      <c r="AE1189" s="156"/>
      <c r="AF1189" s="156"/>
      <c r="AG1189" s="156"/>
      <c r="AH1189" s="156"/>
      <c r="AI1189" s="156"/>
      <c r="AJ1189" s="156"/>
      <c r="AK1189" s="156"/>
      <c r="AL1189" s="156"/>
      <c r="AM1189" s="158"/>
      <c r="AN1189" s="156"/>
      <c r="AO1189" s="156"/>
      <c r="AP1189" s="156"/>
      <c r="AQ1189" s="156"/>
      <c r="AR1189" s="156"/>
      <c r="AS1189" s="156"/>
      <c r="AT1189" s="156"/>
      <c r="AU1189" s="156"/>
      <c r="AV1189" s="156"/>
      <c r="AW1189" s="156"/>
      <c r="AX1189" s="156"/>
      <c r="AY1189" s="156"/>
      <c r="AZ1189" s="156"/>
      <c r="BA1189" s="153"/>
      <c r="BD1189" s="153"/>
      <c r="BE1189" s="147"/>
      <c r="BI1189" s="153"/>
      <c r="BO1189" s="153"/>
      <c r="BW1189" s="153"/>
      <c r="CD1189" s="146"/>
      <c r="CF1189" s="147"/>
      <c r="CI1189" s="146"/>
      <c r="CJ1189" s="153"/>
      <c r="CV1189" s="154"/>
      <c r="CX1189" s="154"/>
      <c r="CZ1189" s="154"/>
      <c r="DB1189" s="154"/>
      <c r="DD1189" s="154"/>
      <c r="DH1189" s="474"/>
      <c r="DI1189" s="459"/>
      <c r="DJ1189" s="459"/>
      <c r="DK1189" s="459"/>
      <c r="DL1189" s="459"/>
      <c r="DM1189" s="459"/>
      <c r="DN1189" s="459"/>
      <c r="DO1189" s="459"/>
      <c r="DP1189" s="459"/>
      <c r="DQ1189" s="459"/>
      <c r="DR1189" s="459"/>
      <c r="DS1189" s="459"/>
      <c r="DT1189" s="459"/>
      <c r="DU1189" s="459"/>
      <c r="DV1189" s="468"/>
      <c r="DW1189" s="468"/>
      <c r="DX1189" s="459"/>
      <c r="DY1189" s="459"/>
    </row>
    <row r="1190" spans="1:129" s="128" customFormat="1" ht="54.95" customHeight="1" x14ac:dyDescent="0.25">
      <c r="A1190" s="377"/>
      <c r="B1190" s="175"/>
      <c r="C1190" s="393"/>
      <c r="D1190" s="168"/>
      <c r="E1190" s="168"/>
      <c r="F1190" s="168"/>
      <c r="G1190" s="168"/>
      <c r="H1190" s="168"/>
      <c r="I1190" s="168"/>
      <c r="J1190" s="168"/>
      <c r="K1190" s="168"/>
      <c r="L1190" s="168"/>
      <c r="M1190" s="168"/>
      <c r="N1190" s="168"/>
      <c r="O1190" s="433"/>
      <c r="P1190" s="122"/>
      <c r="Q1190" s="156"/>
      <c r="R1190" s="156"/>
      <c r="S1190" s="156"/>
      <c r="T1190" s="156"/>
      <c r="U1190" s="156"/>
      <c r="V1190" s="156"/>
      <c r="W1190" s="156"/>
      <c r="X1190" s="156"/>
      <c r="Y1190" s="156"/>
      <c r="Z1190" s="157"/>
      <c r="AA1190" s="157"/>
      <c r="AB1190" s="156"/>
      <c r="AC1190" s="156"/>
      <c r="AD1190" s="156"/>
      <c r="AE1190" s="156"/>
      <c r="AF1190" s="156"/>
      <c r="AG1190" s="156"/>
      <c r="AH1190" s="156"/>
      <c r="AI1190" s="156"/>
      <c r="AJ1190" s="156"/>
      <c r="AK1190" s="156"/>
      <c r="AL1190" s="156"/>
      <c r="AM1190" s="158"/>
      <c r="AN1190" s="156"/>
      <c r="AO1190" s="156"/>
      <c r="AP1190" s="156"/>
      <c r="AQ1190" s="156"/>
      <c r="AR1190" s="156"/>
      <c r="AS1190" s="156"/>
      <c r="AT1190" s="156"/>
      <c r="AU1190" s="156"/>
      <c r="AV1190" s="156"/>
      <c r="AW1190" s="156"/>
      <c r="AX1190" s="156"/>
      <c r="AY1190" s="156"/>
      <c r="AZ1190" s="156"/>
      <c r="BA1190" s="153"/>
      <c r="BD1190" s="153"/>
      <c r="BE1190" s="147"/>
      <c r="BI1190" s="153"/>
      <c r="BO1190" s="153"/>
      <c r="BW1190" s="153"/>
      <c r="CD1190" s="146"/>
      <c r="CF1190" s="147"/>
      <c r="CI1190" s="146"/>
      <c r="CJ1190" s="153"/>
      <c r="CV1190" s="154"/>
      <c r="CX1190" s="154"/>
      <c r="CZ1190" s="154"/>
      <c r="DB1190" s="154"/>
      <c r="DD1190" s="154"/>
      <c r="DH1190" s="474"/>
      <c r="DI1190" s="459"/>
      <c r="DJ1190" s="459"/>
      <c r="DK1190" s="459"/>
      <c r="DL1190" s="459"/>
      <c r="DM1190" s="459"/>
      <c r="DN1190" s="459"/>
      <c r="DO1190" s="459"/>
      <c r="DP1190" s="459"/>
      <c r="DQ1190" s="459"/>
      <c r="DR1190" s="459"/>
      <c r="DS1190" s="459"/>
      <c r="DT1190" s="459"/>
      <c r="DU1190" s="459"/>
      <c r="DV1190" s="468"/>
      <c r="DW1190" s="468"/>
      <c r="DX1190" s="459"/>
      <c r="DY1190" s="459"/>
    </row>
    <row r="1191" spans="1:129" s="128" customFormat="1" ht="54.95" customHeight="1" x14ac:dyDescent="0.25">
      <c r="A1191" s="377"/>
      <c r="B1191" s="175"/>
      <c r="C1191" s="393"/>
      <c r="D1191" s="168"/>
      <c r="E1191" s="168"/>
      <c r="F1191" s="168"/>
      <c r="G1191" s="168"/>
      <c r="H1191" s="168"/>
      <c r="I1191" s="168"/>
      <c r="J1191" s="168"/>
      <c r="K1191" s="168"/>
      <c r="L1191" s="168"/>
      <c r="M1191" s="168"/>
      <c r="N1191" s="168"/>
      <c r="O1191" s="433"/>
      <c r="P1191" s="122"/>
      <c r="Q1191" s="156"/>
      <c r="R1191" s="156"/>
      <c r="S1191" s="156"/>
      <c r="T1191" s="156"/>
      <c r="U1191" s="156"/>
      <c r="V1191" s="156"/>
      <c r="W1191" s="156"/>
      <c r="X1191" s="156"/>
      <c r="Y1191" s="156"/>
      <c r="Z1191" s="157"/>
      <c r="AA1191" s="157"/>
      <c r="AB1191" s="156"/>
      <c r="AC1191" s="156"/>
      <c r="AD1191" s="156"/>
      <c r="AE1191" s="156"/>
      <c r="AF1191" s="156"/>
      <c r="AG1191" s="156"/>
      <c r="AH1191" s="156"/>
      <c r="AI1191" s="156"/>
      <c r="AJ1191" s="156"/>
      <c r="AK1191" s="156"/>
      <c r="AL1191" s="156"/>
      <c r="AM1191" s="158"/>
      <c r="AN1191" s="156"/>
      <c r="AO1191" s="156"/>
      <c r="AP1191" s="156"/>
      <c r="AQ1191" s="156"/>
      <c r="AR1191" s="156"/>
      <c r="AS1191" s="156"/>
      <c r="AT1191" s="156"/>
      <c r="AU1191" s="156"/>
      <c r="AV1191" s="156"/>
      <c r="AW1191" s="156"/>
      <c r="AX1191" s="156"/>
      <c r="AY1191" s="156"/>
      <c r="AZ1191" s="156"/>
      <c r="BA1191" s="153"/>
      <c r="BD1191" s="153"/>
      <c r="BE1191" s="147"/>
      <c r="BI1191" s="153"/>
      <c r="BO1191" s="153"/>
      <c r="BW1191" s="153"/>
      <c r="CD1191" s="146"/>
      <c r="CF1191" s="147"/>
      <c r="CI1191" s="146"/>
      <c r="CJ1191" s="153"/>
      <c r="CV1191" s="154"/>
      <c r="CX1191" s="154"/>
      <c r="CZ1191" s="154"/>
      <c r="DB1191" s="154"/>
      <c r="DD1191" s="154"/>
      <c r="DH1191" s="474"/>
      <c r="DI1191" s="459"/>
      <c r="DJ1191" s="459"/>
      <c r="DK1191" s="459"/>
      <c r="DL1191" s="459"/>
      <c r="DM1191" s="459"/>
      <c r="DN1191" s="459"/>
      <c r="DO1191" s="459"/>
      <c r="DP1191" s="459"/>
      <c r="DQ1191" s="459"/>
      <c r="DR1191" s="459"/>
      <c r="DS1191" s="459"/>
      <c r="DT1191" s="459"/>
      <c r="DU1191" s="459"/>
      <c r="DV1191" s="468"/>
      <c r="DW1191" s="468"/>
      <c r="DX1191" s="459"/>
      <c r="DY1191" s="459"/>
    </row>
    <row r="1192" spans="1:129" s="128" customFormat="1" ht="54.95" customHeight="1" x14ac:dyDescent="0.25">
      <c r="A1192" s="377"/>
      <c r="B1192" s="175"/>
      <c r="C1192" s="393"/>
      <c r="D1192" s="168"/>
      <c r="E1192" s="168"/>
      <c r="F1192" s="168"/>
      <c r="G1192" s="168"/>
      <c r="H1192" s="168"/>
      <c r="I1192" s="168"/>
      <c r="J1192" s="168"/>
      <c r="K1192" s="168"/>
      <c r="L1192" s="168"/>
      <c r="M1192" s="168"/>
      <c r="N1192" s="168"/>
      <c r="O1192" s="433"/>
      <c r="P1192" s="122"/>
      <c r="Q1192" s="156"/>
      <c r="R1192" s="156"/>
      <c r="S1192" s="156"/>
      <c r="T1192" s="156"/>
      <c r="U1192" s="156"/>
      <c r="V1192" s="156"/>
      <c r="W1192" s="156"/>
      <c r="X1192" s="156"/>
      <c r="Y1192" s="156"/>
      <c r="Z1192" s="157"/>
      <c r="AA1192" s="157"/>
      <c r="AB1192" s="156"/>
      <c r="AC1192" s="156"/>
      <c r="AD1192" s="156"/>
      <c r="AE1192" s="156"/>
      <c r="AF1192" s="156"/>
      <c r="AG1192" s="156"/>
      <c r="AH1192" s="156"/>
      <c r="AI1192" s="156"/>
      <c r="AJ1192" s="156"/>
      <c r="AK1192" s="156"/>
      <c r="AL1192" s="156"/>
      <c r="AM1192" s="158"/>
      <c r="AN1192" s="156"/>
      <c r="AO1192" s="156"/>
      <c r="AP1192" s="156"/>
      <c r="AQ1192" s="156"/>
      <c r="AR1192" s="156"/>
      <c r="AS1192" s="156"/>
      <c r="AT1192" s="156"/>
      <c r="AU1192" s="156"/>
      <c r="AV1192" s="156"/>
      <c r="AW1192" s="156"/>
      <c r="AX1192" s="156"/>
      <c r="AY1192" s="156"/>
      <c r="AZ1192" s="156"/>
      <c r="BA1192" s="153"/>
      <c r="BD1192" s="153"/>
      <c r="BE1192" s="147"/>
      <c r="BI1192" s="153"/>
      <c r="BO1192" s="153"/>
      <c r="BW1192" s="153"/>
      <c r="CD1192" s="146"/>
      <c r="CF1192" s="147"/>
      <c r="CI1192" s="146"/>
      <c r="CJ1192" s="153"/>
      <c r="CV1192" s="154"/>
      <c r="CX1192" s="154"/>
      <c r="CZ1192" s="154"/>
      <c r="DB1192" s="154"/>
      <c r="DD1192" s="154"/>
      <c r="DH1192" s="474"/>
      <c r="DI1192" s="459"/>
      <c r="DJ1192" s="459"/>
      <c r="DK1192" s="459"/>
      <c r="DL1192" s="459"/>
      <c r="DM1192" s="459"/>
      <c r="DN1192" s="459"/>
      <c r="DO1192" s="459"/>
      <c r="DP1192" s="459"/>
      <c r="DQ1192" s="459"/>
      <c r="DR1192" s="459"/>
      <c r="DS1192" s="459"/>
      <c r="DT1192" s="459"/>
      <c r="DU1192" s="459"/>
      <c r="DV1192" s="468"/>
      <c r="DW1192" s="468"/>
      <c r="DX1192" s="459"/>
      <c r="DY1192" s="459"/>
    </row>
    <row r="1193" spans="1:129" s="128" customFormat="1" ht="54.95" customHeight="1" x14ac:dyDescent="0.25">
      <c r="A1193" s="377"/>
      <c r="B1193" s="175"/>
      <c r="C1193" s="393"/>
      <c r="D1193" s="168"/>
      <c r="E1193" s="168"/>
      <c r="F1193" s="168"/>
      <c r="G1193" s="168"/>
      <c r="H1193" s="168"/>
      <c r="I1193" s="168"/>
      <c r="J1193" s="168"/>
      <c r="K1193" s="168"/>
      <c r="L1193" s="168"/>
      <c r="M1193" s="168"/>
      <c r="N1193" s="168"/>
      <c r="O1193" s="433"/>
      <c r="P1193" s="122"/>
      <c r="Q1193" s="156"/>
      <c r="R1193" s="156"/>
      <c r="S1193" s="156"/>
      <c r="T1193" s="156"/>
      <c r="U1193" s="156"/>
      <c r="V1193" s="156"/>
      <c r="W1193" s="156"/>
      <c r="X1193" s="156"/>
      <c r="Y1193" s="156"/>
      <c r="Z1193" s="157"/>
      <c r="AA1193" s="157"/>
      <c r="AB1193" s="156"/>
      <c r="AC1193" s="156"/>
      <c r="AD1193" s="156"/>
      <c r="AE1193" s="156"/>
      <c r="AF1193" s="156"/>
      <c r="AG1193" s="156"/>
      <c r="AH1193" s="156"/>
      <c r="AI1193" s="156"/>
      <c r="AJ1193" s="156"/>
      <c r="AK1193" s="156"/>
      <c r="AL1193" s="156"/>
      <c r="AM1193" s="158"/>
      <c r="AN1193" s="156"/>
      <c r="AO1193" s="156"/>
      <c r="AP1193" s="156"/>
      <c r="AQ1193" s="156"/>
      <c r="AR1193" s="156"/>
      <c r="AS1193" s="156"/>
      <c r="AT1193" s="156"/>
      <c r="AU1193" s="156"/>
      <c r="AV1193" s="156"/>
      <c r="AW1193" s="156"/>
      <c r="AX1193" s="156"/>
      <c r="AY1193" s="156"/>
      <c r="AZ1193" s="156"/>
      <c r="BA1193" s="153"/>
      <c r="BD1193" s="153"/>
      <c r="BE1193" s="147"/>
      <c r="BI1193" s="153"/>
      <c r="BO1193" s="153"/>
      <c r="BW1193" s="153"/>
      <c r="CD1193" s="146"/>
      <c r="CF1193" s="147"/>
      <c r="CI1193" s="146"/>
      <c r="CJ1193" s="153"/>
      <c r="CV1193" s="154"/>
      <c r="CX1193" s="154"/>
      <c r="CZ1193" s="154"/>
      <c r="DB1193" s="154"/>
      <c r="DD1193" s="154"/>
      <c r="DH1193" s="474"/>
      <c r="DI1193" s="459"/>
      <c r="DJ1193" s="459"/>
      <c r="DK1193" s="459"/>
      <c r="DL1193" s="459"/>
      <c r="DM1193" s="459"/>
      <c r="DN1193" s="459"/>
      <c r="DO1193" s="459"/>
      <c r="DP1193" s="459"/>
      <c r="DQ1193" s="459"/>
      <c r="DR1193" s="459"/>
      <c r="DS1193" s="459"/>
      <c r="DT1193" s="459"/>
      <c r="DU1193" s="459"/>
      <c r="DV1193" s="468"/>
      <c r="DW1193" s="468"/>
      <c r="DX1193" s="459"/>
      <c r="DY1193" s="459"/>
    </row>
    <row r="1194" spans="1:129" s="128" customFormat="1" ht="54.95" customHeight="1" x14ac:dyDescent="0.25">
      <c r="A1194" s="377"/>
      <c r="B1194" s="175"/>
      <c r="C1194" s="393"/>
      <c r="D1194" s="168"/>
      <c r="E1194" s="168"/>
      <c r="F1194" s="168"/>
      <c r="G1194" s="168"/>
      <c r="H1194" s="168"/>
      <c r="I1194" s="168"/>
      <c r="J1194" s="168"/>
      <c r="K1194" s="168"/>
      <c r="L1194" s="168"/>
      <c r="M1194" s="168"/>
      <c r="N1194" s="168"/>
      <c r="O1194" s="433"/>
      <c r="P1194" s="122"/>
      <c r="Q1194" s="156"/>
      <c r="R1194" s="156"/>
      <c r="S1194" s="156"/>
      <c r="T1194" s="156"/>
      <c r="U1194" s="156"/>
      <c r="V1194" s="156"/>
      <c r="W1194" s="156"/>
      <c r="X1194" s="156"/>
      <c r="Y1194" s="156"/>
      <c r="Z1194" s="157"/>
      <c r="AA1194" s="157"/>
      <c r="AB1194" s="156"/>
      <c r="AC1194" s="156"/>
      <c r="AD1194" s="156"/>
      <c r="AE1194" s="156"/>
      <c r="AF1194" s="156"/>
      <c r="AG1194" s="156"/>
      <c r="AH1194" s="156"/>
      <c r="AI1194" s="156"/>
      <c r="AJ1194" s="156"/>
      <c r="AK1194" s="156"/>
      <c r="AL1194" s="156"/>
      <c r="AM1194" s="158"/>
      <c r="AN1194" s="156"/>
      <c r="AO1194" s="156"/>
      <c r="AP1194" s="156"/>
      <c r="AQ1194" s="156"/>
      <c r="AR1194" s="156"/>
      <c r="AS1194" s="156"/>
      <c r="AT1194" s="156"/>
      <c r="AU1194" s="156"/>
      <c r="AV1194" s="156"/>
      <c r="AW1194" s="156"/>
      <c r="AX1194" s="156"/>
      <c r="AY1194" s="156"/>
      <c r="AZ1194" s="156"/>
      <c r="BA1194" s="153"/>
      <c r="BD1194" s="153"/>
      <c r="BE1194" s="147"/>
      <c r="BI1194" s="153"/>
      <c r="BO1194" s="153"/>
      <c r="BW1194" s="153"/>
      <c r="CD1194" s="146"/>
      <c r="CF1194" s="147"/>
      <c r="CI1194" s="146"/>
      <c r="CJ1194" s="153"/>
      <c r="CV1194" s="154"/>
      <c r="CX1194" s="154"/>
      <c r="CZ1194" s="154"/>
      <c r="DB1194" s="154"/>
      <c r="DD1194" s="154"/>
      <c r="DH1194" s="474"/>
      <c r="DI1194" s="459"/>
      <c r="DJ1194" s="459"/>
      <c r="DK1194" s="459"/>
      <c r="DL1194" s="459"/>
      <c r="DM1194" s="459"/>
      <c r="DN1194" s="459"/>
      <c r="DO1194" s="459"/>
      <c r="DP1194" s="459"/>
      <c r="DQ1194" s="459"/>
      <c r="DR1194" s="459"/>
      <c r="DS1194" s="459"/>
      <c r="DT1194" s="459"/>
      <c r="DU1194" s="459"/>
      <c r="DV1194" s="468"/>
      <c r="DW1194" s="468"/>
      <c r="DX1194" s="459"/>
      <c r="DY1194" s="459"/>
    </row>
    <row r="1195" spans="1:129" s="128" customFormat="1" ht="54.95" customHeight="1" x14ac:dyDescent="0.25">
      <c r="A1195" s="377"/>
      <c r="B1195" s="175"/>
      <c r="C1195" s="393"/>
      <c r="D1195" s="168"/>
      <c r="E1195" s="168"/>
      <c r="F1195" s="168"/>
      <c r="G1195" s="168"/>
      <c r="H1195" s="168"/>
      <c r="I1195" s="168"/>
      <c r="J1195" s="168"/>
      <c r="K1195" s="168"/>
      <c r="L1195" s="168"/>
      <c r="M1195" s="168"/>
      <c r="N1195" s="168"/>
      <c r="O1195" s="433"/>
      <c r="P1195" s="122"/>
      <c r="Q1195" s="156"/>
      <c r="R1195" s="156"/>
      <c r="S1195" s="156"/>
      <c r="T1195" s="156"/>
      <c r="U1195" s="156"/>
      <c r="V1195" s="156"/>
      <c r="W1195" s="156"/>
      <c r="X1195" s="156"/>
      <c r="Y1195" s="156"/>
      <c r="Z1195" s="157"/>
      <c r="AA1195" s="157"/>
      <c r="AB1195" s="156"/>
      <c r="AC1195" s="156"/>
      <c r="AD1195" s="156"/>
      <c r="AE1195" s="156"/>
      <c r="AF1195" s="156"/>
      <c r="AG1195" s="156"/>
      <c r="AH1195" s="156"/>
      <c r="AI1195" s="156"/>
      <c r="AJ1195" s="156"/>
      <c r="AK1195" s="156"/>
      <c r="AL1195" s="156"/>
      <c r="AM1195" s="158"/>
      <c r="AN1195" s="156"/>
      <c r="AO1195" s="156"/>
      <c r="AP1195" s="156"/>
      <c r="AQ1195" s="156"/>
      <c r="AR1195" s="156"/>
      <c r="AS1195" s="156"/>
      <c r="AT1195" s="156"/>
      <c r="AU1195" s="156"/>
      <c r="AV1195" s="156"/>
      <c r="AW1195" s="156"/>
      <c r="AX1195" s="156"/>
      <c r="AY1195" s="156"/>
      <c r="AZ1195" s="156"/>
      <c r="BA1195" s="153"/>
      <c r="BD1195" s="153"/>
      <c r="BE1195" s="147"/>
      <c r="BI1195" s="153"/>
      <c r="BO1195" s="153"/>
      <c r="BW1195" s="153"/>
      <c r="CD1195" s="146"/>
      <c r="CF1195" s="147"/>
      <c r="CI1195" s="146"/>
      <c r="CJ1195" s="153"/>
      <c r="CV1195" s="154"/>
      <c r="CX1195" s="154"/>
      <c r="CZ1195" s="154"/>
      <c r="DB1195" s="154"/>
      <c r="DD1195" s="154"/>
      <c r="DH1195" s="474"/>
      <c r="DI1195" s="459"/>
      <c r="DJ1195" s="459"/>
      <c r="DK1195" s="459"/>
      <c r="DL1195" s="459"/>
      <c r="DM1195" s="459"/>
      <c r="DN1195" s="459"/>
      <c r="DO1195" s="459"/>
      <c r="DP1195" s="459"/>
      <c r="DQ1195" s="459"/>
      <c r="DR1195" s="459"/>
      <c r="DS1195" s="459"/>
      <c r="DT1195" s="459"/>
      <c r="DU1195" s="459"/>
      <c r="DV1195" s="468"/>
      <c r="DW1195" s="468"/>
      <c r="DX1195" s="459"/>
      <c r="DY1195" s="459"/>
    </row>
    <row r="1196" spans="1:129" s="128" customFormat="1" ht="54.95" customHeight="1" x14ac:dyDescent="0.25">
      <c r="A1196" s="377"/>
      <c r="B1196" s="175"/>
      <c r="C1196" s="393"/>
      <c r="D1196" s="168"/>
      <c r="E1196" s="168"/>
      <c r="F1196" s="168"/>
      <c r="G1196" s="168"/>
      <c r="H1196" s="168"/>
      <c r="I1196" s="168"/>
      <c r="J1196" s="168"/>
      <c r="K1196" s="168"/>
      <c r="L1196" s="168"/>
      <c r="M1196" s="168"/>
      <c r="N1196" s="168"/>
      <c r="O1196" s="433"/>
      <c r="P1196" s="122"/>
      <c r="Q1196" s="156"/>
      <c r="R1196" s="156"/>
      <c r="S1196" s="156"/>
      <c r="T1196" s="156"/>
      <c r="U1196" s="156"/>
      <c r="V1196" s="156"/>
      <c r="W1196" s="156"/>
      <c r="X1196" s="156"/>
      <c r="Y1196" s="156"/>
      <c r="Z1196" s="157"/>
      <c r="AA1196" s="157"/>
      <c r="AB1196" s="156"/>
      <c r="AC1196" s="156"/>
      <c r="AD1196" s="156"/>
      <c r="AE1196" s="156"/>
      <c r="AF1196" s="156"/>
      <c r="AG1196" s="156"/>
      <c r="AH1196" s="156"/>
      <c r="AI1196" s="156"/>
      <c r="AJ1196" s="156"/>
      <c r="AK1196" s="156"/>
      <c r="AL1196" s="156"/>
      <c r="AM1196" s="158"/>
      <c r="AN1196" s="156"/>
      <c r="AO1196" s="156"/>
      <c r="AP1196" s="156"/>
      <c r="AQ1196" s="156"/>
      <c r="AR1196" s="156"/>
      <c r="AS1196" s="156"/>
      <c r="AT1196" s="156"/>
      <c r="AU1196" s="156"/>
      <c r="AV1196" s="156"/>
      <c r="AW1196" s="156"/>
      <c r="AX1196" s="156"/>
      <c r="AY1196" s="156"/>
      <c r="AZ1196" s="156"/>
      <c r="BA1196" s="153"/>
      <c r="BD1196" s="153"/>
      <c r="BE1196" s="147"/>
      <c r="BI1196" s="153"/>
      <c r="BO1196" s="153"/>
      <c r="BW1196" s="153"/>
      <c r="CD1196" s="146"/>
      <c r="CF1196" s="147"/>
      <c r="CI1196" s="146"/>
      <c r="CJ1196" s="153"/>
      <c r="CV1196" s="154"/>
      <c r="CX1196" s="154"/>
      <c r="CZ1196" s="154"/>
      <c r="DB1196" s="154"/>
      <c r="DD1196" s="154"/>
      <c r="DH1196" s="474"/>
      <c r="DI1196" s="459"/>
      <c r="DJ1196" s="459"/>
      <c r="DK1196" s="459"/>
      <c r="DL1196" s="459"/>
      <c r="DM1196" s="459"/>
      <c r="DN1196" s="459"/>
      <c r="DO1196" s="459"/>
      <c r="DP1196" s="459"/>
      <c r="DQ1196" s="459"/>
      <c r="DR1196" s="459"/>
      <c r="DS1196" s="459"/>
      <c r="DT1196" s="459"/>
      <c r="DU1196" s="459"/>
      <c r="DV1196" s="468"/>
      <c r="DW1196" s="468"/>
      <c r="DX1196" s="459"/>
      <c r="DY1196" s="459"/>
    </row>
    <row r="1197" spans="1:129" s="128" customFormat="1" ht="54.95" customHeight="1" x14ac:dyDescent="0.25">
      <c r="A1197" s="377"/>
      <c r="B1197" s="175"/>
      <c r="C1197" s="393"/>
      <c r="D1197" s="168"/>
      <c r="E1197" s="168"/>
      <c r="F1197" s="168"/>
      <c r="G1197" s="168"/>
      <c r="H1197" s="168"/>
      <c r="I1197" s="168"/>
      <c r="J1197" s="168"/>
      <c r="K1197" s="168"/>
      <c r="L1197" s="168"/>
      <c r="M1197" s="168"/>
      <c r="N1197" s="168"/>
      <c r="O1197" s="433"/>
      <c r="P1197" s="122"/>
      <c r="Q1197" s="156"/>
      <c r="R1197" s="156"/>
      <c r="S1197" s="156"/>
      <c r="T1197" s="156"/>
      <c r="U1197" s="156"/>
      <c r="V1197" s="156"/>
      <c r="W1197" s="156"/>
      <c r="X1197" s="156"/>
      <c r="Y1197" s="156"/>
      <c r="Z1197" s="157"/>
      <c r="AA1197" s="157"/>
      <c r="AB1197" s="156"/>
      <c r="AC1197" s="156"/>
      <c r="AD1197" s="156"/>
      <c r="AE1197" s="156"/>
      <c r="AF1197" s="156"/>
      <c r="AG1197" s="156"/>
      <c r="AH1197" s="156"/>
      <c r="AI1197" s="156"/>
      <c r="AJ1197" s="156"/>
      <c r="AK1197" s="156"/>
      <c r="AL1197" s="156"/>
      <c r="AM1197" s="158"/>
      <c r="AN1197" s="156"/>
      <c r="AO1197" s="156"/>
      <c r="AP1197" s="156"/>
      <c r="AQ1197" s="156"/>
      <c r="AR1197" s="156"/>
      <c r="AS1197" s="156"/>
      <c r="AT1197" s="156"/>
      <c r="AU1197" s="156"/>
      <c r="AV1197" s="156"/>
      <c r="AW1197" s="156"/>
      <c r="AX1197" s="156"/>
      <c r="AY1197" s="156"/>
      <c r="AZ1197" s="156"/>
      <c r="BA1197" s="153"/>
      <c r="BD1197" s="153"/>
      <c r="BE1197" s="147"/>
      <c r="BI1197" s="153"/>
      <c r="BO1197" s="153"/>
      <c r="BW1197" s="153"/>
      <c r="CD1197" s="146"/>
      <c r="CF1197" s="147"/>
      <c r="CI1197" s="146"/>
      <c r="CJ1197" s="153"/>
      <c r="CV1197" s="154"/>
      <c r="CX1197" s="154"/>
      <c r="CZ1197" s="154"/>
      <c r="DB1197" s="154"/>
      <c r="DD1197" s="154"/>
      <c r="DH1197" s="474"/>
      <c r="DI1197" s="459"/>
      <c r="DJ1197" s="459"/>
      <c r="DK1197" s="459"/>
      <c r="DL1197" s="459"/>
      <c r="DM1197" s="459"/>
      <c r="DN1197" s="459"/>
      <c r="DO1197" s="459"/>
      <c r="DP1197" s="459"/>
      <c r="DQ1197" s="459"/>
      <c r="DR1197" s="459"/>
      <c r="DS1197" s="459"/>
      <c r="DT1197" s="459"/>
      <c r="DU1197" s="459"/>
      <c r="DV1197" s="468"/>
      <c r="DW1197" s="468"/>
      <c r="DX1197" s="459"/>
      <c r="DY1197" s="459"/>
    </row>
    <row r="1198" spans="1:129" s="128" customFormat="1" ht="54.95" customHeight="1" x14ac:dyDescent="0.25">
      <c r="A1198" s="377"/>
      <c r="B1198" s="175"/>
      <c r="C1198" s="393"/>
      <c r="D1198" s="168"/>
      <c r="E1198" s="168"/>
      <c r="F1198" s="168"/>
      <c r="G1198" s="168"/>
      <c r="H1198" s="168"/>
      <c r="I1198" s="168"/>
      <c r="J1198" s="168"/>
      <c r="K1198" s="168"/>
      <c r="L1198" s="168"/>
      <c r="M1198" s="168"/>
      <c r="N1198" s="168"/>
      <c r="O1198" s="433"/>
      <c r="P1198" s="122"/>
      <c r="Q1198" s="156"/>
      <c r="R1198" s="156"/>
      <c r="S1198" s="156"/>
      <c r="T1198" s="156"/>
      <c r="U1198" s="156"/>
      <c r="V1198" s="156"/>
      <c r="W1198" s="156"/>
      <c r="X1198" s="156"/>
      <c r="Y1198" s="156"/>
      <c r="Z1198" s="157"/>
      <c r="AA1198" s="157"/>
      <c r="AB1198" s="156"/>
      <c r="AC1198" s="156"/>
      <c r="AD1198" s="156"/>
      <c r="AE1198" s="156"/>
      <c r="AF1198" s="156"/>
      <c r="AG1198" s="156"/>
      <c r="AH1198" s="156"/>
      <c r="AI1198" s="156"/>
      <c r="AJ1198" s="156"/>
      <c r="AK1198" s="156"/>
      <c r="AL1198" s="156"/>
      <c r="AM1198" s="158"/>
      <c r="AN1198" s="156"/>
      <c r="AO1198" s="156"/>
      <c r="AP1198" s="156"/>
      <c r="AQ1198" s="156"/>
      <c r="AR1198" s="156"/>
      <c r="AS1198" s="156"/>
      <c r="AT1198" s="156"/>
      <c r="AU1198" s="156"/>
      <c r="AV1198" s="156"/>
      <c r="AW1198" s="156"/>
      <c r="AX1198" s="156"/>
      <c r="AY1198" s="156"/>
      <c r="AZ1198" s="156"/>
      <c r="BA1198" s="153"/>
      <c r="BD1198" s="153"/>
      <c r="BE1198" s="147"/>
      <c r="BI1198" s="153"/>
      <c r="BO1198" s="153"/>
      <c r="BW1198" s="153"/>
      <c r="CD1198" s="146"/>
      <c r="CF1198" s="147"/>
      <c r="CI1198" s="146"/>
      <c r="CJ1198" s="153"/>
      <c r="CV1198" s="154"/>
      <c r="CX1198" s="154"/>
      <c r="CZ1198" s="154"/>
      <c r="DB1198" s="154"/>
      <c r="DD1198" s="154"/>
      <c r="DH1198" s="474"/>
      <c r="DI1198" s="459"/>
      <c r="DJ1198" s="459"/>
      <c r="DK1198" s="459"/>
      <c r="DL1198" s="459"/>
      <c r="DM1198" s="459"/>
      <c r="DN1198" s="459"/>
      <c r="DO1198" s="459"/>
      <c r="DP1198" s="459"/>
      <c r="DQ1198" s="459"/>
      <c r="DR1198" s="459"/>
      <c r="DS1198" s="459"/>
      <c r="DT1198" s="459"/>
      <c r="DU1198" s="459"/>
      <c r="DV1198" s="468"/>
      <c r="DW1198" s="468"/>
      <c r="DX1198" s="459"/>
      <c r="DY1198" s="459"/>
    </row>
    <row r="1199" spans="1:129" s="128" customFormat="1" ht="54.95" customHeight="1" x14ac:dyDescent="0.25">
      <c r="A1199" s="377"/>
      <c r="B1199" s="175"/>
      <c r="C1199" s="393"/>
      <c r="D1199" s="168"/>
      <c r="E1199" s="168"/>
      <c r="F1199" s="168"/>
      <c r="G1199" s="168"/>
      <c r="H1199" s="168"/>
      <c r="I1199" s="168"/>
      <c r="J1199" s="168"/>
      <c r="K1199" s="168"/>
      <c r="L1199" s="168"/>
      <c r="M1199" s="168"/>
      <c r="N1199" s="168"/>
      <c r="O1199" s="433"/>
      <c r="P1199" s="122"/>
      <c r="Q1199" s="156"/>
      <c r="R1199" s="156"/>
      <c r="S1199" s="156"/>
      <c r="T1199" s="156"/>
      <c r="U1199" s="156"/>
      <c r="V1199" s="156"/>
      <c r="W1199" s="156"/>
      <c r="X1199" s="156"/>
      <c r="Y1199" s="156"/>
      <c r="Z1199" s="157"/>
      <c r="AA1199" s="157"/>
      <c r="AB1199" s="156"/>
      <c r="AC1199" s="156"/>
      <c r="AD1199" s="156"/>
      <c r="AE1199" s="156"/>
      <c r="AF1199" s="156"/>
      <c r="AG1199" s="156"/>
      <c r="AH1199" s="156"/>
      <c r="AI1199" s="156"/>
      <c r="AJ1199" s="156"/>
      <c r="AK1199" s="156"/>
      <c r="AL1199" s="156"/>
      <c r="AM1199" s="158"/>
      <c r="AN1199" s="156"/>
      <c r="AO1199" s="156"/>
      <c r="AP1199" s="156"/>
      <c r="AQ1199" s="156"/>
      <c r="AR1199" s="156"/>
      <c r="AS1199" s="156"/>
      <c r="AT1199" s="156"/>
      <c r="AU1199" s="156"/>
      <c r="AV1199" s="156"/>
      <c r="AW1199" s="156"/>
      <c r="AX1199" s="156"/>
      <c r="AY1199" s="156"/>
      <c r="AZ1199" s="156"/>
      <c r="BA1199" s="153"/>
      <c r="BD1199" s="153"/>
      <c r="BE1199" s="147"/>
      <c r="BI1199" s="153"/>
      <c r="BO1199" s="153"/>
      <c r="BW1199" s="153"/>
      <c r="CD1199" s="146"/>
      <c r="CF1199" s="147"/>
      <c r="CI1199" s="146"/>
      <c r="CJ1199" s="153"/>
      <c r="CV1199" s="154"/>
      <c r="CX1199" s="154"/>
      <c r="CZ1199" s="154"/>
      <c r="DB1199" s="154"/>
      <c r="DD1199" s="154"/>
      <c r="DH1199" s="474"/>
      <c r="DI1199" s="459"/>
      <c r="DJ1199" s="459"/>
      <c r="DK1199" s="459"/>
      <c r="DL1199" s="459"/>
      <c r="DM1199" s="459"/>
      <c r="DN1199" s="459"/>
      <c r="DO1199" s="459"/>
      <c r="DP1199" s="459"/>
      <c r="DQ1199" s="459"/>
      <c r="DR1199" s="459"/>
      <c r="DS1199" s="459"/>
      <c r="DT1199" s="459"/>
      <c r="DU1199" s="459"/>
      <c r="DV1199" s="468"/>
      <c r="DW1199" s="468"/>
      <c r="DX1199" s="459"/>
      <c r="DY1199" s="459"/>
    </row>
    <row r="1200" spans="1:129" s="128" customFormat="1" ht="54.95" customHeight="1" x14ac:dyDescent="0.25">
      <c r="A1200" s="377"/>
      <c r="B1200" s="175"/>
      <c r="C1200" s="393"/>
      <c r="D1200" s="168"/>
      <c r="E1200" s="168"/>
      <c r="F1200" s="168"/>
      <c r="G1200" s="168"/>
      <c r="H1200" s="168"/>
      <c r="I1200" s="168"/>
      <c r="J1200" s="168"/>
      <c r="K1200" s="168"/>
      <c r="L1200" s="168"/>
      <c r="M1200" s="168"/>
      <c r="N1200" s="168"/>
      <c r="O1200" s="433"/>
      <c r="P1200" s="122"/>
      <c r="Q1200" s="156"/>
      <c r="R1200" s="156"/>
      <c r="S1200" s="156"/>
      <c r="T1200" s="156"/>
      <c r="U1200" s="156"/>
      <c r="V1200" s="156"/>
      <c r="W1200" s="156"/>
      <c r="X1200" s="156"/>
      <c r="Y1200" s="156"/>
      <c r="Z1200" s="157"/>
      <c r="AA1200" s="157"/>
      <c r="AB1200" s="156"/>
      <c r="AC1200" s="156"/>
      <c r="AD1200" s="156"/>
      <c r="AE1200" s="156"/>
      <c r="AF1200" s="156"/>
      <c r="AG1200" s="156"/>
      <c r="AH1200" s="156"/>
      <c r="AI1200" s="156"/>
      <c r="AJ1200" s="156"/>
      <c r="AK1200" s="156"/>
      <c r="AL1200" s="156"/>
      <c r="AM1200" s="158"/>
      <c r="AN1200" s="156"/>
      <c r="AO1200" s="156"/>
      <c r="AP1200" s="156"/>
      <c r="AQ1200" s="156"/>
      <c r="AR1200" s="156"/>
      <c r="AS1200" s="156"/>
      <c r="AT1200" s="156"/>
      <c r="AU1200" s="156"/>
      <c r="AV1200" s="156"/>
      <c r="AW1200" s="156"/>
      <c r="AX1200" s="156"/>
      <c r="AY1200" s="156"/>
      <c r="AZ1200" s="156"/>
      <c r="BA1200" s="153"/>
      <c r="BD1200" s="153"/>
      <c r="BE1200" s="147"/>
      <c r="BI1200" s="153"/>
      <c r="BO1200" s="153"/>
      <c r="BW1200" s="153"/>
      <c r="CD1200" s="146"/>
      <c r="CF1200" s="147"/>
      <c r="CI1200" s="146"/>
      <c r="CJ1200" s="153"/>
      <c r="CV1200" s="154"/>
      <c r="CX1200" s="154"/>
      <c r="CZ1200" s="154"/>
      <c r="DB1200" s="154"/>
      <c r="DD1200" s="154"/>
      <c r="DH1200" s="474"/>
      <c r="DI1200" s="459"/>
      <c r="DJ1200" s="459"/>
      <c r="DK1200" s="459"/>
      <c r="DL1200" s="459"/>
      <c r="DM1200" s="459"/>
      <c r="DN1200" s="459"/>
      <c r="DO1200" s="459"/>
      <c r="DP1200" s="459"/>
      <c r="DQ1200" s="459"/>
      <c r="DR1200" s="459"/>
      <c r="DS1200" s="459"/>
      <c r="DT1200" s="459"/>
      <c r="DU1200" s="459"/>
      <c r="DV1200" s="468"/>
      <c r="DW1200" s="468"/>
      <c r="DX1200" s="459"/>
      <c r="DY1200" s="459"/>
    </row>
    <row r="1201" spans="1:129" s="128" customFormat="1" ht="54.95" customHeight="1" x14ac:dyDescent="0.25">
      <c r="A1201" s="377"/>
      <c r="B1201" s="175"/>
      <c r="C1201" s="393"/>
      <c r="D1201" s="168"/>
      <c r="E1201" s="168"/>
      <c r="F1201" s="168"/>
      <c r="G1201" s="168"/>
      <c r="H1201" s="168"/>
      <c r="I1201" s="168"/>
      <c r="J1201" s="168"/>
      <c r="K1201" s="168"/>
      <c r="L1201" s="168"/>
      <c r="M1201" s="168"/>
      <c r="N1201" s="168"/>
      <c r="O1201" s="433"/>
      <c r="P1201" s="122"/>
      <c r="Q1201" s="156"/>
      <c r="R1201" s="156"/>
      <c r="S1201" s="156"/>
      <c r="T1201" s="156"/>
      <c r="U1201" s="156"/>
      <c r="V1201" s="156"/>
      <c r="W1201" s="156"/>
      <c r="X1201" s="156"/>
      <c r="Y1201" s="156"/>
      <c r="Z1201" s="157"/>
      <c r="AA1201" s="157"/>
      <c r="AB1201" s="156"/>
      <c r="AC1201" s="156"/>
      <c r="AD1201" s="156"/>
      <c r="AE1201" s="156"/>
      <c r="AF1201" s="156"/>
      <c r="AG1201" s="156"/>
      <c r="AH1201" s="156"/>
      <c r="AI1201" s="156"/>
      <c r="AJ1201" s="156"/>
      <c r="AK1201" s="156"/>
      <c r="AL1201" s="156"/>
      <c r="AM1201" s="158"/>
      <c r="AN1201" s="156"/>
      <c r="AO1201" s="156"/>
      <c r="AP1201" s="156"/>
      <c r="AQ1201" s="156"/>
      <c r="AR1201" s="156"/>
      <c r="AS1201" s="156"/>
      <c r="AT1201" s="156"/>
      <c r="AU1201" s="156"/>
      <c r="AV1201" s="156"/>
      <c r="AW1201" s="156"/>
      <c r="AX1201" s="156"/>
      <c r="AY1201" s="156"/>
      <c r="AZ1201" s="156"/>
      <c r="BA1201" s="153"/>
      <c r="BD1201" s="153"/>
      <c r="BE1201" s="147"/>
      <c r="BI1201" s="153"/>
      <c r="BO1201" s="153"/>
      <c r="BW1201" s="153"/>
      <c r="CD1201" s="146"/>
      <c r="CF1201" s="147"/>
      <c r="CI1201" s="146"/>
      <c r="CJ1201" s="153"/>
      <c r="CV1201" s="154"/>
      <c r="CX1201" s="154"/>
      <c r="CZ1201" s="154"/>
      <c r="DB1201" s="154"/>
      <c r="DD1201" s="154"/>
      <c r="DH1201" s="474"/>
      <c r="DI1201" s="459"/>
      <c r="DJ1201" s="459"/>
      <c r="DK1201" s="459"/>
      <c r="DL1201" s="459"/>
      <c r="DM1201" s="459"/>
      <c r="DN1201" s="459"/>
      <c r="DO1201" s="459"/>
      <c r="DP1201" s="459"/>
      <c r="DQ1201" s="459"/>
      <c r="DR1201" s="459"/>
      <c r="DS1201" s="459"/>
      <c r="DT1201" s="459"/>
      <c r="DU1201" s="459"/>
      <c r="DV1201" s="468"/>
      <c r="DW1201" s="468"/>
      <c r="DX1201" s="459"/>
      <c r="DY1201" s="459"/>
    </row>
    <row r="1202" spans="1:129" s="128" customFormat="1" ht="54.95" customHeight="1" x14ac:dyDescent="0.25">
      <c r="A1202" s="377"/>
      <c r="B1202" s="175"/>
      <c r="C1202" s="393"/>
      <c r="D1202" s="168"/>
      <c r="E1202" s="168"/>
      <c r="F1202" s="168"/>
      <c r="G1202" s="168"/>
      <c r="H1202" s="168"/>
      <c r="I1202" s="168"/>
      <c r="J1202" s="168"/>
      <c r="K1202" s="168"/>
      <c r="L1202" s="168"/>
      <c r="M1202" s="168"/>
      <c r="N1202" s="168"/>
      <c r="O1202" s="433"/>
      <c r="P1202" s="122"/>
      <c r="Q1202" s="156"/>
      <c r="R1202" s="156"/>
      <c r="S1202" s="156"/>
      <c r="T1202" s="156"/>
      <c r="U1202" s="156"/>
      <c r="V1202" s="156"/>
      <c r="W1202" s="156"/>
      <c r="X1202" s="156"/>
      <c r="Y1202" s="156"/>
      <c r="Z1202" s="157"/>
      <c r="AA1202" s="157"/>
      <c r="AB1202" s="156"/>
      <c r="AC1202" s="156"/>
      <c r="AD1202" s="156"/>
      <c r="AE1202" s="156"/>
      <c r="AF1202" s="156"/>
      <c r="AG1202" s="156"/>
      <c r="AH1202" s="156"/>
      <c r="AI1202" s="156"/>
      <c r="AJ1202" s="156"/>
      <c r="AK1202" s="156"/>
      <c r="AL1202" s="156"/>
      <c r="AM1202" s="158"/>
      <c r="AN1202" s="156"/>
      <c r="AO1202" s="156"/>
      <c r="AP1202" s="156"/>
      <c r="AQ1202" s="156"/>
      <c r="AR1202" s="156"/>
      <c r="AS1202" s="156"/>
      <c r="AT1202" s="156"/>
      <c r="AU1202" s="156"/>
      <c r="AV1202" s="156"/>
      <c r="AW1202" s="156"/>
      <c r="AX1202" s="156"/>
      <c r="AY1202" s="156"/>
      <c r="AZ1202" s="156"/>
      <c r="BA1202" s="153"/>
      <c r="BD1202" s="153"/>
      <c r="BE1202" s="147"/>
      <c r="BI1202" s="153"/>
      <c r="BO1202" s="153"/>
      <c r="BW1202" s="153"/>
      <c r="CD1202" s="146"/>
      <c r="CF1202" s="147"/>
      <c r="CI1202" s="146"/>
      <c r="CJ1202" s="153"/>
      <c r="CV1202" s="154"/>
      <c r="CX1202" s="154"/>
      <c r="CZ1202" s="154"/>
      <c r="DB1202" s="154"/>
      <c r="DD1202" s="154"/>
      <c r="DH1202" s="474"/>
      <c r="DI1202" s="459"/>
      <c r="DJ1202" s="459"/>
      <c r="DK1202" s="459"/>
      <c r="DL1202" s="459"/>
      <c r="DM1202" s="459"/>
      <c r="DN1202" s="459"/>
      <c r="DO1202" s="459"/>
      <c r="DP1202" s="459"/>
      <c r="DQ1202" s="459"/>
      <c r="DR1202" s="459"/>
      <c r="DS1202" s="459"/>
      <c r="DT1202" s="459"/>
      <c r="DU1202" s="459"/>
      <c r="DV1202" s="468"/>
      <c r="DW1202" s="468"/>
      <c r="DX1202" s="459"/>
      <c r="DY1202" s="459"/>
    </row>
    <row r="1203" spans="1:129" s="128" customFormat="1" ht="54.95" customHeight="1" x14ac:dyDescent="0.25">
      <c r="A1203" s="377"/>
      <c r="B1203" s="175"/>
      <c r="C1203" s="393"/>
      <c r="D1203" s="168"/>
      <c r="E1203" s="168"/>
      <c r="F1203" s="168"/>
      <c r="G1203" s="168"/>
      <c r="H1203" s="168"/>
      <c r="I1203" s="168"/>
      <c r="J1203" s="168"/>
      <c r="K1203" s="168"/>
      <c r="L1203" s="168"/>
      <c r="M1203" s="168"/>
      <c r="N1203" s="168"/>
      <c r="O1203" s="433"/>
      <c r="P1203" s="122"/>
      <c r="Q1203" s="156"/>
      <c r="R1203" s="156"/>
      <c r="S1203" s="156"/>
      <c r="T1203" s="156"/>
      <c r="U1203" s="156"/>
      <c r="V1203" s="156"/>
      <c r="W1203" s="156"/>
      <c r="X1203" s="156"/>
      <c r="Y1203" s="156"/>
      <c r="Z1203" s="157"/>
      <c r="AA1203" s="157"/>
      <c r="AB1203" s="156"/>
      <c r="AC1203" s="156"/>
      <c r="AD1203" s="156"/>
      <c r="AE1203" s="156"/>
      <c r="AF1203" s="156"/>
      <c r="AG1203" s="156"/>
      <c r="AH1203" s="156"/>
      <c r="AI1203" s="156"/>
      <c r="AJ1203" s="156"/>
      <c r="AK1203" s="156"/>
      <c r="AL1203" s="156"/>
      <c r="AM1203" s="158"/>
      <c r="AN1203" s="156"/>
      <c r="AO1203" s="156"/>
      <c r="AP1203" s="156"/>
      <c r="AQ1203" s="156"/>
      <c r="AR1203" s="156"/>
      <c r="AS1203" s="156"/>
      <c r="AT1203" s="156"/>
      <c r="AU1203" s="156"/>
      <c r="AV1203" s="156"/>
      <c r="AW1203" s="156"/>
      <c r="AX1203" s="156"/>
      <c r="AY1203" s="156"/>
      <c r="AZ1203" s="156"/>
      <c r="BA1203" s="153"/>
      <c r="BD1203" s="153"/>
      <c r="BE1203" s="147"/>
      <c r="BI1203" s="153"/>
      <c r="BO1203" s="153"/>
      <c r="BW1203" s="153"/>
      <c r="CD1203" s="146"/>
      <c r="CF1203" s="147"/>
      <c r="CI1203" s="146"/>
      <c r="CJ1203" s="153"/>
      <c r="CV1203" s="154"/>
      <c r="CX1203" s="154"/>
      <c r="CZ1203" s="154"/>
      <c r="DB1203" s="154"/>
      <c r="DD1203" s="154"/>
      <c r="DH1203" s="474"/>
      <c r="DI1203" s="459"/>
      <c r="DJ1203" s="459"/>
      <c r="DK1203" s="459"/>
      <c r="DL1203" s="459"/>
      <c r="DM1203" s="459"/>
      <c r="DN1203" s="459"/>
      <c r="DO1203" s="459"/>
      <c r="DP1203" s="459"/>
      <c r="DQ1203" s="459"/>
      <c r="DR1203" s="459"/>
      <c r="DS1203" s="459"/>
      <c r="DT1203" s="459"/>
      <c r="DU1203" s="459"/>
      <c r="DV1203" s="468"/>
      <c r="DW1203" s="468"/>
      <c r="DX1203" s="459"/>
      <c r="DY1203" s="459"/>
    </row>
    <row r="1204" spans="1:129" s="128" customFormat="1" ht="54.95" customHeight="1" x14ac:dyDescent="0.25">
      <c r="A1204" s="377"/>
      <c r="B1204" s="175"/>
      <c r="C1204" s="393"/>
      <c r="D1204" s="168"/>
      <c r="E1204" s="168"/>
      <c r="F1204" s="168"/>
      <c r="G1204" s="168"/>
      <c r="H1204" s="168"/>
      <c r="I1204" s="168"/>
      <c r="J1204" s="168"/>
      <c r="K1204" s="168"/>
      <c r="L1204" s="168"/>
      <c r="M1204" s="168"/>
      <c r="N1204" s="168"/>
      <c r="O1204" s="433"/>
      <c r="P1204" s="122"/>
      <c r="Q1204" s="156"/>
      <c r="R1204" s="156"/>
      <c r="S1204" s="156"/>
      <c r="T1204" s="156"/>
      <c r="U1204" s="156"/>
      <c r="V1204" s="156"/>
      <c r="W1204" s="156"/>
      <c r="X1204" s="156"/>
      <c r="Y1204" s="156"/>
      <c r="Z1204" s="157"/>
      <c r="AA1204" s="157"/>
      <c r="AB1204" s="156"/>
      <c r="AC1204" s="156"/>
      <c r="AD1204" s="156"/>
      <c r="AE1204" s="156"/>
      <c r="AF1204" s="156"/>
      <c r="AG1204" s="156"/>
      <c r="AH1204" s="156"/>
      <c r="AI1204" s="156"/>
      <c r="AJ1204" s="156"/>
      <c r="AK1204" s="156"/>
      <c r="AL1204" s="156"/>
      <c r="AM1204" s="158"/>
      <c r="AN1204" s="156"/>
      <c r="AO1204" s="156"/>
      <c r="AP1204" s="156"/>
      <c r="AQ1204" s="156"/>
      <c r="AR1204" s="156"/>
      <c r="AS1204" s="156"/>
      <c r="AT1204" s="156"/>
      <c r="AU1204" s="156"/>
      <c r="AV1204" s="156"/>
      <c r="AW1204" s="156"/>
      <c r="AX1204" s="156"/>
      <c r="AY1204" s="156"/>
      <c r="AZ1204" s="156"/>
      <c r="BA1204" s="153"/>
      <c r="BD1204" s="153"/>
      <c r="BE1204" s="147"/>
      <c r="BI1204" s="153"/>
      <c r="BO1204" s="153"/>
      <c r="BW1204" s="153"/>
      <c r="CD1204" s="146"/>
      <c r="CF1204" s="147"/>
      <c r="CI1204" s="146"/>
      <c r="CJ1204" s="153"/>
      <c r="CV1204" s="154"/>
      <c r="CX1204" s="154"/>
      <c r="CZ1204" s="154"/>
      <c r="DB1204" s="154"/>
      <c r="DD1204" s="154"/>
      <c r="DH1204" s="474"/>
      <c r="DI1204" s="459"/>
      <c r="DJ1204" s="459"/>
      <c r="DK1204" s="459"/>
      <c r="DL1204" s="459"/>
      <c r="DM1204" s="459"/>
      <c r="DN1204" s="459"/>
      <c r="DO1204" s="459"/>
      <c r="DP1204" s="459"/>
      <c r="DQ1204" s="459"/>
      <c r="DR1204" s="459"/>
      <c r="DS1204" s="459"/>
      <c r="DT1204" s="459"/>
      <c r="DU1204" s="459"/>
      <c r="DV1204" s="468"/>
      <c r="DW1204" s="468"/>
      <c r="DX1204" s="459"/>
      <c r="DY1204" s="459"/>
    </row>
    <row r="1205" spans="1:129" s="128" customFormat="1" ht="54.95" customHeight="1" x14ac:dyDescent="0.25">
      <c r="A1205" s="377"/>
      <c r="B1205" s="175"/>
      <c r="C1205" s="393"/>
      <c r="D1205" s="168"/>
      <c r="E1205" s="168"/>
      <c r="F1205" s="168"/>
      <c r="G1205" s="168"/>
      <c r="H1205" s="168"/>
      <c r="I1205" s="168"/>
      <c r="J1205" s="168"/>
      <c r="K1205" s="168"/>
      <c r="L1205" s="168"/>
      <c r="M1205" s="168"/>
      <c r="N1205" s="168"/>
      <c r="O1205" s="433"/>
      <c r="P1205" s="122"/>
      <c r="Q1205" s="156"/>
      <c r="R1205" s="156"/>
      <c r="S1205" s="156"/>
      <c r="T1205" s="156"/>
      <c r="U1205" s="156"/>
      <c r="V1205" s="156"/>
      <c r="W1205" s="156"/>
      <c r="X1205" s="156"/>
      <c r="Y1205" s="156"/>
      <c r="Z1205" s="157"/>
      <c r="AA1205" s="157"/>
      <c r="AB1205" s="156"/>
      <c r="AC1205" s="156"/>
      <c r="AD1205" s="156"/>
      <c r="AE1205" s="156"/>
      <c r="AF1205" s="156"/>
      <c r="AG1205" s="156"/>
      <c r="AH1205" s="156"/>
      <c r="AI1205" s="156"/>
      <c r="AJ1205" s="156"/>
      <c r="AK1205" s="156"/>
      <c r="AL1205" s="156"/>
      <c r="AM1205" s="158"/>
      <c r="AN1205" s="156"/>
      <c r="AO1205" s="156"/>
      <c r="AP1205" s="156"/>
      <c r="AQ1205" s="156"/>
      <c r="AR1205" s="156"/>
      <c r="AS1205" s="156"/>
      <c r="AT1205" s="156"/>
      <c r="AU1205" s="156"/>
      <c r="AV1205" s="156"/>
      <c r="AW1205" s="156"/>
      <c r="AX1205" s="156"/>
      <c r="AY1205" s="156"/>
      <c r="AZ1205" s="156"/>
      <c r="BA1205" s="153"/>
      <c r="BD1205" s="153"/>
      <c r="BE1205" s="147"/>
      <c r="BI1205" s="153"/>
      <c r="BO1205" s="153"/>
      <c r="BW1205" s="153"/>
      <c r="CD1205" s="146"/>
      <c r="CF1205" s="147"/>
      <c r="CI1205" s="146"/>
      <c r="CJ1205" s="153"/>
      <c r="CV1205" s="154"/>
      <c r="CX1205" s="154"/>
      <c r="CZ1205" s="154"/>
      <c r="DB1205" s="154"/>
      <c r="DD1205" s="154"/>
      <c r="DH1205" s="474"/>
      <c r="DI1205" s="459"/>
      <c r="DJ1205" s="459"/>
      <c r="DK1205" s="459"/>
      <c r="DL1205" s="459"/>
      <c r="DM1205" s="459"/>
      <c r="DN1205" s="459"/>
      <c r="DO1205" s="459"/>
      <c r="DP1205" s="459"/>
      <c r="DQ1205" s="459"/>
      <c r="DR1205" s="459"/>
      <c r="DS1205" s="459"/>
      <c r="DT1205" s="459"/>
      <c r="DU1205" s="459"/>
      <c r="DV1205" s="468"/>
      <c r="DW1205" s="468"/>
      <c r="DX1205" s="459"/>
      <c r="DY1205" s="459"/>
    </row>
    <row r="1206" spans="1:129" s="128" customFormat="1" ht="54.95" customHeight="1" x14ac:dyDescent="0.25">
      <c r="A1206" s="377"/>
      <c r="B1206" s="175"/>
      <c r="C1206" s="393"/>
      <c r="D1206" s="168"/>
      <c r="E1206" s="168"/>
      <c r="F1206" s="168"/>
      <c r="G1206" s="168"/>
      <c r="H1206" s="168"/>
      <c r="I1206" s="168"/>
      <c r="J1206" s="168"/>
      <c r="K1206" s="168"/>
      <c r="L1206" s="168"/>
      <c r="M1206" s="168"/>
      <c r="N1206" s="168"/>
      <c r="O1206" s="433"/>
      <c r="P1206" s="122"/>
      <c r="Q1206" s="156"/>
      <c r="R1206" s="156"/>
      <c r="S1206" s="156"/>
      <c r="T1206" s="156"/>
      <c r="U1206" s="156"/>
      <c r="V1206" s="156"/>
      <c r="W1206" s="156"/>
      <c r="X1206" s="156"/>
      <c r="Y1206" s="156"/>
      <c r="Z1206" s="157"/>
      <c r="AA1206" s="157"/>
      <c r="AB1206" s="156"/>
      <c r="AC1206" s="156"/>
      <c r="AD1206" s="156"/>
      <c r="AE1206" s="156"/>
      <c r="AF1206" s="156"/>
      <c r="AG1206" s="156"/>
      <c r="AH1206" s="156"/>
      <c r="AI1206" s="156"/>
      <c r="AJ1206" s="156"/>
      <c r="AK1206" s="156"/>
      <c r="AL1206" s="156"/>
      <c r="AM1206" s="158"/>
      <c r="AN1206" s="156"/>
      <c r="AO1206" s="156"/>
      <c r="AP1206" s="156"/>
      <c r="AQ1206" s="156"/>
      <c r="AR1206" s="156"/>
      <c r="AS1206" s="156"/>
      <c r="AT1206" s="156"/>
      <c r="AU1206" s="156"/>
      <c r="AV1206" s="156"/>
      <c r="AW1206" s="156"/>
      <c r="AX1206" s="156"/>
      <c r="AY1206" s="156"/>
      <c r="AZ1206" s="156"/>
      <c r="BA1206" s="153"/>
      <c r="BD1206" s="153"/>
      <c r="BE1206" s="147"/>
      <c r="BI1206" s="153"/>
      <c r="BO1206" s="153"/>
      <c r="BW1206" s="153"/>
      <c r="CD1206" s="146"/>
      <c r="CF1206" s="147"/>
      <c r="CI1206" s="146"/>
      <c r="CJ1206" s="153"/>
      <c r="CV1206" s="154"/>
      <c r="CX1206" s="154"/>
      <c r="CZ1206" s="154"/>
      <c r="DB1206" s="154"/>
      <c r="DD1206" s="154"/>
      <c r="DH1206" s="474"/>
      <c r="DI1206" s="459"/>
      <c r="DJ1206" s="459"/>
      <c r="DK1206" s="459"/>
      <c r="DL1206" s="459"/>
      <c r="DM1206" s="459"/>
      <c r="DN1206" s="459"/>
      <c r="DO1206" s="459"/>
      <c r="DP1206" s="459"/>
      <c r="DQ1206" s="459"/>
      <c r="DR1206" s="459"/>
      <c r="DS1206" s="459"/>
      <c r="DT1206" s="459"/>
      <c r="DU1206" s="459"/>
      <c r="DV1206" s="468"/>
      <c r="DW1206" s="468"/>
      <c r="DX1206" s="459"/>
      <c r="DY1206" s="459"/>
    </row>
    <row r="1207" spans="1:129" s="128" customFormat="1" ht="54.95" customHeight="1" x14ac:dyDescent="0.25">
      <c r="A1207" s="377"/>
      <c r="B1207" s="175"/>
      <c r="C1207" s="393"/>
      <c r="D1207" s="168"/>
      <c r="E1207" s="168"/>
      <c r="F1207" s="168"/>
      <c r="G1207" s="168"/>
      <c r="H1207" s="168"/>
      <c r="I1207" s="168"/>
      <c r="J1207" s="168"/>
      <c r="K1207" s="168"/>
      <c r="L1207" s="168"/>
      <c r="M1207" s="168"/>
      <c r="N1207" s="168"/>
      <c r="O1207" s="433"/>
      <c r="P1207" s="122"/>
      <c r="Q1207" s="156"/>
      <c r="R1207" s="156"/>
      <c r="S1207" s="156"/>
      <c r="T1207" s="156"/>
      <c r="U1207" s="156"/>
      <c r="V1207" s="156"/>
      <c r="W1207" s="156"/>
      <c r="X1207" s="156"/>
      <c r="Y1207" s="156"/>
      <c r="Z1207" s="157"/>
      <c r="AA1207" s="157"/>
      <c r="AB1207" s="156"/>
      <c r="AC1207" s="156"/>
      <c r="AD1207" s="156"/>
      <c r="AE1207" s="156"/>
      <c r="AF1207" s="156"/>
      <c r="AG1207" s="156"/>
      <c r="AH1207" s="156"/>
      <c r="AI1207" s="156"/>
      <c r="AJ1207" s="156"/>
      <c r="AK1207" s="156"/>
      <c r="AL1207" s="156"/>
      <c r="AM1207" s="158"/>
      <c r="AN1207" s="156"/>
      <c r="AO1207" s="156"/>
      <c r="AP1207" s="156"/>
      <c r="AQ1207" s="156"/>
      <c r="AR1207" s="156"/>
      <c r="AS1207" s="156"/>
      <c r="AT1207" s="156"/>
      <c r="AU1207" s="156"/>
      <c r="AV1207" s="156"/>
      <c r="AW1207" s="156"/>
      <c r="AX1207" s="156"/>
      <c r="AY1207" s="156"/>
      <c r="AZ1207" s="156"/>
      <c r="BA1207" s="153"/>
      <c r="BD1207" s="153"/>
      <c r="BE1207" s="147"/>
      <c r="BI1207" s="153"/>
      <c r="BO1207" s="153"/>
      <c r="BW1207" s="153"/>
      <c r="CD1207" s="146"/>
      <c r="CF1207" s="147"/>
      <c r="CI1207" s="146"/>
      <c r="CJ1207" s="153"/>
      <c r="CV1207" s="154"/>
      <c r="CX1207" s="154"/>
      <c r="CZ1207" s="154"/>
      <c r="DB1207" s="154"/>
      <c r="DD1207" s="154"/>
      <c r="DH1207" s="474"/>
      <c r="DI1207" s="459"/>
      <c r="DJ1207" s="459"/>
      <c r="DK1207" s="459"/>
      <c r="DL1207" s="459"/>
      <c r="DM1207" s="459"/>
      <c r="DN1207" s="459"/>
      <c r="DO1207" s="459"/>
      <c r="DP1207" s="459"/>
      <c r="DQ1207" s="459"/>
      <c r="DR1207" s="459"/>
      <c r="DS1207" s="459"/>
      <c r="DT1207" s="459"/>
      <c r="DU1207" s="459"/>
      <c r="DV1207" s="468"/>
      <c r="DW1207" s="468"/>
      <c r="DX1207" s="459"/>
      <c r="DY1207" s="459"/>
    </row>
    <row r="1208" spans="1:129" s="128" customFormat="1" ht="54.95" customHeight="1" x14ac:dyDescent="0.25">
      <c r="A1208" s="377"/>
      <c r="B1208" s="175"/>
      <c r="C1208" s="393"/>
      <c r="D1208" s="168"/>
      <c r="E1208" s="168"/>
      <c r="F1208" s="168"/>
      <c r="G1208" s="168"/>
      <c r="H1208" s="168"/>
      <c r="I1208" s="168"/>
      <c r="J1208" s="168"/>
      <c r="K1208" s="168"/>
      <c r="L1208" s="168"/>
      <c r="M1208" s="168"/>
      <c r="N1208" s="168"/>
      <c r="O1208" s="433"/>
      <c r="P1208" s="122"/>
      <c r="Q1208" s="156"/>
      <c r="R1208" s="156"/>
      <c r="S1208" s="156"/>
      <c r="T1208" s="156"/>
      <c r="U1208" s="156"/>
      <c r="V1208" s="156"/>
      <c r="W1208" s="156"/>
      <c r="X1208" s="156"/>
      <c r="Y1208" s="156"/>
      <c r="Z1208" s="157"/>
      <c r="AA1208" s="157"/>
      <c r="AB1208" s="156"/>
      <c r="AC1208" s="156"/>
      <c r="AD1208" s="156"/>
      <c r="AE1208" s="156"/>
      <c r="AF1208" s="156"/>
      <c r="AG1208" s="156"/>
      <c r="AH1208" s="156"/>
      <c r="AI1208" s="156"/>
      <c r="AJ1208" s="156"/>
      <c r="AK1208" s="156"/>
      <c r="AL1208" s="156"/>
      <c r="AM1208" s="158"/>
      <c r="AN1208" s="156"/>
      <c r="AO1208" s="156"/>
      <c r="AP1208" s="156"/>
      <c r="AQ1208" s="156"/>
      <c r="AR1208" s="156"/>
      <c r="AS1208" s="156"/>
      <c r="AT1208" s="156"/>
      <c r="AU1208" s="156"/>
      <c r="AV1208" s="156"/>
      <c r="AW1208" s="156"/>
      <c r="AX1208" s="156"/>
      <c r="AY1208" s="156"/>
      <c r="AZ1208" s="156"/>
      <c r="BA1208" s="153"/>
      <c r="BD1208" s="153"/>
      <c r="BE1208" s="147"/>
      <c r="BI1208" s="153"/>
      <c r="BO1208" s="153"/>
      <c r="BW1208" s="153"/>
      <c r="CD1208" s="146"/>
      <c r="CF1208" s="147"/>
      <c r="CI1208" s="146"/>
      <c r="CJ1208" s="153"/>
      <c r="CV1208" s="154"/>
      <c r="CX1208" s="154"/>
      <c r="CZ1208" s="154"/>
      <c r="DB1208" s="154"/>
      <c r="DD1208" s="154"/>
      <c r="DH1208" s="474"/>
      <c r="DI1208" s="459"/>
      <c r="DJ1208" s="459"/>
      <c r="DK1208" s="459"/>
      <c r="DL1208" s="459"/>
      <c r="DM1208" s="459"/>
      <c r="DN1208" s="459"/>
      <c r="DO1208" s="459"/>
      <c r="DP1208" s="459"/>
      <c r="DQ1208" s="459"/>
      <c r="DR1208" s="459"/>
      <c r="DS1208" s="459"/>
      <c r="DT1208" s="459"/>
      <c r="DU1208" s="459"/>
      <c r="DV1208" s="468"/>
      <c r="DW1208" s="468"/>
      <c r="DX1208" s="459"/>
      <c r="DY1208" s="459"/>
    </row>
    <row r="1209" spans="1:129" s="128" customFormat="1" ht="54.95" customHeight="1" x14ac:dyDescent="0.25">
      <c r="A1209" s="377"/>
      <c r="B1209" s="175"/>
      <c r="C1209" s="393"/>
      <c r="D1209" s="168"/>
      <c r="E1209" s="168"/>
      <c r="F1209" s="168"/>
      <c r="G1209" s="168"/>
      <c r="H1209" s="168"/>
      <c r="I1209" s="168"/>
      <c r="J1209" s="168"/>
      <c r="K1209" s="168"/>
      <c r="L1209" s="168"/>
      <c r="M1209" s="168"/>
      <c r="N1209" s="168"/>
      <c r="O1209" s="433"/>
      <c r="P1209" s="122"/>
      <c r="Q1209" s="156"/>
      <c r="R1209" s="156"/>
      <c r="S1209" s="156"/>
      <c r="T1209" s="156"/>
      <c r="U1209" s="156"/>
      <c r="V1209" s="156"/>
      <c r="W1209" s="156"/>
      <c r="X1209" s="156"/>
      <c r="Y1209" s="156"/>
      <c r="Z1209" s="157"/>
      <c r="AA1209" s="157"/>
      <c r="AB1209" s="156"/>
      <c r="AC1209" s="156"/>
      <c r="AD1209" s="156"/>
      <c r="AE1209" s="156"/>
      <c r="AF1209" s="156"/>
      <c r="AG1209" s="156"/>
      <c r="AH1209" s="156"/>
      <c r="AI1209" s="156"/>
      <c r="AJ1209" s="156"/>
      <c r="AK1209" s="156"/>
      <c r="AL1209" s="156"/>
      <c r="AM1209" s="158"/>
      <c r="AN1209" s="156"/>
      <c r="AO1209" s="156"/>
      <c r="AP1209" s="156"/>
      <c r="AQ1209" s="156"/>
      <c r="AR1209" s="156"/>
      <c r="AS1209" s="156"/>
      <c r="AT1209" s="156"/>
      <c r="AU1209" s="156"/>
      <c r="AV1209" s="156"/>
      <c r="AW1209" s="156"/>
      <c r="AX1209" s="156"/>
      <c r="AY1209" s="156"/>
      <c r="AZ1209" s="156"/>
      <c r="BA1209" s="153"/>
      <c r="BD1209" s="153"/>
      <c r="BE1209" s="147"/>
      <c r="BI1209" s="153"/>
      <c r="BO1209" s="153"/>
      <c r="BW1209" s="153"/>
      <c r="CD1209" s="146"/>
      <c r="CF1209" s="147"/>
      <c r="CI1209" s="146"/>
      <c r="CJ1209" s="153"/>
      <c r="CV1209" s="154"/>
      <c r="CX1209" s="154"/>
      <c r="CZ1209" s="154"/>
      <c r="DB1209" s="154"/>
      <c r="DD1209" s="154"/>
      <c r="DH1209" s="474"/>
      <c r="DI1209" s="459"/>
      <c r="DJ1209" s="459"/>
      <c r="DK1209" s="459"/>
      <c r="DL1209" s="459"/>
      <c r="DM1209" s="459"/>
      <c r="DN1209" s="459"/>
      <c r="DO1209" s="459"/>
      <c r="DP1209" s="459"/>
      <c r="DQ1209" s="459"/>
      <c r="DR1209" s="459"/>
      <c r="DS1209" s="459"/>
      <c r="DT1209" s="459"/>
      <c r="DU1209" s="459"/>
      <c r="DV1209" s="468"/>
      <c r="DW1209" s="468"/>
      <c r="DX1209" s="459"/>
      <c r="DY1209" s="459"/>
    </row>
    <row r="1210" spans="1:129" s="128" customFormat="1" ht="54.95" customHeight="1" x14ac:dyDescent="0.25">
      <c r="A1210" s="377"/>
      <c r="B1210" s="175"/>
      <c r="C1210" s="393"/>
      <c r="D1210" s="168"/>
      <c r="E1210" s="168"/>
      <c r="F1210" s="168"/>
      <c r="G1210" s="168"/>
      <c r="H1210" s="168"/>
      <c r="I1210" s="168"/>
      <c r="J1210" s="168"/>
      <c r="K1210" s="168"/>
      <c r="L1210" s="168"/>
      <c r="M1210" s="168"/>
      <c r="N1210" s="168"/>
      <c r="O1210" s="433"/>
      <c r="P1210" s="122"/>
      <c r="Q1210" s="156"/>
      <c r="R1210" s="156"/>
      <c r="S1210" s="156"/>
      <c r="T1210" s="156"/>
      <c r="U1210" s="156"/>
      <c r="V1210" s="156"/>
      <c r="W1210" s="156"/>
      <c r="X1210" s="156"/>
      <c r="Y1210" s="156"/>
      <c r="Z1210" s="157"/>
      <c r="AA1210" s="157"/>
      <c r="AB1210" s="156"/>
      <c r="AC1210" s="156"/>
      <c r="AD1210" s="156"/>
      <c r="AE1210" s="156"/>
      <c r="AF1210" s="156"/>
      <c r="AG1210" s="156"/>
      <c r="AH1210" s="156"/>
      <c r="AI1210" s="156"/>
      <c r="AJ1210" s="156"/>
      <c r="AK1210" s="156"/>
      <c r="AL1210" s="156"/>
      <c r="AM1210" s="158"/>
      <c r="AN1210" s="156"/>
      <c r="AO1210" s="156"/>
      <c r="AP1210" s="156"/>
      <c r="AQ1210" s="156"/>
      <c r="AR1210" s="156"/>
      <c r="AS1210" s="156"/>
      <c r="AT1210" s="156"/>
      <c r="AU1210" s="156"/>
      <c r="AV1210" s="156"/>
      <c r="AW1210" s="156"/>
      <c r="AX1210" s="156"/>
      <c r="AY1210" s="156"/>
      <c r="AZ1210" s="156"/>
      <c r="BA1210" s="153"/>
      <c r="BD1210" s="153"/>
      <c r="BE1210" s="147"/>
      <c r="BI1210" s="153"/>
      <c r="BO1210" s="153"/>
      <c r="BW1210" s="153"/>
      <c r="CD1210" s="146"/>
      <c r="CF1210" s="147"/>
      <c r="CI1210" s="146"/>
      <c r="CJ1210" s="153"/>
      <c r="CV1210" s="154"/>
      <c r="CX1210" s="154"/>
      <c r="CZ1210" s="154"/>
      <c r="DB1210" s="154"/>
      <c r="DD1210" s="154"/>
      <c r="DH1210" s="474"/>
      <c r="DI1210" s="459"/>
      <c r="DJ1210" s="459"/>
      <c r="DK1210" s="459"/>
      <c r="DL1210" s="459"/>
      <c r="DM1210" s="459"/>
      <c r="DN1210" s="459"/>
      <c r="DO1210" s="459"/>
      <c r="DP1210" s="459"/>
      <c r="DQ1210" s="459"/>
      <c r="DR1210" s="459"/>
      <c r="DS1210" s="459"/>
      <c r="DT1210" s="459"/>
      <c r="DU1210" s="459"/>
      <c r="DV1210" s="468"/>
      <c r="DW1210" s="468"/>
      <c r="DX1210" s="459"/>
      <c r="DY1210" s="459"/>
    </row>
    <row r="1211" spans="1:129" s="128" customFormat="1" ht="54.95" customHeight="1" x14ac:dyDescent="0.25">
      <c r="A1211" s="377"/>
      <c r="B1211" s="175"/>
      <c r="C1211" s="393"/>
      <c r="D1211" s="168"/>
      <c r="E1211" s="168"/>
      <c r="F1211" s="168"/>
      <c r="G1211" s="168"/>
      <c r="H1211" s="168"/>
      <c r="I1211" s="168"/>
      <c r="J1211" s="168"/>
      <c r="K1211" s="168"/>
      <c r="L1211" s="168"/>
      <c r="M1211" s="168"/>
      <c r="N1211" s="168"/>
      <c r="O1211" s="433"/>
      <c r="P1211" s="122"/>
      <c r="Q1211" s="156"/>
      <c r="R1211" s="156"/>
      <c r="S1211" s="156"/>
      <c r="T1211" s="156"/>
      <c r="U1211" s="156"/>
      <c r="V1211" s="156"/>
      <c r="W1211" s="156"/>
      <c r="X1211" s="156"/>
      <c r="Y1211" s="156"/>
      <c r="Z1211" s="157"/>
      <c r="AA1211" s="157"/>
      <c r="AB1211" s="156"/>
      <c r="AC1211" s="156"/>
      <c r="AD1211" s="156"/>
      <c r="AE1211" s="156"/>
      <c r="AF1211" s="156"/>
      <c r="AG1211" s="156"/>
      <c r="AH1211" s="156"/>
      <c r="AI1211" s="156"/>
      <c r="AJ1211" s="156"/>
      <c r="AK1211" s="156"/>
      <c r="AL1211" s="156"/>
      <c r="AM1211" s="158"/>
      <c r="AN1211" s="156"/>
      <c r="AO1211" s="156"/>
      <c r="AP1211" s="156"/>
      <c r="AQ1211" s="156"/>
      <c r="AR1211" s="156"/>
      <c r="AS1211" s="156"/>
      <c r="AT1211" s="156"/>
      <c r="AU1211" s="156"/>
      <c r="AV1211" s="156"/>
      <c r="AW1211" s="156"/>
      <c r="AX1211" s="156"/>
      <c r="AY1211" s="156"/>
      <c r="AZ1211" s="156"/>
      <c r="BA1211" s="153"/>
      <c r="BD1211" s="153"/>
      <c r="BE1211" s="147"/>
      <c r="BI1211" s="153"/>
      <c r="BO1211" s="153"/>
      <c r="BW1211" s="153"/>
      <c r="CD1211" s="146"/>
      <c r="CF1211" s="147"/>
      <c r="CI1211" s="146"/>
      <c r="CJ1211" s="153"/>
      <c r="CV1211" s="154"/>
      <c r="CX1211" s="154"/>
      <c r="CZ1211" s="154"/>
      <c r="DB1211" s="154"/>
      <c r="DD1211" s="154"/>
      <c r="DH1211" s="474"/>
      <c r="DI1211" s="459"/>
      <c r="DJ1211" s="459"/>
      <c r="DK1211" s="459"/>
      <c r="DL1211" s="459"/>
      <c r="DM1211" s="459"/>
      <c r="DN1211" s="459"/>
      <c r="DO1211" s="459"/>
      <c r="DP1211" s="459"/>
      <c r="DQ1211" s="459"/>
      <c r="DR1211" s="459"/>
      <c r="DS1211" s="459"/>
      <c r="DT1211" s="459"/>
      <c r="DU1211" s="459"/>
      <c r="DV1211" s="468"/>
      <c r="DW1211" s="468"/>
      <c r="DX1211" s="459"/>
      <c r="DY1211" s="459"/>
    </row>
    <row r="1212" spans="1:129" s="128" customFormat="1" ht="54.95" customHeight="1" x14ac:dyDescent="0.25">
      <c r="A1212" s="377"/>
      <c r="B1212" s="175"/>
      <c r="C1212" s="393"/>
      <c r="D1212" s="168"/>
      <c r="E1212" s="168"/>
      <c r="F1212" s="168"/>
      <c r="G1212" s="168"/>
      <c r="H1212" s="168"/>
      <c r="I1212" s="168"/>
      <c r="J1212" s="168"/>
      <c r="K1212" s="168"/>
      <c r="L1212" s="168"/>
      <c r="M1212" s="168"/>
      <c r="N1212" s="168"/>
      <c r="O1212" s="433"/>
      <c r="P1212" s="122"/>
      <c r="Q1212" s="156"/>
      <c r="R1212" s="156"/>
      <c r="S1212" s="156"/>
      <c r="T1212" s="156"/>
      <c r="U1212" s="156"/>
      <c r="V1212" s="156"/>
      <c r="W1212" s="156"/>
      <c r="X1212" s="156"/>
      <c r="Y1212" s="156"/>
      <c r="Z1212" s="157"/>
      <c r="AA1212" s="157"/>
      <c r="AB1212" s="156"/>
      <c r="AC1212" s="156"/>
      <c r="AD1212" s="156"/>
      <c r="AE1212" s="156"/>
      <c r="AF1212" s="156"/>
      <c r="AG1212" s="156"/>
      <c r="AH1212" s="156"/>
      <c r="AI1212" s="156"/>
      <c r="AJ1212" s="156"/>
      <c r="AK1212" s="156"/>
      <c r="AL1212" s="156"/>
      <c r="AM1212" s="158"/>
      <c r="AN1212" s="156"/>
      <c r="AO1212" s="156"/>
      <c r="AP1212" s="156"/>
      <c r="AQ1212" s="156"/>
      <c r="AR1212" s="156"/>
      <c r="AS1212" s="156"/>
      <c r="AT1212" s="156"/>
      <c r="AU1212" s="156"/>
      <c r="AV1212" s="156"/>
      <c r="AW1212" s="156"/>
      <c r="AX1212" s="156"/>
      <c r="AY1212" s="156"/>
      <c r="AZ1212" s="156"/>
      <c r="BA1212" s="153"/>
      <c r="BD1212" s="153"/>
      <c r="BE1212" s="147"/>
      <c r="BI1212" s="153"/>
      <c r="BO1212" s="153"/>
      <c r="BW1212" s="153"/>
      <c r="CD1212" s="146"/>
      <c r="CF1212" s="147"/>
      <c r="CI1212" s="146"/>
      <c r="CJ1212" s="153"/>
      <c r="CV1212" s="154"/>
      <c r="CX1212" s="154"/>
      <c r="CZ1212" s="154"/>
      <c r="DB1212" s="154"/>
      <c r="DD1212" s="154"/>
      <c r="DH1212" s="474"/>
      <c r="DI1212" s="459"/>
      <c r="DJ1212" s="459"/>
      <c r="DK1212" s="459"/>
      <c r="DL1212" s="459"/>
      <c r="DM1212" s="459"/>
      <c r="DN1212" s="459"/>
      <c r="DO1212" s="459"/>
      <c r="DP1212" s="459"/>
      <c r="DQ1212" s="459"/>
      <c r="DR1212" s="459"/>
      <c r="DS1212" s="459"/>
      <c r="DT1212" s="459"/>
      <c r="DU1212" s="459"/>
      <c r="DV1212" s="468"/>
      <c r="DW1212" s="468"/>
      <c r="DX1212" s="459"/>
      <c r="DY1212" s="459"/>
    </row>
    <row r="1213" spans="1:129" s="128" customFormat="1" ht="54.95" customHeight="1" x14ac:dyDescent="0.25">
      <c r="A1213" s="377"/>
      <c r="B1213" s="175"/>
      <c r="C1213" s="393"/>
      <c r="D1213" s="168"/>
      <c r="E1213" s="168"/>
      <c r="F1213" s="168"/>
      <c r="G1213" s="168"/>
      <c r="H1213" s="168"/>
      <c r="I1213" s="168"/>
      <c r="J1213" s="168"/>
      <c r="K1213" s="168"/>
      <c r="L1213" s="168"/>
      <c r="M1213" s="168"/>
      <c r="N1213" s="168"/>
      <c r="O1213" s="433"/>
      <c r="P1213" s="122"/>
      <c r="Q1213" s="156"/>
      <c r="R1213" s="156"/>
      <c r="S1213" s="156"/>
      <c r="T1213" s="156"/>
      <c r="U1213" s="156"/>
      <c r="V1213" s="156"/>
      <c r="W1213" s="156"/>
      <c r="X1213" s="156"/>
      <c r="Y1213" s="156"/>
      <c r="Z1213" s="157"/>
      <c r="AA1213" s="157"/>
      <c r="AB1213" s="156"/>
      <c r="AC1213" s="156"/>
      <c r="AD1213" s="156"/>
      <c r="AE1213" s="156"/>
      <c r="AF1213" s="156"/>
      <c r="AG1213" s="156"/>
      <c r="AH1213" s="156"/>
      <c r="AI1213" s="156"/>
      <c r="AJ1213" s="156"/>
      <c r="AK1213" s="156"/>
      <c r="AL1213" s="156"/>
      <c r="AM1213" s="158"/>
      <c r="AN1213" s="156"/>
      <c r="AO1213" s="156"/>
      <c r="AP1213" s="156"/>
      <c r="AQ1213" s="156"/>
      <c r="AR1213" s="156"/>
      <c r="AS1213" s="156"/>
      <c r="AT1213" s="156"/>
      <c r="AU1213" s="156"/>
      <c r="AV1213" s="156"/>
      <c r="AW1213" s="156"/>
      <c r="AX1213" s="156"/>
      <c r="AY1213" s="156"/>
      <c r="AZ1213" s="156"/>
      <c r="BA1213" s="153"/>
      <c r="BD1213" s="153"/>
      <c r="BE1213" s="147"/>
      <c r="BI1213" s="153"/>
      <c r="BO1213" s="153"/>
      <c r="BW1213" s="153"/>
      <c r="CD1213" s="146"/>
      <c r="CF1213" s="147"/>
      <c r="CI1213" s="146"/>
      <c r="CJ1213" s="153"/>
      <c r="CV1213" s="154"/>
      <c r="CX1213" s="154"/>
      <c r="CZ1213" s="154"/>
      <c r="DB1213" s="154"/>
      <c r="DD1213" s="154"/>
      <c r="DH1213" s="474"/>
      <c r="DI1213" s="459"/>
      <c r="DJ1213" s="459"/>
      <c r="DK1213" s="459"/>
      <c r="DL1213" s="459"/>
      <c r="DM1213" s="459"/>
      <c r="DN1213" s="459"/>
      <c r="DO1213" s="459"/>
      <c r="DP1213" s="459"/>
      <c r="DQ1213" s="459"/>
      <c r="DR1213" s="459"/>
      <c r="DS1213" s="459"/>
      <c r="DT1213" s="459"/>
      <c r="DU1213" s="459"/>
      <c r="DV1213" s="468"/>
      <c r="DW1213" s="468"/>
      <c r="DX1213" s="459"/>
      <c r="DY1213" s="459"/>
    </row>
    <row r="1214" spans="1:129" s="128" customFormat="1" ht="54.95" customHeight="1" x14ac:dyDescent="0.25">
      <c r="A1214" s="377"/>
      <c r="B1214" s="175"/>
      <c r="C1214" s="393"/>
      <c r="D1214" s="168"/>
      <c r="E1214" s="168"/>
      <c r="F1214" s="168"/>
      <c r="G1214" s="168"/>
      <c r="H1214" s="168"/>
      <c r="I1214" s="168"/>
      <c r="J1214" s="168"/>
      <c r="K1214" s="168"/>
      <c r="L1214" s="168"/>
      <c r="M1214" s="168"/>
      <c r="N1214" s="168"/>
      <c r="O1214" s="433"/>
      <c r="P1214" s="122"/>
      <c r="Q1214" s="156"/>
      <c r="R1214" s="156"/>
      <c r="S1214" s="156"/>
      <c r="T1214" s="156"/>
      <c r="U1214" s="156"/>
      <c r="V1214" s="156"/>
      <c r="W1214" s="156"/>
      <c r="X1214" s="156"/>
      <c r="Y1214" s="156"/>
      <c r="Z1214" s="157"/>
      <c r="AA1214" s="157"/>
      <c r="AB1214" s="156"/>
      <c r="AC1214" s="156"/>
      <c r="AD1214" s="156"/>
      <c r="AE1214" s="156"/>
      <c r="AF1214" s="156"/>
      <c r="AG1214" s="156"/>
      <c r="AH1214" s="156"/>
      <c r="AI1214" s="156"/>
      <c r="AJ1214" s="156"/>
      <c r="AK1214" s="156"/>
      <c r="AL1214" s="156"/>
      <c r="AM1214" s="158"/>
      <c r="AN1214" s="156"/>
      <c r="AO1214" s="156"/>
      <c r="AP1214" s="156"/>
      <c r="AQ1214" s="156"/>
      <c r="AR1214" s="156"/>
      <c r="AS1214" s="156"/>
      <c r="AT1214" s="156"/>
      <c r="AU1214" s="156"/>
      <c r="AV1214" s="156"/>
      <c r="AW1214" s="156"/>
      <c r="AX1214" s="156"/>
      <c r="AY1214" s="156"/>
      <c r="AZ1214" s="156"/>
      <c r="BA1214" s="153"/>
      <c r="BD1214" s="153"/>
      <c r="BE1214" s="147"/>
      <c r="BI1214" s="153"/>
      <c r="BO1214" s="153"/>
      <c r="BW1214" s="153"/>
      <c r="CD1214" s="146"/>
      <c r="CF1214" s="147"/>
      <c r="CI1214" s="146"/>
      <c r="CJ1214" s="153"/>
      <c r="CV1214" s="154"/>
      <c r="CX1214" s="154"/>
      <c r="CZ1214" s="154"/>
      <c r="DB1214" s="154"/>
      <c r="DD1214" s="154"/>
      <c r="DH1214" s="474"/>
      <c r="DI1214" s="459"/>
      <c r="DJ1214" s="459"/>
      <c r="DK1214" s="459"/>
      <c r="DL1214" s="459"/>
      <c r="DM1214" s="459"/>
      <c r="DN1214" s="459"/>
      <c r="DO1214" s="459"/>
      <c r="DP1214" s="459"/>
      <c r="DQ1214" s="459"/>
      <c r="DR1214" s="459"/>
      <c r="DS1214" s="459"/>
      <c r="DT1214" s="459"/>
      <c r="DU1214" s="459"/>
      <c r="DV1214" s="468"/>
      <c r="DW1214" s="468"/>
      <c r="DX1214" s="459"/>
      <c r="DY1214" s="459"/>
    </row>
    <row r="1215" spans="1:129" s="128" customFormat="1" ht="54.95" customHeight="1" x14ac:dyDescent="0.25">
      <c r="A1215" s="377"/>
      <c r="B1215" s="175"/>
      <c r="C1215" s="393"/>
      <c r="D1215" s="168"/>
      <c r="E1215" s="168"/>
      <c r="F1215" s="168"/>
      <c r="G1215" s="168"/>
      <c r="H1215" s="168"/>
      <c r="I1215" s="168"/>
      <c r="J1215" s="168"/>
      <c r="K1215" s="168"/>
      <c r="L1215" s="168"/>
      <c r="M1215" s="168"/>
      <c r="N1215" s="168"/>
      <c r="O1215" s="433"/>
      <c r="P1215" s="122"/>
      <c r="Q1215" s="156"/>
      <c r="R1215" s="156"/>
      <c r="S1215" s="156"/>
      <c r="T1215" s="156"/>
      <c r="U1215" s="156"/>
      <c r="V1215" s="156"/>
      <c r="W1215" s="156"/>
      <c r="X1215" s="156"/>
      <c r="Y1215" s="156"/>
      <c r="Z1215" s="157"/>
      <c r="AA1215" s="157"/>
      <c r="AB1215" s="156"/>
      <c r="AC1215" s="156"/>
      <c r="AD1215" s="156"/>
      <c r="AE1215" s="156"/>
      <c r="AF1215" s="156"/>
      <c r="AG1215" s="156"/>
      <c r="AH1215" s="156"/>
      <c r="AI1215" s="156"/>
      <c r="AJ1215" s="156"/>
      <c r="AK1215" s="156"/>
      <c r="AL1215" s="156"/>
      <c r="AM1215" s="158"/>
      <c r="AN1215" s="156"/>
      <c r="AO1215" s="156"/>
      <c r="AP1215" s="156"/>
      <c r="AQ1215" s="156"/>
      <c r="AR1215" s="156"/>
      <c r="AS1215" s="156"/>
      <c r="AT1215" s="156"/>
      <c r="AU1215" s="156"/>
      <c r="AV1215" s="156"/>
      <c r="AW1215" s="156"/>
      <c r="AX1215" s="156"/>
      <c r="AY1215" s="156"/>
      <c r="AZ1215" s="156"/>
      <c r="BA1215" s="153"/>
      <c r="BD1215" s="153"/>
      <c r="BE1215" s="147"/>
      <c r="BI1215" s="153"/>
      <c r="BO1215" s="153"/>
      <c r="BW1215" s="153"/>
      <c r="CD1215" s="146"/>
      <c r="CF1215" s="147"/>
      <c r="CI1215" s="146"/>
      <c r="CJ1215" s="153"/>
      <c r="CV1215" s="154"/>
      <c r="CX1215" s="154"/>
      <c r="CZ1215" s="154"/>
      <c r="DB1215" s="154"/>
      <c r="DD1215" s="154"/>
      <c r="DH1215" s="474"/>
      <c r="DI1215" s="459"/>
      <c r="DJ1215" s="459"/>
      <c r="DK1215" s="459"/>
      <c r="DL1215" s="459"/>
      <c r="DM1215" s="459"/>
      <c r="DN1215" s="459"/>
      <c r="DO1215" s="459"/>
      <c r="DP1215" s="459"/>
      <c r="DQ1215" s="459"/>
      <c r="DR1215" s="459"/>
      <c r="DS1215" s="459"/>
      <c r="DT1215" s="459"/>
      <c r="DU1215" s="459"/>
      <c r="DV1215" s="468"/>
      <c r="DW1215" s="468"/>
      <c r="DX1215" s="459"/>
      <c r="DY1215" s="459"/>
    </row>
    <row r="1216" spans="1:129" s="128" customFormat="1" ht="54.95" customHeight="1" x14ac:dyDescent="0.25">
      <c r="A1216" s="377"/>
      <c r="B1216" s="175"/>
      <c r="C1216" s="393"/>
      <c r="D1216" s="168"/>
      <c r="E1216" s="168"/>
      <c r="F1216" s="168"/>
      <c r="G1216" s="168"/>
      <c r="H1216" s="168"/>
      <c r="I1216" s="168"/>
      <c r="J1216" s="168"/>
      <c r="K1216" s="168"/>
      <c r="L1216" s="168"/>
      <c r="M1216" s="168"/>
      <c r="N1216" s="168"/>
      <c r="O1216" s="433"/>
      <c r="P1216" s="122"/>
      <c r="Q1216" s="156"/>
      <c r="R1216" s="156"/>
      <c r="S1216" s="156"/>
      <c r="T1216" s="156"/>
      <c r="U1216" s="156"/>
      <c r="V1216" s="156"/>
      <c r="W1216" s="156"/>
      <c r="X1216" s="156"/>
      <c r="Y1216" s="156"/>
      <c r="Z1216" s="157"/>
      <c r="AA1216" s="157"/>
      <c r="AB1216" s="156"/>
      <c r="AC1216" s="156"/>
      <c r="AD1216" s="156"/>
      <c r="AE1216" s="156"/>
      <c r="AF1216" s="156"/>
      <c r="AG1216" s="156"/>
      <c r="AH1216" s="156"/>
      <c r="AI1216" s="156"/>
      <c r="AJ1216" s="156"/>
      <c r="AK1216" s="156"/>
      <c r="AL1216" s="156"/>
      <c r="AM1216" s="158"/>
      <c r="AN1216" s="156"/>
      <c r="AO1216" s="156"/>
      <c r="AP1216" s="156"/>
      <c r="AQ1216" s="156"/>
      <c r="AR1216" s="156"/>
      <c r="AS1216" s="156"/>
      <c r="AT1216" s="156"/>
      <c r="AU1216" s="156"/>
      <c r="AV1216" s="156"/>
      <c r="AW1216" s="156"/>
      <c r="AX1216" s="156"/>
      <c r="AY1216" s="156"/>
      <c r="AZ1216" s="156"/>
      <c r="BA1216" s="153"/>
      <c r="BD1216" s="153"/>
      <c r="BE1216" s="147"/>
      <c r="BI1216" s="153"/>
      <c r="BO1216" s="153"/>
      <c r="BW1216" s="153"/>
      <c r="CD1216" s="146"/>
      <c r="CF1216" s="147"/>
      <c r="CI1216" s="146"/>
      <c r="CJ1216" s="153"/>
      <c r="CV1216" s="154"/>
      <c r="CX1216" s="154"/>
      <c r="CZ1216" s="154"/>
      <c r="DB1216" s="154"/>
      <c r="DD1216" s="154"/>
      <c r="DH1216" s="474"/>
      <c r="DI1216" s="459"/>
      <c r="DJ1216" s="459"/>
      <c r="DK1216" s="459"/>
      <c r="DL1216" s="459"/>
      <c r="DM1216" s="459"/>
      <c r="DN1216" s="459"/>
      <c r="DO1216" s="459"/>
      <c r="DP1216" s="459"/>
      <c r="DQ1216" s="459"/>
      <c r="DR1216" s="459"/>
      <c r="DS1216" s="459"/>
      <c r="DT1216" s="459"/>
      <c r="DU1216" s="459"/>
      <c r="DV1216" s="468"/>
      <c r="DW1216" s="468"/>
      <c r="DX1216" s="459"/>
      <c r="DY1216" s="459"/>
    </row>
    <row r="1217" spans="1:129" s="128" customFormat="1" ht="54.95" customHeight="1" x14ac:dyDescent="0.25">
      <c r="A1217" s="377"/>
      <c r="B1217" s="175"/>
      <c r="C1217" s="393"/>
      <c r="D1217" s="168"/>
      <c r="E1217" s="168"/>
      <c r="F1217" s="168"/>
      <c r="G1217" s="168"/>
      <c r="H1217" s="168"/>
      <c r="I1217" s="168"/>
      <c r="J1217" s="168"/>
      <c r="K1217" s="168"/>
      <c r="L1217" s="168"/>
      <c r="M1217" s="168"/>
      <c r="N1217" s="168"/>
      <c r="O1217" s="433"/>
      <c r="P1217" s="122"/>
      <c r="Q1217" s="156"/>
      <c r="R1217" s="156"/>
      <c r="S1217" s="156"/>
      <c r="T1217" s="156"/>
      <c r="U1217" s="156"/>
      <c r="V1217" s="156"/>
      <c r="W1217" s="156"/>
      <c r="X1217" s="156"/>
      <c r="Y1217" s="156"/>
      <c r="Z1217" s="157"/>
      <c r="AA1217" s="157"/>
      <c r="AB1217" s="156"/>
      <c r="AC1217" s="156"/>
      <c r="AD1217" s="156"/>
      <c r="AE1217" s="156"/>
      <c r="AF1217" s="156"/>
      <c r="AG1217" s="156"/>
      <c r="AH1217" s="156"/>
      <c r="AI1217" s="156"/>
      <c r="AJ1217" s="156"/>
      <c r="AK1217" s="156"/>
      <c r="AL1217" s="156"/>
      <c r="AM1217" s="158"/>
      <c r="AN1217" s="156"/>
      <c r="AO1217" s="156"/>
      <c r="AP1217" s="156"/>
      <c r="AQ1217" s="156"/>
      <c r="AR1217" s="156"/>
      <c r="AS1217" s="156"/>
      <c r="AT1217" s="156"/>
      <c r="AU1217" s="156"/>
      <c r="AV1217" s="156"/>
      <c r="AW1217" s="156"/>
      <c r="AX1217" s="156"/>
      <c r="AY1217" s="156"/>
      <c r="AZ1217" s="156"/>
      <c r="BA1217" s="153"/>
      <c r="BD1217" s="153"/>
      <c r="BE1217" s="147"/>
      <c r="BI1217" s="153"/>
      <c r="BO1217" s="153"/>
      <c r="BW1217" s="153"/>
      <c r="CD1217" s="146"/>
      <c r="CF1217" s="147"/>
      <c r="CI1217" s="146"/>
      <c r="CJ1217" s="153"/>
      <c r="CV1217" s="154"/>
      <c r="CX1217" s="154"/>
      <c r="CZ1217" s="154"/>
      <c r="DB1217" s="154"/>
      <c r="DD1217" s="154"/>
      <c r="DH1217" s="474"/>
      <c r="DI1217" s="459"/>
      <c r="DJ1217" s="459"/>
      <c r="DK1217" s="459"/>
      <c r="DL1217" s="459"/>
      <c r="DM1217" s="459"/>
      <c r="DN1217" s="459"/>
      <c r="DO1217" s="459"/>
      <c r="DP1217" s="459"/>
      <c r="DQ1217" s="459"/>
      <c r="DR1217" s="459"/>
      <c r="DS1217" s="459"/>
      <c r="DT1217" s="459"/>
      <c r="DU1217" s="459"/>
      <c r="DV1217" s="468"/>
      <c r="DW1217" s="468"/>
      <c r="DX1217" s="459"/>
      <c r="DY1217" s="459"/>
    </row>
    <row r="1218" spans="1:129" s="128" customFormat="1" ht="54.95" customHeight="1" x14ac:dyDescent="0.25">
      <c r="A1218" s="377"/>
      <c r="B1218" s="175"/>
      <c r="C1218" s="393"/>
      <c r="D1218" s="168"/>
      <c r="E1218" s="168"/>
      <c r="F1218" s="168"/>
      <c r="G1218" s="168"/>
      <c r="H1218" s="168"/>
      <c r="I1218" s="168"/>
      <c r="J1218" s="168"/>
      <c r="K1218" s="168"/>
      <c r="L1218" s="168"/>
      <c r="M1218" s="168"/>
      <c r="N1218" s="168"/>
      <c r="O1218" s="433"/>
      <c r="P1218" s="122"/>
      <c r="Q1218" s="156"/>
      <c r="R1218" s="156"/>
      <c r="S1218" s="156"/>
      <c r="T1218" s="156"/>
      <c r="U1218" s="156"/>
      <c r="V1218" s="156"/>
      <c r="W1218" s="156"/>
      <c r="X1218" s="156"/>
      <c r="Y1218" s="156"/>
      <c r="Z1218" s="157"/>
      <c r="AA1218" s="157"/>
      <c r="AB1218" s="156"/>
      <c r="AC1218" s="156"/>
      <c r="AD1218" s="156"/>
      <c r="AE1218" s="156"/>
      <c r="AF1218" s="156"/>
      <c r="AG1218" s="156"/>
      <c r="AH1218" s="156"/>
      <c r="AI1218" s="156"/>
      <c r="AJ1218" s="156"/>
      <c r="AK1218" s="156"/>
      <c r="AL1218" s="156"/>
      <c r="AM1218" s="158"/>
      <c r="AN1218" s="156"/>
      <c r="AO1218" s="156"/>
      <c r="AP1218" s="156"/>
      <c r="AQ1218" s="156"/>
      <c r="AR1218" s="156"/>
      <c r="AS1218" s="156"/>
      <c r="AT1218" s="156"/>
      <c r="AU1218" s="156"/>
      <c r="AV1218" s="156"/>
      <c r="AW1218" s="156"/>
      <c r="AX1218" s="156"/>
      <c r="AY1218" s="156"/>
      <c r="AZ1218" s="156"/>
      <c r="BA1218" s="153"/>
      <c r="BD1218" s="153"/>
      <c r="BE1218" s="147"/>
      <c r="BI1218" s="153"/>
      <c r="BO1218" s="153"/>
      <c r="BW1218" s="153"/>
      <c r="CD1218" s="146"/>
      <c r="CF1218" s="147"/>
      <c r="CI1218" s="146"/>
      <c r="CJ1218" s="153"/>
      <c r="CV1218" s="154"/>
      <c r="CX1218" s="154"/>
      <c r="CZ1218" s="154"/>
      <c r="DB1218" s="154"/>
      <c r="DD1218" s="154"/>
      <c r="DH1218" s="474"/>
      <c r="DI1218" s="459"/>
      <c r="DJ1218" s="459"/>
      <c r="DK1218" s="459"/>
      <c r="DL1218" s="459"/>
      <c r="DM1218" s="459"/>
      <c r="DN1218" s="459"/>
      <c r="DO1218" s="459"/>
      <c r="DP1218" s="459"/>
      <c r="DQ1218" s="459"/>
      <c r="DR1218" s="459"/>
      <c r="DS1218" s="459"/>
      <c r="DT1218" s="459"/>
      <c r="DU1218" s="459"/>
      <c r="DV1218" s="468"/>
      <c r="DW1218" s="468"/>
      <c r="DX1218" s="459"/>
      <c r="DY1218" s="459"/>
    </row>
    <row r="1219" spans="1:129" s="128" customFormat="1" ht="54.95" customHeight="1" x14ac:dyDescent="0.25">
      <c r="A1219" s="377"/>
      <c r="B1219" s="175"/>
      <c r="C1219" s="393"/>
      <c r="D1219" s="168"/>
      <c r="E1219" s="168"/>
      <c r="F1219" s="168"/>
      <c r="G1219" s="168"/>
      <c r="H1219" s="168"/>
      <c r="I1219" s="168"/>
      <c r="J1219" s="168"/>
      <c r="K1219" s="168"/>
      <c r="L1219" s="168"/>
      <c r="M1219" s="168"/>
      <c r="N1219" s="168"/>
      <c r="O1219" s="433"/>
      <c r="P1219" s="122"/>
      <c r="Q1219" s="156"/>
      <c r="R1219" s="156"/>
      <c r="S1219" s="156"/>
      <c r="T1219" s="156"/>
      <c r="U1219" s="156"/>
      <c r="V1219" s="156"/>
      <c r="W1219" s="156"/>
      <c r="X1219" s="156"/>
      <c r="Y1219" s="156"/>
      <c r="Z1219" s="157"/>
      <c r="AA1219" s="157"/>
      <c r="AB1219" s="156"/>
      <c r="AC1219" s="156"/>
      <c r="AD1219" s="156"/>
      <c r="AE1219" s="156"/>
      <c r="AF1219" s="156"/>
      <c r="AG1219" s="156"/>
      <c r="AH1219" s="156"/>
      <c r="AI1219" s="156"/>
      <c r="AJ1219" s="156"/>
      <c r="AK1219" s="156"/>
      <c r="AL1219" s="156"/>
      <c r="AM1219" s="158"/>
      <c r="AN1219" s="156"/>
      <c r="AO1219" s="156"/>
      <c r="AP1219" s="156"/>
      <c r="AQ1219" s="156"/>
      <c r="AR1219" s="156"/>
      <c r="AS1219" s="156"/>
      <c r="AT1219" s="156"/>
      <c r="AU1219" s="156"/>
      <c r="AV1219" s="156"/>
      <c r="AW1219" s="156"/>
      <c r="AX1219" s="156"/>
      <c r="AY1219" s="156"/>
      <c r="AZ1219" s="156"/>
      <c r="BA1219" s="153"/>
      <c r="BD1219" s="153"/>
      <c r="BE1219" s="147"/>
      <c r="BI1219" s="153"/>
      <c r="BO1219" s="153"/>
      <c r="BW1219" s="153"/>
      <c r="CD1219" s="146"/>
      <c r="CF1219" s="147"/>
      <c r="CI1219" s="146"/>
      <c r="CJ1219" s="153"/>
      <c r="CV1219" s="154"/>
      <c r="CX1219" s="154"/>
      <c r="CZ1219" s="154"/>
      <c r="DB1219" s="154"/>
      <c r="DD1219" s="154"/>
      <c r="DH1219" s="474"/>
      <c r="DI1219" s="459"/>
      <c r="DJ1219" s="459"/>
      <c r="DK1219" s="459"/>
      <c r="DL1219" s="459"/>
      <c r="DM1219" s="459"/>
      <c r="DN1219" s="459"/>
      <c r="DO1219" s="459"/>
      <c r="DP1219" s="459"/>
      <c r="DQ1219" s="459"/>
      <c r="DR1219" s="459"/>
      <c r="DS1219" s="459"/>
      <c r="DT1219" s="459"/>
      <c r="DU1219" s="459"/>
      <c r="DV1219" s="468"/>
      <c r="DW1219" s="468"/>
      <c r="DX1219" s="459"/>
      <c r="DY1219" s="459"/>
    </row>
    <row r="1220" spans="1:129" s="128" customFormat="1" ht="54.95" customHeight="1" x14ac:dyDescent="0.25">
      <c r="A1220" s="377"/>
      <c r="B1220" s="175"/>
      <c r="C1220" s="393"/>
      <c r="D1220" s="168"/>
      <c r="E1220" s="168"/>
      <c r="F1220" s="168"/>
      <c r="G1220" s="168"/>
      <c r="H1220" s="168"/>
      <c r="I1220" s="168"/>
      <c r="J1220" s="168"/>
      <c r="K1220" s="168"/>
      <c r="L1220" s="168"/>
      <c r="M1220" s="168"/>
      <c r="N1220" s="168"/>
      <c r="O1220" s="433"/>
      <c r="P1220" s="122"/>
      <c r="Q1220" s="156"/>
      <c r="R1220" s="156"/>
      <c r="S1220" s="156"/>
      <c r="T1220" s="156"/>
      <c r="U1220" s="156"/>
      <c r="V1220" s="156"/>
      <c r="W1220" s="156"/>
      <c r="X1220" s="156"/>
      <c r="Y1220" s="156"/>
      <c r="Z1220" s="157"/>
      <c r="AA1220" s="157"/>
      <c r="AB1220" s="156"/>
      <c r="AC1220" s="156"/>
      <c r="AD1220" s="156"/>
      <c r="AE1220" s="156"/>
      <c r="AF1220" s="156"/>
      <c r="AG1220" s="156"/>
      <c r="AH1220" s="156"/>
      <c r="AI1220" s="156"/>
      <c r="AJ1220" s="156"/>
      <c r="AK1220" s="156"/>
      <c r="AL1220" s="156"/>
      <c r="AM1220" s="158"/>
      <c r="AN1220" s="156"/>
      <c r="AO1220" s="156"/>
      <c r="AP1220" s="156"/>
      <c r="AQ1220" s="156"/>
      <c r="AR1220" s="156"/>
      <c r="AS1220" s="156"/>
      <c r="AT1220" s="156"/>
      <c r="AU1220" s="156"/>
      <c r="AV1220" s="156"/>
      <c r="AW1220" s="156"/>
      <c r="AX1220" s="156"/>
      <c r="AY1220" s="156"/>
      <c r="AZ1220" s="156"/>
      <c r="BA1220" s="153"/>
      <c r="BD1220" s="153"/>
      <c r="BE1220" s="147"/>
      <c r="BI1220" s="153"/>
      <c r="BO1220" s="153"/>
      <c r="BW1220" s="153"/>
      <c r="CD1220" s="146"/>
      <c r="CF1220" s="147"/>
      <c r="CI1220" s="146"/>
      <c r="CJ1220" s="153"/>
      <c r="CV1220" s="154"/>
      <c r="CX1220" s="154"/>
      <c r="CZ1220" s="154"/>
      <c r="DB1220" s="154"/>
      <c r="DD1220" s="154"/>
      <c r="DH1220" s="474"/>
      <c r="DI1220" s="459"/>
      <c r="DJ1220" s="459"/>
      <c r="DK1220" s="459"/>
      <c r="DL1220" s="459"/>
      <c r="DM1220" s="459"/>
      <c r="DN1220" s="459"/>
      <c r="DO1220" s="459"/>
      <c r="DP1220" s="459"/>
      <c r="DQ1220" s="459"/>
      <c r="DR1220" s="459"/>
      <c r="DS1220" s="459"/>
      <c r="DT1220" s="459"/>
      <c r="DU1220" s="459"/>
      <c r="DV1220" s="468"/>
      <c r="DW1220" s="468"/>
      <c r="DX1220" s="459"/>
      <c r="DY1220" s="459"/>
    </row>
    <row r="1221" spans="1:129" s="128" customFormat="1" ht="54.95" customHeight="1" x14ac:dyDescent="0.25">
      <c r="A1221" s="377"/>
      <c r="B1221" s="175"/>
      <c r="C1221" s="393"/>
      <c r="D1221" s="168"/>
      <c r="E1221" s="168"/>
      <c r="F1221" s="168"/>
      <c r="G1221" s="168"/>
      <c r="H1221" s="168"/>
      <c r="I1221" s="168"/>
      <c r="J1221" s="168"/>
      <c r="K1221" s="168"/>
      <c r="L1221" s="168"/>
      <c r="M1221" s="168"/>
      <c r="N1221" s="168"/>
      <c r="O1221" s="433"/>
      <c r="P1221" s="122"/>
      <c r="Q1221" s="156"/>
      <c r="R1221" s="156"/>
      <c r="S1221" s="156"/>
      <c r="T1221" s="156"/>
      <c r="U1221" s="156"/>
      <c r="V1221" s="156"/>
      <c r="W1221" s="156"/>
      <c r="X1221" s="156"/>
      <c r="Y1221" s="156"/>
      <c r="Z1221" s="157"/>
      <c r="AA1221" s="157"/>
      <c r="AB1221" s="156"/>
      <c r="AC1221" s="156"/>
      <c r="AD1221" s="156"/>
      <c r="AE1221" s="156"/>
      <c r="AF1221" s="156"/>
      <c r="AG1221" s="156"/>
      <c r="AH1221" s="156"/>
      <c r="AI1221" s="156"/>
      <c r="AJ1221" s="156"/>
      <c r="AK1221" s="156"/>
      <c r="AL1221" s="156"/>
      <c r="AM1221" s="158"/>
      <c r="AN1221" s="156"/>
      <c r="AO1221" s="156"/>
      <c r="AP1221" s="156"/>
      <c r="AQ1221" s="156"/>
      <c r="AR1221" s="156"/>
      <c r="AS1221" s="156"/>
      <c r="AT1221" s="156"/>
      <c r="AU1221" s="156"/>
      <c r="AV1221" s="156"/>
      <c r="AW1221" s="156"/>
      <c r="AX1221" s="156"/>
      <c r="AY1221" s="156"/>
      <c r="AZ1221" s="156"/>
      <c r="BA1221" s="153"/>
      <c r="BD1221" s="153"/>
      <c r="BE1221" s="147"/>
      <c r="BI1221" s="153"/>
      <c r="BO1221" s="153"/>
      <c r="BW1221" s="153"/>
      <c r="CD1221" s="146"/>
      <c r="CF1221" s="147"/>
      <c r="CI1221" s="146"/>
      <c r="CJ1221" s="153"/>
      <c r="CV1221" s="154"/>
      <c r="CX1221" s="154"/>
      <c r="CZ1221" s="154"/>
      <c r="DB1221" s="154"/>
      <c r="DD1221" s="154"/>
      <c r="DH1221" s="474"/>
      <c r="DI1221" s="459"/>
      <c r="DJ1221" s="459"/>
      <c r="DK1221" s="459"/>
      <c r="DL1221" s="459"/>
      <c r="DM1221" s="459"/>
      <c r="DN1221" s="459"/>
      <c r="DO1221" s="459"/>
      <c r="DP1221" s="459"/>
      <c r="DQ1221" s="459"/>
      <c r="DR1221" s="459"/>
      <c r="DS1221" s="459"/>
      <c r="DT1221" s="459"/>
      <c r="DU1221" s="459"/>
      <c r="DV1221" s="468"/>
      <c r="DW1221" s="468"/>
      <c r="DX1221" s="459"/>
      <c r="DY1221" s="459"/>
    </row>
    <row r="1222" spans="1:129" s="128" customFormat="1" ht="54.95" customHeight="1" x14ac:dyDescent="0.25">
      <c r="A1222" s="377"/>
      <c r="B1222" s="175"/>
      <c r="C1222" s="393"/>
      <c r="D1222" s="168"/>
      <c r="E1222" s="168"/>
      <c r="F1222" s="168"/>
      <c r="G1222" s="168"/>
      <c r="H1222" s="168"/>
      <c r="I1222" s="168"/>
      <c r="J1222" s="168"/>
      <c r="K1222" s="168"/>
      <c r="L1222" s="168"/>
      <c r="M1222" s="168"/>
      <c r="N1222" s="168"/>
      <c r="O1222" s="433"/>
      <c r="P1222" s="122"/>
      <c r="Q1222" s="156"/>
      <c r="R1222" s="156"/>
      <c r="S1222" s="156"/>
      <c r="T1222" s="156"/>
      <c r="U1222" s="156"/>
      <c r="V1222" s="156"/>
      <c r="W1222" s="156"/>
      <c r="X1222" s="156"/>
      <c r="Y1222" s="156"/>
      <c r="Z1222" s="157"/>
      <c r="AA1222" s="157"/>
      <c r="AB1222" s="156"/>
      <c r="AC1222" s="156"/>
      <c r="AD1222" s="156"/>
      <c r="AE1222" s="156"/>
      <c r="AF1222" s="156"/>
      <c r="AG1222" s="156"/>
      <c r="AH1222" s="156"/>
      <c r="AI1222" s="156"/>
      <c r="AJ1222" s="156"/>
      <c r="AK1222" s="156"/>
      <c r="AL1222" s="156"/>
      <c r="AM1222" s="158"/>
      <c r="AN1222" s="156"/>
      <c r="AO1222" s="156"/>
      <c r="AP1222" s="156"/>
      <c r="AQ1222" s="156"/>
      <c r="AR1222" s="156"/>
      <c r="AS1222" s="156"/>
      <c r="AT1222" s="156"/>
      <c r="AU1222" s="156"/>
      <c r="AV1222" s="156"/>
      <c r="AW1222" s="156"/>
      <c r="AX1222" s="156"/>
      <c r="AY1222" s="156"/>
      <c r="AZ1222" s="156"/>
      <c r="BA1222" s="153"/>
      <c r="BD1222" s="153"/>
      <c r="BE1222" s="147"/>
      <c r="BI1222" s="153"/>
      <c r="BO1222" s="153"/>
      <c r="BW1222" s="153"/>
      <c r="CD1222" s="146"/>
      <c r="CF1222" s="147"/>
      <c r="CI1222" s="146"/>
      <c r="CJ1222" s="153"/>
      <c r="CV1222" s="154"/>
      <c r="CX1222" s="154"/>
      <c r="CZ1222" s="154"/>
      <c r="DB1222" s="154"/>
      <c r="DD1222" s="154"/>
      <c r="DH1222" s="474"/>
      <c r="DI1222" s="459"/>
      <c r="DJ1222" s="459"/>
      <c r="DK1222" s="459"/>
      <c r="DL1222" s="459"/>
      <c r="DM1222" s="459"/>
      <c r="DN1222" s="459"/>
      <c r="DO1222" s="459"/>
      <c r="DP1222" s="459"/>
      <c r="DQ1222" s="459"/>
      <c r="DR1222" s="459"/>
      <c r="DS1222" s="459"/>
      <c r="DT1222" s="459"/>
      <c r="DU1222" s="459"/>
      <c r="DV1222" s="468"/>
      <c r="DW1222" s="468"/>
      <c r="DX1222" s="459"/>
      <c r="DY1222" s="459"/>
    </row>
    <row r="1223" spans="1:129" s="128" customFormat="1" ht="54.95" customHeight="1" x14ac:dyDescent="0.25">
      <c r="A1223" s="377"/>
      <c r="B1223" s="175"/>
      <c r="C1223" s="393"/>
      <c r="D1223" s="168"/>
      <c r="E1223" s="168"/>
      <c r="F1223" s="168"/>
      <c r="G1223" s="168"/>
      <c r="H1223" s="168"/>
      <c r="I1223" s="168"/>
      <c r="J1223" s="168"/>
      <c r="K1223" s="168"/>
      <c r="L1223" s="168"/>
      <c r="M1223" s="168"/>
      <c r="N1223" s="168"/>
      <c r="O1223" s="433"/>
      <c r="P1223" s="122"/>
      <c r="Q1223" s="156"/>
      <c r="R1223" s="156"/>
      <c r="S1223" s="156"/>
      <c r="T1223" s="156"/>
      <c r="U1223" s="156"/>
      <c r="V1223" s="156"/>
      <c r="W1223" s="156"/>
      <c r="X1223" s="156"/>
      <c r="Y1223" s="156"/>
      <c r="Z1223" s="157"/>
      <c r="AA1223" s="157"/>
      <c r="AB1223" s="156"/>
      <c r="AC1223" s="156"/>
      <c r="AD1223" s="156"/>
      <c r="AE1223" s="156"/>
      <c r="AF1223" s="156"/>
      <c r="AG1223" s="156"/>
      <c r="AH1223" s="156"/>
      <c r="AI1223" s="156"/>
      <c r="AJ1223" s="156"/>
      <c r="AK1223" s="156"/>
      <c r="AL1223" s="156"/>
      <c r="AM1223" s="158"/>
      <c r="AN1223" s="156"/>
      <c r="AO1223" s="156"/>
      <c r="AP1223" s="156"/>
      <c r="AQ1223" s="156"/>
      <c r="AR1223" s="156"/>
      <c r="AS1223" s="156"/>
      <c r="AT1223" s="156"/>
      <c r="AU1223" s="156"/>
      <c r="AV1223" s="156"/>
      <c r="AW1223" s="156"/>
      <c r="AX1223" s="156"/>
      <c r="AY1223" s="156"/>
      <c r="AZ1223" s="156"/>
      <c r="BA1223" s="153"/>
      <c r="BD1223" s="153"/>
      <c r="BE1223" s="147"/>
      <c r="BI1223" s="153"/>
      <c r="BO1223" s="153"/>
      <c r="BW1223" s="153"/>
      <c r="CD1223" s="146"/>
      <c r="CF1223" s="147"/>
      <c r="CI1223" s="146"/>
      <c r="CJ1223" s="153"/>
      <c r="CV1223" s="154"/>
      <c r="CX1223" s="154"/>
      <c r="CZ1223" s="154"/>
      <c r="DB1223" s="154"/>
      <c r="DD1223" s="154"/>
      <c r="DH1223" s="474"/>
      <c r="DI1223" s="459"/>
      <c r="DJ1223" s="459"/>
      <c r="DK1223" s="459"/>
      <c r="DL1223" s="459"/>
      <c r="DM1223" s="459"/>
      <c r="DN1223" s="459"/>
      <c r="DO1223" s="459"/>
      <c r="DP1223" s="459"/>
      <c r="DQ1223" s="459"/>
      <c r="DR1223" s="459"/>
      <c r="DS1223" s="459"/>
      <c r="DT1223" s="459"/>
      <c r="DU1223" s="459"/>
      <c r="DV1223" s="468"/>
      <c r="DW1223" s="468"/>
      <c r="DX1223" s="459"/>
      <c r="DY1223" s="459"/>
    </row>
    <row r="1224" spans="1:129" s="128" customFormat="1" ht="54.95" customHeight="1" x14ac:dyDescent="0.25">
      <c r="A1224" s="377"/>
      <c r="B1224" s="175"/>
      <c r="C1224" s="393"/>
      <c r="D1224" s="168"/>
      <c r="E1224" s="168"/>
      <c r="F1224" s="168"/>
      <c r="G1224" s="168"/>
      <c r="H1224" s="168"/>
      <c r="I1224" s="168"/>
      <c r="J1224" s="168"/>
      <c r="K1224" s="168"/>
      <c r="L1224" s="168"/>
      <c r="M1224" s="168"/>
      <c r="N1224" s="168"/>
      <c r="O1224" s="433"/>
      <c r="P1224" s="122"/>
      <c r="Q1224" s="156"/>
      <c r="R1224" s="156"/>
      <c r="S1224" s="156"/>
      <c r="T1224" s="156"/>
      <c r="U1224" s="156"/>
      <c r="V1224" s="156"/>
      <c r="W1224" s="156"/>
      <c r="X1224" s="156"/>
      <c r="Y1224" s="156"/>
      <c r="Z1224" s="157"/>
      <c r="AA1224" s="157"/>
      <c r="AB1224" s="156"/>
      <c r="AC1224" s="156"/>
      <c r="AD1224" s="156"/>
      <c r="AE1224" s="156"/>
      <c r="AF1224" s="156"/>
      <c r="AG1224" s="156"/>
      <c r="AH1224" s="156"/>
      <c r="AI1224" s="156"/>
      <c r="AJ1224" s="156"/>
      <c r="AK1224" s="156"/>
      <c r="AL1224" s="156"/>
      <c r="AM1224" s="158"/>
      <c r="AN1224" s="156"/>
      <c r="AO1224" s="156"/>
      <c r="AP1224" s="156"/>
      <c r="AQ1224" s="156"/>
      <c r="AR1224" s="156"/>
      <c r="AS1224" s="156"/>
      <c r="AT1224" s="156"/>
      <c r="AU1224" s="156"/>
      <c r="AV1224" s="156"/>
      <c r="AW1224" s="156"/>
      <c r="AX1224" s="156"/>
      <c r="AY1224" s="156"/>
      <c r="AZ1224" s="156"/>
      <c r="BA1224" s="153"/>
      <c r="BD1224" s="153"/>
      <c r="BE1224" s="147"/>
      <c r="BI1224" s="153"/>
      <c r="BO1224" s="153"/>
      <c r="BW1224" s="153"/>
      <c r="CD1224" s="146"/>
      <c r="CF1224" s="147"/>
      <c r="CI1224" s="146"/>
      <c r="CJ1224" s="153"/>
      <c r="CV1224" s="154"/>
      <c r="CX1224" s="154"/>
      <c r="CZ1224" s="154"/>
      <c r="DB1224" s="154"/>
      <c r="DD1224" s="154"/>
      <c r="DH1224" s="474"/>
      <c r="DI1224" s="459"/>
      <c r="DJ1224" s="459"/>
      <c r="DK1224" s="459"/>
      <c r="DL1224" s="459"/>
      <c r="DM1224" s="459"/>
      <c r="DN1224" s="459"/>
      <c r="DO1224" s="459"/>
      <c r="DP1224" s="459"/>
      <c r="DQ1224" s="459"/>
      <c r="DR1224" s="459"/>
      <c r="DS1224" s="459"/>
      <c r="DT1224" s="459"/>
      <c r="DU1224" s="459"/>
      <c r="DV1224" s="468"/>
      <c r="DW1224" s="468"/>
      <c r="DX1224" s="459"/>
      <c r="DY1224" s="459"/>
    </row>
    <row r="1225" spans="1:129" s="128" customFormat="1" ht="54.95" customHeight="1" x14ac:dyDescent="0.25">
      <c r="A1225" s="377"/>
      <c r="B1225" s="175"/>
      <c r="C1225" s="393"/>
      <c r="D1225" s="168"/>
      <c r="E1225" s="168"/>
      <c r="F1225" s="168"/>
      <c r="G1225" s="168"/>
      <c r="H1225" s="168"/>
      <c r="I1225" s="168"/>
      <c r="J1225" s="168"/>
      <c r="K1225" s="168"/>
      <c r="L1225" s="168"/>
      <c r="M1225" s="168"/>
      <c r="N1225" s="168"/>
      <c r="O1225" s="433"/>
      <c r="P1225" s="122"/>
      <c r="Q1225" s="156"/>
      <c r="R1225" s="156"/>
      <c r="S1225" s="156"/>
      <c r="T1225" s="156"/>
      <c r="U1225" s="156"/>
      <c r="V1225" s="156"/>
      <c r="W1225" s="156"/>
      <c r="X1225" s="156"/>
      <c r="Y1225" s="156"/>
      <c r="Z1225" s="157"/>
      <c r="AA1225" s="157"/>
      <c r="AB1225" s="156"/>
      <c r="AC1225" s="156"/>
      <c r="AD1225" s="156"/>
      <c r="AE1225" s="156"/>
      <c r="AF1225" s="156"/>
      <c r="AG1225" s="156"/>
      <c r="AH1225" s="156"/>
      <c r="AI1225" s="156"/>
      <c r="AJ1225" s="156"/>
      <c r="AK1225" s="156"/>
      <c r="AL1225" s="156"/>
      <c r="AM1225" s="158"/>
      <c r="AN1225" s="156"/>
      <c r="AO1225" s="156"/>
      <c r="AP1225" s="156"/>
      <c r="AQ1225" s="156"/>
      <c r="AR1225" s="156"/>
      <c r="AS1225" s="156"/>
      <c r="AT1225" s="156"/>
      <c r="AU1225" s="156"/>
      <c r="AV1225" s="156"/>
      <c r="AW1225" s="156"/>
      <c r="AX1225" s="156"/>
      <c r="AY1225" s="156"/>
      <c r="AZ1225" s="156"/>
      <c r="BA1225" s="153"/>
      <c r="BD1225" s="153"/>
      <c r="BE1225" s="147"/>
      <c r="BI1225" s="153"/>
      <c r="BO1225" s="153"/>
      <c r="BW1225" s="153"/>
      <c r="CD1225" s="146"/>
      <c r="CF1225" s="147"/>
      <c r="CI1225" s="146"/>
      <c r="CJ1225" s="153"/>
      <c r="CV1225" s="154"/>
      <c r="CX1225" s="154"/>
      <c r="CZ1225" s="154"/>
      <c r="DB1225" s="154"/>
      <c r="DD1225" s="154"/>
      <c r="DH1225" s="474"/>
      <c r="DI1225" s="459"/>
      <c r="DJ1225" s="459"/>
      <c r="DK1225" s="459"/>
      <c r="DL1225" s="459"/>
      <c r="DM1225" s="459"/>
      <c r="DN1225" s="459"/>
      <c r="DO1225" s="459"/>
      <c r="DP1225" s="459"/>
      <c r="DQ1225" s="459"/>
      <c r="DR1225" s="459"/>
      <c r="DS1225" s="459"/>
      <c r="DT1225" s="459"/>
      <c r="DU1225" s="459"/>
      <c r="DV1225" s="468"/>
      <c r="DW1225" s="468"/>
      <c r="DX1225" s="459"/>
      <c r="DY1225" s="459"/>
    </row>
    <row r="1226" spans="1:129" s="128" customFormat="1" ht="54.95" customHeight="1" x14ac:dyDescent="0.25">
      <c r="A1226" s="377"/>
      <c r="B1226" s="175"/>
      <c r="C1226" s="393"/>
      <c r="D1226" s="168"/>
      <c r="E1226" s="168"/>
      <c r="F1226" s="168"/>
      <c r="G1226" s="168"/>
      <c r="H1226" s="168"/>
      <c r="I1226" s="168"/>
      <c r="J1226" s="168"/>
      <c r="K1226" s="168"/>
      <c r="L1226" s="168"/>
      <c r="M1226" s="168"/>
      <c r="N1226" s="168"/>
      <c r="O1226" s="433"/>
      <c r="P1226" s="122"/>
      <c r="Q1226" s="156"/>
      <c r="R1226" s="156"/>
      <c r="S1226" s="156"/>
      <c r="T1226" s="156"/>
      <c r="U1226" s="156"/>
      <c r="V1226" s="156"/>
      <c r="W1226" s="156"/>
      <c r="X1226" s="156"/>
      <c r="Y1226" s="156"/>
      <c r="Z1226" s="157"/>
      <c r="AA1226" s="157"/>
      <c r="AB1226" s="156"/>
      <c r="AC1226" s="156"/>
      <c r="AD1226" s="156"/>
      <c r="AE1226" s="156"/>
      <c r="AF1226" s="156"/>
      <c r="AG1226" s="156"/>
      <c r="AH1226" s="156"/>
      <c r="AI1226" s="156"/>
      <c r="AJ1226" s="156"/>
      <c r="AK1226" s="156"/>
      <c r="AL1226" s="156"/>
      <c r="AM1226" s="158"/>
      <c r="AN1226" s="156"/>
      <c r="AO1226" s="156"/>
      <c r="AP1226" s="156"/>
      <c r="AQ1226" s="156"/>
      <c r="AR1226" s="156"/>
      <c r="AS1226" s="156"/>
      <c r="AT1226" s="156"/>
      <c r="AU1226" s="156"/>
      <c r="AV1226" s="156"/>
      <c r="AW1226" s="156"/>
      <c r="AX1226" s="156"/>
      <c r="AY1226" s="156"/>
      <c r="AZ1226" s="156"/>
      <c r="BA1226" s="153"/>
      <c r="BD1226" s="153"/>
      <c r="BE1226" s="147"/>
      <c r="BI1226" s="153"/>
      <c r="BO1226" s="153"/>
      <c r="BW1226" s="153"/>
      <c r="CD1226" s="146"/>
      <c r="CF1226" s="147"/>
      <c r="CI1226" s="146"/>
      <c r="CJ1226" s="153"/>
      <c r="CV1226" s="154"/>
      <c r="CX1226" s="154"/>
      <c r="CZ1226" s="154"/>
      <c r="DB1226" s="154"/>
      <c r="DD1226" s="154"/>
      <c r="DH1226" s="474"/>
      <c r="DI1226" s="459"/>
      <c r="DJ1226" s="459"/>
      <c r="DK1226" s="459"/>
      <c r="DL1226" s="459"/>
      <c r="DM1226" s="459"/>
      <c r="DN1226" s="459"/>
      <c r="DO1226" s="459"/>
      <c r="DP1226" s="459"/>
      <c r="DQ1226" s="459"/>
      <c r="DR1226" s="459"/>
      <c r="DS1226" s="459"/>
      <c r="DT1226" s="459"/>
      <c r="DU1226" s="459"/>
      <c r="DV1226" s="468"/>
      <c r="DW1226" s="468"/>
      <c r="DX1226" s="459"/>
      <c r="DY1226" s="459"/>
    </row>
    <row r="1227" spans="1:129" s="128" customFormat="1" ht="54.95" customHeight="1" x14ac:dyDescent="0.25">
      <c r="A1227" s="377"/>
      <c r="B1227" s="175"/>
      <c r="C1227" s="393"/>
      <c r="D1227" s="168"/>
      <c r="E1227" s="168"/>
      <c r="F1227" s="168"/>
      <c r="G1227" s="168"/>
      <c r="H1227" s="168"/>
      <c r="I1227" s="168"/>
      <c r="J1227" s="168"/>
      <c r="K1227" s="168"/>
      <c r="L1227" s="168"/>
      <c r="M1227" s="168"/>
      <c r="N1227" s="168"/>
      <c r="O1227" s="433"/>
      <c r="P1227" s="122"/>
      <c r="Q1227" s="156"/>
      <c r="R1227" s="156"/>
      <c r="S1227" s="156"/>
      <c r="T1227" s="156"/>
      <c r="U1227" s="156"/>
      <c r="V1227" s="156"/>
      <c r="W1227" s="156"/>
      <c r="X1227" s="156"/>
      <c r="Y1227" s="156"/>
      <c r="Z1227" s="157"/>
      <c r="AA1227" s="157"/>
      <c r="AB1227" s="156"/>
      <c r="AC1227" s="156"/>
      <c r="AD1227" s="156"/>
      <c r="AE1227" s="156"/>
      <c r="AF1227" s="156"/>
      <c r="AG1227" s="156"/>
      <c r="AH1227" s="156"/>
      <c r="AI1227" s="156"/>
      <c r="AJ1227" s="156"/>
      <c r="AK1227" s="156"/>
      <c r="AL1227" s="156"/>
      <c r="AM1227" s="158"/>
      <c r="AN1227" s="156"/>
      <c r="AO1227" s="156"/>
      <c r="AP1227" s="156"/>
      <c r="AQ1227" s="156"/>
      <c r="AR1227" s="156"/>
      <c r="AS1227" s="156"/>
      <c r="AT1227" s="156"/>
      <c r="AU1227" s="156"/>
      <c r="AV1227" s="156"/>
      <c r="AW1227" s="156"/>
      <c r="AX1227" s="156"/>
      <c r="AY1227" s="156"/>
      <c r="AZ1227" s="156"/>
      <c r="BA1227" s="153"/>
      <c r="BD1227" s="153"/>
      <c r="BE1227" s="147"/>
      <c r="BI1227" s="153"/>
      <c r="BO1227" s="153"/>
      <c r="BW1227" s="153"/>
      <c r="CD1227" s="146"/>
      <c r="CF1227" s="147"/>
      <c r="CI1227" s="146"/>
      <c r="CJ1227" s="153"/>
      <c r="CV1227" s="154"/>
      <c r="CX1227" s="154"/>
      <c r="CZ1227" s="154"/>
      <c r="DB1227" s="154"/>
      <c r="DD1227" s="154"/>
      <c r="DH1227" s="474"/>
      <c r="DI1227" s="459"/>
      <c r="DJ1227" s="459"/>
      <c r="DK1227" s="459"/>
      <c r="DL1227" s="459"/>
      <c r="DM1227" s="459"/>
      <c r="DN1227" s="459"/>
      <c r="DO1227" s="459"/>
      <c r="DP1227" s="459"/>
      <c r="DQ1227" s="459"/>
      <c r="DR1227" s="459"/>
      <c r="DS1227" s="459"/>
      <c r="DT1227" s="459"/>
      <c r="DU1227" s="459"/>
      <c r="DV1227" s="468"/>
      <c r="DW1227" s="468"/>
      <c r="DX1227" s="459"/>
      <c r="DY1227" s="459"/>
    </row>
    <row r="1228" spans="1:129" s="128" customFormat="1" ht="54.95" customHeight="1" x14ac:dyDescent="0.25">
      <c r="A1228" s="377"/>
      <c r="B1228" s="175"/>
      <c r="C1228" s="393"/>
      <c r="D1228" s="168"/>
      <c r="E1228" s="168"/>
      <c r="F1228" s="168"/>
      <c r="G1228" s="168"/>
      <c r="H1228" s="168"/>
      <c r="I1228" s="168"/>
      <c r="J1228" s="168"/>
      <c r="K1228" s="168"/>
      <c r="L1228" s="168"/>
      <c r="M1228" s="168"/>
      <c r="N1228" s="168"/>
      <c r="O1228" s="433"/>
      <c r="P1228" s="122"/>
      <c r="Q1228" s="156"/>
      <c r="R1228" s="156"/>
      <c r="S1228" s="156"/>
      <c r="T1228" s="156"/>
      <c r="U1228" s="156"/>
      <c r="V1228" s="156"/>
      <c r="W1228" s="156"/>
      <c r="X1228" s="156"/>
      <c r="Y1228" s="156"/>
      <c r="Z1228" s="157"/>
      <c r="AA1228" s="157"/>
      <c r="AB1228" s="156"/>
      <c r="AC1228" s="156"/>
      <c r="AD1228" s="156"/>
      <c r="AE1228" s="156"/>
      <c r="AF1228" s="156"/>
      <c r="AG1228" s="156"/>
      <c r="AH1228" s="156"/>
      <c r="AI1228" s="156"/>
      <c r="AJ1228" s="156"/>
      <c r="AK1228" s="156"/>
      <c r="AL1228" s="156"/>
      <c r="AM1228" s="158"/>
      <c r="AN1228" s="156"/>
      <c r="AO1228" s="156"/>
      <c r="AP1228" s="156"/>
      <c r="AQ1228" s="156"/>
      <c r="AR1228" s="156"/>
      <c r="AS1228" s="156"/>
      <c r="AT1228" s="156"/>
      <c r="AU1228" s="156"/>
      <c r="AV1228" s="156"/>
      <c r="AW1228" s="156"/>
      <c r="AX1228" s="156"/>
      <c r="AY1228" s="156"/>
      <c r="AZ1228" s="156"/>
      <c r="BA1228" s="153"/>
      <c r="BD1228" s="153"/>
      <c r="BE1228" s="147"/>
      <c r="BI1228" s="153"/>
      <c r="BO1228" s="153"/>
      <c r="BW1228" s="153"/>
      <c r="CD1228" s="146"/>
      <c r="CF1228" s="147"/>
      <c r="CI1228" s="146"/>
      <c r="CJ1228" s="153"/>
      <c r="CV1228" s="154"/>
      <c r="CX1228" s="154"/>
      <c r="CZ1228" s="154"/>
      <c r="DB1228" s="154"/>
      <c r="DD1228" s="154"/>
      <c r="DH1228" s="474"/>
      <c r="DI1228" s="459"/>
      <c r="DJ1228" s="459"/>
      <c r="DK1228" s="459"/>
      <c r="DL1228" s="459"/>
      <c r="DM1228" s="459"/>
      <c r="DN1228" s="459"/>
      <c r="DO1228" s="459"/>
      <c r="DP1228" s="459"/>
      <c r="DQ1228" s="459"/>
      <c r="DR1228" s="459"/>
      <c r="DS1228" s="459"/>
      <c r="DT1228" s="459"/>
      <c r="DU1228" s="459"/>
      <c r="DV1228" s="468"/>
      <c r="DW1228" s="468"/>
      <c r="DX1228" s="459"/>
      <c r="DY1228" s="459"/>
    </row>
    <row r="1229" spans="1:129" s="128" customFormat="1" ht="54.95" customHeight="1" x14ac:dyDescent="0.25">
      <c r="A1229" s="377"/>
      <c r="B1229" s="175"/>
      <c r="C1229" s="393"/>
      <c r="D1229" s="168"/>
      <c r="E1229" s="168"/>
      <c r="F1229" s="168"/>
      <c r="G1229" s="168"/>
      <c r="H1229" s="168"/>
      <c r="I1229" s="168"/>
      <c r="J1229" s="168"/>
      <c r="K1229" s="168"/>
      <c r="L1229" s="168"/>
      <c r="M1229" s="168"/>
      <c r="N1229" s="168"/>
      <c r="O1229" s="433"/>
      <c r="P1229" s="122"/>
      <c r="Q1229" s="156"/>
      <c r="R1229" s="156"/>
      <c r="S1229" s="156"/>
      <c r="T1229" s="156"/>
      <c r="U1229" s="156"/>
      <c r="V1229" s="156"/>
      <c r="W1229" s="156"/>
      <c r="X1229" s="156"/>
      <c r="Y1229" s="156"/>
      <c r="Z1229" s="157"/>
      <c r="AA1229" s="157"/>
      <c r="AB1229" s="156"/>
      <c r="AC1229" s="156"/>
      <c r="AD1229" s="156"/>
      <c r="AE1229" s="156"/>
      <c r="AF1229" s="156"/>
      <c r="AG1229" s="156"/>
      <c r="AH1229" s="156"/>
      <c r="AI1229" s="156"/>
      <c r="AJ1229" s="156"/>
      <c r="AK1229" s="156"/>
      <c r="AL1229" s="156"/>
      <c r="AM1229" s="158"/>
      <c r="AN1229" s="156"/>
      <c r="AO1229" s="156"/>
      <c r="AP1229" s="156"/>
      <c r="AQ1229" s="156"/>
      <c r="AR1229" s="156"/>
      <c r="AS1229" s="156"/>
      <c r="AT1229" s="156"/>
      <c r="AU1229" s="156"/>
      <c r="AV1229" s="156"/>
      <c r="AW1229" s="156"/>
      <c r="AX1229" s="156"/>
      <c r="AY1229" s="156"/>
      <c r="AZ1229" s="156"/>
      <c r="BA1229" s="153"/>
      <c r="BD1229" s="153"/>
      <c r="BE1229" s="147"/>
      <c r="BI1229" s="153"/>
      <c r="BO1229" s="153"/>
      <c r="BW1229" s="153"/>
      <c r="CD1229" s="146"/>
      <c r="CF1229" s="147"/>
      <c r="CI1229" s="146"/>
      <c r="CJ1229" s="153"/>
      <c r="CV1229" s="154"/>
      <c r="CX1229" s="154"/>
      <c r="CZ1229" s="154"/>
      <c r="DB1229" s="154"/>
      <c r="DD1229" s="154"/>
      <c r="DH1229" s="474"/>
      <c r="DI1229" s="459"/>
      <c r="DJ1229" s="459"/>
      <c r="DK1229" s="459"/>
      <c r="DL1229" s="459"/>
      <c r="DM1229" s="459"/>
      <c r="DN1229" s="459"/>
      <c r="DO1229" s="459"/>
      <c r="DP1229" s="459"/>
      <c r="DQ1229" s="459"/>
      <c r="DR1229" s="459"/>
      <c r="DS1229" s="459"/>
      <c r="DT1229" s="459"/>
      <c r="DU1229" s="459"/>
      <c r="DV1229" s="468"/>
      <c r="DW1229" s="468"/>
      <c r="DX1229" s="459"/>
      <c r="DY1229" s="459"/>
    </row>
    <row r="1230" spans="1:129" s="128" customFormat="1" ht="54.95" customHeight="1" x14ac:dyDescent="0.25">
      <c r="A1230" s="377"/>
      <c r="B1230" s="175"/>
      <c r="C1230" s="393"/>
      <c r="D1230" s="168"/>
      <c r="E1230" s="168"/>
      <c r="F1230" s="168"/>
      <c r="G1230" s="168"/>
      <c r="H1230" s="168"/>
      <c r="I1230" s="168"/>
      <c r="J1230" s="168"/>
      <c r="K1230" s="168"/>
      <c r="L1230" s="168"/>
      <c r="M1230" s="168"/>
      <c r="N1230" s="168"/>
      <c r="O1230" s="433"/>
      <c r="P1230" s="122"/>
      <c r="Q1230" s="156"/>
      <c r="R1230" s="156"/>
      <c r="S1230" s="156"/>
      <c r="T1230" s="156"/>
      <c r="U1230" s="156"/>
      <c r="V1230" s="156"/>
      <c r="W1230" s="156"/>
      <c r="X1230" s="156"/>
      <c r="Y1230" s="156"/>
      <c r="Z1230" s="157"/>
      <c r="AA1230" s="157"/>
      <c r="AB1230" s="156"/>
      <c r="AC1230" s="156"/>
      <c r="AD1230" s="156"/>
      <c r="AE1230" s="156"/>
      <c r="AF1230" s="156"/>
      <c r="AG1230" s="156"/>
      <c r="AH1230" s="156"/>
      <c r="AI1230" s="156"/>
      <c r="AJ1230" s="156"/>
      <c r="AK1230" s="156"/>
      <c r="AL1230" s="156"/>
      <c r="AM1230" s="158"/>
      <c r="AN1230" s="156"/>
      <c r="AO1230" s="156"/>
      <c r="AP1230" s="156"/>
      <c r="AQ1230" s="156"/>
      <c r="AR1230" s="156"/>
      <c r="AS1230" s="156"/>
      <c r="AT1230" s="156"/>
      <c r="AU1230" s="156"/>
      <c r="AV1230" s="156"/>
      <c r="AW1230" s="156"/>
      <c r="AX1230" s="156"/>
      <c r="AY1230" s="156"/>
      <c r="AZ1230" s="156"/>
      <c r="BA1230" s="153"/>
      <c r="BD1230" s="153"/>
      <c r="BE1230" s="147"/>
      <c r="BI1230" s="153"/>
      <c r="BO1230" s="153"/>
      <c r="BW1230" s="153"/>
      <c r="CD1230" s="146"/>
      <c r="CF1230" s="147"/>
      <c r="CI1230" s="146"/>
      <c r="CJ1230" s="153"/>
      <c r="CV1230" s="154"/>
      <c r="CX1230" s="154"/>
      <c r="CZ1230" s="154"/>
      <c r="DB1230" s="154"/>
      <c r="DD1230" s="154"/>
      <c r="DH1230" s="474"/>
      <c r="DI1230" s="459"/>
      <c r="DJ1230" s="459"/>
      <c r="DK1230" s="459"/>
      <c r="DL1230" s="459"/>
      <c r="DM1230" s="459"/>
      <c r="DN1230" s="459"/>
      <c r="DO1230" s="459"/>
      <c r="DP1230" s="459"/>
      <c r="DQ1230" s="459"/>
      <c r="DR1230" s="459"/>
      <c r="DS1230" s="459"/>
      <c r="DT1230" s="459"/>
      <c r="DU1230" s="459"/>
      <c r="DV1230" s="468"/>
      <c r="DW1230" s="468"/>
      <c r="DX1230" s="459"/>
      <c r="DY1230" s="459"/>
    </row>
    <row r="1231" spans="1:129" s="128" customFormat="1" ht="54.95" customHeight="1" x14ac:dyDescent="0.25">
      <c r="A1231" s="377"/>
      <c r="B1231" s="175"/>
      <c r="C1231" s="393"/>
      <c r="D1231" s="168"/>
      <c r="E1231" s="168"/>
      <c r="F1231" s="168"/>
      <c r="G1231" s="168"/>
      <c r="H1231" s="168"/>
      <c r="I1231" s="168"/>
      <c r="J1231" s="168"/>
      <c r="K1231" s="168"/>
      <c r="L1231" s="168"/>
      <c r="M1231" s="168"/>
      <c r="N1231" s="168"/>
      <c r="O1231" s="433"/>
      <c r="P1231" s="122"/>
      <c r="Q1231" s="156"/>
      <c r="R1231" s="156"/>
      <c r="S1231" s="156"/>
      <c r="T1231" s="156"/>
      <c r="U1231" s="156"/>
      <c r="V1231" s="156"/>
      <c r="W1231" s="156"/>
      <c r="X1231" s="156"/>
      <c r="Y1231" s="156"/>
      <c r="Z1231" s="157"/>
      <c r="AA1231" s="157"/>
      <c r="AB1231" s="156"/>
      <c r="AC1231" s="156"/>
      <c r="AD1231" s="156"/>
      <c r="AE1231" s="156"/>
      <c r="AF1231" s="156"/>
      <c r="AG1231" s="156"/>
      <c r="AH1231" s="156"/>
      <c r="AI1231" s="156"/>
      <c r="AJ1231" s="156"/>
      <c r="AK1231" s="156"/>
      <c r="AL1231" s="156"/>
      <c r="AM1231" s="158"/>
      <c r="AN1231" s="156"/>
      <c r="AO1231" s="156"/>
      <c r="AP1231" s="156"/>
      <c r="AQ1231" s="156"/>
      <c r="AR1231" s="156"/>
      <c r="AS1231" s="156"/>
      <c r="AT1231" s="156"/>
      <c r="AU1231" s="156"/>
      <c r="AV1231" s="156"/>
      <c r="AW1231" s="156"/>
      <c r="AX1231" s="156"/>
      <c r="AY1231" s="156"/>
      <c r="AZ1231" s="156"/>
      <c r="BA1231" s="153"/>
      <c r="BD1231" s="153"/>
      <c r="BE1231" s="147"/>
      <c r="BI1231" s="153"/>
      <c r="BO1231" s="153"/>
      <c r="BW1231" s="153"/>
      <c r="CD1231" s="146"/>
      <c r="CF1231" s="147"/>
      <c r="CI1231" s="146"/>
      <c r="CJ1231" s="153"/>
      <c r="CV1231" s="154"/>
      <c r="CX1231" s="154"/>
      <c r="CZ1231" s="154"/>
      <c r="DB1231" s="154"/>
      <c r="DD1231" s="154"/>
      <c r="DH1231" s="474"/>
      <c r="DI1231" s="459"/>
      <c r="DJ1231" s="459"/>
      <c r="DK1231" s="459"/>
      <c r="DL1231" s="459"/>
      <c r="DM1231" s="459"/>
      <c r="DN1231" s="459"/>
      <c r="DO1231" s="459"/>
      <c r="DP1231" s="459"/>
      <c r="DQ1231" s="459"/>
      <c r="DR1231" s="459"/>
      <c r="DS1231" s="459"/>
      <c r="DT1231" s="459"/>
      <c r="DU1231" s="459"/>
      <c r="DV1231" s="468"/>
      <c r="DW1231" s="468"/>
      <c r="DX1231" s="459"/>
      <c r="DY1231" s="459"/>
    </row>
    <row r="1232" spans="1:129" s="128" customFormat="1" ht="54.95" customHeight="1" x14ac:dyDescent="0.25">
      <c r="A1232" s="377"/>
      <c r="B1232" s="175"/>
      <c r="C1232" s="393"/>
      <c r="D1232" s="168"/>
      <c r="E1232" s="168"/>
      <c r="F1232" s="168"/>
      <c r="G1232" s="168"/>
      <c r="H1232" s="168"/>
      <c r="I1232" s="168"/>
      <c r="J1232" s="168"/>
      <c r="K1232" s="168"/>
      <c r="L1232" s="168"/>
      <c r="M1232" s="168"/>
      <c r="N1232" s="168"/>
      <c r="O1232" s="433"/>
      <c r="P1232" s="122"/>
      <c r="Q1232" s="156"/>
      <c r="R1232" s="156"/>
      <c r="S1232" s="156"/>
      <c r="T1232" s="156"/>
      <c r="U1232" s="156"/>
      <c r="V1232" s="156"/>
      <c r="W1232" s="156"/>
      <c r="X1232" s="156"/>
      <c r="Y1232" s="156"/>
      <c r="Z1232" s="157"/>
      <c r="AA1232" s="157"/>
      <c r="AB1232" s="156"/>
      <c r="AC1232" s="156"/>
      <c r="AD1232" s="156"/>
      <c r="AE1232" s="156"/>
      <c r="AF1232" s="156"/>
      <c r="AG1232" s="156"/>
      <c r="AH1232" s="156"/>
      <c r="AI1232" s="156"/>
      <c r="AJ1232" s="156"/>
      <c r="AK1232" s="156"/>
      <c r="AL1232" s="156"/>
      <c r="AM1232" s="158"/>
      <c r="AN1232" s="156"/>
      <c r="AO1232" s="156"/>
      <c r="AP1232" s="156"/>
      <c r="AQ1232" s="156"/>
      <c r="AR1232" s="156"/>
      <c r="AS1232" s="156"/>
      <c r="AT1232" s="156"/>
      <c r="AU1232" s="156"/>
      <c r="AV1232" s="156"/>
      <c r="AW1232" s="156"/>
      <c r="AX1232" s="156"/>
      <c r="AY1232" s="156"/>
      <c r="AZ1232" s="156"/>
      <c r="BA1232" s="153"/>
      <c r="BD1232" s="153"/>
      <c r="BE1232" s="147"/>
      <c r="BI1232" s="153"/>
      <c r="BO1232" s="153"/>
      <c r="BW1232" s="153"/>
      <c r="CD1232" s="146"/>
      <c r="CF1232" s="147"/>
      <c r="CI1232" s="146"/>
      <c r="CJ1232" s="153"/>
      <c r="CV1232" s="154"/>
      <c r="CX1232" s="154"/>
      <c r="CZ1232" s="154"/>
      <c r="DB1232" s="154"/>
      <c r="DD1232" s="154"/>
      <c r="DH1232" s="474"/>
      <c r="DI1232" s="459"/>
      <c r="DJ1232" s="459"/>
      <c r="DK1232" s="459"/>
      <c r="DL1232" s="459"/>
      <c r="DM1232" s="459"/>
      <c r="DN1232" s="459"/>
      <c r="DO1232" s="459"/>
      <c r="DP1232" s="459"/>
      <c r="DQ1232" s="459"/>
      <c r="DR1232" s="459"/>
      <c r="DS1232" s="459"/>
      <c r="DT1232" s="459"/>
      <c r="DU1232" s="459"/>
      <c r="DV1232" s="468"/>
      <c r="DW1232" s="468"/>
      <c r="DX1232" s="459"/>
      <c r="DY1232" s="459"/>
    </row>
    <row r="1233" spans="1:129" s="128" customFormat="1" ht="54.95" customHeight="1" x14ac:dyDescent="0.25">
      <c r="A1233" s="377"/>
      <c r="B1233" s="175"/>
      <c r="C1233" s="393"/>
      <c r="D1233" s="168"/>
      <c r="E1233" s="168"/>
      <c r="F1233" s="168"/>
      <c r="G1233" s="168"/>
      <c r="H1233" s="168"/>
      <c r="I1233" s="168"/>
      <c r="J1233" s="168"/>
      <c r="K1233" s="168"/>
      <c r="L1233" s="168"/>
      <c r="M1233" s="168"/>
      <c r="N1233" s="168"/>
      <c r="O1233" s="433"/>
      <c r="P1233" s="122"/>
      <c r="Q1233" s="156"/>
      <c r="R1233" s="156"/>
      <c r="S1233" s="156"/>
      <c r="T1233" s="156"/>
      <c r="U1233" s="156"/>
      <c r="V1233" s="156"/>
      <c r="W1233" s="156"/>
      <c r="X1233" s="156"/>
      <c r="Y1233" s="156"/>
      <c r="Z1233" s="157"/>
      <c r="AA1233" s="157"/>
      <c r="AB1233" s="156"/>
      <c r="AC1233" s="156"/>
      <c r="AD1233" s="156"/>
      <c r="AE1233" s="156"/>
      <c r="AF1233" s="156"/>
      <c r="AG1233" s="156"/>
      <c r="AH1233" s="156"/>
      <c r="AI1233" s="156"/>
      <c r="AJ1233" s="156"/>
      <c r="AK1233" s="156"/>
      <c r="AL1233" s="156"/>
      <c r="AM1233" s="158"/>
      <c r="AN1233" s="156"/>
      <c r="AO1233" s="156"/>
      <c r="AP1233" s="156"/>
      <c r="AQ1233" s="156"/>
      <c r="AR1233" s="156"/>
      <c r="AS1233" s="156"/>
      <c r="AT1233" s="156"/>
      <c r="AU1233" s="156"/>
      <c r="AV1233" s="156"/>
      <c r="AW1233" s="156"/>
      <c r="AX1233" s="156"/>
      <c r="AY1233" s="156"/>
      <c r="AZ1233" s="156"/>
      <c r="BA1233" s="153"/>
      <c r="BD1233" s="153"/>
      <c r="BE1233" s="147"/>
      <c r="BI1233" s="153"/>
      <c r="BO1233" s="153"/>
      <c r="BW1233" s="153"/>
      <c r="CD1233" s="146"/>
      <c r="CF1233" s="147"/>
      <c r="CI1233" s="146"/>
      <c r="CJ1233" s="153"/>
      <c r="CV1233" s="154"/>
      <c r="CX1233" s="154"/>
      <c r="CZ1233" s="154"/>
      <c r="DB1233" s="154"/>
      <c r="DD1233" s="154"/>
      <c r="DH1233" s="474"/>
      <c r="DI1233" s="459"/>
      <c r="DJ1233" s="459"/>
      <c r="DK1233" s="459"/>
      <c r="DL1233" s="459"/>
      <c r="DM1233" s="459"/>
      <c r="DN1233" s="459"/>
      <c r="DO1233" s="459"/>
      <c r="DP1233" s="459"/>
      <c r="DQ1233" s="459"/>
      <c r="DR1233" s="459"/>
      <c r="DS1233" s="459"/>
      <c r="DT1233" s="459"/>
      <c r="DU1233" s="459"/>
      <c r="DV1233" s="468"/>
      <c r="DW1233" s="468"/>
      <c r="DX1233" s="459"/>
      <c r="DY1233" s="459"/>
    </row>
    <row r="1234" spans="1:129" s="128" customFormat="1" ht="54.95" customHeight="1" x14ac:dyDescent="0.25">
      <c r="A1234" s="377"/>
      <c r="B1234" s="175"/>
      <c r="C1234" s="393"/>
      <c r="D1234" s="168"/>
      <c r="E1234" s="168"/>
      <c r="F1234" s="168"/>
      <c r="G1234" s="168"/>
      <c r="H1234" s="168"/>
      <c r="I1234" s="168"/>
      <c r="J1234" s="168"/>
      <c r="K1234" s="168"/>
      <c r="L1234" s="168"/>
      <c r="M1234" s="168"/>
      <c r="N1234" s="168"/>
      <c r="O1234" s="433"/>
      <c r="P1234" s="122"/>
      <c r="Q1234" s="156"/>
      <c r="R1234" s="156"/>
      <c r="S1234" s="156"/>
      <c r="T1234" s="156"/>
      <c r="U1234" s="156"/>
      <c r="V1234" s="156"/>
      <c r="W1234" s="156"/>
      <c r="X1234" s="156"/>
      <c r="Y1234" s="156"/>
      <c r="Z1234" s="157"/>
      <c r="AA1234" s="157"/>
      <c r="AB1234" s="156"/>
      <c r="AC1234" s="156"/>
      <c r="AD1234" s="156"/>
      <c r="AE1234" s="156"/>
      <c r="AF1234" s="156"/>
      <c r="AG1234" s="156"/>
      <c r="AH1234" s="156"/>
      <c r="AI1234" s="156"/>
      <c r="AJ1234" s="156"/>
      <c r="AK1234" s="156"/>
      <c r="AL1234" s="156"/>
      <c r="AM1234" s="158"/>
      <c r="AN1234" s="156"/>
      <c r="AO1234" s="156"/>
      <c r="AP1234" s="156"/>
      <c r="AQ1234" s="156"/>
      <c r="AR1234" s="156"/>
      <c r="AS1234" s="156"/>
      <c r="AT1234" s="156"/>
      <c r="AU1234" s="156"/>
      <c r="AV1234" s="156"/>
      <c r="AW1234" s="156"/>
      <c r="AX1234" s="156"/>
      <c r="AY1234" s="156"/>
      <c r="AZ1234" s="156"/>
      <c r="BA1234" s="153"/>
      <c r="BD1234" s="153"/>
      <c r="BE1234" s="147"/>
      <c r="BI1234" s="153"/>
      <c r="BO1234" s="153"/>
      <c r="BW1234" s="153"/>
      <c r="CD1234" s="146"/>
      <c r="CF1234" s="147"/>
      <c r="CI1234" s="146"/>
      <c r="CJ1234" s="153"/>
      <c r="CV1234" s="154"/>
      <c r="CX1234" s="154"/>
      <c r="CZ1234" s="154"/>
      <c r="DB1234" s="154"/>
      <c r="DD1234" s="154"/>
      <c r="DH1234" s="474"/>
      <c r="DI1234" s="459"/>
      <c r="DJ1234" s="459"/>
      <c r="DK1234" s="459"/>
      <c r="DL1234" s="459"/>
      <c r="DM1234" s="459"/>
      <c r="DN1234" s="459"/>
      <c r="DO1234" s="459"/>
      <c r="DP1234" s="459"/>
      <c r="DQ1234" s="459"/>
      <c r="DR1234" s="459"/>
      <c r="DS1234" s="459"/>
      <c r="DT1234" s="459"/>
      <c r="DU1234" s="459"/>
      <c r="DV1234" s="468"/>
      <c r="DW1234" s="468"/>
      <c r="DX1234" s="459"/>
      <c r="DY1234" s="459"/>
    </row>
    <row r="1235" spans="1:129" s="128" customFormat="1" ht="54.95" customHeight="1" x14ac:dyDescent="0.25">
      <c r="A1235" s="377"/>
      <c r="B1235" s="175"/>
      <c r="C1235" s="393"/>
      <c r="D1235" s="168"/>
      <c r="E1235" s="168"/>
      <c r="F1235" s="168"/>
      <c r="G1235" s="168"/>
      <c r="H1235" s="168"/>
      <c r="I1235" s="168"/>
      <c r="J1235" s="168"/>
      <c r="K1235" s="168"/>
      <c r="L1235" s="168"/>
      <c r="M1235" s="168"/>
      <c r="N1235" s="168"/>
      <c r="O1235" s="433"/>
      <c r="P1235" s="122"/>
      <c r="Q1235" s="156"/>
      <c r="R1235" s="156"/>
      <c r="S1235" s="156"/>
      <c r="T1235" s="156"/>
      <c r="U1235" s="156"/>
      <c r="V1235" s="156"/>
      <c r="W1235" s="156"/>
      <c r="X1235" s="156"/>
      <c r="Y1235" s="156"/>
      <c r="Z1235" s="157"/>
      <c r="AA1235" s="157"/>
      <c r="AB1235" s="156"/>
      <c r="AC1235" s="156"/>
      <c r="AD1235" s="156"/>
      <c r="AE1235" s="156"/>
      <c r="AF1235" s="156"/>
      <c r="AG1235" s="156"/>
      <c r="AH1235" s="156"/>
      <c r="AI1235" s="156"/>
      <c r="AJ1235" s="156"/>
      <c r="AK1235" s="156"/>
      <c r="AL1235" s="156"/>
      <c r="AM1235" s="158"/>
      <c r="AN1235" s="156"/>
      <c r="AO1235" s="156"/>
      <c r="AP1235" s="156"/>
      <c r="AQ1235" s="156"/>
      <c r="AR1235" s="156"/>
      <c r="AS1235" s="156"/>
      <c r="AT1235" s="156"/>
      <c r="AU1235" s="156"/>
      <c r="AV1235" s="156"/>
      <c r="AW1235" s="156"/>
      <c r="AX1235" s="156"/>
      <c r="AY1235" s="156"/>
      <c r="AZ1235" s="156"/>
      <c r="BA1235" s="153"/>
      <c r="BD1235" s="153"/>
      <c r="BE1235" s="147"/>
      <c r="BI1235" s="153"/>
      <c r="BO1235" s="153"/>
      <c r="BW1235" s="153"/>
      <c r="CD1235" s="146"/>
      <c r="CF1235" s="147"/>
      <c r="CI1235" s="146"/>
      <c r="CJ1235" s="153"/>
      <c r="CV1235" s="154"/>
      <c r="CX1235" s="154"/>
      <c r="CZ1235" s="154"/>
      <c r="DB1235" s="154"/>
      <c r="DD1235" s="154"/>
      <c r="DH1235" s="474"/>
      <c r="DI1235" s="459"/>
      <c r="DJ1235" s="459"/>
      <c r="DK1235" s="459"/>
      <c r="DL1235" s="459"/>
      <c r="DM1235" s="459"/>
      <c r="DN1235" s="459"/>
      <c r="DO1235" s="459"/>
      <c r="DP1235" s="459"/>
      <c r="DQ1235" s="459"/>
      <c r="DR1235" s="459"/>
      <c r="DS1235" s="459"/>
      <c r="DT1235" s="459"/>
      <c r="DU1235" s="459"/>
      <c r="DV1235" s="468"/>
      <c r="DW1235" s="468"/>
      <c r="DX1235" s="459"/>
      <c r="DY1235" s="459"/>
    </row>
    <row r="1236" spans="1:129" s="128" customFormat="1" ht="54.95" customHeight="1" x14ac:dyDescent="0.25">
      <c r="A1236" s="377"/>
      <c r="B1236" s="175"/>
      <c r="C1236" s="393"/>
      <c r="D1236" s="168"/>
      <c r="E1236" s="168"/>
      <c r="F1236" s="168"/>
      <c r="G1236" s="168"/>
      <c r="H1236" s="168"/>
      <c r="I1236" s="168"/>
      <c r="J1236" s="168"/>
      <c r="K1236" s="168"/>
      <c r="L1236" s="168"/>
      <c r="M1236" s="168"/>
      <c r="N1236" s="168"/>
      <c r="O1236" s="433"/>
      <c r="P1236" s="122"/>
      <c r="Q1236" s="156"/>
      <c r="R1236" s="156"/>
      <c r="S1236" s="156"/>
      <c r="T1236" s="156"/>
      <c r="U1236" s="156"/>
      <c r="V1236" s="156"/>
      <c r="W1236" s="156"/>
      <c r="X1236" s="156"/>
      <c r="Y1236" s="156"/>
      <c r="Z1236" s="157"/>
      <c r="AA1236" s="157"/>
      <c r="AB1236" s="156"/>
      <c r="AC1236" s="156"/>
      <c r="AD1236" s="156"/>
      <c r="AE1236" s="156"/>
      <c r="AF1236" s="156"/>
      <c r="AG1236" s="156"/>
      <c r="AH1236" s="156"/>
      <c r="AI1236" s="156"/>
      <c r="AJ1236" s="156"/>
      <c r="AK1236" s="156"/>
      <c r="AL1236" s="156"/>
      <c r="AM1236" s="158"/>
      <c r="AN1236" s="156"/>
      <c r="AO1236" s="156"/>
      <c r="AP1236" s="156"/>
      <c r="AQ1236" s="156"/>
      <c r="AR1236" s="156"/>
      <c r="AS1236" s="156"/>
      <c r="AT1236" s="156"/>
      <c r="AU1236" s="156"/>
      <c r="AV1236" s="156"/>
      <c r="AW1236" s="156"/>
      <c r="AX1236" s="156"/>
      <c r="AY1236" s="156"/>
      <c r="AZ1236" s="156"/>
      <c r="BA1236" s="153"/>
      <c r="BD1236" s="153"/>
      <c r="BE1236" s="147"/>
      <c r="BI1236" s="153"/>
      <c r="BO1236" s="153"/>
      <c r="BW1236" s="153"/>
      <c r="CD1236" s="146"/>
      <c r="CF1236" s="147"/>
      <c r="CI1236" s="146"/>
      <c r="CJ1236" s="153"/>
      <c r="CV1236" s="154"/>
      <c r="CX1236" s="154"/>
      <c r="CZ1236" s="154"/>
      <c r="DB1236" s="154"/>
      <c r="DD1236" s="154"/>
      <c r="DH1236" s="474"/>
      <c r="DI1236" s="459"/>
      <c r="DJ1236" s="459"/>
      <c r="DK1236" s="459"/>
      <c r="DL1236" s="459"/>
      <c r="DM1236" s="459"/>
      <c r="DN1236" s="459"/>
      <c r="DO1236" s="459"/>
      <c r="DP1236" s="459"/>
      <c r="DQ1236" s="459"/>
      <c r="DR1236" s="459"/>
      <c r="DS1236" s="459"/>
      <c r="DT1236" s="459"/>
      <c r="DU1236" s="459"/>
      <c r="DV1236" s="468"/>
      <c r="DW1236" s="468"/>
      <c r="DX1236" s="459"/>
      <c r="DY1236" s="459"/>
    </row>
    <row r="1237" spans="1:129" s="128" customFormat="1" ht="54.95" customHeight="1" x14ac:dyDescent="0.25">
      <c r="A1237" s="377"/>
      <c r="B1237" s="175"/>
      <c r="C1237" s="393"/>
      <c r="D1237" s="168"/>
      <c r="E1237" s="168"/>
      <c r="F1237" s="168"/>
      <c r="G1237" s="168"/>
      <c r="H1237" s="168"/>
      <c r="I1237" s="168"/>
      <c r="J1237" s="168"/>
      <c r="K1237" s="168"/>
      <c r="L1237" s="168"/>
      <c r="M1237" s="168"/>
      <c r="N1237" s="168"/>
      <c r="O1237" s="433"/>
      <c r="P1237" s="122"/>
      <c r="Q1237" s="156"/>
      <c r="R1237" s="156"/>
      <c r="S1237" s="156"/>
      <c r="T1237" s="156"/>
      <c r="U1237" s="156"/>
      <c r="V1237" s="156"/>
      <c r="W1237" s="156"/>
      <c r="X1237" s="156"/>
      <c r="Y1237" s="156"/>
      <c r="Z1237" s="157"/>
      <c r="AA1237" s="157"/>
      <c r="AB1237" s="156"/>
      <c r="AC1237" s="156"/>
      <c r="AD1237" s="156"/>
      <c r="AE1237" s="156"/>
      <c r="AF1237" s="156"/>
      <c r="AG1237" s="156"/>
      <c r="AH1237" s="156"/>
      <c r="AI1237" s="156"/>
      <c r="AJ1237" s="156"/>
      <c r="AK1237" s="156"/>
      <c r="AL1237" s="156"/>
      <c r="AM1237" s="158"/>
      <c r="AN1237" s="156"/>
      <c r="AO1237" s="156"/>
      <c r="AP1237" s="156"/>
      <c r="AQ1237" s="156"/>
      <c r="AR1237" s="156"/>
      <c r="AS1237" s="156"/>
      <c r="AT1237" s="156"/>
      <c r="AU1237" s="156"/>
      <c r="AV1237" s="156"/>
      <c r="AW1237" s="156"/>
      <c r="AX1237" s="156"/>
      <c r="AY1237" s="156"/>
      <c r="AZ1237" s="156"/>
      <c r="BA1237" s="153"/>
      <c r="BD1237" s="153"/>
      <c r="BE1237" s="147"/>
      <c r="BI1237" s="153"/>
      <c r="BO1237" s="153"/>
      <c r="BW1237" s="153"/>
      <c r="CD1237" s="146"/>
      <c r="CF1237" s="147"/>
      <c r="CI1237" s="146"/>
      <c r="CJ1237" s="153"/>
      <c r="CV1237" s="154"/>
      <c r="CX1237" s="154"/>
      <c r="CZ1237" s="154"/>
      <c r="DB1237" s="154"/>
      <c r="DD1237" s="154"/>
      <c r="DH1237" s="474"/>
      <c r="DI1237" s="459"/>
      <c r="DJ1237" s="459"/>
      <c r="DK1237" s="459"/>
      <c r="DL1237" s="459"/>
      <c r="DM1237" s="459"/>
      <c r="DN1237" s="459"/>
      <c r="DO1237" s="459"/>
      <c r="DP1237" s="459"/>
      <c r="DQ1237" s="459"/>
      <c r="DR1237" s="459"/>
      <c r="DS1237" s="459"/>
      <c r="DT1237" s="459"/>
      <c r="DU1237" s="459"/>
      <c r="DV1237" s="468"/>
      <c r="DW1237" s="468"/>
      <c r="DX1237" s="459"/>
      <c r="DY1237" s="459"/>
    </row>
    <row r="1238" spans="1:129" s="128" customFormat="1" ht="54.95" customHeight="1" x14ac:dyDescent="0.25">
      <c r="A1238" s="377"/>
      <c r="B1238" s="175"/>
      <c r="C1238" s="393"/>
      <c r="D1238" s="168"/>
      <c r="E1238" s="168"/>
      <c r="F1238" s="168"/>
      <c r="G1238" s="168"/>
      <c r="H1238" s="168"/>
      <c r="I1238" s="168"/>
      <c r="J1238" s="168"/>
      <c r="K1238" s="168"/>
      <c r="L1238" s="168"/>
      <c r="M1238" s="168"/>
      <c r="N1238" s="168"/>
      <c r="O1238" s="433"/>
      <c r="P1238" s="122"/>
      <c r="Q1238" s="156"/>
      <c r="R1238" s="156"/>
      <c r="S1238" s="156"/>
      <c r="T1238" s="156"/>
      <c r="U1238" s="156"/>
      <c r="V1238" s="156"/>
      <c r="W1238" s="156"/>
      <c r="X1238" s="156"/>
      <c r="Y1238" s="156"/>
      <c r="Z1238" s="157"/>
      <c r="AA1238" s="157"/>
      <c r="AB1238" s="156"/>
      <c r="AC1238" s="156"/>
      <c r="AD1238" s="156"/>
      <c r="AE1238" s="156"/>
      <c r="AF1238" s="156"/>
      <c r="AG1238" s="156"/>
      <c r="AH1238" s="156"/>
      <c r="AI1238" s="156"/>
      <c r="AJ1238" s="156"/>
      <c r="AK1238" s="156"/>
      <c r="AL1238" s="156"/>
      <c r="AM1238" s="158"/>
      <c r="AN1238" s="156"/>
      <c r="AO1238" s="156"/>
      <c r="AP1238" s="156"/>
      <c r="AQ1238" s="156"/>
      <c r="AR1238" s="156"/>
      <c r="AS1238" s="156"/>
      <c r="AT1238" s="156"/>
      <c r="AU1238" s="156"/>
      <c r="AV1238" s="156"/>
      <c r="AW1238" s="156"/>
      <c r="AX1238" s="156"/>
      <c r="AY1238" s="156"/>
      <c r="AZ1238" s="156"/>
      <c r="BA1238" s="153"/>
      <c r="BD1238" s="153"/>
      <c r="BE1238" s="147"/>
      <c r="BI1238" s="153"/>
      <c r="BO1238" s="153"/>
      <c r="BW1238" s="153"/>
      <c r="CD1238" s="146"/>
      <c r="CF1238" s="147"/>
      <c r="CI1238" s="146"/>
      <c r="CJ1238" s="153"/>
      <c r="CV1238" s="154"/>
      <c r="CX1238" s="154"/>
      <c r="CZ1238" s="154"/>
      <c r="DB1238" s="154"/>
      <c r="DD1238" s="154"/>
      <c r="DH1238" s="474"/>
      <c r="DI1238" s="459"/>
      <c r="DJ1238" s="459"/>
      <c r="DK1238" s="459"/>
      <c r="DL1238" s="459"/>
      <c r="DM1238" s="459"/>
      <c r="DN1238" s="459"/>
      <c r="DO1238" s="459"/>
      <c r="DP1238" s="459"/>
      <c r="DQ1238" s="459"/>
      <c r="DR1238" s="459"/>
      <c r="DS1238" s="459"/>
      <c r="DT1238" s="459"/>
      <c r="DU1238" s="459"/>
      <c r="DV1238" s="468"/>
      <c r="DW1238" s="468"/>
      <c r="DX1238" s="459"/>
      <c r="DY1238" s="459"/>
    </row>
    <row r="1239" spans="1:129" s="128" customFormat="1" ht="54.95" customHeight="1" x14ac:dyDescent="0.25">
      <c r="A1239" s="377"/>
      <c r="B1239" s="175"/>
      <c r="C1239" s="393"/>
      <c r="D1239" s="168"/>
      <c r="E1239" s="168"/>
      <c r="F1239" s="168"/>
      <c r="G1239" s="168"/>
      <c r="H1239" s="168"/>
      <c r="I1239" s="168"/>
      <c r="J1239" s="168"/>
      <c r="K1239" s="168"/>
      <c r="L1239" s="168"/>
      <c r="M1239" s="168"/>
      <c r="N1239" s="168"/>
      <c r="O1239" s="433"/>
      <c r="P1239" s="122"/>
      <c r="Q1239" s="156"/>
      <c r="R1239" s="156"/>
      <c r="S1239" s="156"/>
      <c r="T1239" s="156"/>
      <c r="U1239" s="156"/>
      <c r="V1239" s="156"/>
      <c r="W1239" s="156"/>
      <c r="X1239" s="156"/>
      <c r="Y1239" s="156"/>
      <c r="Z1239" s="157"/>
      <c r="AA1239" s="157"/>
      <c r="AB1239" s="156"/>
      <c r="AC1239" s="156"/>
      <c r="AD1239" s="156"/>
      <c r="AE1239" s="156"/>
      <c r="AF1239" s="156"/>
      <c r="AG1239" s="156"/>
      <c r="AH1239" s="156"/>
      <c r="AI1239" s="156"/>
      <c r="AJ1239" s="156"/>
      <c r="AK1239" s="156"/>
      <c r="AL1239" s="156"/>
      <c r="AM1239" s="158"/>
      <c r="AN1239" s="156"/>
      <c r="AO1239" s="156"/>
      <c r="AP1239" s="156"/>
      <c r="AQ1239" s="156"/>
      <c r="AR1239" s="156"/>
      <c r="AS1239" s="156"/>
      <c r="AT1239" s="156"/>
      <c r="AU1239" s="156"/>
      <c r="AV1239" s="156"/>
      <c r="AW1239" s="156"/>
      <c r="AX1239" s="156"/>
      <c r="AY1239" s="156"/>
      <c r="AZ1239" s="156"/>
      <c r="BA1239" s="153"/>
      <c r="BD1239" s="153"/>
      <c r="BE1239" s="147"/>
      <c r="BI1239" s="153"/>
      <c r="BO1239" s="153"/>
      <c r="BW1239" s="153"/>
      <c r="CD1239" s="146"/>
      <c r="CF1239" s="147"/>
      <c r="CI1239" s="146"/>
      <c r="CJ1239" s="153"/>
      <c r="CV1239" s="154"/>
      <c r="CX1239" s="154"/>
      <c r="CZ1239" s="154"/>
      <c r="DB1239" s="154"/>
      <c r="DD1239" s="154"/>
      <c r="DH1239" s="474"/>
      <c r="DI1239" s="459"/>
      <c r="DJ1239" s="459"/>
      <c r="DK1239" s="459"/>
      <c r="DL1239" s="459"/>
      <c r="DM1239" s="459"/>
      <c r="DN1239" s="459"/>
      <c r="DO1239" s="459"/>
      <c r="DP1239" s="459"/>
      <c r="DQ1239" s="459"/>
      <c r="DR1239" s="459"/>
      <c r="DS1239" s="459"/>
      <c r="DT1239" s="459"/>
      <c r="DU1239" s="459"/>
      <c r="DV1239" s="468"/>
      <c r="DW1239" s="468"/>
      <c r="DX1239" s="459"/>
      <c r="DY1239" s="459"/>
    </row>
    <row r="1240" spans="1:129" s="128" customFormat="1" ht="54.95" customHeight="1" x14ac:dyDescent="0.25">
      <c r="A1240" s="377"/>
      <c r="B1240" s="175"/>
      <c r="C1240" s="393"/>
      <c r="D1240" s="168"/>
      <c r="E1240" s="168"/>
      <c r="F1240" s="168"/>
      <c r="G1240" s="168"/>
      <c r="H1240" s="168"/>
      <c r="I1240" s="168"/>
      <c r="J1240" s="168"/>
      <c r="K1240" s="168"/>
      <c r="L1240" s="168"/>
      <c r="M1240" s="168"/>
      <c r="N1240" s="168"/>
      <c r="O1240" s="433"/>
      <c r="P1240" s="122"/>
      <c r="Q1240" s="156"/>
      <c r="R1240" s="156"/>
      <c r="S1240" s="156"/>
      <c r="T1240" s="156"/>
      <c r="U1240" s="156"/>
      <c r="V1240" s="156"/>
      <c r="W1240" s="156"/>
      <c r="X1240" s="156"/>
      <c r="Y1240" s="156"/>
      <c r="Z1240" s="157"/>
      <c r="AA1240" s="157"/>
      <c r="AB1240" s="156"/>
      <c r="AC1240" s="156"/>
      <c r="AD1240" s="156"/>
      <c r="AE1240" s="156"/>
      <c r="AF1240" s="156"/>
      <c r="AG1240" s="156"/>
      <c r="AH1240" s="156"/>
      <c r="AI1240" s="156"/>
      <c r="AJ1240" s="156"/>
      <c r="AK1240" s="156"/>
      <c r="AL1240" s="156"/>
      <c r="AM1240" s="158"/>
      <c r="AN1240" s="156"/>
      <c r="AO1240" s="156"/>
      <c r="AP1240" s="156"/>
      <c r="AQ1240" s="156"/>
      <c r="AR1240" s="156"/>
      <c r="AS1240" s="156"/>
      <c r="AT1240" s="156"/>
      <c r="AU1240" s="156"/>
      <c r="AV1240" s="156"/>
      <c r="AW1240" s="156"/>
      <c r="AX1240" s="156"/>
      <c r="AY1240" s="156"/>
      <c r="AZ1240" s="156"/>
      <c r="BA1240" s="153"/>
      <c r="BD1240" s="153"/>
      <c r="BE1240" s="147"/>
      <c r="BI1240" s="153"/>
      <c r="BO1240" s="153"/>
      <c r="BW1240" s="153"/>
      <c r="CD1240" s="146"/>
      <c r="CF1240" s="147"/>
      <c r="CI1240" s="146"/>
      <c r="CJ1240" s="153"/>
      <c r="CV1240" s="154"/>
      <c r="CX1240" s="154"/>
      <c r="CZ1240" s="154"/>
      <c r="DB1240" s="154"/>
      <c r="DD1240" s="154"/>
      <c r="DH1240" s="474"/>
      <c r="DI1240" s="459"/>
      <c r="DJ1240" s="459"/>
      <c r="DK1240" s="459"/>
      <c r="DL1240" s="459"/>
      <c r="DM1240" s="459"/>
      <c r="DN1240" s="459"/>
      <c r="DO1240" s="459"/>
      <c r="DP1240" s="459"/>
      <c r="DQ1240" s="459"/>
      <c r="DR1240" s="459"/>
      <c r="DS1240" s="459"/>
      <c r="DT1240" s="459"/>
      <c r="DU1240" s="459"/>
      <c r="DV1240" s="468"/>
      <c r="DW1240" s="468"/>
      <c r="DX1240" s="459"/>
      <c r="DY1240" s="459"/>
    </row>
    <row r="1241" spans="1:129" s="128" customFormat="1" ht="54.95" customHeight="1" x14ac:dyDescent="0.25">
      <c r="A1241" s="377"/>
      <c r="B1241" s="175"/>
      <c r="C1241" s="393"/>
      <c r="D1241" s="168"/>
      <c r="E1241" s="168"/>
      <c r="F1241" s="168"/>
      <c r="G1241" s="168"/>
      <c r="H1241" s="168"/>
      <c r="I1241" s="168"/>
      <c r="J1241" s="168"/>
      <c r="K1241" s="168"/>
      <c r="L1241" s="168"/>
      <c r="M1241" s="168"/>
      <c r="N1241" s="168"/>
      <c r="O1241" s="433"/>
      <c r="P1241" s="122"/>
      <c r="Q1241" s="156"/>
      <c r="R1241" s="156"/>
      <c r="S1241" s="156"/>
      <c r="T1241" s="156"/>
      <c r="U1241" s="156"/>
      <c r="V1241" s="156"/>
      <c r="W1241" s="156"/>
      <c r="X1241" s="156"/>
      <c r="Y1241" s="156"/>
      <c r="Z1241" s="157"/>
      <c r="AA1241" s="157"/>
      <c r="AB1241" s="156"/>
      <c r="AC1241" s="156"/>
      <c r="AD1241" s="156"/>
      <c r="AE1241" s="156"/>
      <c r="AF1241" s="156"/>
      <c r="AG1241" s="156"/>
      <c r="AH1241" s="156"/>
      <c r="AI1241" s="156"/>
      <c r="AJ1241" s="156"/>
      <c r="AK1241" s="156"/>
      <c r="AL1241" s="156"/>
      <c r="AM1241" s="158"/>
      <c r="AN1241" s="156"/>
      <c r="AO1241" s="156"/>
      <c r="AP1241" s="156"/>
      <c r="AQ1241" s="156"/>
      <c r="AR1241" s="156"/>
      <c r="AS1241" s="156"/>
      <c r="AT1241" s="156"/>
      <c r="AU1241" s="156"/>
      <c r="AV1241" s="156"/>
      <c r="AW1241" s="156"/>
      <c r="AX1241" s="156"/>
      <c r="AY1241" s="156"/>
      <c r="AZ1241" s="156"/>
      <c r="BA1241" s="153"/>
      <c r="BD1241" s="153"/>
      <c r="BE1241" s="147"/>
      <c r="BI1241" s="153"/>
      <c r="BO1241" s="153"/>
      <c r="BW1241" s="153"/>
      <c r="CD1241" s="146"/>
      <c r="CF1241" s="147"/>
      <c r="CI1241" s="146"/>
      <c r="CJ1241" s="153"/>
      <c r="CV1241" s="154"/>
      <c r="CX1241" s="154"/>
      <c r="CZ1241" s="154"/>
      <c r="DB1241" s="154"/>
      <c r="DD1241" s="154"/>
      <c r="DH1241" s="474"/>
      <c r="DI1241" s="459"/>
      <c r="DJ1241" s="459"/>
      <c r="DK1241" s="459"/>
      <c r="DL1241" s="459"/>
      <c r="DM1241" s="459"/>
      <c r="DN1241" s="459"/>
      <c r="DO1241" s="459"/>
      <c r="DP1241" s="459"/>
      <c r="DQ1241" s="459"/>
      <c r="DR1241" s="459"/>
      <c r="DS1241" s="459"/>
      <c r="DT1241" s="459"/>
      <c r="DU1241" s="459"/>
      <c r="DV1241" s="468"/>
      <c r="DW1241" s="468"/>
      <c r="DX1241" s="459"/>
      <c r="DY1241" s="459"/>
    </row>
    <row r="1242" spans="1:129" s="128" customFormat="1" ht="54.95" customHeight="1" x14ac:dyDescent="0.25">
      <c r="A1242" s="377"/>
      <c r="B1242" s="175"/>
      <c r="C1242" s="393"/>
      <c r="D1242" s="168"/>
      <c r="E1242" s="168"/>
      <c r="F1242" s="168"/>
      <c r="G1242" s="168"/>
      <c r="H1242" s="168"/>
      <c r="I1242" s="168"/>
      <c r="J1242" s="168"/>
      <c r="K1242" s="168"/>
      <c r="L1242" s="168"/>
      <c r="M1242" s="168"/>
      <c r="N1242" s="168"/>
      <c r="O1242" s="433"/>
      <c r="P1242" s="122"/>
      <c r="Q1242" s="156"/>
      <c r="R1242" s="156"/>
      <c r="S1242" s="156"/>
      <c r="T1242" s="156"/>
      <c r="U1242" s="156"/>
      <c r="V1242" s="156"/>
      <c r="W1242" s="156"/>
      <c r="X1242" s="156"/>
      <c r="Y1242" s="156"/>
      <c r="Z1242" s="157"/>
      <c r="AA1242" s="157"/>
      <c r="AB1242" s="156"/>
      <c r="AC1242" s="156"/>
      <c r="AD1242" s="156"/>
      <c r="AE1242" s="156"/>
      <c r="AF1242" s="156"/>
      <c r="AG1242" s="156"/>
      <c r="AH1242" s="156"/>
      <c r="AI1242" s="156"/>
      <c r="AJ1242" s="156"/>
      <c r="AK1242" s="156"/>
      <c r="AL1242" s="156"/>
      <c r="AM1242" s="158"/>
      <c r="AN1242" s="156"/>
      <c r="AO1242" s="156"/>
      <c r="AP1242" s="156"/>
      <c r="AQ1242" s="156"/>
      <c r="AR1242" s="156"/>
      <c r="AS1242" s="156"/>
      <c r="AT1242" s="156"/>
      <c r="AU1242" s="156"/>
      <c r="AV1242" s="156"/>
      <c r="AW1242" s="156"/>
      <c r="AX1242" s="156"/>
      <c r="AY1242" s="156"/>
      <c r="AZ1242" s="156"/>
      <c r="BA1242" s="153"/>
      <c r="BD1242" s="153"/>
      <c r="BE1242" s="147"/>
      <c r="BI1242" s="153"/>
      <c r="BO1242" s="153"/>
      <c r="BW1242" s="153"/>
      <c r="CD1242" s="146"/>
      <c r="CF1242" s="147"/>
      <c r="CI1242" s="146"/>
      <c r="CJ1242" s="153"/>
      <c r="CV1242" s="154"/>
      <c r="CX1242" s="154"/>
      <c r="CZ1242" s="154"/>
      <c r="DB1242" s="154"/>
      <c r="DD1242" s="154"/>
      <c r="DH1242" s="474"/>
      <c r="DI1242" s="459"/>
      <c r="DJ1242" s="459"/>
      <c r="DK1242" s="459"/>
      <c r="DL1242" s="459"/>
      <c r="DM1242" s="459"/>
      <c r="DN1242" s="459"/>
      <c r="DO1242" s="459"/>
      <c r="DP1242" s="459"/>
      <c r="DQ1242" s="459"/>
      <c r="DR1242" s="459"/>
      <c r="DS1242" s="459"/>
      <c r="DT1242" s="459"/>
      <c r="DU1242" s="459"/>
      <c r="DV1242" s="468"/>
      <c r="DW1242" s="468"/>
      <c r="DX1242" s="459"/>
      <c r="DY1242" s="459"/>
    </row>
    <row r="1243" spans="1:129" s="128" customFormat="1" ht="54.95" customHeight="1" x14ac:dyDescent="0.25">
      <c r="A1243" s="377"/>
      <c r="B1243" s="175"/>
      <c r="C1243" s="393"/>
      <c r="D1243" s="168"/>
      <c r="E1243" s="168"/>
      <c r="F1243" s="168"/>
      <c r="G1243" s="168"/>
      <c r="H1243" s="168"/>
      <c r="I1243" s="168"/>
      <c r="J1243" s="168"/>
      <c r="K1243" s="168"/>
      <c r="L1243" s="168"/>
      <c r="M1243" s="168"/>
      <c r="N1243" s="168"/>
      <c r="O1243" s="433"/>
      <c r="P1243" s="122"/>
      <c r="Q1243" s="156"/>
      <c r="R1243" s="156"/>
      <c r="S1243" s="156"/>
      <c r="T1243" s="156"/>
      <c r="U1243" s="156"/>
      <c r="V1243" s="156"/>
      <c r="W1243" s="156"/>
      <c r="X1243" s="156"/>
      <c r="Y1243" s="156"/>
      <c r="Z1243" s="157"/>
      <c r="AA1243" s="157"/>
      <c r="AB1243" s="156"/>
      <c r="AC1243" s="156"/>
      <c r="AD1243" s="156"/>
      <c r="AE1243" s="156"/>
      <c r="AF1243" s="156"/>
      <c r="AG1243" s="156"/>
      <c r="AH1243" s="156"/>
      <c r="AI1243" s="156"/>
      <c r="AJ1243" s="156"/>
      <c r="AK1243" s="156"/>
      <c r="AL1243" s="156"/>
      <c r="AM1243" s="158"/>
      <c r="AN1243" s="156"/>
      <c r="AO1243" s="156"/>
      <c r="AP1243" s="156"/>
      <c r="AQ1243" s="156"/>
      <c r="AR1243" s="156"/>
      <c r="AS1243" s="156"/>
      <c r="AT1243" s="156"/>
      <c r="AU1243" s="156"/>
      <c r="AV1243" s="156"/>
      <c r="AW1243" s="156"/>
      <c r="AX1243" s="156"/>
      <c r="AY1243" s="156"/>
      <c r="AZ1243" s="156"/>
      <c r="BA1243" s="153"/>
      <c r="BD1243" s="153"/>
      <c r="BE1243" s="147"/>
      <c r="BI1243" s="153"/>
      <c r="BO1243" s="153"/>
      <c r="BW1243" s="153"/>
      <c r="CD1243" s="146"/>
      <c r="CF1243" s="147"/>
      <c r="CI1243" s="146"/>
      <c r="CJ1243" s="153"/>
      <c r="CV1243" s="154"/>
      <c r="CX1243" s="154"/>
      <c r="CZ1243" s="154"/>
      <c r="DB1243" s="154"/>
      <c r="DD1243" s="154"/>
      <c r="DH1243" s="474"/>
      <c r="DI1243" s="459"/>
      <c r="DJ1243" s="459"/>
      <c r="DK1243" s="459"/>
      <c r="DL1243" s="459"/>
      <c r="DM1243" s="459"/>
      <c r="DN1243" s="459"/>
      <c r="DO1243" s="459"/>
      <c r="DP1243" s="459"/>
      <c r="DQ1243" s="459"/>
      <c r="DR1243" s="459"/>
      <c r="DS1243" s="459"/>
      <c r="DT1243" s="459"/>
      <c r="DU1243" s="459"/>
      <c r="DV1243" s="468"/>
      <c r="DW1243" s="468"/>
      <c r="DX1243" s="459"/>
      <c r="DY1243" s="459"/>
    </row>
    <row r="1244" spans="1:129" s="128" customFormat="1" ht="54.95" customHeight="1" x14ac:dyDescent="0.25">
      <c r="A1244" s="377"/>
      <c r="B1244" s="175"/>
      <c r="C1244" s="393"/>
      <c r="D1244" s="168"/>
      <c r="E1244" s="168"/>
      <c r="F1244" s="168"/>
      <c r="G1244" s="168"/>
      <c r="H1244" s="168"/>
      <c r="I1244" s="168"/>
      <c r="J1244" s="168"/>
      <c r="K1244" s="168"/>
      <c r="L1244" s="168"/>
      <c r="M1244" s="168"/>
      <c r="N1244" s="168"/>
      <c r="O1244" s="433"/>
      <c r="P1244" s="122"/>
      <c r="Q1244" s="156"/>
      <c r="R1244" s="156"/>
      <c r="S1244" s="156"/>
      <c r="T1244" s="156"/>
      <c r="U1244" s="156"/>
      <c r="V1244" s="156"/>
      <c r="W1244" s="156"/>
      <c r="X1244" s="156"/>
      <c r="Y1244" s="156"/>
      <c r="Z1244" s="157"/>
      <c r="AA1244" s="157"/>
      <c r="AB1244" s="156"/>
      <c r="AC1244" s="156"/>
      <c r="AD1244" s="156"/>
      <c r="AE1244" s="156"/>
      <c r="AF1244" s="156"/>
      <c r="AG1244" s="156"/>
      <c r="AH1244" s="156"/>
      <c r="AI1244" s="156"/>
      <c r="AJ1244" s="156"/>
      <c r="AK1244" s="156"/>
      <c r="AL1244" s="156"/>
      <c r="AM1244" s="158"/>
      <c r="AN1244" s="156"/>
      <c r="AO1244" s="156"/>
      <c r="AP1244" s="156"/>
      <c r="AQ1244" s="156"/>
      <c r="AR1244" s="156"/>
      <c r="AS1244" s="156"/>
      <c r="AT1244" s="156"/>
      <c r="AU1244" s="156"/>
      <c r="AV1244" s="156"/>
      <c r="AW1244" s="156"/>
      <c r="AX1244" s="156"/>
      <c r="AY1244" s="156"/>
      <c r="AZ1244" s="156"/>
      <c r="BA1244" s="153"/>
      <c r="BD1244" s="153"/>
      <c r="BE1244" s="147"/>
      <c r="BI1244" s="153"/>
      <c r="BO1244" s="153"/>
      <c r="BW1244" s="153"/>
      <c r="CD1244" s="146"/>
      <c r="CF1244" s="147"/>
      <c r="CI1244" s="146"/>
      <c r="CJ1244" s="153"/>
      <c r="CV1244" s="154"/>
      <c r="CX1244" s="154"/>
      <c r="CZ1244" s="154"/>
      <c r="DB1244" s="154"/>
      <c r="DD1244" s="154"/>
      <c r="DH1244" s="474"/>
      <c r="DI1244" s="459"/>
      <c r="DJ1244" s="459"/>
      <c r="DK1244" s="459"/>
      <c r="DL1244" s="459"/>
      <c r="DM1244" s="459"/>
      <c r="DN1244" s="459"/>
      <c r="DO1244" s="459"/>
      <c r="DP1244" s="459"/>
      <c r="DQ1244" s="459"/>
      <c r="DR1244" s="459"/>
      <c r="DS1244" s="459"/>
      <c r="DT1244" s="459"/>
      <c r="DU1244" s="459"/>
      <c r="DV1244" s="468"/>
      <c r="DW1244" s="468"/>
      <c r="DX1244" s="459"/>
      <c r="DY1244" s="459"/>
    </row>
    <row r="1245" spans="1:129" s="128" customFormat="1" ht="54.95" customHeight="1" x14ac:dyDescent="0.25">
      <c r="A1245" s="377"/>
      <c r="B1245" s="175"/>
      <c r="C1245" s="393"/>
      <c r="D1245" s="168"/>
      <c r="E1245" s="168"/>
      <c r="F1245" s="168"/>
      <c r="G1245" s="168"/>
      <c r="H1245" s="168"/>
      <c r="I1245" s="168"/>
      <c r="J1245" s="168"/>
      <c r="K1245" s="168"/>
      <c r="L1245" s="168"/>
      <c r="M1245" s="168"/>
      <c r="N1245" s="168"/>
      <c r="O1245" s="433"/>
      <c r="P1245" s="122"/>
      <c r="Q1245" s="156"/>
      <c r="R1245" s="156"/>
      <c r="S1245" s="156"/>
      <c r="T1245" s="156"/>
      <c r="U1245" s="156"/>
      <c r="V1245" s="156"/>
      <c r="W1245" s="156"/>
      <c r="X1245" s="156"/>
      <c r="Y1245" s="156"/>
      <c r="Z1245" s="157"/>
      <c r="AA1245" s="157"/>
      <c r="AB1245" s="156"/>
      <c r="AC1245" s="156"/>
      <c r="AD1245" s="156"/>
      <c r="AE1245" s="156"/>
      <c r="AF1245" s="156"/>
      <c r="AG1245" s="156"/>
      <c r="AH1245" s="156"/>
      <c r="AI1245" s="156"/>
      <c r="AJ1245" s="156"/>
      <c r="AK1245" s="156"/>
      <c r="AL1245" s="156"/>
      <c r="AM1245" s="158"/>
      <c r="AN1245" s="156"/>
      <c r="AO1245" s="156"/>
      <c r="AP1245" s="156"/>
      <c r="AQ1245" s="156"/>
      <c r="AR1245" s="156"/>
      <c r="AS1245" s="156"/>
      <c r="AT1245" s="156"/>
      <c r="AU1245" s="156"/>
      <c r="AV1245" s="156"/>
      <c r="AW1245" s="156"/>
      <c r="AX1245" s="156"/>
      <c r="AY1245" s="156"/>
      <c r="AZ1245" s="156"/>
      <c r="BA1245" s="153"/>
      <c r="BD1245" s="153"/>
      <c r="BE1245" s="147"/>
      <c r="BI1245" s="153"/>
      <c r="BO1245" s="153"/>
      <c r="BW1245" s="153"/>
      <c r="CD1245" s="146"/>
      <c r="CF1245" s="147"/>
      <c r="CI1245" s="146"/>
      <c r="CJ1245" s="153"/>
      <c r="CV1245" s="154"/>
      <c r="CX1245" s="154"/>
      <c r="CZ1245" s="154"/>
      <c r="DB1245" s="154"/>
      <c r="DD1245" s="154"/>
      <c r="DH1245" s="474"/>
      <c r="DI1245" s="459"/>
      <c r="DJ1245" s="459"/>
      <c r="DK1245" s="459"/>
      <c r="DL1245" s="459"/>
      <c r="DM1245" s="459"/>
      <c r="DN1245" s="459"/>
      <c r="DO1245" s="459"/>
      <c r="DP1245" s="459"/>
      <c r="DQ1245" s="459"/>
      <c r="DR1245" s="459"/>
      <c r="DS1245" s="459"/>
      <c r="DT1245" s="459"/>
      <c r="DU1245" s="459"/>
      <c r="DV1245" s="468"/>
      <c r="DW1245" s="468"/>
      <c r="DX1245" s="459"/>
      <c r="DY1245" s="459"/>
    </row>
    <row r="1246" spans="1:129" s="128" customFormat="1" ht="54.95" customHeight="1" x14ac:dyDescent="0.25">
      <c r="A1246" s="377"/>
      <c r="B1246" s="175"/>
      <c r="C1246" s="393"/>
      <c r="D1246" s="168"/>
      <c r="E1246" s="168"/>
      <c r="F1246" s="168"/>
      <c r="G1246" s="168"/>
      <c r="H1246" s="168"/>
      <c r="I1246" s="168"/>
      <c r="J1246" s="168"/>
      <c r="K1246" s="168"/>
      <c r="L1246" s="168"/>
      <c r="M1246" s="168"/>
      <c r="N1246" s="168"/>
      <c r="O1246" s="433"/>
      <c r="P1246" s="122"/>
      <c r="Q1246" s="156"/>
      <c r="R1246" s="156"/>
      <c r="S1246" s="156"/>
      <c r="T1246" s="156"/>
      <c r="U1246" s="156"/>
      <c r="V1246" s="156"/>
      <c r="W1246" s="156"/>
      <c r="X1246" s="156"/>
      <c r="Y1246" s="156"/>
      <c r="Z1246" s="157"/>
      <c r="AA1246" s="157"/>
      <c r="AB1246" s="156"/>
      <c r="AC1246" s="156"/>
      <c r="AD1246" s="156"/>
      <c r="AE1246" s="156"/>
      <c r="AF1246" s="156"/>
      <c r="AG1246" s="156"/>
      <c r="AH1246" s="156"/>
      <c r="AI1246" s="156"/>
      <c r="AJ1246" s="156"/>
      <c r="AK1246" s="156"/>
      <c r="AL1246" s="156"/>
      <c r="AM1246" s="158"/>
      <c r="AN1246" s="156"/>
      <c r="AO1246" s="156"/>
      <c r="AP1246" s="156"/>
      <c r="AQ1246" s="156"/>
      <c r="AR1246" s="156"/>
      <c r="AS1246" s="156"/>
      <c r="AT1246" s="156"/>
      <c r="AU1246" s="156"/>
      <c r="AV1246" s="156"/>
      <c r="AW1246" s="156"/>
      <c r="AX1246" s="156"/>
      <c r="AY1246" s="156"/>
      <c r="AZ1246" s="156"/>
      <c r="BA1246" s="153"/>
      <c r="BD1246" s="153"/>
      <c r="BE1246" s="147"/>
      <c r="BI1246" s="153"/>
      <c r="BO1246" s="153"/>
      <c r="BW1246" s="153"/>
      <c r="CD1246" s="146"/>
      <c r="CF1246" s="147"/>
      <c r="CI1246" s="146"/>
      <c r="CJ1246" s="153"/>
      <c r="CV1246" s="154"/>
      <c r="CX1246" s="154"/>
      <c r="CZ1246" s="154"/>
      <c r="DB1246" s="154"/>
      <c r="DD1246" s="154"/>
      <c r="DH1246" s="474"/>
      <c r="DI1246" s="459"/>
      <c r="DJ1246" s="459"/>
      <c r="DK1246" s="459"/>
      <c r="DL1246" s="459"/>
      <c r="DM1246" s="459"/>
      <c r="DN1246" s="459"/>
      <c r="DO1246" s="459"/>
      <c r="DP1246" s="459"/>
      <c r="DQ1246" s="459"/>
      <c r="DR1246" s="459"/>
      <c r="DS1246" s="459"/>
      <c r="DT1246" s="459"/>
      <c r="DU1246" s="459"/>
      <c r="DV1246" s="468"/>
      <c r="DW1246" s="468"/>
      <c r="DX1246" s="459"/>
      <c r="DY1246" s="459"/>
    </row>
    <row r="1247" spans="1:129" s="128" customFormat="1" ht="54.95" customHeight="1" x14ac:dyDescent="0.25">
      <c r="A1247" s="377"/>
      <c r="B1247" s="175"/>
      <c r="C1247" s="393"/>
      <c r="D1247" s="168"/>
      <c r="E1247" s="168"/>
      <c r="F1247" s="168"/>
      <c r="G1247" s="168"/>
      <c r="H1247" s="168"/>
      <c r="I1247" s="168"/>
      <c r="J1247" s="168"/>
      <c r="K1247" s="168"/>
      <c r="L1247" s="168"/>
      <c r="M1247" s="168"/>
      <c r="N1247" s="168"/>
      <c r="O1247" s="433"/>
      <c r="P1247" s="122"/>
      <c r="Q1247" s="156"/>
      <c r="R1247" s="156"/>
      <c r="S1247" s="156"/>
      <c r="T1247" s="156"/>
      <c r="U1247" s="156"/>
      <c r="V1247" s="156"/>
      <c r="W1247" s="156"/>
      <c r="X1247" s="156"/>
      <c r="Y1247" s="156"/>
      <c r="Z1247" s="157"/>
      <c r="AA1247" s="157"/>
      <c r="AB1247" s="156"/>
      <c r="AC1247" s="156"/>
      <c r="AD1247" s="156"/>
      <c r="AE1247" s="156"/>
      <c r="AF1247" s="156"/>
      <c r="AG1247" s="156"/>
      <c r="AH1247" s="156"/>
      <c r="AI1247" s="156"/>
      <c r="AJ1247" s="156"/>
      <c r="AK1247" s="156"/>
      <c r="AL1247" s="156"/>
      <c r="AM1247" s="158"/>
      <c r="AN1247" s="156"/>
      <c r="AO1247" s="156"/>
      <c r="AP1247" s="156"/>
      <c r="AQ1247" s="156"/>
      <c r="AR1247" s="156"/>
      <c r="AS1247" s="156"/>
      <c r="AT1247" s="156"/>
      <c r="AU1247" s="156"/>
      <c r="AV1247" s="156"/>
      <c r="AW1247" s="156"/>
      <c r="AX1247" s="156"/>
      <c r="AY1247" s="156"/>
      <c r="AZ1247" s="156"/>
      <c r="BA1247" s="153"/>
      <c r="BD1247" s="153"/>
      <c r="BE1247" s="147"/>
      <c r="BI1247" s="153"/>
      <c r="BO1247" s="153"/>
      <c r="BW1247" s="153"/>
      <c r="CD1247" s="146"/>
      <c r="CF1247" s="147"/>
      <c r="CI1247" s="146"/>
      <c r="CJ1247" s="153"/>
      <c r="CV1247" s="154"/>
      <c r="CX1247" s="154"/>
      <c r="CZ1247" s="154"/>
      <c r="DB1247" s="154"/>
      <c r="DD1247" s="154"/>
      <c r="DH1247" s="474"/>
      <c r="DI1247" s="459"/>
      <c r="DJ1247" s="459"/>
      <c r="DK1247" s="459"/>
      <c r="DL1247" s="459"/>
      <c r="DM1247" s="459"/>
      <c r="DN1247" s="459"/>
      <c r="DO1247" s="459"/>
      <c r="DP1247" s="459"/>
      <c r="DQ1247" s="459"/>
      <c r="DR1247" s="459"/>
      <c r="DS1247" s="459"/>
      <c r="DT1247" s="459"/>
      <c r="DU1247" s="459"/>
      <c r="DV1247" s="468"/>
      <c r="DW1247" s="468"/>
      <c r="DX1247" s="459"/>
      <c r="DY1247" s="459"/>
    </row>
    <row r="1248" spans="1:129" s="128" customFormat="1" ht="54.95" customHeight="1" x14ac:dyDescent="0.25">
      <c r="A1248" s="377"/>
      <c r="B1248" s="175"/>
      <c r="C1248" s="393"/>
      <c r="D1248" s="168"/>
      <c r="E1248" s="168"/>
      <c r="F1248" s="168"/>
      <c r="G1248" s="168"/>
      <c r="H1248" s="168"/>
      <c r="I1248" s="168"/>
      <c r="J1248" s="168"/>
      <c r="K1248" s="168"/>
      <c r="L1248" s="168"/>
      <c r="M1248" s="168"/>
      <c r="N1248" s="168"/>
      <c r="O1248" s="433"/>
      <c r="P1248" s="122"/>
      <c r="Q1248" s="156"/>
      <c r="R1248" s="156"/>
      <c r="S1248" s="156"/>
      <c r="T1248" s="156"/>
      <c r="U1248" s="156"/>
      <c r="V1248" s="156"/>
      <c r="W1248" s="156"/>
      <c r="X1248" s="156"/>
      <c r="Y1248" s="156"/>
      <c r="Z1248" s="157"/>
      <c r="AA1248" s="157"/>
      <c r="AB1248" s="156"/>
      <c r="AC1248" s="156"/>
      <c r="AD1248" s="156"/>
      <c r="AE1248" s="156"/>
      <c r="AF1248" s="156"/>
      <c r="AG1248" s="156"/>
      <c r="AH1248" s="156"/>
      <c r="AI1248" s="156"/>
      <c r="AJ1248" s="156"/>
      <c r="AK1248" s="156"/>
      <c r="AL1248" s="156"/>
      <c r="AM1248" s="158"/>
      <c r="AN1248" s="156"/>
      <c r="AO1248" s="156"/>
      <c r="AP1248" s="156"/>
      <c r="AQ1248" s="156"/>
      <c r="AR1248" s="156"/>
      <c r="AS1248" s="156"/>
      <c r="AT1248" s="156"/>
      <c r="AU1248" s="156"/>
      <c r="AV1248" s="156"/>
      <c r="AW1248" s="156"/>
      <c r="AX1248" s="156"/>
      <c r="AY1248" s="156"/>
      <c r="AZ1248" s="156"/>
      <c r="BA1248" s="153"/>
      <c r="BD1248" s="153"/>
      <c r="BE1248" s="147"/>
      <c r="BI1248" s="153"/>
      <c r="BO1248" s="153"/>
      <c r="BW1248" s="153"/>
      <c r="CD1248" s="146"/>
      <c r="CF1248" s="147"/>
      <c r="CI1248" s="146"/>
      <c r="CJ1248" s="153"/>
      <c r="CV1248" s="154"/>
      <c r="CX1248" s="154"/>
      <c r="CZ1248" s="154"/>
      <c r="DB1248" s="154"/>
      <c r="DD1248" s="154"/>
      <c r="DH1248" s="474"/>
      <c r="DI1248" s="459"/>
      <c r="DJ1248" s="459"/>
      <c r="DK1248" s="459"/>
      <c r="DL1248" s="459"/>
      <c r="DM1248" s="459"/>
      <c r="DN1248" s="459"/>
      <c r="DO1248" s="459"/>
      <c r="DP1248" s="459"/>
      <c r="DQ1248" s="459"/>
      <c r="DR1248" s="459"/>
      <c r="DS1248" s="459"/>
      <c r="DT1248" s="459"/>
      <c r="DU1248" s="459"/>
      <c r="DV1248" s="468"/>
      <c r="DW1248" s="468"/>
      <c r="DX1248" s="459"/>
      <c r="DY1248" s="459"/>
    </row>
    <row r="1249" spans="1:129" s="128" customFormat="1" ht="54.95" customHeight="1" x14ac:dyDescent="0.25">
      <c r="A1249" s="377"/>
      <c r="B1249" s="175"/>
      <c r="C1249" s="393"/>
      <c r="D1249" s="168"/>
      <c r="E1249" s="168"/>
      <c r="F1249" s="168"/>
      <c r="G1249" s="168"/>
      <c r="H1249" s="168"/>
      <c r="I1249" s="168"/>
      <c r="J1249" s="168"/>
      <c r="K1249" s="168"/>
      <c r="L1249" s="168"/>
      <c r="M1249" s="168"/>
      <c r="N1249" s="168"/>
      <c r="O1249" s="433"/>
      <c r="P1249" s="122"/>
      <c r="Q1249" s="156"/>
      <c r="R1249" s="156"/>
      <c r="S1249" s="156"/>
      <c r="T1249" s="156"/>
      <c r="U1249" s="156"/>
      <c r="V1249" s="156"/>
      <c r="W1249" s="156"/>
      <c r="X1249" s="156"/>
      <c r="Y1249" s="156"/>
      <c r="Z1249" s="157"/>
      <c r="AA1249" s="157"/>
      <c r="AB1249" s="156"/>
      <c r="AC1249" s="156"/>
      <c r="AD1249" s="156"/>
      <c r="AE1249" s="156"/>
      <c r="AF1249" s="156"/>
      <c r="AG1249" s="156"/>
      <c r="AH1249" s="156"/>
      <c r="AI1249" s="156"/>
      <c r="AJ1249" s="156"/>
      <c r="AK1249" s="156"/>
      <c r="AL1249" s="156"/>
      <c r="AM1249" s="158"/>
      <c r="AN1249" s="156"/>
      <c r="AO1249" s="156"/>
      <c r="AP1249" s="156"/>
      <c r="AQ1249" s="156"/>
      <c r="AR1249" s="156"/>
      <c r="AS1249" s="156"/>
      <c r="AT1249" s="156"/>
      <c r="AU1249" s="156"/>
      <c r="AV1249" s="156"/>
      <c r="AW1249" s="156"/>
      <c r="AX1249" s="156"/>
      <c r="AY1249" s="156"/>
      <c r="AZ1249" s="156"/>
      <c r="BA1249" s="153"/>
      <c r="BD1249" s="153"/>
      <c r="BE1249" s="147"/>
      <c r="BI1249" s="153"/>
      <c r="BO1249" s="153"/>
      <c r="BW1249" s="153"/>
      <c r="CD1249" s="146"/>
      <c r="CF1249" s="147"/>
      <c r="CI1249" s="146"/>
      <c r="CJ1249" s="153"/>
      <c r="CV1249" s="154"/>
      <c r="CX1249" s="154"/>
      <c r="CZ1249" s="154"/>
      <c r="DB1249" s="154"/>
      <c r="DD1249" s="154"/>
      <c r="DH1249" s="474"/>
      <c r="DI1249" s="459"/>
      <c r="DJ1249" s="459"/>
      <c r="DK1249" s="459"/>
      <c r="DL1249" s="459"/>
      <c r="DM1249" s="459"/>
      <c r="DN1249" s="459"/>
      <c r="DO1249" s="459"/>
      <c r="DP1249" s="459"/>
      <c r="DQ1249" s="459"/>
      <c r="DR1249" s="459"/>
      <c r="DS1249" s="459"/>
      <c r="DT1249" s="459"/>
      <c r="DU1249" s="459"/>
      <c r="DV1249" s="468"/>
      <c r="DW1249" s="468"/>
      <c r="DX1249" s="459"/>
      <c r="DY1249" s="459"/>
    </row>
    <row r="1250" spans="1:129" s="128" customFormat="1" ht="54.95" customHeight="1" x14ac:dyDescent="0.25">
      <c r="A1250" s="377"/>
      <c r="B1250" s="175"/>
      <c r="C1250" s="393"/>
      <c r="D1250" s="168"/>
      <c r="E1250" s="168"/>
      <c r="F1250" s="168"/>
      <c r="G1250" s="168"/>
      <c r="H1250" s="168"/>
      <c r="I1250" s="168"/>
      <c r="J1250" s="168"/>
      <c r="K1250" s="168"/>
      <c r="L1250" s="168"/>
      <c r="M1250" s="168"/>
      <c r="N1250" s="168"/>
      <c r="O1250" s="433"/>
      <c r="P1250" s="122"/>
      <c r="Q1250" s="156"/>
      <c r="R1250" s="156"/>
      <c r="S1250" s="156"/>
      <c r="T1250" s="156"/>
      <c r="U1250" s="156"/>
      <c r="V1250" s="156"/>
      <c r="W1250" s="156"/>
      <c r="X1250" s="156"/>
      <c r="Y1250" s="156"/>
      <c r="Z1250" s="157"/>
      <c r="AA1250" s="157"/>
      <c r="AB1250" s="156"/>
      <c r="AC1250" s="156"/>
      <c r="AD1250" s="156"/>
      <c r="AE1250" s="156"/>
      <c r="AF1250" s="156"/>
      <c r="AG1250" s="156"/>
      <c r="AH1250" s="156"/>
      <c r="AI1250" s="156"/>
      <c r="AJ1250" s="156"/>
      <c r="AK1250" s="156"/>
      <c r="AL1250" s="156"/>
      <c r="AM1250" s="158"/>
      <c r="AN1250" s="156"/>
      <c r="AO1250" s="156"/>
      <c r="AP1250" s="156"/>
      <c r="AQ1250" s="156"/>
      <c r="AR1250" s="156"/>
      <c r="AS1250" s="156"/>
      <c r="AT1250" s="156"/>
      <c r="AU1250" s="156"/>
      <c r="AV1250" s="156"/>
      <c r="AW1250" s="156"/>
      <c r="AX1250" s="156"/>
      <c r="AY1250" s="156"/>
      <c r="AZ1250" s="156"/>
      <c r="BA1250" s="153"/>
      <c r="BD1250" s="153"/>
      <c r="BE1250" s="147"/>
      <c r="BI1250" s="153"/>
      <c r="BO1250" s="153"/>
      <c r="BW1250" s="153"/>
      <c r="CD1250" s="146"/>
      <c r="CF1250" s="147"/>
      <c r="CI1250" s="146"/>
      <c r="CJ1250" s="153"/>
      <c r="CV1250" s="154"/>
      <c r="CX1250" s="154"/>
      <c r="CZ1250" s="154"/>
      <c r="DB1250" s="154"/>
      <c r="DD1250" s="154"/>
      <c r="DH1250" s="474"/>
      <c r="DI1250" s="459"/>
      <c r="DJ1250" s="459"/>
      <c r="DK1250" s="459"/>
      <c r="DL1250" s="459"/>
      <c r="DM1250" s="459"/>
      <c r="DN1250" s="459"/>
      <c r="DO1250" s="459"/>
      <c r="DP1250" s="459"/>
      <c r="DQ1250" s="459"/>
      <c r="DR1250" s="459"/>
      <c r="DS1250" s="459"/>
      <c r="DT1250" s="459"/>
      <c r="DU1250" s="459"/>
      <c r="DV1250" s="468"/>
      <c r="DW1250" s="468"/>
      <c r="DX1250" s="459"/>
      <c r="DY1250" s="459"/>
    </row>
    <row r="1251" spans="1:129" s="128" customFormat="1" ht="54.95" customHeight="1" x14ac:dyDescent="0.25">
      <c r="A1251" s="377"/>
      <c r="B1251" s="175"/>
      <c r="C1251" s="393"/>
      <c r="D1251" s="168"/>
      <c r="E1251" s="168"/>
      <c r="F1251" s="168"/>
      <c r="G1251" s="168"/>
      <c r="H1251" s="168"/>
      <c r="I1251" s="168"/>
      <c r="J1251" s="168"/>
      <c r="K1251" s="168"/>
      <c r="L1251" s="168"/>
      <c r="M1251" s="168"/>
      <c r="N1251" s="168"/>
      <c r="O1251" s="433"/>
      <c r="P1251" s="122"/>
      <c r="Q1251" s="156"/>
      <c r="R1251" s="156"/>
      <c r="S1251" s="156"/>
      <c r="T1251" s="156"/>
      <c r="U1251" s="156"/>
      <c r="V1251" s="156"/>
      <c r="W1251" s="156"/>
      <c r="X1251" s="156"/>
      <c r="Y1251" s="156"/>
      <c r="Z1251" s="157"/>
      <c r="AA1251" s="157"/>
      <c r="AB1251" s="156"/>
      <c r="AC1251" s="156"/>
      <c r="AD1251" s="156"/>
      <c r="AE1251" s="156"/>
      <c r="AF1251" s="156"/>
      <c r="AG1251" s="156"/>
      <c r="AH1251" s="156"/>
      <c r="AI1251" s="156"/>
      <c r="AJ1251" s="156"/>
      <c r="AK1251" s="156"/>
      <c r="AL1251" s="156"/>
      <c r="AM1251" s="158"/>
      <c r="AN1251" s="156"/>
      <c r="AO1251" s="156"/>
      <c r="AP1251" s="156"/>
      <c r="AQ1251" s="156"/>
      <c r="AR1251" s="156"/>
      <c r="AS1251" s="156"/>
      <c r="AT1251" s="156"/>
      <c r="AU1251" s="156"/>
      <c r="AV1251" s="156"/>
      <c r="AW1251" s="156"/>
      <c r="AX1251" s="156"/>
      <c r="AY1251" s="156"/>
      <c r="AZ1251" s="156"/>
      <c r="BA1251" s="153"/>
      <c r="BD1251" s="153"/>
      <c r="BE1251" s="147"/>
      <c r="BI1251" s="153"/>
      <c r="BO1251" s="153"/>
      <c r="BW1251" s="153"/>
      <c r="CD1251" s="146"/>
      <c r="CF1251" s="147"/>
      <c r="CI1251" s="146"/>
      <c r="CJ1251" s="153"/>
      <c r="CV1251" s="154"/>
      <c r="CX1251" s="154"/>
      <c r="CZ1251" s="154"/>
      <c r="DB1251" s="154"/>
      <c r="DD1251" s="154"/>
      <c r="DH1251" s="474"/>
      <c r="DI1251" s="459"/>
      <c r="DJ1251" s="459"/>
      <c r="DK1251" s="459"/>
      <c r="DL1251" s="459"/>
      <c r="DM1251" s="459"/>
      <c r="DN1251" s="459"/>
      <c r="DO1251" s="459"/>
      <c r="DP1251" s="459"/>
      <c r="DQ1251" s="459"/>
      <c r="DR1251" s="459"/>
      <c r="DS1251" s="459"/>
      <c r="DT1251" s="459"/>
      <c r="DU1251" s="459"/>
      <c r="DV1251" s="468"/>
      <c r="DW1251" s="468"/>
      <c r="DX1251" s="459"/>
      <c r="DY1251" s="459"/>
    </row>
    <row r="1252" spans="1:129" s="128" customFormat="1" ht="54.95" customHeight="1" x14ac:dyDescent="0.25">
      <c r="A1252" s="377"/>
      <c r="B1252" s="175"/>
      <c r="C1252" s="393"/>
      <c r="D1252" s="168"/>
      <c r="E1252" s="168"/>
      <c r="F1252" s="168"/>
      <c r="G1252" s="168"/>
      <c r="H1252" s="168"/>
      <c r="I1252" s="168"/>
      <c r="J1252" s="168"/>
      <c r="K1252" s="168"/>
      <c r="L1252" s="168"/>
      <c r="M1252" s="168"/>
      <c r="N1252" s="168"/>
      <c r="O1252" s="433"/>
      <c r="P1252" s="122"/>
      <c r="Q1252" s="156"/>
      <c r="R1252" s="156"/>
      <c r="S1252" s="156"/>
      <c r="T1252" s="156"/>
      <c r="U1252" s="156"/>
      <c r="V1252" s="156"/>
      <c r="W1252" s="156"/>
      <c r="X1252" s="156"/>
      <c r="Y1252" s="156"/>
      <c r="Z1252" s="157"/>
      <c r="AA1252" s="157"/>
      <c r="AB1252" s="156"/>
      <c r="AC1252" s="156"/>
      <c r="AD1252" s="156"/>
      <c r="AE1252" s="156"/>
      <c r="AF1252" s="156"/>
      <c r="AG1252" s="156"/>
      <c r="AH1252" s="156"/>
      <c r="AI1252" s="156"/>
      <c r="AJ1252" s="156"/>
      <c r="AK1252" s="156"/>
      <c r="AL1252" s="156"/>
      <c r="AM1252" s="158"/>
      <c r="AN1252" s="156"/>
      <c r="AO1252" s="156"/>
      <c r="AP1252" s="156"/>
      <c r="AQ1252" s="156"/>
      <c r="AR1252" s="156"/>
      <c r="AS1252" s="156"/>
      <c r="AT1252" s="156"/>
      <c r="AU1252" s="156"/>
      <c r="AV1252" s="156"/>
      <c r="AW1252" s="156"/>
      <c r="AX1252" s="156"/>
      <c r="AY1252" s="156"/>
      <c r="AZ1252" s="156"/>
      <c r="BA1252" s="153"/>
      <c r="BD1252" s="153"/>
      <c r="BE1252" s="147"/>
      <c r="BI1252" s="153"/>
      <c r="BO1252" s="153"/>
      <c r="BW1252" s="153"/>
      <c r="CD1252" s="146"/>
      <c r="CF1252" s="147"/>
      <c r="CI1252" s="146"/>
      <c r="CJ1252" s="153"/>
      <c r="CV1252" s="154"/>
      <c r="CX1252" s="154"/>
      <c r="CZ1252" s="154"/>
      <c r="DB1252" s="154"/>
      <c r="DD1252" s="154"/>
      <c r="DH1252" s="474"/>
      <c r="DI1252" s="459"/>
      <c r="DJ1252" s="459"/>
      <c r="DK1252" s="459"/>
      <c r="DL1252" s="459"/>
      <c r="DM1252" s="459"/>
      <c r="DN1252" s="459"/>
      <c r="DO1252" s="459"/>
      <c r="DP1252" s="459"/>
      <c r="DQ1252" s="459"/>
      <c r="DR1252" s="459"/>
      <c r="DS1252" s="459"/>
      <c r="DT1252" s="459"/>
      <c r="DU1252" s="459"/>
      <c r="DV1252" s="468"/>
      <c r="DW1252" s="468"/>
      <c r="DX1252" s="459"/>
      <c r="DY1252" s="459"/>
    </row>
    <row r="1253" spans="1:129" s="128" customFormat="1" ht="54.95" customHeight="1" x14ac:dyDescent="0.25">
      <c r="A1253" s="377"/>
      <c r="B1253" s="175"/>
      <c r="C1253" s="393"/>
      <c r="D1253" s="168"/>
      <c r="E1253" s="168"/>
      <c r="F1253" s="168"/>
      <c r="G1253" s="168"/>
      <c r="H1253" s="168"/>
      <c r="I1253" s="168"/>
      <c r="J1253" s="168"/>
      <c r="K1253" s="168"/>
      <c r="L1253" s="168"/>
      <c r="M1253" s="168"/>
      <c r="N1253" s="168"/>
      <c r="O1253" s="433"/>
      <c r="P1253" s="122"/>
      <c r="Q1253" s="156"/>
      <c r="R1253" s="156"/>
      <c r="S1253" s="156"/>
      <c r="T1253" s="156"/>
      <c r="U1253" s="156"/>
      <c r="V1253" s="156"/>
      <c r="W1253" s="156"/>
      <c r="X1253" s="156"/>
      <c r="Y1253" s="156"/>
      <c r="Z1253" s="157"/>
      <c r="AA1253" s="157"/>
      <c r="AB1253" s="156"/>
      <c r="AC1253" s="156"/>
      <c r="AD1253" s="156"/>
      <c r="AE1253" s="156"/>
      <c r="AF1253" s="156"/>
      <c r="AG1253" s="156"/>
      <c r="AH1253" s="156"/>
      <c r="AI1253" s="156"/>
      <c r="AJ1253" s="156"/>
      <c r="AK1253" s="156"/>
      <c r="AL1253" s="156"/>
      <c r="AM1253" s="158"/>
      <c r="AN1253" s="156"/>
      <c r="AO1253" s="156"/>
      <c r="AP1253" s="156"/>
      <c r="AQ1253" s="156"/>
      <c r="AR1253" s="156"/>
      <c r="AS1253" s="156"/>
      <c r="AT1253" s="156"/>
      <c r="AU1253" s="156"/>
      <c r="AV1253" s="156"/>
      <c r="AW1253" s="156"/>
      <c r="AX1253" s="156"/>
      <c r="AY1253" s="156"/>
      <c r="AZ1253" s="156"/>
      <c r="BA1253" s="153"/>
      <c r="BD1253" s="153"/>
      <c r="BE1253" s="147"/>
      <c r="BI1253" s="153"/>
      <c r="BO1253" s="153"/>
      <c r="BW1253" s="153"/>
      <c r="CD1253" s="146"/>
      <c r="CF1253" s="147"/>
      <c r="CI1253" s="146"/>
      <c r="CJ1253" s="153"/>
      <c r="CV1253" s="154"/>
      <c r="CX1253" s="154"/>
      <c r="CZ1253" s="154"/>
      <c r="DB1253" s="154"/>
      <c r="DD1253" s="154"/>
      <c r="DH1253" s="474"/>
      <c r="DI1253" s="459"/>
      <c r="DJ1253" s="459"/>
      <c r="DK1253" s="459"/>
      <c r="DL1253" s="459"/>
      <c r="DM1253" s="459"/>
      <c r="DN1253" s="459"/>
      <c r="DO1253" s="459"/>
      <c r="DP1253" s="459"/>
      <c r="DQ1253" s="459"/>
      <c r="DR1253" s="459"/>
      <c r="DS1253" s="459"/>
      <c r="DT1253" s="459"/>
      <c r="DU1253" s="459"/>
      <c r="DV1253" s="468"/>
      <c r="DW1253" s="468"/>
      <c r="DX1253" s="459"/>
      <c r="DY1253" s="459"/>
    </row>
    <row r="1254" spans="1:129" s="128" customFormat="1" ht="54.95" customHeight="1" x14ac:dyDescent="0.25">
      <c r="A1254" s="377"/>
      <c r="B1254" s="175"/>
      <c r="C1254" s="393"/>
      <c r="D1254" s="168"/>
      <c r="E1254" s="168"/>
      <c r="F1254" s="168"/>
      <c r="G1254" s="168"/>
      <c r="H1254" s="168"/>
      <c r="I1254" s="168"/>
      <c r="J1254" s="168"/>
      <c r="K1254" s="168"/>
      <c r="L1254" s="168"/>
      <c r="M1254" s="168"/>
      <c r="N1254" s="168"/>
      <c r="O1254" s="433"/>
      <c r="P1254" s="122"/>
      <c r="Q1254" s="156"/>
      <c r="R1254" s="156"/>
      <c r="S1254" s="156"/>
      <c r="T1254" s="156"/>
      <c r="U1254" s="156"/>
      <c r="V1254" s="156"/>
      <c r="W1254" s="156"/>
      <c r="X1254" s="156"/>
      <c r="Y1254" s="156"/>
      <c r="Z1254" s="157"/>
      <c r="AA1254" s="157"/>
      <c r="AB1254" s="156"/>
      <c r="AC1254" s="156"/>
      <c r="AD1254" s="156"/>
      <c r="AE1254" s="156"/>
      <c r="AF1254" s="156"/>
      <c r="AG1254" s="156"/>
      <c r="AH1254" s="156"/>
      <c r="AI1254" s="156"/>
      <c r="AJ1254" s="156"/>
      <c r="AK1254" s="156"/>
      <c r="AL1254" s="156"/>
      <c r="AM1254" s="158"/>
      <c r="AN1254" s="156"/>
      <c r="AO1254" s="156"/>
      <c r="AP1254" s="156"/>
      <c r="AQ1254" s="156"/>
      <c r="AR1254" s="156"/>
      <c r="AS1254" s="156"/>
      <c r="AT1254" s="156"/>
      <c r="AU1254" s="156"/>
      <c r="AV1254" s="156"/>
      <c r="AW1254" s="156"/>
      <c r="AX1254" s="156"/>
      <c r="AY1254" s="156"/>
      <c r="AZ1254" s="156"/>
      <c r="BA1254" s="153"/>
      <c r="BD1254" s="153"/>
      <c r="BE1254" s="147"/>
      <c r="BI1254" s="153"/>
      <c r="BO1254" s="153"/>
      <c r="BW1254" s="153"/>
      <c r="CD1254" s="146"/>
      <c r="CF1254" s="147"/>
      <c r="CI1254" s="146"/>
      <c r="CJ1254" s="153"/>
      <c r="CV1254" s="154"/>
      <c r="CX1254" s="154"/>
      <c r="CZ1254" s="154"/>
      <c r="DB1254" s="154"/>
      <c r="DD1254" s="154"/>
      <c r="DH1254" s="474"/>
      <c r="DI1254" s="459"/>
      <c r="DJ1254" s="459"/>
      <c r="DK1254" s="459"/>
      <c r="DL1254" s="459"/>
      <c r="DM1254" s="459"/>
      <c r="DN1254" s="459"/>
      <c r="DO1254" s="459"/>
      <c r="DP1254" s="459"/>
      <c r="DQ1254" s="459"/>
      <c r="DR1254" s="459"/>
      <c r="DS1254" s="459"/>
      <c r="DT1254" s="459"/>
      <c r="DU1254" s="459"/>
      <c r="DV1254" s="468"/>
      <c r="DW1254" s="468"/>
      <c r="DX1254" s="459"/>
      <c r="DY1254" s="459"/>
    </row>
    <row r="1255" spans="1:129" s="128" customFormat="1" ht="54.95" customHeight="1" x14ac:dyDescent="0.25">
      <c r="A1255" s="377"/>
      <c r="B1255" s="175"/>
      <c r="C1255" s="393"/>
      <c r="D1255" s="168"/>
      <c r="E1255" s="168"/>
      <c r="F1255" s="168"/>
      <c r="G1255" s="168"/>
      <c r="H1255" s="168"/>
      <c r="I1255" s="168"/>
      <c r="J1255" s="168"/>
      <c r="K1255" s="168"/>
      <c r="L1255" s="168"/>
      <c r="M1255" s="168"/>
      <c r="N1255" s="168"/>
      <c r="O1255" s="433"/>
      <c r="P1255" s="122"/>
      <c r="Q1255" s="156"/>
      <c r="R1255" s="156"/>
      <c r="S1255" s="156"/>
      <c r="T1255" s="156"/>
      <c r="U1255" s="156"/>
      <c r="V1255" s="156"/>
      <c r="W1255" s="156"/>
      <c r="X1255" s="156"/>
      <c r="Y1255" s="156"/>
      <c r="Z1255" s="157"/>
      <c r="AA1255" s="157"/>
      <c r="AB1255" s="156"/>
      <c r="AC1255" s="156"/>
      <c r="AD1255" s="156"/>
      <c r="AE1255" s="156"/>
      <c r="AF1255" s="156"/>
      <c r="AG1255" s="156"/>
      <c r="AH1255" s="156"/>
      <c r="AI1255" s="156"/>
      <c r="AJ1255" s="156"/>
      <c r="AK1255" s="156"/>
      <c r="AL1255" s="156"/>
      <c r="AM1255" s="158"/>
      <c r="AN1255" s="156"/>
      <c r="AO1255" s="156"/>
      <c r="AP1255" s="156"/>
      <c r="AQ1255" s="156"/>
      <c r="AR1255" s="156"/>
      <c r="AS1255" s="156"/>
      <c r="AT1255" s="156"/>
      <c r="AU1255" s="156"/>
      <c r="AV1255" s="156"/>
      <c r="AW1255" s="156"/>
      <c r="AX1255" s="156"/>
      <c r="AY1255" s="156"/>
      <c r="AZ1255" s="156"/>
      <c r="BA1255" s="153"/>
      <c r="BD1255" s="153"/>
      <c r="BE1255" s="147"/>
      <c r="BI1255" s="153"/>
      <c r="BO1255" s="153"/>
      <c r="BW1255" s="153"/>
      <c r="CD1255" s="146"/>
      <c r="CF1255" s="147"/>
      <c r="CI1255" s="146"/>
      <c r="CJ1255" s="153"/>
      <c r="CV1255" s="154"/>
      <c r="CX1255" s="154"/>
      <c r="CZ1255" s="154"/>
      <c r="DB1255" s="154"/>
      <c r="DD1255" s="154"/>
      <c r="DH1255" s="474"/>
      <c r="DI1255" s="459"/>
      <c r="DJ1255" s="459"/>
      <c r="DK1255" s="459"/>
      <c r="DL1255" s="459"/>
      <c r="DM1255" s="459"/>
      <c r="DN1255" s="459"/>
      <c r="DO1255" s="459"/>
      <c r="DP1255" s="459"/>
      <c r="DQ1255" s="459"/>
      <c r="DR1255" s="459"/>
      <c r="DS1255" s="459"/>
      <c r="DT1255" s="459"/>
      <c r="DU1255" s="459"/>
      <c r="DV1255" s="468"/>
      <c r="DW1255" s="468"/>
      <c r="DX1255" s="459"/>
      <c r="DY1255" s="459"/>
    </row>
    <row r="1256" spans="1:129" s="128" customFormat="1" ht="54.95" customHeight="1" x14ac:dyDescent="0.25">
      <c r="A1256" s="377"/>
      <c r="B1256" s="175"/>
      <c r="C1256" s="393"/>
      <c r="D1256" s="168"/>
      <c r="E1256" s="168"/>
      <c r="F1256" s="168"/>
      <c r="G1256" s="168"/>
      <c r="H1256" s="168"/>
      <c r="I1256" s="168"/>
      <c r="J1256" s="168"/>
      <c r="K1256" s="168"/>
      <c r="L1256" s="168"/>
      <c r="M1256" s="168"/>
      <c r="N1256" s="168"/>
      <c r="O1256" s="433"/>
      <c r="P1256" s="122"/>
      <c r="Q1256" s="156"/>
      <c r="R1256" s="156"/>
      <c r="S1256" s="156"/>
      <c r="T1256" s="156"/>
      <c r="U1256" s="156"/>
      <c r="V1256" s="156"/>
      <c r="W1256" s="156"/>
      <c r="X1256" s="156"/>
      <c r="Y1256" s="156"/>
      <c r="Z1256" s="157"/>
      <c r="AA1256" s="157"/>
      <c r="AB1256" s="156"/>
      <c r="AC1256" s="156"/>
      <c r="AD1256" s="156"/>
      <c r="AE1256" s="156"/>
      <c r="AF1256" s="156"/>
      <c r="AG1256" s="156"/>
      <c r="AH1256" s="156"/>
      <c r="AI1256" s="156"/>
      <c r="AJ1256" s="156"/>
      <c r="AK1256" s="156"/>
      <c r="AL1256" s="156"/>
      <c r="AM1256" s="158"/>
      <c r="AN1256" s="156"/>
      <c r="AO1256" s="156"/>
      <c r="AP1256" s="156"/>
      <c r="AQ1256" s="156"/>
      <c r="AR1256" s="156"/>
      <c r="AS1256" s="156"/>
      <c r="AT1256" s="156"/>
      <c r="AU1256" s="156"/>
      <c r="AV1256" s="156"/>
      <c r="AW1256" s="156"/>
      <c r="AX1256" s="156"/>
      <c r="AY1256" s="156"/>
      <c r="AZ1256" s="156"/>
      <c r="BA1256" s="153"/>
      <c r="BD1256" s="153"/>
      <c r="BE1256" s="147"/>
      <c r="BI1256" s="153"/>
      <c r="BO1256" s="153"/>
      <c r="BW1256" s="153"/>
      <c r="CD1256" s="146"/>
      <c r="CF1256" s="147"/>
      <c r="CI1256" s="146"/>
      <c r="CJ1256" s="153"/>
      <c r="CV1256" s="154"/>
      <c r="CX1256" s="154"/>
      <c r="CZ1256" s="154"/>
      <c r="DB1256" s="154"/>
      <c r="DD1256" s="154"/>
      <c r="DH1256" s="474"/>
      <c r="DI1256" s="459"/>
      <c r="DJ1256" s="459"/>
      <c r="DK1256" s="459"/>
      <c r="DL1256" s="459"/>
      <c r="DM1256" s="459"/>
      <c r="DN1256" s="459"/>
      <c r="DO1256" s="459"/>
      <c r="DP1256" s="459"/>
      <c r="DQ1256" s="459"/>
      <c r="DR1256" s="459"/>
      <c r="DS1256" s="459"/>
      <c r="DT1256" s="459"/>
      <c r="DU1256" s="459"/>
      <c r="DV1256" s="468"/>
      <c r="DW1256" s="468"/>
      <c r="DX1256" s="459"/>
      <c r="DY1256" s="459"/>
    </row>
    <row r="1257" spans="1:129" s="128" customFormat="1" ht="54.95" customHeight="1" x14ac:dyDescent="0.25">
      <c r="A1257" s="377"/>
      <c r="B1257" s="175"/>
      <c r="C1257" s="393"/>
      <c r="D1257" s="168"/>
      <c r="E1257" s="168"/>
      <c r="F1257" s="168"/>
      <c r="G1257" s="168"/>
      <c r="H1257" s="168"/>
      <c r="I1257" s="168"/>
      <c r="J1257" s="168"/>
      <c r="K1257" s="168"/>
      <c r="L1257" s="168"/>
      <c r="M1257" s="168"/>
      <c r="N1257" s="168"/>
      <c r="O1257" s="433"/>
      <c r="P1257" s="122"/>
      <c r="Q1257" s="156"/>
      <c r="R1257" s="156"/>
      <c r="S1257" s="156"/>
      <c r="T1257" s="156"/>
      <c r="U1257" s="156"/>
      <c r="V1257" s="156"/>
      <c r="W1257" s="156"/>
      <c r="X1257" s="156"/>
      <c r="Y1257" s="156"/>
      <c r="Z1257" s="157"/>
      <c r="AA1257" s="157"/>
      <c r="AB1257" s="156"/>
      <c r="AC1257" s="156"/>
      <c r="AD1257" s="156"/>
      <c r="AE1257" s="156"/>
      <c r="AF1257" s="156"/>
      <c r="AG1257" s="156"/>
      <c r="AH1257" s="156"/>
      <c r="AI1257" s="156"/>
      <c r="AJ1257" s="156"/>
      <c r="AK1257" s="156"/>
      <c r="AL1257" s="156"/>
      <c r="AM1257" s="158"/>
      <c r="AN1257" s="156"/>
      <c r="AO1257" s="156"/>
      <c r="AP1257" s="156"/>
      <c r="AQ1257" s="156"/>
      <c r="AR1257" s="156"/>
      <c r="AS1257" s="156"/>
      <c r="AT1257" s="156"/>
      <c r="AU1257" s="156"/>
      <c r="AV1257" s="156"/>
      <c r="AW1257" s="156"/>
      <c r="AX1257" s="156"/>
      <c r="AY1257" s="156"/>
      <c r="AZ1257" s="156"/>
      <c r="BA1257" s="153"/>
      <c r="BD1257" s="153"/>
      <c r="BE1257" s="147"/>
      <c r="BI1257" s="153"/>
      <c r="BO1257" s="153"/>
      <c r="BW1257" s="153"/>
      <c r="CD1257" s="146"/>
      <c r="CF1257" s="147"/>
      <c r="CI1257" s="146"/>
      <c r="CJ1257" s="153"/>
      <c r="CV1257" s="154"/>
      <c r="CX1257" s="154"/>
      <c r="CZ1257" s="154"/>
      <c r="DB1257" s="154"/>
      <c r="DD1257" s="154"/>
      <c r="DH1257" s="474"/>
      <c r="DI1257" s="459"/>
      <c r="DJ1257" s="459"/>
      <c r="DK1257" s="459"/>
      <c r="DL1257" s="459"/>
      <c r="DM1257" s="459"/>
      <c r="DN1257" s="459"/>
      <c r="DO1257" s="459"/>
      <c r="DP1257" s="459"/>
      <c r="DQ1257" s="459"/>
      <c r="DR1257" s="459"/>
      <c r="DS1257" s="459"/>
      <c r="DT1257" s="459"/>
      <c r="DU1257" s="459"/>
      <c r="DV1257" s="468"/>
      <c r="DW1257" s="468"/>
      <c r="DX1257" s="459"/>
      <c r="DY1257" s="459"/>
    </row>
    <row r="1258" spans="1:129" s="128" customFormat="1" ht="54.95" customHeight="1" x14ac:dyDescent="0.25">
      <c r="A1258" s="377"/>
      <c r="B1258" s="175"/>
      <c r="C1258" s="393"/>
      <c r="D1258" s="168"/>
      <c r="E1258" s="168"/>
      <c r="F1258" s="168"/>
      <c r="G1258" s="168"/>
      <c r="H1258" s="168"/>
      <c r="I1258" s="168"/>
      <c r="J1258" s="168"/>
      <c r="K1258" s="168"/>
      <c r="L1258" s="168"/>
      <c r="M1258" s="168"/>
      <c r="N1258" s="168"/>
      <c r="O1258" s="433"/>
      <c r="P1258" s="122"/>
      <c r="Q1258" s="156"/>
      <c r="R1258" s="156"/>
      <c r="S1258" s="156"/>
      <c r="T1258" s="156"/>
      <c r="U1258" s="156"/>
      <c r="V1258" s="156"/>
      <c r="W1258" s="156"/>
      <c r="X1258" s="156"/>
      <c r="Y1258" s="156"/>
      <c r="Z1258" s="157"/>
      <c r="AA1258" s="157"/>
      <c r="AB1258" s="156"/>
      <c r="AC1258" s="156"/>
      <c r="AD1258" s="156"/>
      <c r="AE1258" s="156"/>
      <c r="AF1258" s="156"/>
      <c r="AG1258" s="156"/>
      <c r="AH1258" s="156"/>
      <c r="AI1258" s="156"/>
      <c r="AJ1258" s="156"/>
      <c r="AK1258" s="156"/>
      <c r="AL1258" s="156"/>
      <c r="AM1258" s="158"/>
      <c r="AN1258" s="156"/>
      <c r="AO1258" s="156"/>
      <c r="AP1258" s="156"/>
      <c r="AQ1258" s="156"/>
      <c r="AR1258" s="156"/>
      <c r="AS1258" s="156"/>
      <c r="AT1258" s="156"/>
      <c r="AU1258" s="156"/>
      <c r="AV1258" s="156"/>
      <c r="AW1258" s="156"/>
      <c r="AX1258" s="156"/>
      <c r="AY1258" s="156"/>
      <c r="AZ1258" s="156"/>
      <c r="BA1258" s="153"/>
      <c r="BD1258" s="153"/>
      <c r="BE1258" s="147"/>
      <c r="BI1258" s="153"/>
      <c r="BO1258" s="153"/>
      <c r="BW1258" s="153"/>
      <c r="CD1258" s="146"/>
      <c r="CF1258" s="147"/>
      <c r="CI1258" s="146"/>
      <c r="CJ1258" s="153"/>
      <c r="CV1258" s="154"/>
      <c r="CX1258" s="154"/>
      <c r="CZ1258" s="154"/>
      <c r="DB1258" s="154"/>
      <c r="DD1258" s="154"/>
      <c r="DH1258" s="474"/>
      <c r="DI1258" s="459"/>
      <c r="DJ1258" s="459"/>
      <c r="DK1258" s="459"/>
      <c r="DL1258" s="459"/>
      <c r="DM1258" s="459"/>
      <c r="DN1258" s="459"/>
      <c r="DO1258" s="459"/>
      <c r="DP1258" s="459"/>
      <c r="DQ1258" s="459"/>
      <c r="DR1258" s="459"/>
      <c r="DS1258" s="459"/>
      <c r="DT1258" s="459"/>
      <c r="DU1258" s="459"/>
      <c r="DV1258" s="468"/>
      <c r="DW1258" s="468"/>
      <c r="DX1258" s="459"/>
      <c r="DY1258" s="459"/>
    </row>
    <row r="1259" spans="1:129" s="128" customFormat="1" ht="54.95" customHeight="1" x14ac:dyDescent="0.25">
      <c r="A1259" s="377"/>
      <c r="B1259" s="175"/>
      <c r="C1259" s="393"/>
      <c r="D1259" s="168"/>
      <c r="E1259" s="168"/>
      <c r="F1259" s="168"/>
      <c r="G1259" s="168"/>
      <c r="H1259" s="168"/>
      <c r="I1259" s="168"/>
      <c r="J1259" s="168"/>
      <c r="K1259" s="168"/>
      <c r="L1259" s="168"/>
      <c r="M1259" s="168"/>
      <c r="N1259" s="168"/>
      <c r="O1259" s="433"/>
      <c r="P1259" s="122"/>
      <c r="Q1259" s="156"/>
      <c r="R1259" s="156"/>
      <c r="S1259" s="156"/>
      <c r="T1259" s="156"/>
      <c r="U1259" s="156"/>
      <c r="V1259" s="156"/>
      <c r="W1259" s="156"/>
      <c r="X1259" s="156"/>
      <c r="Y1259" s="156"/>
      <c r="Z1259" s="157"/>
      <c r="AA1259" s="157"/>
      <c r="AB1259" s="156"/>
      <c r="AC1259" s="156"/>
      <c r="AD1259" s="156"/>
      <c r="AE1259" s="156"/>
      <c r="AF1259" s="156"/>
      <c r="AG1259" s="156"/>
      <c r="AH1259" s="156"/>
      <c r="AI1259" s="156"/>
      <c r="AJ1259" s="156"/>
      <c r="AK1259" s="156"/>
      <c r="AL1259" s="156"/>
      <c r="AM1259" s="158"/>
      <c r="AN1259" s="156"/>
      <c r="AO1259" s="156"/>
      <c r="AP1259" s="156"/>
      <c r="AQ1259" s="156"/>
      <c r="AR1259" s="156"/>
      <c r="AS1259" s="156"/>
      <c r="AT1259" s="156"/>
      <c r="AU1259" s="156"/>
      <c r="AV1259" s="156"/>
      <c r="AW1259" s="156"/>
      <c r="AX1259" s="156"/>
      <c r="AY1259" s="156"/>
      <c r="AZ1259" s="156"/>
      <c r="BA1259" s="153"/>
      <c r="BD1259" s="153"/>
      <c r="BE1259" s="147"/>
      <c r="BI1259" s="153"/>
      <c r="BO1259" s="153"/>
      <c r="BW1259" s="153"/>
      <c r="CD1259" s="146"/>
      <c r="CF1259" s="147"/>
      <c r="CI1259" s="146"/>
      <c r="CJ1259" s="153"/>
      <c r="CV1259" s="154"/>
      <c r="CX1259" s="154"/>
      <c r="CZ1259" s="154"/>
      <c r="DB1259" s="154"/>
      <c r="DD1259" s="154"/>
      <c r="DH1259" s="474"/>
      <c r="DI1259" s="459"/>
      <c r="DJ1259" s="459"/>
      <c r="DK1259" s="459"/>
      <c r="DL1259" s="459"/>
      <c r="DM1259" s="459"/>
      <c r="DN1259" s="459"/>
      <c r="DO1259" s="459"/>
      <c r="DP1259" s="459"/>
      <c r="DQ1259" s="459"/>
      <c r="DR1259" s="459"/>
      <c r="DS1259" s="459"/>
      <c r="DT1259" s="459"/>
      <c r="DU1259" s="459"/>
      <c r="DV1259" s="468"/>
      <c r="DW1259" s="468"/>
      <c r="DX1259" s="459"/>
      <c r="DY1259" s="459"/>
    </row>
    <row r="1260" spans="1:129" s="128" customFormat="1" ht="54.95" customHeight="1" x14ac:dyDescent="0.25">
      <c r="A1260" s="377"/>
      <c r="B1260" s="175"/>
      <c r="C1260" s="393"/>
      <c r="D1260" s="168"/>
      <c r="E1260" s="168"/>
      <c r="F1260" s="168"/>
      <c r="G1260" s="168"/>
      <c r="H1260" s="168"/>
      <c r="I1260" s="168"/>
      <c r="J1260" s="168"/>
      <c r="K1260" s="168"/>
      <c r="L1260" s="168"/>
      <c r="M1260" s="168"/>
      <c r="N1260" s="168"/>
      <c r="O1260" s="433"/>
      <c r="P1260" s="122"/>
      <c r="Q1260" s="156"/>
      <c r="R1260" s="156"/>
      <c r="S1260" s="156"/>
      <c r="T1260" s="156"/>
      <c r="U1260" s="156"/>
      <c r="V1260" s="156"/>
      <c r="W1260" s="156"/>
      <c r="X1260" s="156"/>
      <c r="Y1260" s="156"/>
      <c r="Z1260" s="157"/>
      <c r="AA1260" s="157"/>
      <c r="AB1260" s="156"/>
      <c r="AC1260" s="156"/>
      <c r="AD1260" s="156"/>
      <c r="AE1260" s="156"/>
      <c r="AF1260" s="156"/>
      <c r="AG1260" s="156"/>
      <c r="AH1260" s="156"/>
      <c r="AI1260" s="156"/>
      <c r="AJ1260" s="156"/>
      <c r="AK1260" s="156"/>
      <c r="AL1260" s="156"/>
      <c r="AM1260" s="158"/>
      <c r="AN1260" s="156"/>
      <c r="AO1260" s="156"/>
      <c r="AP1260" s="156"/>
      <c r="AQ1260" s="156"/>
      <c r="AR1260" s="156"/>
      <c r="AS1260" s="156"/>
      <c r="AT1260" s="156"/>
      <c r="AU1260" s="156"/>
      <c r="AV1260" s="156"/>
      <c r="AW1260" s="156"/>
      <c r="AX1260" s="156"/>
      <c r="AY1260" s="156"/>
      <c r="AZ1260" s="156"/>
      <c r="BA1260" s="153"/>
      <c r="BD1260" s="153"/>
      <c r="BE1260" s="147"/>
      <c r="BI1260" s="153"/>
      <c r="BO1260" s="153"/>
      <c r="BW1260" s="153"/>
      <c r="CD1260" s="146"/>
      <c r="CF1260" s="147"/>
      <c r="CI1260" s="146"/>
      <c r="CJ1260" s="153"/>
      <c r="CV1260" s="154"/>
      <c r="CX1260" s="154"/>
      <c r="CZ1260" s="154"/>
      <c r="DB1260" s="154"/>
      <c r="DD1260" s="154"/>
      <c r="DH1260" s="474"/>
      <c r="DI1260" s="459"/>
      <c r="DJ1260" s="459"/>
      <c r="DK1260" s="459"/>
      <c r="DL1260" s="459"/>
      <c r="DM1260" s="459"/>
      <c r="DN1260" s="459"/>
      <c r="DO1260" s="459"/>
      <c r="DP1260" s="459"/>
      <c r="DQ1260" s="459"/>
      <c r="DR1260" s="459"/>
      <c r="DS1260" s="459"/>
      <c r="DT1260" s="459"/>
      <c r="DU1260" s="459"/>
      <c r="DV1260" s="468"/>
      <c r="DW1260" s="468"/>
      <c r="DX1260" s="459"/>
      <c r="DY1260" s="459"/>
    </row>
    <row r="1261" spans="1:129" s="128" customFormat="1" ht="54.95" customHeight="1" x14ac:dyDescent="0.25">
      <c r="A1261" s="377"/>
      <c r="B1261" s="175"/>
      <c r="C1261" s="393"/>
      <c r="D1261" s="168"/>
      <c r="E1261" s="168"/>
      <c r="F1261" s="168"/>
      <c r="G1261" s="168"/>
      <c r="H1261" s="168"/>
      <c r="I1261" s="168"/>
      <c r="J1261" s="168"/>
      <c r="K1261" s="168"/>
      <c r="L1261" s="168"/>
      <c r="M1261" s="168"/>
      <c r="N1261" s="168"/>
      <c r="O1261" s="433"/>
      <c r="P1261" s="122"/>
      <c r="Q1261" s="156"/>
      <c r="R1261" s="156"/>
      <c r="S1261" s="156"/>
      <c r="T1261" s="156"/>
      <c r="U1261" s="156"/>
      <c r="V1261" s="156"/>
      <c r="W1261" s="156"/>
      <c r="X1261" s="156"/>
      <c r="Y1261" s="156"/>
      <c r="Z1261" s="157"/>
      <c r="AA1261" s="157"/>
      <c r="AB1261" s="156"/>
      <c r="AC1261" s="156"/>
      <c r="AD1261" s="156"/>
      <c r="AE1261" s="156"/>
      <c r="AF1261" s="156"/>
      <c r="AG1261" s="156"/>
      <c r="AH1261" s="156"/>
      <c r="AI1261" s="156"/>
      <c r="AJ1261" s="156"/>
      <c r="AK1261" s="156"/>
      <c r="AL1261" s="156"/>
      <c r="AM1261" s="158"/>
      <c r="AN1261" s="156"/>
      <c r="AO1261" s="156"/>
      <c r="AP1261" s="156"/>
      <c r="AQ1261" s="156"/>
      <c r="AR1261" s="156"/>
      <c r="AS1261" s="156"/>
      <c r="AT1261" s="156"/>
      <c r="AU1261" s="156"/>
      <c r="AV1261" s="156"/>
      <c r="AW1261" s="156"/>
      <c r="AX1261" s="156"/>
      <c r="AY1261" s="156"/>
      <c r="AZ1261" s="156"/>
      <c r="BA1261" s="153"/>
      <c r="BD1261" s="153"/>
      <c r="BE1261" s="147"/>
      <c r="BI1261" s="153"/>
      <c r="BO1261" s="153"/>
      <c r="BW1261" s="153"/>
      <c r="CD1261" s="146"/>
      <c r="CF1261" s="147"/>
      <c r="CI1261" s="146"/>
      <c r="CJ1261" s="153"/>
      <c r="CV1261" s="154"/>
      <c r="CX1261" s="154"/>
      <c r="CZ1261" s="154"/>
      <c r="DB1261" s="154"/>
      <c r="DD1261" s="154"/>
      <c r="DH1261" s="474"/>
      <c r="DI1261" s="459"/>
      <c r="DJ1261" s="459"/>
      <c r="DK1261" s="459"/>
      <c r="DL1261" s="459"/>
      <c r="DM1261" s="459"/>
      <c r="DN1261" s="459"/>
      <c r="DO1261" s="459"/>
      <c r="DP1261" s="459"/>
      <c r="DQ1261" s="459"/>
      <c r="DR1261" s="459"/>
      <c r="DS1261" s="459"/>
      <c r="DT1261" s="459"/>
      <c r="DU1261" s="459"/>
      <c r="DV1261" s="468"/>
      <c r="DW1261" s="468"/>
      <c r="DX1261" s="459"/>
      <c r="DY1261" s="459"/>
    </row>
    <row r="1262" spans="1:129" s="128" customFormat="1" ht="54.95" customHeight="1" x14ac:dyDescent="0.25">
      <c r="A1262" s="377"/>
      <c r="B1262" s="175"/>
      <c r="C1262" s="393"/>
      <c r="D1262" s="168"/>
      <c r="E1262" s="168"/>
      <c r="F1262" s="168"/>
      <c r="G1262" s="168"/>
      <c r="H1262" s="168"/>
      <c r="I1262" s="168"/>
      <c r="J1262" s="168"/>
      <c r="K1262" s="168"/>
      <c r="L1262" s="168"/>
      <c r="M1262" s="168"/>
      <c r="N1262" s="168"/>
      <c r="O1262" s="433"/>
      <c r="P1262" s="122"/>
      <c r="Q1262" s="156"/>
      <c r="R1262" s="156"/>
      <c r="S1262" s="156"/>
      <c r="T1262" s="156"/>
      <c r="U1262" s="156"/>
      <c r="V1262" s="156"/>
      <c r="W1262" s="156"/>
      <c r="X1262" s="156"/>
      <c r="Y1262" s="156"/>
      <c r="Z1262" s="157"/>
      <c r="AA1262" s="157"/>
      <c r="AB1262" s="156"/>
      <c r="AC1262" s="156"/>
      <c r="AD1262" s="156"/>
      <c r="AE1262" s="156"/>
      <c r="AF1262" s="156"/>
      <c r="AG1262" s="156"/>
      <c r="AH1262" s="156"/>
      <c r="AI1262" s="156"/>
      <c r="AJ1262" s="156"/>
      <c r="AK1262" s="156"/>
      <c r="AL1262" s="156"/>
      <c r="AM1262" s="158"/>
      <c r="AN1262" s="156"/>
      <c r="AO1262" s="156"/>
      <c r="AP1262" s="156"/>
      <c r="AQ1262" s="156"/>
      <c r="AR1262" s="156"/>
      <c r="AS1262" s="156"/>
      <c r="AT1262" s="156"/>
      <c r="AU1262" s="156"/>
      <c r="AV1262" s="156"/>
      <c r="AW1262" s="156"/>
      <c r="AX1262" s="156"/>
      <c r="AY1262" s="156"/>
      <c r="AZ1262" s="156"/>
      <c r="BA1262" s="153"/>
      <c r="BD1262" s="153"/>
      <c r="BE1262" s="147"/>
      <c r="BI1262" s="153"/>
      <c r="BO1262" s="153"/>
      <c r="BW1262" s="153"/>
      <c r="CD1262" s="146"/>
      <c r="CF1262" s="147"/>
      <c r="CI1262" s="146"/>
      <c r="CJ1262" s="153"/>
      <c r="CV1262" s="154"/>
      <c r="CX1262" s="154"/>
      <c r="CZ1262" s="154"/>
      <c r="DB1262" s="154"/>
      <c r="DD1262" s="154"/>
      <c r="DH1262" s="474"/>
      <c r="DI1262" s="459"/>
      <c r="DJ1262" s="459"/>
      <c r="DK1262" s="459"/>
      <c r="DL1262" s="459"/>
      <c r="DM1262" s="459"/>
      <c r="DN1262" s="459"/>
      <c r="DO1262" s="459"/>
      <c r="DP1262" s="459"/>
      <c r="DQ1262" s="459"/>
      <c r="DR1262" s="459"/>
      <c r="DS1262" s="459"/>
      <c r="DT1262" s="459"/>
      <c r="DU1262" s="459"/>
      <c r="DV1262" s="468"/>
      <c r="DW1262" s="468"/>
      <c r="DX1262" s="459"/>
      <c r="DY1262" s="459"/>
    </row>
    <row r="1263" spans="1:129" s="128" customFormat="1" ht="54.95" customHeight="1" x14ac:dyDescent="0.25">
      <c r="A1263" s="377"/>
      <c r="B1263" s="175"/>
      <c r="C1263" s="393"/>
      <c r="D1263" s="168"/>
      <c r="E1263" s="168"/>
      <c r="F1263" s="168"/>
      <c r="G1263" s="168"/>
      <c r="H1263" s="168"/>
      <c r="I1263" s="168"/>
      <c r="J1263" s="168"/>
      <c r="K1263" s="168"/>
      <c r="L1263" s="168"/>
      <c r="M1263" s="168"/>
      <c r="N1263" s="168"/>
      <c r="O1263" s="433"/>
      <c r="P1263" s="122"/>
      <c r="Q1263" s="156"/>
      <c r="R1263" s="156"/>
      <c r="S1263" s="156"/>
      <c r="T1263" s="156"/>
      <c r="U1263" s="156"/>
      <c r="V1263" s="156"/>
      <c r="W1263" s="156"/>
      <c r="X1263" s="156"/>
      <c r="Y1263" s="156"/>
      <c r="Z1263" s="157"/>
      <c r="AA1263" s="157"/>
      <c r="AB1263" s="156"/>
      <c r="AC1263" s="156"/>
      <c r="AD1263" s="156"/>
      <c r="AE1263" s="156"/>
      <c r="AF1263" s="156"/>
      <c r="AG1263" s="156"/>
      <c r="AH1263" s="156"/>
      <c r="AI1263" s="156"/>
      <c r="AJ1263" s="156"/>
      <c r="AK1263" s="156"/>
      <c r="AL1263" s="156"/>
      <c r="AM1263" s="158"/>
      <c r="AN1263" s="156"/>
      <c r="AO1263" s="156"/>
      <c r="AP1263" s="156"/>
      <c r="AQ1263" s="156"/>
      <c r="AR1263" s="156"/>
      <c r="AS1263" s="156"/>
      <c r="AT1263" s="156"/>
      <c r="AU1263" s="156"/>
      <c r="AV1263" s="156"/>
      <c r="AW1263" s="156"/>
      <c r="AX1263" s="156"/>
      <c r="AY1263" s="156"/>
      <c r="AZ1263" s="156"/>
      <c r="BA1263" s="153"/>
      <c r="BD1263" s="153"/>
      <c r="BE1263" s="147"/>
      <c r="BI1263" s="153"/>
      <c r="BO1263" s="153"/>
      <c r="BW1263" s="153"/>
      <c r="CD1263" s="146"/>
      <c r="CF1263" s="147"/>
      <c r="CI1263" s="146"/>
      <c r="CJ1263" s="153"/>
      <c r="CV1263" s="154"/>
      <c r="CX1263" s="154"/>
      <c r="CZ1263" s="154"/>
      <c r="DB1263" s="154"/>
      <c r="DD1263" s="154"/>
      <c r="DH1263" s="474"/>
      <c r="DI1263" s="459"/>
      <c r="DJ1263" s="459"/>
      <c r="DK1263" s="459"/>
      <c r="DL1263" s="459"/>
      <c r="DM1263" s="459"/>
      <c r="DN1263" s="459"/>
      <c r="DO1263" s="459"/>
      <c r="DP1263" s="459"/>
      <c r="DQ1263" s="459"/>
      <c r="DR1263" s="459"/>
      <c r="DS1263" s="459"/>
      <c r="DT1263" s="459"/>
      <c r="DU1263" s="459"/>
      <c r="DV1263" s="468"/>
      <c r="DW1263" s="468"/>
      <c r="DX1263" s="459"/>
      <c r="DY1263" s="459"/>
    </row>
    <row r="1264" spans="1:129" s="128" customFormat="1" ht="54.95" customHeight="1" x14ac:dyDescent="0.25">
      <c r="A1264" s="377"/>
      <c r="B1264" s="175"/>
      <c r="C1264" s="393"/>
      <c r="D1264" s="168"/>
      <c r="E1264" s="168"/>
      <c r="F1264" s="168"/>
      <c r="G1264" s="168"/>
      <c r="H1264" s="168"/>
      <c r="I1264" s="168"/>
      <c r="J1264" s="168"/>
      <c r="K1264" s="168"/>
      <c r="L1264" s="168"/>
      <c r="M1264" s="168"/>
      <c r="N1264" s="168"/>
      <c r="O1264" s="433"/>
      <c r="P1264" s="122"/>
      <c r="Q1264" s="156"/>
      <c r="R1264" s="156"/>
      <c r="S1264" s="156"/>
      <c r="T1264" s="156"/>
      <c r="U1264" s="156"/>
      <c r="V1264" s="156"/>
      <c r="W1264" s="156"/>
      <c r="X1264" s="156"/>
      <c r="Y1264" s="156"/>
      <c r="Z1264" s="157"/>
      <c r="AA1264" s="157"/>
      <c r="AB1264" s="156"/>
      <c r="AC1264" s="156"/>
      <c r="AD1264" s="156"/>
      <c r="AE1264" s="156"/>
      <c r="AF1264" s="156"/>
      <c r="AG1264" s="156"/>
      <c r="AH1264" s="156"/>
      <c r="AI1264" s="156"/>
      <c r="AJ1264" s="156"/>
      <c r="AK1264" s="156"/>
      <c r="AL1264" s="156"/>
      <c r="AM1264" s="158"/>
      <c r="AN1264" s="156"/>
      <c r="AO1264" s="156"/>
      <c r="AP1264" s="156"/>
      <c r="AQ1264" s="156"/>
      <c r="AR1264" s="156"/>
      <c r="AS1264" s="156"/>
      <c r="AT1264" s="156"/>
      <c r="AU1264" s="156"/>
      <c r="AV1264" s="156"/>
      <c r="AW1264" s="156"/>
      <c r="AX1264" s="156"/>
      <c r="AY1264" s="156"/>
      <c r="AZ1264" s="156"/>
      <c r="BA1264" s="153"/>
      <c r="BD1264" s="153"/>
      <c r="BE1264" s="147"/>
      <c r="BI1264" s="153"/>
      <c r="BO1264" s="153"/>
      <c r="BW1264" s="153"/>
      <c r="CD1264" s="146"/>
      <c r="CF1264" s="147"/>
      <c r="CI1264" s="146"/>
      <c r="CJ1264" s="153"/>
      <c r="CV1264" s="154"/>
      <c r="CX1264" s="154"/>
      <c r="CZ1264" s="154"/>
      <c r="DB1264" s="154"/>
      <c r="DD1264" s="154"/>
      <c r="DH1264" s="474"/>
      <c r="DI1264" s="459"/>
      <c r="DJ1264" s="459"/>
      <c r="DK1264" s="459"/>
      <c r="DL1264" s="459"/>
      <c r="DM1264" s="459"/>
      <c r="DN1264" s="459"/>
      <c r="DO1264" s="459"/>
      <c r="DP1264" s="459"/>
      <c r="DQ1264" s="459"/>
      <c r="DR1264" s="459"/>
      <c r="DS1264" s="459"/>
      <c r="DT1264" s="459"/>
      <c r="DU1264" s="459"/>
      <c r="DV1264" s="468"/>
      <c r="DW1264" s="468"/>
      <c r="DX1264" s="459"/>
      <c r="DY1264" s="459"/>
    </row>
    <row r="1265" spans="1:129" s="128" customFormat="1" ht="54.95" customHeight="1" x14ac:dyDescent="0.25">
      <c r="A1265" s="377"/>
      <c r="B1265" s="175"/>
      <c r="C1265" s="393"/>
      <c r="D1265" s="168"/>
      <c r="E1265" s="168"/>
      <c r="F1265" s="168"/>
      <c r="G1265" s="168"/>
      <c r="H1265" s="168"/>
      <c r="I1265" s="168"/>
      <c r="J1265" s="168"/>
      <c r="K1265" s="168"/>
      <c r="L1265" s="168"/>
      <c r="M1265" s="168"/>
      <c r="N1265" s="168"/>
      <c r="O1265" s="433"/>
      <c r="P1265" s="122"/>
      <c r="Q1265" s="156"/>
      <c r="R1265" s="156"/>
      <c r="S1265" s="156"/>
      <c r="T1265" s="156"/>
      <c r="U1265" s="156"/>
      <c r="V1265" s="156"/>
      <c r="W1265" s="156"/>
      <c r="X1265" s="156"/>
      <c r="Y1265" s="156"/>
      <c r="Z1265" s="157"/>
      <c r="AA1265" s="157"/>
      <c r="AB1265" s="156"/>
      <c r="AC1265" s="156"/>
      <c r="AD1265" s="156"/>
      <c r="AE1265" s="156"/>
      <c r="AF1265" s="156"/>
      <c r="AG1265" s="156"/>
      <c r="AH1265" s="156"/>
      <c r="AI1265" s="156"/>
      <c r="AJ1265" s="156"/>
      <c r="AK1265" s="156"/>
      <c r="AL1265" s="156"/>
      <c r="AM1265" s="158"/>
      <c r="AN1265" s="156"/>
      <c r="AO1265" s="156"/>
      <c r="AP1265" s="156"/>
      <c r="AQ1265" s="156"/>
      <c r="AR1265" s="156"/>
      <c r="AS1265" s="156"/>
      <c r="AT1265" s="156"/>
      <c r="AU1265" s="156"/>
      <c r="AV1265" s="156"/>
      <c r="AW1265" s="156"/>
      <c r="AX1265" s="156"/>
      <c r="AY1265" s="156"/>
      <c r="AZ1265" s="156"/>
      <c r="BA1265" s="153"/>
      <c r="BD1265" s="153"/>
      <c r="BE1265" s="147"/>
      <c r="BI1265" s="153"/>
      <c r="BO1265" s="153"/>
      <c r="BW1265" s="153"/>
      <c r="CD1265" s="146"/>
      <c r="CF1265" s="147"/>
      <c r="CI1265" s="146"/>
      <c r="CJ1265" s="153"/>
      <c r="CV1265" s="154"/>
      <c r="CX1265" s="154"/>
      <c r="CZ1265" s="154"/>
      <c r="DB1265" s="154"/>
      <c r="DD1265" s="154"/>
      <c r="DH1265" s="474"/>
      <c r="DI1265" s="459"/>
      <c r="DJ1265" s="459"/>
      <c r="DK1265" s="459"/>
      <c r="DL1265" s="459"/>
      <c r="DM1265" s="459"/>
      <c r="DN1265" s="459"/>
      <c r="DO1265" s="459"/>
      <c r="DP1265" s="459"/>
      <c r="DQ1265" s="459"/>
      <c r="DR1265" s="459"/>
      <c r="DS1265" s="459"/>
      <c r="DT1265" s="459"/>
      <c r="DU1265" s="459"/>
      <c r="DV1265" s="468"/>
      <c r="DW1265" s="468"/>
      <c r="DX1265" s="459"/>
      <c r="DY1265" s="459"/>
    </row>
    <row r="1266" spans="1:129" s="128" customFormat="1" ht="54.95" customHeight="1" x14ac:dyDescent="0.25">
      <c r="A1266" s="377"/>
      <c r="B1266" s="175"/>
      <c r="C1266" s="393"/>
      <c r="D1266" s="168"/>
      <c r="E1266" s="168"/>
      <c r="F1266" s="168"/>
      <c r="G1266" s="168"/>
      <c r="H1266" s="168"/>
      <c r="I1266" s="168"/>
      <c r="J1266" s="168"/>
      <c r="K1266" s="168"/>
      <c r="L1266" s="168"/>
      <c r="M1266" s="168"/>
      <c r="N1266" s="168"/>
      <c r="O1266" s="433"/>
      <c r="P1266" s="122"/>
      <c r="Q1266" s="156"/>
      <c r="R1266" s="156"/>
      <c r="S1266" s="156"/>
      <c r="T1266" s="156"/>
      <c r="U1266" s="156"/>
      <c r="V1266" s="156"/>
      <c r="W1266" s="156"/>
      <c r="X1266" s="156"/>
      <c r="Y1266" s="156"/>
      <c r="Z1266" s="157"/>
      <c r="AA1266" s="157"/>
      <c r="AB1266" s="156"/>
      <c r="AC1266" s="156"/>
      <c r="AD1266" s="156"/>
      <c r="AE1266" s="156"/>
      <c r="AF1266" s="156"/>
      <c r="AG1266" s="156"/>
      <c r="AH1266" s="156"/>
      <c r="AI1266" s="156"/>
      <c r="AJ1266" s="156"/>
      <c r="AK1266" s="156"/>
      <c r="AL1266" s="156"/>
      <c r="AM1266" s="158"/>
      <c r="AN1266" s="156"/>
      <c r="AO1266" s="156"/>
      <c r="AP1266" s="156"/>
      <c r="AQ1266" s="156"/>
      <c r="AR1266" s="156"/>
      <c r="AS1266" s="156"/>
      <c r="AT1266" s="156"/>
      <c r="AU1266" s="156"/>
      <c r="AV1266" s="156"/>
      <c r="AW1266" s="156"/>
      <c r="AX1266" s="156"/>
      <c r="AY1266" s="156"/>
      <c r="AZ1266" s="156"/>
      <c r="BA1266" s="153"/>
      <c r="BD1266" s="153"/>
      <c r="BE1266" s="147"/>
      <c r="BI1266" s="153"/>
      <c r="BO1266" s="153"/>
      <c r="BW1266" s="153"/>
      <c r="CD1266" s="146"/>
      <c r="CF1266" s="147"/>
      <c r="CI1266" s="146"/>
      <c r="CJ1266" s="153"/>
      <c r="CV1266" s="154"/>
      <c r="CX1266" s="154"/>
      <c r="CZ1266" s="154"/>
      <c r="DB1266" s="154"/>
      <c r="DD1266" s="154"/>
      <c r="DH1266" s="474"/>
      <c r="DI1266" s="459"/>
      <c r="DJ1266" s="459"/>
      <c r="DK1266" s="459"/>
      <c r="DL1266" s="459"/>
      <c r="DM1266" s="459"/>
      <c r="DN1266" s="459"/>
      <c r="DO1266" s="459"/>
      <c r="DP1266" s="459"/>
      <c r="DQ1266" s="459"/>
      <c r="DR1266" s="459"/>
      <c r="DS1266" s="459"/>
      <c r="DT1266" s="459"/>
      <c r="DU1266" s="459"/>
      <c r="DV1266" s="468"/>
      <c r="DW1266" s="468"/>
      <c r="DX1266" s="459"/>
      <c r="DY1266" s="459"/>
    </row>
    <row r="1267" spans="1:129" s="128" customFormat="1" ht="54.95" customHeight="1" x14ac:dyDescent="0.25">
      <c r="A1267" s="377"/>
      <c r="B1267" s="175"/>
      <c r="C1267" s="393"/>
      <c r="D1267" s="168"/>
      <c r="E1267" s="168"/>
      <c r="F1267" s="168"/>
      <c r="G1267" s="168"/>
      <c r="H1267" s="168"/>
      <c r="I1267" s="168"/>
      <c r="J1267" s="168"/>
      <c r="K1267" s="168"/>
      <c r="L1267" s="168"/>
      <c r="M1267" s="168"/>
      <c r="N1267" s="168"/>
      <c r="O1267" s="433"/>
      <c r="P1267" s="122"/>
      <c r="Q1267" s="156"/>
      <c r="R1267" s="156"/>
      <c r="S1267" s="156"/>
      <c r="T1267" s="156"/>
      <c r="U1267" s="156"/>
      <c r="V1267" s="156"/>
      <c r="W1267" s="156"/>
      <c r="X1267" s="156"/>
      <c r="Y1267" s="156"/>
      <c r="Z1267" s="157"/>
      <c r="AA1267" s="157"/>
      <c r="AB1267" s="156"/>
      <c r="AC1267" s="156"/>
      <c r="AD1267" s="156"/>
      <c r="AE1267" s="156"/>
      <c r="AF1267" s="156"/>
      <c r="AG1267" s="156"/>
      <c r="AH1267" s="156"/>
      <c r="AI1267" s="156"/>
      <c r="AJ1267" s="156"/>
      <c r="AK1267" s="156"/>
      <c r="AL1267" s="156"/>
      <c r="AM1267" s="158"/>
      <c r="AN1267" s="156"/>
      <c r="AO1267" s="156"/>
      <c r="AP1267" s="156"/>
      <c r="AQ1267" s="156"/>
      <c r="AR1267" s="156"/>
      <c r="AS1267" s="156"/>
      <c r="AT1267" s="156"/>
      <c r="AU1267" s="156"/>
      <c r="AV1267" s="156"/>
      <c r="AW1267" s="156"/>
      <c r="AX1267" s="156"/>
      <c r="AY1267" s="156"/>
      <c r="AZ1267" s="156"/>
      <c r="BA1267" s="153"/>
      <c r="BD1267" s="153"/>
      <c r="BE1267" s="147"/>
      <c r="BI1267" s="153"/>
      <c r="BO1267" s="153"/>
      <c r="BW1267" s="153"/>
      <c r="CD1267" s="146"/>
      <c r="CF1267" s="147"/>
      <c r="CI1267" s="146"/>
      <c r="CJ1267" s="153"/>
      <c r="CV1267" s="154"/>
      <c r="CX1267" s="154"/>
      <c r="CZ1267" s="154"/>
      <c r="DB1267" s="154"/>
      <c r="DD1267" s="154"/>
      <c r="DH1267" s="474"/>
      <c r="DI1267" s="459"/>
      <c r="DJ1267" s="459"/>
      <c r="DK1267" s="459"/>
      <c r="DL1267" s="459"/>
      <c r="DM1267" s="459"/>
      <c r="DN1267" s="459"/>
      <c r="DO1267" s="459"/>
      <c r="DP1267" s="459"/>
      <c r="DQ1267" s="459"/>
      <c r="DR1267" s="459"/>
      <c r="DS1267" s="459"/>
      <c r="DT1267" s="459"/>
      <c r="DU1267" s="459"/>
      <c r="DV1267" s="468"/>
      <c r="DW1267" s="468"/>
      <c r="DX1267" s="459"/>
      <c r="DY1267" s="459"/>
    </row>
    <row r="1268" spans="1:129" s="128" customFormat="1" ht="54.95" customHeight="1" x14ac:dyDescent="0.25">
      <c r="A1268" s="377"/>
      <c r="B1268" s="175"/>
      <c r="C1268" s="393"/>
      <c r="D1268" s="168"/>
      <c r="E1268" s="168"/>
      <c r="F1268" s="168"/>
      <c r="G1268" s="168"/>
      <c r="H1268" s="168"/>
      <c r="I1268" s="168"/>
      <c r="J1268" s="168"/>
      <c r="K1268" s="168"/>
      <c r="L1268" s="168"/>
      <c r="M1268" s="168"/>
      <c r="N1268" s="168"/>
      <c r="O1268" s="433"/>
      <c r="P1268" s="122"/>
      <c r="Q1268" s="156"/>
      <c r="R1268" s="156"/>
      <c r="S1268" s="156"/>
      <c r="T1268" s="156"/>
      <c r="U1268" s="156"/>
      <c r="V1268" s="156"/>
      <c r="W1268" s="156"/>
      <c r="X1268" s="156"/>
      <c r="Y1268" s="156"/>
      <c r="Z1268" s="157"/>
      <c r="AA1268" s="157"/>
      <c r="AB1268" s="156"/>
      <c r="AC1268" s="156"/>
      <c r="AD1268" s="156"/>
      <c r="AE1268" s="156"/>
      <c r="AF1268" s="156"/>
      <c r="AG1268" s="156"/>
      <c r="AH1268" s="156"/>
      <c r="AI1268" s="156"/>
      <c r="AJ1268" s="156"/>
      <c r="AK1268" s="156"/>
      <c r="AL1268" s="156"/>
      <c r="AM1268" s="158"/>
      <c r="AN1268" s="156"/>
      <c r="AO1268" s="156"/>
      <c r="AP1268" s="156"/>
      <c r="AQ1268" s="156"/>
      <c r="AR1268" s="156"/>
      <c r="AS1268" s="156"/>
      <c r="AT1268" s="156"/>
      <c r="AU1268" s="156"/>
      <c r="AV1268" s="156"/>
      <c r="AW1268" s="156"/>
      <c r="AX1268" s="156"/>
      <c r="AY1268" s="156"/>
      <c r="AZ1268" s="156"/>
      <c r="BA1268" s="153"/>
      <c r="BD1268" s="153"/>
      <c r="BE1268" s="147"/>
      <c r="BI1268" s="153"/>
      <c r="BO1268" s="153"/>
      <c r="BW1268" s="153"/>
      <c r="CD1268" s="146"/>
      <c r="CF1268" s="147"/>
      <c r="CI1268" s="146"/>
      <c r="CJ1268" s="153"/>
      <c r="CV1268" s="154"/>
      <c r="CX1268" s="154"/>
      <c r="CZ1268" s="154"/>
      <c r="DB1268" s="154"/>
      <c r="DD1268" s="154"/>
      <c r="DH1268" s="474"/>
      <c r="DI1268" s="459"/>
      <c r="DJ1268" s="459"/>
      <c r="DK1268" s="459"/>
      <c r="DL1268" s="459"/>
      <c r="DM1268" s="459"/>
      <c r="DN1268" s="459"/>
      <c r="DO1268" s="459"/>
      <c r="DP1268" s="459"/>
      <c r="DQ1268" s="459"/>
      <c r="DR1268" s="459"/>
      <c r="DS1268" s="459"/>
      <c r="DT1268" s="459"/>
      <c r="DU1268" s="459"/>
      <c r="DV1268" s="468"/>
      <c r="DW1268" s="468"/>
      <c r="DX1268" s="459"/>
      <c r="DY1268" s="459"/>
    </row>
    <row r="1269" spans="1:129" s="128" customFormat="1" ht="54.95" customHeight="1" x14ac:dyDescent="0.25">
      <c r="A1269" s="377"/>
      <c r="B1269" s="175"/>
      <c r="C1269" s="393"/>
      <c r="D1269" s="168"/>
      <c r="E1269" s="168"/>
      <c r="F1269" s="168"/>
      <c r="G1269" s="168"/>
      <c r="H1269" s="168"/>
      <c r="I1269" s="168"/>
      <c r="J1269" s="168"/>
      <c r="K1269" s="168"/>
      <c r="L1269" s="168"/>
      <c r="M1269" s="168"/>
      <c r="N1269" s="168"/>
      <c r="O1269" s="433"/>
      <c r="P1269" s="122"/>
      <c r="Q1269" s="156"/>
      <c r="R1269" s="156"/>
      <c r="S1269" s="156"/>
      <c r="T1269" s="156"/>
      <c r="U1269" s="156"/>
      <c r="V1269" s="156"/>
      <c r="W1269" s="156"/>
      <c r="X1269" s="156"/>
      <c r="Y1269" s="156"/>
      <c r="Z1269" s="157"/>
      <c r="AA1269" s="157"/>
      <c r="AB1269" s="156"/>
      <c r="AC1269" s="156"/>
      <c r="AD1269" s="156"/>
      <c r="AE1269" s="156"/>
      <c r="AF1269" s="156"/>
      <c r="AG1269" s="156"/>
      <c r="AH1269" s="156"/>
      <c r="AI1269" s="156"/>
      <c r="AJ1269" s="156"/>
      <c r="AK1269" s="156"/>
      <c r="AL1269" s="156"/>
      <c r="AM1269" s="158"/>
      <c r="AN1269" s="156"/>
      <c r="AO1269" s="156"/>
      <c r="AP1269" s="156"/>
      <c r="AQ1269" s="156"/>
      <c r="AR1269" s="156"/>
      <c r="AS1269" s="156"/>
      <c r="AT1269" s="156"/>
      <c r="AU1269" s="156"/>
      <c r="AV1269" s="156"/>
      <c r="AW1269" s="156"/>
      <c r="AX1269" s="156"/>
      <c r="AY1269" s="156"/>
      <c r="AZ1269" s="156"/>
      <c r="BA1269" s="153"/>
      <c r="BD1269" s="153"/>
      <c r="BE1269" s="147"/>
      <c r="BI1269" s="153"/>
      <c r="BO1269" s="153"/>
      <c r="BW1269" s="153"/>
      <c r="CD1269" s="146"/>
      <c r="CF1269" s="147"/>
      <c r="CI1269" s="146"/>
      <c r="CJ1269" s="153"/>
      <c r="CV1269" s="154"/>
      <c r="CX1269" s="154"/>
      <c r="CZ1269" s="154"/>
      <c r="DB1269" s="154"/>
      <c r="DD1269" s="154"/>
      <c r="DH1269" s="474"/>
      <c r="DI1269" s="459"/>
      <c r="DJ1269" s="459"/>
      <c r="DK1269" s="459"/>
      <c r="DL1269" s="459"/>
      <c r="DM1269" s="459"/>
      <c r="DN1269" s="459"/>
      <c r="DO1269" s="459"/>
      <c r="DP1269" s="459"/>
      <c r="DQ1269" s="459"/>
      <c r="DR1269" s="459"/>
      <c r="DS1269" s="459"/>
      <c r="DT1269" s="459"/>
      <c r="DU1269" s="459"/>
      <c r="DV1269" s="468"/>
      <c r="DW1269" s="468"/>
      <c r="DX1269" s="459"/>
      <c r="DY1269" s="459"/>
    </row>
    <row r="1270" spans="1:129" s="128" customFormat="1" ht="54.95" customHeight="1" x14ac:dyDescent="0.25">
      <c r="A1270" s="377"/>
      <c r="B1270" s="175"/>
      <c r="C1270" s="393"/>
      <c r="D1270" s="168"/>
      <c r="E1270" s="168"/>
      <c r="F1270" s="168"/>
      <c r="G1270" s="168"/>
      <c r="H1270" s="168"/>
      <c r="I1270" s="168"/>
      <c r="J1270" s="168"/>
      <c r="K1270" s="168"/>
      <c r="L1270" s="168"/>
      <c r="M1270" s="168"/>
      <c r="N1270" s="168"/>
      <c r="O1270" s="433"/>
      <c r="P1270" s="122"/>
      <c r="Q1270" s="156"/>
      <c r="R1270" s="156"/>
      <c r="S1270" s="156"/>
      <c r="T1270" s="156"/>
      <c r="U1270" s="156"/>
      <c r="V1270" s="156"/>
      <c r="W1270" s="156"/>
      <c r="X1270" s="156"/>
      <c r="Y1270" s="156"/>
      <c r="Z1270" s="157"/>
      <c r="AA1270" s="157"/>
      <c r="AB1270" s="156"/>
      <c r="AC1270" s="156"/>
      <c r="AD1270" s="156"/>
      <c r="AE1270" s="156"/>
      <c r="AF1270" s="156"/>
      <c r="AG1270" s="156"/>
      <c r="AH1270" s="156"/>
      <c r="AI1270" s="156"/>
      <c r="AJ1270" s="156"/>
      <c r="AK1270" s="156"/>
      <c r="AL1270" s="156"/>
      <c r="AM1270" s="158"/>
      <c r="AN1270" s="156"/>
      <c r="AO1270" s="156"/>
      <c r="AP1270" s="156"/>
      <c r="AQ1270" s="156"/>
      <c r="AR1270" s="156"/>
      <c r="AS1270" s="156"/>
      <c r="AT1270" s="156"/>
      <c r="AU1270" s="156"/>
      <c r="AV1270" s="156"/>
      <c r="AW1270" s="156"/>
      <c r="AX1270" s="156"/>
      <c r="AY1270" s="156"/>
      <c r="AZ1270" s="156"/>
      <c r="BA1270" s="153"/>
      <c r="BD1270" s="153"/>
      <c r="BE1270" s="147"/>
      <c r="BI1270" s="153"/>
      <c r="BO1270" s="153"/>
      <c r="BW1270" s="153"/>
      <c r="CD1270" s="146"/>
      <c r="CF1270" s="147"/>
      <c r="CI1270" s="146"/>
      <c r="CJ1270" s="153"/>
      <c r="CV1270" s="154"/>
      <c r="CX1270" s="154"/>
      <c r="CZ1270" s="154"/>
      <c r="DB1270" s="154"/>
      <c r="DD1270" s="154"/>
      <c r="DH1270" s="474"/>
      <c r="DI1270" s="459"/>
      <c r="DJ1270" s="459"/>
      <c r="DK1270" s="459"/>
      <c r="DL1270" s="459"/>
      <c r="DM1270" s="459"/>
      <c r="DN1270" s="459"/>
      <c r="DO1270" s="459"/>
      <c r="DP1270" s="459"/>
      <c r="DQ1270" s="459"/>
      <c r="DR1270" s="459"/>
      <c r="DS1270" s="459"/>
      <c r="DT1270" s="459"/>
      <c r="DU1270" s="459"/>
      <c r="DV1270" s="468"/>
      <c r="DW1270" s="468"/>
      <c r="DX1270" s="459"/>
      <c r="DY1270" s="459"/>
    </row>
    <row r="1271" spans="1:129" s="128" customFormat="1" ht="54.95" customHeight="1" x14ac:dyDescent="0.25">
      <c r="A1271" s="377"/>
      <c r="B1271" s="175"/>
      <c r="C1271" s="393"/>
      <c r="D1271" s="168"/>
      <c r="E1271" s="168"/>
      <c r="F1271" s="168"/>
      <c r="G1271" s="168"/>
      <c r="H1271" s="168"/>
      <c r="I1271" s="168"/>
      <c r="J1271" s="168"/>
      <c r="K1271" s="168"/>
      <c r="L1271" s="168"/>
      <c r="M1271" s="168"/>
      <c r="N1271" s="168"/>
      <c r="O1271" s="433"/>
      <c r="P1271" s="122"/>
      <c r="Q1271" s="156"/>
      <c r="R1271" s="156"/>
      <c r="S1271" s="156"/>
      <c r="T1271" s="156"/>
      <c r="U1271" s="156"/>
      <c r="V1271" s="156"/>
      <c r="W1271" s="156"/>
      <c r="X1271" s="156"/>
      <c r="Y1271" s="156"/>
      <c r="Z1271" s="157"/>
      <c r="AA1271" s="157"/>
      <c r="AB1271" s="156"/>
      <c r="AC1271" s="156"/>
      <c r="AD1271" s="156"/>
      <c r="AE1271" s="156"/>
      <c r="AF1271" s="156"/>
      <c r="AG1271" s="156"/>
      <c r="AH1271" s="156"/>
      <c r="AI1271" s="156"/>
      <c r="AJ1271" s="156"/>
      <c r="AK1271" s="156"/>
      <c r="AL1271" s="156"/>
      <c r="AM1271" s="158"/>
      <c r="AN1271" s="156"/>
      <c r="AO1271" s="156"/>
      <c r="AP1271" s="156"/>
      <c r="AQ1271" s="156"/>
      <c r="AR1271" s="156"/>
      <c r="AS1271" s="156"/>
      <c r="AT1271" s="156"/>
      <c r="AU1271" s="156"/>
      <c r="AV1271" s="156"/>
      <c r="AW1271" s="156"/>
      <c r="AX1271" s="156"/>
      <c r="AY1271" s="156"/>
      <c r="AZ1271" s="156"/>
      <c r="BA1271" s="153"/>
      <c r="BD1271" s="153"/>
      <c r="BE1271" s="147"/>
      <c r="BI1271" s="153"/>
      <c r="BO1271" s="153"/>
      <c r="BW1271" s="153"/>
      <c r="CD1271" s="146"/>
      <c r="CF1271" s="147"/>
      <c r="CI1271" s="146"/>
      <c r="CJ1271" s="153"/>
      <c r="CV1271" s="154"/>
      <c r="CX1271" s="154"/>
      <c r="CZ1271" s="154"/>
      <c r="DB1271" s="154"/>
      <c r="DD1271" s="154"/>
      <c r="DH1271" s="474"/>
      <c r="DI1271" s="459"/>
      <c r="DJ1271" s="459"/>
      <c r="DK1271" s="459"/>
      <c r="DL1271" s="459"/>
      <c r="DM1271" s="459"/>
      <c r="DN1271" s="459"/>
      <c r="DO1271" s="459"/>
      <c r="DP1271" s="459"/>
      <c r="DQ1271" s="459"/>
      <c r="DR1271" s="459"/>
      <c r="DS1271" s="459"/>
      <c r="DT1271" s="459"/>
      <c r="DU1271" s="459"/>
      <c r="DV1271" s="468"/>
      <c r="DW1271" s="468"/>
      <c r="DX1271" s="459"/>
      <c r="DY1271" s="459"/>
    </row>
    <row r="1272" spans="1:129" s="128" customFormat="1" ht="54.95" customHeight="1" x14ac:dyDescent="0.25">
      <c r="A1272" s="377"/>
      <c r="B1272" s="175"/>
      <c r="C1272" s="393"/>
      <c r="D1272" s="168"/>
      <c r="E1272" s="168"/>
      <c r="F1272" s="168"/>
      <c r="G1272" s="168"/>
      <c r="H1272" s="168"/>
      <c r="I1272" s="168"/>
      <c r="J1272" s="168"/>
      <c r="K1272" s="168"/>
      <c r="L1272" s="168"/>
      <c r="M1272" s="168"/>
      <c r="N1272" s="168"/>
      <c r="O1272" s="433"/>
      <c r="P1272" s="122"/>
      <c r="Q1272" s="156"/>
      <c r="R1272" s="156"/>
      <c r="S1272" s="156"/>
      <c r="T1272" s="156"/>
      <c r="U1272" s="156"/>
      <c r="V1272" s="156"/>
      <c r="W1272" s="156"/>
      <c r="X1272" s="156"/>
      <c r="Y1272" s="156"/>
      <c r="Z1272" s="157"/>
      <c r="AA1272" s="157"/>
      <c r="AB1272" s="156"/>
      <c r="AC1272" s="156"/>
      <c r="AD1272" s="156"/>
      <c r="AE1272" s="156"/>
      <c r="AF1272" s="156"/>
      <c r="AG1272" s="156"/>
      <c r="AH1272" s="156"/>
      <c r="AI1272" s="156"/>
      <c r="AJ1272" s="156"/>
      <c r="AK1272" s="156"/>
      <c r="AL1272" s="156"/>
      <c r="AM1272" s="158"/>
      <c r="AN1272" s="156"/>
      <c r="AO1272" s="156"/>
      <c r="AP1272" s="156"/>
      <c r="AQ1272" s="156"/>
      <c r="AR1272" s="156"/>
      <c r="AS1272" s="156"/>
      <c r="AT1272" s="156"/>
      <c r="AU1272" s="156"/>
      <c r="AV1272" s="156"/>
      <c r="AW1272" s="156"/>
      <c r="AX1272" s="156"/>
      <c r="AY1272" s="156"/>
      <c r="AZ1272" s="156"/>
      <c r="BA1272" s="153"/>
      <c r="BD1272" s="153"/>
      <c r="BE1272" s="147"/>
      <c r="BI1272" s="153"/>
      <c r="BO1272" s="153"/>
      <c r="BW1272" s="153"/>
      <c r="CD1272" s="146"/>
      <c r="CF1272" s="147"/>
      <c r="CI1272" s="146"/>
      <c r="CJ1272" s="153"/>
      <c r="CV1272" s="154"/>
      <c r="CX1272" s="154"/>
      <c r="CZ1272" s="154"/>
      <c r="DB1272" s="154"/>
      <c r="DD1272" s="154"/>
      <c r="DH1272" s="474"/>
      <c r="DI1272" s="459"/>
      <c r="DJ1272" s="459"/>
      <c r="DK1272" s="459"/>
      <c r="DL1272" s="459"/>
      <c r="DM1272" s="459"/>
      <c r="DN1272" s="459"/>
      <c r="DO1272" s="459"/>
      <c r="DP1272" s="459"/>
      <c r="DQ1272" s="459"/>
      <c r="DR1272" s="459"/>
      <c r="DS1272" s="459"/>
      <c r="DT1272" s="459"/>
      <c r="DU1272" s="459"/>
      <c r="DV1272" s="468"/>
      <c r="DW1272" s="468"/>
      <c r="DX1272" s="459"/>
      <c r="DY1272" s="459"/>
    </row>
    <row r="1273" spans="1:129" s="128" customFormat="1" ht="54.95" customHeight="1" x14ac:dyDescent="0.25">
      <c r="A1273" s="377"/>
      <c r="B1273" s="175"/>
      <c r="C1273" s="393"/>
      <c r="D1273" s="168"/>
      <c r="E1273" s="168"/>
      <c r="F1273" s="168"/>
      <c r="G1273" s="168"/>
      <c r="H1273" s="168"/>
      <c r="I1273" s="168"/>
      <c r="J1273" s="168"/>
      <c r="K1273" s="168"/>
      <c r="L1273" s="168"/>
      <c r="M1273" s="168"/>
      <c r="N1273" s="168"/>
      <c r="O1273" s="433"/>
      <c r="P1273" s="122"/>
      <c r="Q1273" s="156"/>
      <c r="R1273" s="156"/>
      <c r="S1273" s="156"/>
      <c r="T1273" s="156"/>
      <c r="U1273" s="156"/>
      <c r="V1273" s="156"/>
      <c r="W1273" s="156"/>
      <c r="X1273" s="156"/>
      <c r="Y1273" s="156"/>
      <c r="Z1273" s="157"/>
      <c r="AA1273" s="157"/>
      <c r="AB1273" s="156"/>
      <c r="AC1273" s="156"/>
      <c r="AD1273" s="156"/>
      <c r="AE1273" s="156"/>
      <c r="AF1273" s="156"/>
      <c r="AG1273" s="156"/>
      <c r="AH1273" s="156"/>
      <c r="AI1273" s="156"/>
      <c r="AJ1273" s="156"/>
      <c r="AK1273" s="156"/>
      <c r="AL1273" s="156"/>
      <c r="AM1273" s="158"/>
      <c r="AN1273" s="156"/>
      <c r="AO1273" s="156"/>
      <c r="AP1273" s="156"/>
      <c r="AQ1273" s="156"/>
      <c r="AR1273" s="156"/>
      <c r="AS1273" s="156"/>
      <c r="AT1273" s="156"/>
      <c r="AU1273" s="156"/>
      <c r="AV1273" s="156"/>
      <c r="AW1273" s="156"/>
      <c r="AX1273" s="156"/>
      <c r="AY1273" s="156"/>
      <c r="AZ1273" s="156"/>
      <c r="BA1273" s="153"/>
      <c r="BD1273" s="153"/>
      <c r="BE1273" s="147"/>
      <c r="BI1273" s="153"/>
      <c r="BO1273" s="153"/>
      <c r="BW1273" s="153"/>
      <c r="CD1273" s="146"/>
      <c r="CF1273" s="147"/>
      <c r="CI1273" s="146"/>
      <c r="CJ1273" s="153"/>
      <c r="CV1273" s="154"/>
      <c r="CX1273" s="154"/>
      <c r="CZ1273" s="154"/>
      <c r="DB1273" s="154"/>
      <c r="DD1273" s="154"/>
      <c r="DH1273" s="474"/>
      <c r="DI1273" s="459"/>
      <c r="DJ1273" s="459"/>
      <c r="DK1273" s="459"/>
      <c r="DL1273" s="459"/>
      <c r="DM1273" s="459"/>
      <c r="DN1273" s="459"/>
      <c r="DO1273" s="459"/>
      <c r="DP1273" s="459"/>
      <c r="DQ1273" s="459"/>
      <c r="DR1273" s="459"/>
      <c r="DS1273" s="459"/>
      <c r="DT1273" s="459"/>
      <c r="DU1273" s="459"/>
      <c r="DV1273" s="468"/>
      <c r="DW1273" s="468"/>
      <c r="DX1273" s="459"/>
      <c r="DY1273" s="459"/>
    </row>
    <row r="1274" spans="1:129" s="128" customFormat="1" ht="54.95" customHeight="1" x14ac:dyDescent="0.25">
      <c r="A1274" s="377"/>
      <c r="B1274" s="175"/>
      <c r="C1274" s="393"/>
      <c r="D1274" s="168"/>
      <c r="E1274" s="168"/>
      <c r="F1274" s="168"/>
      <c r="G1274" s="168"/>
      <c r="H1274" s="168"/>
      <c r="I1274" s="168"/>
      <c r="J1274" s="168"/>
      <c r="K1274" s="168"/>
      <c r="L1274" s="168"/>
      <c r="M1274" s="168"/>
      <c r="N1274" s="168"/>
      <c r="O1274" s="433"/>
      <c r="P1274" s="122"/>
      <c r="Q1274" s="156"/>
      <c r="R1274" s="156"/>
      <c r="S1274" s="156"/>
      <c r="T1274" s="156"/>
      <c r="U1274" s="156"/>
      <c r="V1274" s="156"/>
      <c r="W1274" s="156"/>
      <c r="X1274" s="156"/>
      <c r="Y1274" s="156"/>
      <c r="Z1274" s="157"/>
      <c r="AA1274" s="157"/>
      <c r="AB1274" s="156"/>
      <c r="AC1274" s="156"/>
      <c r="AD1274" s="156"/>
      <c r="AE1274" s="156"/>
      <c r="AF1274" s="156"/>
      <c r="AG1274" s="156"/>
      <c r="AH1274" s="156"/>
      <c r="AI1274" s="156"/>
      <c r="AJ1274" s="156"/>
      <c r="AK1274" s="156"/>
      <c r="AL1274" s="156"/>
      <c r="AM1274" s="158"/>
      <c r="AN1274" s="156"/>
      <c r="AO1274" s="156"/>
      <c r="AP1274" s="156"/>
      <c r="AQ1274" s="156"/>
      <c r="AR1274" s="156"/>
      <c r="AS1274" s="156"/>
      <c r="AT1274" s="156"/>
      <c r="AU1274" s="156"/>
      <c r="AV1274" s="156"/>
      <c r="AW1274" s="156"/>
      <c r="AX1274" s="156"/>
      <c r="AY1274" s="156"/>
      <c r="AZ1274" s="156"/>
      <c r="BA1274" s="153"/>
      <c r="BD1274" s="153"/>
      <c r="BE1274" s="147"/>
      <c r="BI1274" s="153"/>
      <c r="BO1274" s="153"/>
      <c r="BW1274" s="153"/>
      <c r="CD1274" s="146"/>
      <c r="CF1274" s="147"/>
      <c r="CI1274" s="146"/>
      <c r="CJ1274" s="153"/>
      <c r="CV1274" s="154"/>
      <c r="CX1274" s="154"/>
      <c r="CZ1274" s="154"/>
      <c r="DB1274" s="154"/>
      <c r="DD1274" s="154"/>
      <c r="DH1274" s="474"/>
      <c r="DI1274" s="459"/>
      <c r="DJ1274" s="459"/>
      <c r="DK1274" s="459"/>
      <c r="DL1274" s="459"/>
      <c r="DM1274" s="459"/>
      <c r="DN1274" s="459"/>
      <c r="DO1274" s="459"/>
      <c r="DP1274" s="459"/>
      <c r="DQ1274" s="459"/>
      <c r="DR1274" s="459"/>
      <c r="DS1274" s="459"/>
      <c r="DT1274" s="459"/>
      <c r="DU1274" s="459"/>
      <c r="DV1274" s="468"/>
      <c r="DW1274" s="468"/>
      <c r="DX1274" s="459"/>
      <c r="DY1274" s="459"/>
    </row>
    <row r="1275" spans="1:129" s="128" customFormat="1" ht="54.95" customHeight="1" x14ac:dyDescent="0.25">
      <c r="A1275" s="377"/>
      <c r="B1275" s="175"/>
      <c r="C1275" s="393"/>
      <c r="D1275" s="168"/>
      <c r="E1275" s="168"/>
      <c r="F1275" s="168"/>
      <c r="G1275" s="168"/>
      <c r="H1275" s="168"/>
      <c r="I1275" s="168"/>
      <c r="J1275" s="168"/>
      <c r="K1275" s="168"/>
      <c r="L1275" s="168"/>
      <c r="M1275" s="168"/>
      <c r="N1275" s="168"/>
      <c r="O1275" s="433"/>
      <c r="P1275" s="122"/>
      <c r="Q1275" s="156"/>
      <c r="R1275" s="156"/>
      <c r="S1275" s="156"/>
      <c r="T1275" s="156"/>
      <c r="U1275" s="156"/>
      <c r="V1275" s="156"/>
      <c r="W1275" s="156"/>
      <c r="X1275" s="156"/>
      <c r="Y1275" s="156"/>
      <c r="Z1275" s="157"/>
      <c r="AA1275" s="157"/>
      <c r="AB1275" s="156"/>
      <c r="AC1275" s="156"/>
      <c r="AD1275" s="156"/>
      <c r="AE1275" s="156"/>
      <c r="AF1275" s="156"/>
      <c r="AG1275" s="156"/>
      <c r="AH1275" s="156"/>
      <c r="AI1275" s="156"/>
      <c r="AJ1275" s="156"/>
      <c r="AK1275" s="156"/>
      <c r="AL1275" s="156"/>
      <c r="AM1275" s="158"/>
      <c r="AN1275" s="156"/>
      <c r="AO1275" s="156"/>
      <c r="AP1275" s="156"/>
      <c r="AQ1275" s="156"/>
      <c r="AR1275" s="156"/>
      <c r="AS1275" s="156"/>
      <c r="AT1275" s="156"/>
      <c r="AU1275" s="156"/>
      <c r="AV1275" s="156"/>
      <c r="AW1275" s="156"/>
      <c r="AX1275" s="156"/>
      <c r="AY1275" s="156"/>
      <c r="AZ1275" s="156"/>
      <c r="BA1275" s="153"/>
      <c r="BD1275" s="153"/>
      <c r="BE1275" s="147"/>
      <c r="BI1275" s="153"/>
      <c r="BO1275" s="153"/>
      <c r="BW1275" s="153"/>
      <c r="CD1275" s="146"/>
      <c r="CF1275" s="147"/>
      <c r="CI1275" s="146"/>
      <c r="CJ1275" s="153"/>
      <c r="CV1275" s="154"/>
      <c r="CX1275" s="154"/>
      <c r="CZ1275" s="154"/>
      <c r="DB1275" s="154"/>
      <c r="DD1275" s="154"/>
      <c r="DH1275" s="474"/>
      <c r="DI1275" s="459"/>
      <c r="DJ1275" s="459"/>
      <c r="DK1275" s="459"/>
      <c r="DL1275" s="459"/>
      <c r="DM1275" s="459"/>
      <c r="DN1275" s="459"/>
      <c r="DO1275" s="459"/>
      <c r="DP1275" s="459"/>
      <c r="DQ1275" s="459"/>
      <c r="DR1275" s="459"/>
      <c r="DS1275" s="459"/>
      <c r="DT1275" s="459"/>
      <c r="DU1275" s="459"/>
      <c r="DV1275" s="468"/>
      <c r="DW1275" s="468"/>
      <c r="DX1275" s="459"/>
      <c r="DY1275" s="459"/>
    </row>
    <row r="1276" spans="1:129" s="128" customFormat="1" ht="54.95" customHeight="1" x14ac:dyDescent="0.25">
      <c r="A1276" s="377"/>
      <c r="B1276" s="175"/>
      <c r="C1276" s="393"/>
      <c r="D1276" s="168"/>
      <c r="E1276" s="168"/>
      <c r="F1276" s="168"/>
      <c r="G1276" s="168"/>
      <c r="H1276" s="168"/>
      <c r="I1276" s="168"/>
      <c r="J1276" s="168"/>
      <c r="K1276" s="168"/>
      <c r="L1276" s="168"/>
      <c r="M1276" s="168"/>
      <c r="N1276" s="168"/>
      <c r="O1276" s="433"/>
      <c r="P1276" s="122"/>
      <c r="Q1276" s="156"/>
      <c r="R1276" s="156"/>
      <c r="S1276" s="156"/>
      <c r="T1276" s="156"/>
      <c r="U1276" s="156"/>
      <c r="V1276" s="156"/>
      <c r="W1276" s="156"/>
      <c r="X1276" s="156"/>
      <c r="Y1276" s="156"/>
      <c r="Z1276" s="157"/>
      <c r="AA1276" s="157"/>
      <c r="AB1276" s="156"/>
      <c r="AC1276" s="156"/>
      <c r="AD1276" s="156"/>
      <c r="AE1276" s="156"/>
      <c r="AF1276" s="156"/>
      <c r="AG1276" s="156"/>
      <c r="AH1276" s="156"/>
      <c r="AI1276" s="156"/>
      <c r="AJ1276" s="156"/>
      <c r="AK1276" s="156"/>
      <c r="AL1276" s="156"/>
      <c r="AM1276" s="158"/>
      <c r="AN1276" s="156"/>
      <c r="AO1276" s="156"/>
      <c r="AP1276" s="156"/>
      <c r="AQ1276" s="156"/>
      <c r="AR1276" s="156"/>
      <c r="AS1276" s="156"/>
      <c r="AT1276" s="156"/>
      <c r="AU1276" s="156"/>
      <c r="AV1276" s="156"/>
      <c r="AW1276" s="156"/>
      <c r="AX1276" s="156"/>
      <c r="AY1276" s="156"/>
      <c r="AZ1276" s="156"/>
      <c r="BA1276" s="153"/>
      <c r="BD1276" s="153"/>
      <c r="BE1276" s="147"/>
      <c r="BI1276" s="153"/>
      <c r="BO1276" s="153"/>
      <c r="BW1276" s="153"/>
      <c r="CD1276" s="146"/>
      <c r="CF1276" s="147"/>
      <c r="CI1276" s="146"/>
      <c r="CJ1276" s="153"/>
      <c r="CV1276" s="154"/>
      <c r="CX1276" s="154"/>
      <c r="CZ1276" s="154"/>
      <c r="DB1276" s="154"/>
      <c r="DD1276" s="154"/>
      <c r="DH1276" s="474"/>
      <c r="DI1276" s="459"/>
      <c r="DJ1276" s="459"/>
      <c r="DK1276" s="459"/>
      <c r="DL1276" s="459"/>
      <c r="DM1276" s="459"/>
      <c r="DN1276" s="459"/>
      <c r="DO1276" s="459"/>
      <c r="DP1276" s="459"/>
      <c r="DQ1276" s="459"/>
      <c r="DR1276" s="459"/>
      <c r="DS1276" s="459"/>
      <c r="DT1276" s="459"/>
      <c r="DU1276" s="459"/>
      <c r="DV1276" s="468"/>
      <c r="DW1276" s="468"/>
      <c r="DX1276" s="459"/>
      <c r="DY1276" s="459"/>
    </row>
    <row r="1277" spans="1:129" s="128" customFormat="1" ht="54.95" customHeight="1" x14ac:dyDescent="0.25">
      <c r="A1277" s="377"/>
      <c r="B1277" s="175"/>
      <c r="C1277" s="393"/>
      <c r="D1277" s="168"/>
      <c r="E1277" s="168"/>
      <c r="F1277" s="168"/>
      <c r="G1277" s="168"/>
      <c r="H1277" s="168"/>
      <c r="I1277" s="168"/>
      <c r="J1277" s="168"/>
      <c r="K1277" s="168"/>
      <c r="L1277" s="168"/>
      <c r="M1277" s="168"/>
      <c r="N1277" s="168"/>
      <c r="O1277" s="433"/>
      <c r="P1277" s="122"/>
      <c r="Q1277" s="156"/>
      <c r="R1277" s="156"/>
      <c r="S1277" s="156"/>
      <c r="T1277" s="156"/>
      <c r="U1277" s="156"/>
      <c r="V1277" s="156"/>
      <c r="W1277" s="156"/>
      <c r="X1277" s="156"/>
      <c r="Y1277" s="156"/>
      <c r="Z1277" s="157"/>
      <c r="AA1277" s="157"/>
      <c r="AB1277" s="156"/>
      <c r="AC1277" s="156"/>
      <c r="AD1277" s="156"/>
      <c r="AE1277" s="156"/>
      <c r="AF1277" s="156"/>
      <c r="AG1277" s="156"/>
      <c r="AH1277" s="156"/>
      <c r="AI1277" s="156"/>
      <c r="AJ1277" s="156"/>
      <c r="AK1277" s="156"/>
      <c r="AL1277" s="156"/>
      <c r="AM1277" s="158"/>
      <c r="AN1277" s="156"/>
      <c r="AO1277" s="156"/>
      <c r="AP1277" s="156"/>
      <c r="AQ1277" s="156"/>
      <c r="AR1277" s="156"/>
      <c r="AS1277" s="156"/>
      <c r="AT1277" s="156"/>
      <c r="AU1277" s="156"/>
      <c r="AV1277" s="156"/>
      <c r="AW1277" s="156"/>
      <c r="AX1277" s="156"/>
      <c r="AY1277" s="156"/>
      <c r="AZ1277" s="156"/>
      <c r="BA1277" s="153"/>
      <c r="BD1277" s="153"/>
      <c r="BE1277" s="147"/>
      <c r="BI1277" s="153"/>
      <c r="BO1277" s="153"/>
      <c r="BW1277" s="153"/>
      <c r="CD1277" s="146"/>
      <c r="CF1277" s="147"/>
      <c r="CI1277" s="146"/>
      <c r="CJ1277" s="153"/>
      <c r="CV1277" s="154"/>
      <c r="CX1277" s="154"/>
      <c r="CZ1277" s="154"/>
      <c r="DB1277" s="154"/>
      <c r="DD1277" s="154"/>
      <c r="DH1277" s="474"/>
      <c r="DI1277" s="459"/>
      <c r="DJ1277" s="459"/>
      <c r="DK1277" s="459"/>
      <c r="DL1277" s="459"/>
      <c r="DM1277" s="459"/>
      <c r="DN1277" s="459"/>
      <c r="DO1277" s="459"/>
      <c r="DP1277" s="459"/>
      <c r="DQ1277" s="459"/>
      <c r="DR1277" s="459"/>
      <c r="DS1277" s="459"/>
      <c r="DT1277" s="459"/>
      <c r="DU1277" s="459"/>
      <c r="DV1277" s="468"/>
      <c r="DW1277" s="468"/>
      <c r="DX1277" s="459"/>
      <c r="DY1277" s="459"/>
    </row>
    <row r="1278" spans="1:129" s="128" customFormat="1" ht="54.95" customHeight="1" x14ac:dyDescent="0.25">
      <c r="A1278" s="377"/>
      <c r="B1278" s="175"/>
      <c r="C1278" s="393"/>
      <c r="D1278" s="168"/>
      <c r="E1278" s="168"/>
      <c r="F1278" s="168"/>
      <c r="G1278" s="168"/>
      <c r="H1278" s="168"/>
      <c r="I1278" s="168"/>
      <c r="J1278" s="168"/>
      <c r="K1278" s="168"/>
      <c r="L1278" s="168"/>
      <c r="M1278" s="168"/>
      <c r="N1278" s="168"/>
      <c r="O1278" s="433"/>
      <c r="P1278" s="122"/>
      <c r="Q1278" s="156"/>
      <c r="R1278" s="156"/>
      <c r="S1278" s="156"/>
      <c r="T1278" s="156"/>
      <c r="U1278" s="156"/>
      <c r="V1278" s="156"/>
      <c r="W1278" s="156"/>
      <c r="X1278" s="156"/>
      <c r="Y1278" s="156"/>
      <c r="Z1278" s="157"/>
      <c r="AA1278" s="157"/>
      <c r="AB1278" s="156"/>
      <c r="AC1278" s="156"/>
      <c r="AD1278" s="156"/>
      <c r="AE1278" s="156"/>
      <c r="AF1278" s="156"/>
      <c r="AG1278" s="156"/>
      <c r="AH1278" s="156"/>
      <c r="AI1278" s="156"/>
      <c r="AJ1278" s="156"/>
      <c r="AK1278" s="156"/>
      <c r="AL1278" s="156"/>
      <c r="AM1278" s="158"/>
      <c r="AN1278" s="156"/>
      <c r="AO1278" s="156"/>
      <c r="AP1278" s="156"/>
      <c r="AQ1278" s="156"/>
      <c r="AR1278" s="156"/>
      <c r="AS1278" s="156"/>
      <c r="AT1278" s="156"/>
      <c r="AU1278" s="156"/>
      <c r="AV1278" s="156"/>
      <c r="AW1278" s="156"/>
      <c r="AX1278" s="156"/>
      <c r="AY1278" s="156"/>
      <c r="AZ1278" s="156"/>
      <c r="BA1278" s="153"/>
      <c r="BD1278" s="153"/>
      <c r="BE1278" s="147"/>
      <c r="BI1278" s="153"/>
      <c r="BO1278" s="153"/>
      <c r="BW1278" s="153"/>
      <c r="CD1278" s="146"/>
      <c r="CF1278" s="147"/>
      <c r="CI1278" s="146"/>
      <c r="CJ1278" s="153"/>
      <c r="CV1278" s="154"/>
      <c r="CX1278" s="154"/>
      <c r="CZ1278" s="154"/>
      <c r="DB1278" s="154"/>
      <c r="DD1278" s="154"/>
      <c r="DH1278" s="474"/>
      <c r="DI1278" s="459"/>
      <c r="DJ1278" s="459"/>
      <c r="DK1278" s="459"/>
      <c r="DL1278" s="459"/>
      <c r="DM1278" s="459"/>
      <c r="DN1278" s="459"/>
      <c r="DO1278" s="459"/>
      <c r="DP1278" s="459"/>
      <c r="DQ1278" s="459"/>
      <c r="DR1278" s="459"/>
      <c r="DS1278" s="459"/>
      <c r="DT1278" s="459"/>
      <c r="DU1278" s="459"/>
      <c r="DV1278" s="468"/>
      <c r="DW1278" s="468"/>
      <c r="DX1278" s="459"/>
      <c r="DY1278" s="459"/>
    </row>
    <row r="1279" spans="1:129" s="128" customFormat="1" ht="54.95" customHeight="1" x14ac:dyDescent="0.25">
      <c r="A1279" s="377"/>
      <c r="B1279" s="175"/>
      <c r="C1279" s="393"/>
      <c r="D1279" s="168"/>
      <c r="E1279" s="168"/>
      <c r="F1279" s="168"/>
      <c r="G1279" s="168"/>
      <c r="H1279" s="168"/>
      <c r="I1279" s="168"/>
      <c r="J1279" s="168"/>
      <c r="K1279" s="168"/>
      <c r="L1279" s="168"/>
      <c r="M1279" s="168"/>
      <c r="N1279" s="168"/>
      <c r="O1279" s="433"/>
      <c r="P1279" s="122"/>
      <c r="Q1279" s="156"/>
      <c r="R1279" s="156"/>
      <c r="S1279" s="156"/>
      <c r="T1279" s="156"/>
      <c r="U1279" s="156"/>
      <c r="V1279" s="156"/>
      <c r="W1279" s="156"/>
      <c r="X1279" s="156"/>
      <c r="Y1279" s="156"/>
      <c r="Z1279" s="157"/>
      <c r="AA1279" s="157"/>
      <c r="AB1279" s="156"/>
      <c r="AC1279" s="156"/>
      <c r="AD1279" s="156"/>
      <c r="AE1279" s="156"/>
      <c r="AF1279" s="156"/>
      <c r="AG1279" s="156"/>
      <c r="AH1279" s="156"/>
      <c r="AI1279" s="156"/>
      <c r="AJ1279" s="156"/>
      <c r="AK1279" s="156"/>
      <c r="AL1279" s="156"/>
      <c r="AM1279" s="158"/>
      <c r="AN1279" s="156"/>
      <c r="AO1279" s="156"/>
      <c r="AP1279" s="156"/>
      <c r="AQ1279" s="156"/>
      <c r="AR1279" s="156"/>
      <c r="AS1279" s="156"/>
      <c r="AT1279" s="156"/>
      <c r="AU1279" s="156"/>
      <c r="AV1279" s="156"/>
      <c r="AW1279" s="156"/>
      <c r="AX1279" s="156"/>
      <c r="AY1279" s="156"/>
      <c r="AZ1279" s="156"/>
      <c r="BA1279" s="153"/>
      <c r="BD1279" s="153"/>
      <c r="BE1279" s="147"/>
      <c r="BI1279" s="153"/>
      <c r="BO1279" s="153"/>
      <c r="BW1279" s="153"/>
      <c r="CD1279" s="146"/>
      <c r="CF1279" s="147"/>
      <c r="CI1279" s="146"/>
      <c r="CJ1279" s="153"/>
      <c r="CV1279" s="154"/>
      <c r="CX1279" s="154"/>
      <c r="CZ1279" s="154"/>
      <c r="DB1279" s="154"/>
      <c r="DD1279" s="154"/>
      <c r="DH1279" s="474"/>
      <c r="DI1279" s="459"/>
      <c r="DJ1279" s="459"/>
      <c r="DK1279" s="459"/>
      <c r="DL1279" s="459"/>
      <c r="DM1279" s="459"/>
      <c r="DN1279" s="459"/>
      <c r="DO1279" s="459"/>
      <c r="DP1279" s="459"/>
      <c r="DQ1279" s="459"/>
      <c r="DR1279" s="459"/>
      <c r="DS1279" s="459"/>
      <c r="DT1279" s="459"/>
      <c r="DU1279" s="459"/>
      <c r="DV1279" s="468"/>
      <c r="DW1279" s="468"/>
      <c r="DX1279" s="459"/>
      <c r="DY1279" s="459"/>
    </row>
    <row r="1280" spans="1:129" s="128" customFormat="1" ht="54.95" customHeight="1" x14ac:dyDescent="0.25">
      <c r="A1280" s="377"/>
      <c r="B1280" s="175"/>
      <c r="C1280" s="393"/>
      <c r="D1280" s="168"/>
      <c r="E1280" s="168"/>
      <c r="F1280" s="168"/>
      <c r="G1280" s="168"/>
      <c r="H1280" s="168"/>
      <c r="I1280" s="168"/>
      <c r="J1280" s="168"/>
      <c r="K1280" s="168"/>
      <c r="L1280" s="168"/>
      <c r="M1280" s="168"/>
      <c r="N1280" s="168"/>
      <c r="O1280" s="433"/>
      <c r="P1280" s="122"/>
      <c r="Q1280" s="156"/>
      <c r="R1280" s="156"/>
      <c r="S1280" s="156"/>
      <c r="T1280" s="156"/>
      <c r="U1280" s="156"/>
      <c r="V1280" s="156"/>
      <c r="W1280" s="156"/>
      <c r="X1280" s="156"/>
      <c r="Y1280" s="156"/>
      <c r="Z1280" s="157"/>
      <c r="AA1280" s="157"/>
      <c r="AB1280" s="156"/>
      <c r="AC1280" s="156"/>
      <c r="AD1280" s="156"/>
      <c r="AE1280" s="156"/>
      <c r="AF1280" s="156"/>
      <c r="AG1280" s="156"/>
      <c r="AH1280" s="156"/>
      <c r="AI1280" s="156"/>
      <c r="AJ1280" s="156"/>
      <c r="AK1280" s="156"/>
      <c r="AL1280" s="156"/>
      <c r="AM1280" s="158"/>
      <c r="AN1280" s="156"/>
      <c r="AO1280" s="156"/>
      <c r="AP1280" s="156"/>
      <c r="AQ1280" s="156"/>
      <c r="AR1280" s="156"/>
      <c r="AS1280" s="156"/>
      <c r="AT1280" s="156"/>
      <c r="AU1280" s="156"/>
      <c r="AV1280" s="156"/>
      <c r="AW1280" s="156"/>
      <c r="AX1280" s="156"/>
      <c r="AY1280" s="156"/>
      <c r="AZ1280" s="156"/>
      <c r="BA1280" s="153"/>
      <c r="BD1280" s="153"/>
      <c r="BE1280" s="147"/>
      <c r="BI1280" s="153"/>
      <c r="BO1280" s="153"/>
      <c r="BW1280" s="153"/>
      <c r="CD1280" s="146"/>
      <c r="CF1280" s="147"/>
      <c r="CI1280" s="146"/>
      <c r="CJ1280" s="153"/>
      <c r="CV1280" s="154"/>
      <c r="CX1280" s="154"/>
      <c r="CZ1280" s="154"/>
      <c r="DB1280" s="154"/>
      <c r="DD1280" s="154"/>
      <c r="DH1280" s="474"/>
      <c r="DI1280" s="459"/>
      <c r="DJ1280" s="459"/>
      <c r="DK1280" s="459"/>
      <c r="DL1280" s="459"/>
      <c r="DM1280" s="459"/>
      <c r="DN1280" s="459"/>
      <c r="DO1280" s="459"/>
      <c r="DP1280" s="459"/>
      <c r="DQ1280" s="459"/>
      <c r="DR1280" s="459"/>
      <c r="DS1280" s="459"/>
      <c r="DT1280" s="459"/>
      <c r="DU1280" s="459"/>
      <c r="DV1280" s="468"/>
      <c r="DW1280" s="468"/>
      <c r="DX1280" s="459"/>
      <c r="DY1280" s="459"/>
    </row>
    <row r="1281" spans="1:129" s="128" customFormat="1" ht="54.95" customHeight="1" x14ac:dyDescent="0.25">
      <c r="A1281" s="377"/>
      <c r="B1281" s="175"/>
      <c r="C1281" s="393"/>
      <c r="D1281" s="168"/>
      <c r="E1281" s="168"/>
      <c r="F1281" s="168"/>
      <c r="G1281" s="168"/>
      <c r="H1281" s="168"/>
      <c r="I1281" s="168"/>
      <c r="J1281" s="168"/>
      <c r="K1281" s="168"/>
      <c r="L1281" s="168"/>
      <c r="M1281" s="168"/>
      <c r="N1281" s="168"/>
      <c r="O1281" s="433"/>
      <c r="P1281" s="122"/>
      <c r="Q1281" s="156"/>
      <c r="R1281" s="156"/>
      <c r="S1281" s="156"/>
      <c r="T1281" s="156"/>
      <c r="U1281" s="156"/>
      <c r="V1281" s="156"/>
      <c r="W1281" s="156"/>
      <c r="X1281" s="156"/>
      <c r="Y1281" s="156"/>
      <c r="Z1281" s="157"/>
      <c r="AA1281" s="157"/>
      <c r="AB1281" s="156"/>
      <c r="AC1281" s="156"/>
      <c r="AD1281" s="156"/>
      <c r="AE1281" s="156"/>
      <c r="AF1281" s="156"/>
      <c r="AG1281" s="156"/>
      <c r="AH1281" s="156"/>
      <c r="AI1281" s="156"/>
      <c r="AJ1281" s="156"/>
      <c r="AK1281" s="156"/>
      <c r="AL1281" s="156"/>
      <c r="AM1281" s="158"/>
      <c r="AN1281" s="156"/>
      <c r="AO1281" s="156"/>
      <c r="AP1281" s="156"/>
      <c r="AQ1281" s="156"/>
      <c r="AR1281" s="156"/>
      <c r="AS1281" s="156"/>
      <c r="AT1281" s="156"/>
      <c r="AU1281" s="156"/>
      <c r="AV1281" s="156"/>
      <c r="AW1281" s="156"/>
      <c r="AX1281" s="156"/>
      <c r="AY1281" s="156"/>
      <c r="AZ1281" s="156"/>
      <c r="BA1281" s="153"/>
      <c r="BD1281" s="153"/>
      <c r="BE1281" s="147"/>
      <c r="BI1281" s="153"/>
      <c r="BO1281" s="153"/>
      <c r="BW1281" s="153"/>
      <c r="CD1281" s="146"/>
      <c r="CF1281" s="147"/>
      <c r="CI1281" s="146"/>
      <c r="CJ1281" s="153"/>
      <c r="CV1281" s="154"/>
      <c r="CX1281" s="154"/>
      <c r="CZ1281" s="154"/>
      <c r="DB1281" s="154"/>
      <c r="DD1281" s="154"/>
      <c r="DH1281" s="474"/>
      <c r="DI1281" s="459"/>
      <c r="DJ1281" s="459"/>
      <c r="DK1281" s="459"/>
      <c r="DL1281" s="459"/>
      <c r="DM1281" s="459"/>
      <c r="DN1281" s="459"/>
      <c r="DO1281" s="459"/>
      <c r="DP1281" s="459"/>
      <c r="DQ1281" s="459"/>
      <c r="DR1281" s="459"/>
      <c r="DS1281" s="459"/>
      <c r="DT1281" s="459"/>
      <c r="DU1281" s="459"/>
      <c r="DV1281" s="468"/>
      <c r="DW1281" s="468"/>
      <c r="DX1281" s="459"/>
      <c r="DY1281" s="459"/>
    </row>
    <row r="1282" spans="1:129" s="128" customFormat="1" ht="54.95" customHeight="1" x14ac:dyDescent="0.25">
      <c r="A1282" s="377"/>
      <c r="B1282" s="175"/>
      <c r="C1282" s="393"/>
      <c r="D1282" s="168"/>
      <c r="E1282" s="168"/>
      <c r="F1282" s="168"/>
      <c r="G1282" s="168"/>
      <c r="H1282" s="168"/>
      <c r="I1282" s="168"/>
      <c r="J1282" s="168"/>
      <c r="K1282" s="168"/>
      <c r="L1282" s="168"/>
      <c r="M1282" s="168"/>
      <c r="N1282" s="168"/>
      <c r="O1282" s="433"/>
      <c r="P1282" s="122"/>
      <c r="Q1282" s="156"/>
      <c r="R1282" s="156"/>
      <c r="S1282" s="156"/>
      <c r="T1282" s="156"/>
      <c r="U1282" s="156"/>
      <c r="V1282" s="156"/>
      <c r="W1282" s="156"/>
      <c r="X1282" s="156"/>
      <c r="Y1282" s="156"/>
      <c r="Z1282" s="157"/>
      <c r="AA1282" s="157"/>
      <c r="AB1282" s="156"/>
      <c r="AC1282" s="156"/>
      <c r="AD1282" s="156"/>
      <c r="AE1282" s="156"/>
      <c r="AF1282" s="156"/>
      <c r="AG1282" s="156"/>
      <c r="AH1282" s="156"/>
      <c r="AI1282" s="156"/>
      <c r="AJ1282" s="156"/>
      <c r="AK1282" s="156"/>
      <c r="AL1282" s="156"/>
      <c r="AM1282" s="158"/>
      <c r="AN1282" s="156"/>
      <c r="AO1282" s="156"/>
      <c r="AP1282" s="156"/>
      <c r="AQ1282" s="156"/>
      <c r="AR1282" s="156"/>
      <c r="AS1282" s="156"/>
      <c r="AT1282" s="156"/>
      <c r="AU1282" s="156"/>
      <c r="AV1282" s="156"/>
      <c r="AW1282" s="156"/>
      <c r="AX1282" s="156"/>
      <c r="AY1282" s="156"/>
      <c r="AZ1282" s="156"/>
      <c r="BA1282" s="153"/>
      <c r="BD1282" s="153"/>
      <c r="BE1282" s="147"/>
      <c r="BI1282" s="153"/>
      <c r="BO1282" s="153"/>
      <c r="BW1282" s="153"/>
      <c r="CD1282" s="146"/>
      <c r="CF1282" s="147"/>
      <c r="CI1282" s="146"/>
      <c r="CJ1282" s="153"/>
      <c r="CV1282" s="154"/>
      <c r="CX1282" s="154"/>
      <c r="CZ1282" s="154"/>
      <c r="DB1282" s="154"/>
      <c r="DD1282" s="154"/>
      <c r="DH1282" s="474"/>
      <c r="DI1282" s="459"/>
      <c r="DJ1282" s="459"/>
      <c r="DK1282" s="459"/>
      <c r="DL1282" s="459"/>
      <c r="DM1282" s="459"/>
      <c r="DN1282" s="459"/>
      <c r="DO1282" s="459"/>
      <c r="DP1282" s="459"/>
      <c r="DQ1282" s="459"/>
      <c r="DR1282" s="459"/>
      <c r="DS1282" s="459"/>
      <c r="DT1282" s="459"/>
      <c r="DU1282" s="459"/>
      <c r="DV1282" s="468"/>
      <c r="DW1282" s="468"/>
      <c r="DX1282" s="459"/>
      <c r="DY1282" s="459"/>
    </row>
    <row r="1283" spans="1:129" s="128" customFormat="1" ht="54.95" customHeight="1" x14ac:dyDescent="0.25">
      <c r="A1283" s="377"/>
      <c r="B1283" s="175"/>
      <c r="C1283" s="393"/>
      <c r="D1283" s="168"/>
      <c r="E1283" s="168"/>
      <c r="F1283" s="168"/>
      <c r="G1283" s="168"/>
      <c r="H1283" s="168"/>
      <c r="I1283" s="168"/>
      <c r="J1283" s="168"/>
      <c r="K1283" s="168"/>
      <c r="L1283" s="168"/>
      <c r="M1283" s="168"/>
      <c r="N1283" s="168"/>
      <c r="O1283" s="433"/>
      <c r="P1283" s="122"/>
      <c r="Q1283" s="156"/>
      <c r="R1283" s="156"/>
      <c r="S1283" s="156"/>
      <c r="T1283" s="156"/>
      <c r="U1283" s="156"/>
      <c r="V1283" s="156"/>
      <c r="W1283" s="156"/>
      <c r="X1283" s="156"/>
      <c r="Y1283" s="156"/>
      <c r="Z1283" s="157"/>
      <c r="AA1283" s="157"/>
      <c r="AB1283" s="156"/>
      <c r="AC1283" s="156"/>
      <c r="AD1283" s="156"/>
      <c r="AE1283" s="156"/>
      <c r="AF1283" s="156"/>
      <c r="AG1283" s="156"/>
      <c r="AH1283" s="156"/>
      <c r="AI1283" s="156"/>
      <c r="AJ1283" s="156"/>
      <c r="AK1283" s="156"/>
      <c r="AL1283" s="156"/>
      <c r="AM1283" s="158"/>
      <c r="AN1283" s="156"/>
      <c r="AO1283" s="156"/>
      <c r="AP1283" s="156"/>
      <c r="AQ1283" s="156"/>
      <c r="AR1283" s="156"/>
      <c r="AS1283" s="156"/>
      <c r="AT1283" s="156"/>
      <c r="AU1283" s="156"/>
      <c r="AV1283" s="156"/>
      <c r="AW1283" s="156"/>
      <c r="AX1283" s="156"/>
      <c r="AY1283" s="156"/>
      <c r="AZ1283" s="156"/>
      <c r="BA1283" s="153"/>
      <c r="BD1283" s="153"/>
      <c r="BE1283" s="147"/>
      <c r="BI1283" s="153"/>
      <c r="BO1283" s="153"/>
      <c r="BW1283" s="153"/>
      <c r="CD1283" s="146"/>
      <c r="CF1283" s="147"/>
      <c r="CI1283" s="146"/>
      <c r="CJ1283" s="153"/>
      <c r="CV1283" s="154"/>
      <c r="CX1283" s="154"/>
      <c r="CZ1283" s="154"/>
      <c r="DB1283" s="154"/>
      <c r="DD1283" s="154"/>
      <c r="DH1283" s="474"/>
      <c r="DI1283" s="459"/>
      <c r="DJ1283" s="459"/>
      <c r="DK1283" s="459"/>
      <c r="DL1283" s="459"/>
      <c r="DM1283" s="459"/>
      <c r="DN1283" s="459"/>
      <c r="DO1283" s="459"/>
      <c r="DP1283" s="459"/>
      <c r="DQ1283" s="459"/>
      <c r="DR1283" s="459"/>
      <c r="DS1283" s="459"/>
      <c r="DT1283" s="459"/>
      <c r="DU1283" s="459"/>
      <c r="DV1283" s="468"/>
      <c r="DW1283" s="468"/>
      <c r="DX1283" s="459"/>
      <c r="DY1283" s="459"/>
    </row>
    <row r="1284" spans="1:129" s="128" customFormat="1" ht="54.95" customHeight="1" x14ac:dyDescent="0.25">
      <c r="A1284" s="377"/>
      <c r="B1284" s="175"/>
      <c r="C1284" s="393"/>
      <c r="D1284" s="168"/>
      <c r="E1284" s="168"/>
      <c r="F1284" s="168"/>
      <c r="G1284" s="168"/>
      <c r="H1284" s="168"/>
      <c r="I1284" s="168"/>
      <c r="J1284" s="168"/>
      <c r="K1284" s="168"/>
      <c r="L1284" s="168"/>
      <c r="M1284" s="168"/>
      <c r="N1284" s="168"/>
      <c r="O1284" s="433"/>
      <c r="P1284" s="122"/>
      <c r="Q1284" s="156"/>
      <c r="R1284" s="156"/>
      <c r="S1284" s="156"/>
      <c r="T1284" s="156"/>
      <c r="U1284" s="156"/>
      <c r="V1284" s="156"/>
      <c r="W1284" s="156"/>
      <c r="X1284" s="156"/>
      <c r="Y1284" s="156"/>
      <c r="Z1284" s="157"/>
      <c r="AA1284" s="157"/>
      <c r="AB1284" s="156"/>
      <c r="AC1284" s="156"/>
      <c r="AD1284" s="156"/>
      <c r="AE1284" s="156"/>
      <c r="AF1284" s="156"/>
      <c r="AG1284" s="156"/>
      <c r="AH1284" s="156"/>
      <c r="AI1284" s="156"/>
      <c r="AJ1284" s="156"/>
      <c r="AK1284" s="156"/>
      <c r="AL1284" s="156"/>
      <c r="AM1284" s="158"/>
      <c r="AN1284" s="156"/>
      <c r="AO1284" s="156"/>
      <c r="AP1284" s="156"/>
      <c r="AQ1284" s="156"/>
      <c r="AR1284" s="156"/>
      <c r="AS1284" s="156"/>
      <c r="AT1284" s="156"/>
      <c r="AU1284" s="156"/>
      <c r="AV1284" s="156"/>
      <c r="AW1284" s="156"/>
      <c r="AX1284" s="156"/>
      <c r="AY1284" s="156"/>
      <c r="AZ1284" s="156"/>
      <c r="BA1284" s="153"/>
      <c r="BD1284" s="153"/>
      <c r="BE1284" s="147"/>
      <c r="BI1284" s="153"/>
      <c r="BO1284" s="153"/>
      <c r="BW1284" s="153"/>
      <c r="CD1284" s="146"/>
      <c r="CF1284" s="147"/>
      <c r="CI1284" s="146"/>
      <c r="CJ1284" s="153"/>
      <c r="CV1284" s="154"/>
      <c r="CX1284" s="154"/>
      <c r="CZ1284" s="154"/>
      <c r="DB1284" s="154"/>
      <c r="DD1284" s="154"/>
      <c r="DH1284" s="474"/>
      <c r="DI1284" s="459"/>
      <c r="DJ1284" s="459"/>
      <c r="DK1284" s="459"/>
      <c r="DL1284" s="459"/>
      <c r="DM1284" s="459"/>
      <c r="DN1284" s="459"/>
      <c r="DO1284" s="459"/>
      <c r="DP1284" s="459"/>
      <c r="DQ1284" s="459"/>
      <c r="DR1284" s="459"/>
      <c r="DS1284" s="459"/>
      <c r="DT1284" s="459"/>
      <c r="DU1284" s="459"/>
      <c r="DV1284" s="468"/>
      <c r="DW1284" s="468"/>
      <c r="DX1284" s="459"/>
      <c r="DY1284" s="459"/>
    </row>
    <row r="1285" spans="1:129" s="128" customFormat="1" ht="54.95" customHeight="1" x14ac:dyDescent="0.25">
      <c r="A1285" s="377"/>
      <c r="B1285" s="175"/>
      <c r="C1285" s="393"/>
      <c r="D1285" s="168"/>
      <c r="E1285" s="168"/>
      <c r="F1285" s="168"/>
      <c r="G1285" s="168"/>
      <c r="H1285" s="168"/>
      <c r="I1285" s="168"/>
      <c r="J1285" s="168"/>
      <c r="K1285" s="168"/>
      <c r="L1285" s="168"/>
      <c r="M1285" s="168"/>
      <c r="N1285" s="168"/>
      <c r="O1285" s="433"/>
      <c r="P1285" s="122"/>
      <c r="Q1285" s="156"/>
      <c r="R1285" s="156"/>
      <c r="S1285" s="156"/>
      <c r="T1285" s="156"/>
      <c r="U1285" s="156"/>
      <c r="V1285" s="156"/>
      <c r="W1285" s="156"/>
      <c r="X1285" s="156"/>
      <c r="Y1285" s="156"/>
      <c r="Z1285" s="157"/>
      <c r="AA1285" s="157"/>
      <c r="AB1285" s="156"/>
      <c r="AC1285" s="156"/>
      <c r="AD1285" s="156"/>
      <c r="AE1285" s="156"/>
      <c r="AF1285" s="156"/>
      <c r="AG1285" s="156"/>
      <c r="AH1285" s="156"/>
      <c r="AI1285" s="156"/>
      <c r="AJ1285" s="156"/>
      <c r="AK1285" s="156"/>
      <c r="AL1285" s="156"/>
      <c r="AM1285" s="158"/>
      <c r="AN1285" s="156"/>
      <c r="AO1285" s="156"/>
      <c r="AP1285" s="156"/>
      <c r="AQ1285" s="156"/>
      <c r="AR1285" s="156"/>
      <c r="AS1285" s="156"/>
      <c r="AT1285" s="156"/>
      <c r="AU1285" s="156"/>
      <c r="AV1285" s="156"/>
      <c r="AW1285" s="156"/>
      <c r="AX1285" s="156"/>
      <c r="AY1285" s="156"/>
      <c r="AZ1285" s="156"/>
      <c r="BA1285" s="153"/>
      <c r="BD1285" s="153"/>
      <c r="BE1285" s="147"/>
      <c r="BI1285" s="153"/>
      <c r="BO1285" s="153"/>
      <c r="BW1285" s="153"/>
      <c r="CD1285" s="146"/>
      <c r="CF1285" s="147"/>
      <c r="CI1285" s="146"/>
      <c r="CJ1285" s="153"/>
      <c r="CV1285" s="154"/>
      <c r="CX1285" s="154"/>
      <c r="CZ1285" s="154"/>
      <c r="DB1285" s="154"/>
      <c r="DD1285" s="154"/>
      <c r="DH1285" s="474"/>
      <c r="DI1285" s="459"/>
      <c r="DJ1285" s="459"/>
      <c r="DK1285" s="459"/>
      <c r="DL1285" s="459"/>
      <c r="DM1285" s="459"/>
      <c r="DN1285" s="459"/>
      <c r="DO1285" s="459"/>
      <c r="DP1285" s="459"/>
      <c r="DQ1285" s="459"/>
      <c r="DR1285" s="459"/>
      <c r="DS1285" s="459"/>
      <c r="DT1285" s="459"/>
      <c r="DU1285" s="459"/>
      <c r="DV1285" s="468"/>
      <c r="DW1285" s="468"/>
      <c r="DX1285" s="459"/>
      <c r="DY1285" s="459"/>
    </row>
    <row r="1286" spans="1:129" s="128" customFormat="1" ht="54.95" customHeight="1" x14ac:dyDescent="0.25">
      <c r="A1286" s="377"/>
      <c r="B1286" s="175"/>
      <c r="C1286" s="393"/>
      <c r="D1286" s="168"/>
      <c r="E1286" s="168"/>
      <c r="F1286" s="168"/>
      <c r="G1286" s="168"/>
      <c r="H1286" s="168"/>
      <c r="I1286" s="168"/>
      <c r="J1286" s="168"/>
      <c r="K1286" s="168"/>
      <c r="L1286" s="168"/>
      <c r="M1286" s="168"/>
      <c r="N1286" s="168"/>
      <c r="O1286" s="433"/>
      <c r="P1286" s="122"/>
      <c r="Q1286" s="156"/>
      <c r="R1286" s="156"/>
      <c r="S1286" s="156"/>
      <c r="T1286" s="156"/>
      <c r="U1286" s="156"/>
      <c r="V1286" s="156"/>
      <c r="W1286" s="156"/>
      <c r="X1286" s="156"/>
      <c r="Y1286" s="156"/>
      <c r="Z1286" s="157"/>
      <c r="AA1286" s="157"/>
      <c r="AB1286" s="156"/>
      <c r="AC1286" s="156"/>
      <c r="AD1286" s="156"/>
      <c r="AE1286" s="156"/>
      <c r="AF1286" s="156"/>
      <c r="AG1286" s="156"/>
      <c r="AH1286" s="156"/>
      <c r="AI1286" s="156"/>
      <c r="AJ1286" s="156"/>
      <c r="AK1286" s="156"/>
      <c r="AL1286" s="156"/>
      <c r="AM1286" s="158"/>
      <c r="AN1286" s="156"/>
      <c r="AO1286" s="156"/>
      <c r="AP1286" s="156"/>
      <c r="AQ1286" s="156"/>
      <c r="AR1286" s="156"/>
      <c r="AS1286" s="156"/>
      <c r="AT1286" s="156"/>
      <c r="AU1286" s="156"/>
      <c r="AV1286" s="156"/>
      <c r="AW1286" s="156"/>
      <c r="AX1286" s="156"/>
      <c r="AY1286" s="156"/>
      <c r="AZ1286" s="156"/>
      <c r="BA1286" s="153"/>
      <c r="BD1286" s="153"/>
      <c r="BE1286" s="147"/>
      <c r="BI1286" s="153"/>
      <c r="BO1286" s="153"/>
      <c r="BW1286" s="153"/>
      <c r="CD1286" s="146"/>
      <c r="CF1286" s="147"/>
      <c r="CI1286" s="146"/>
      <c r="CJ1286" s="153"/>
      <c r="CV1286" s="154"/>
      <c r="CX1286" s="154"/>
      <c r="CZ1286" s="154"/>
      <c r="DB1286" s="154"/>
      <c r="DD1286" s="154"/>
      <c r="DH1286" s="474"/>
      <c r="DI1286" s="459"/>
      <c r="DJ1286" s="459"/>
      <c r="DK1286" s="459"/>
      <c r="DL1286" s="459"/>
      <c r="DM1286" s="459"/>
      <c r="DN1286" s="459"/>
      <c r="DO1286" s="459"/>
      <c r="DP1286" s="459"/>
      <c r="DQ1286" s="459"/>
      <c r="DR1286" s="459"/>
      <c r="DS1286" s="459"/>
      <c r="DT1286" s="459"/>
      <c r="DU1286" s="459"/>
      <c r="DV1286" s="468"/>
      <c r="DW1286" s="468"/>
      <c r="DX1286" s="459"/>
      <c r="DY1286" s="459"/>
    </row>
    <row r="1287" spans="1:129" s="128" customFormat="1" ht="54.95" customHeight="1" x14ac:dyDescent="0.25">
      <c r="A1287" s="377"/>
      <c r="B1287" s="175"/>
      <c r="C1287" s="393"/>
      <c r="D1287" s="168"/>
      <c r="E1287" s="168"/>
      <c r="F1287" s="168"/>
      <c r="G1287" s="168"/>
      <c r="H1287" s="168"/>
      <c r="I1287" s="168"/>
      <c r="J1287" s="168"/>
      <c r="K1287" s="168"/>
      <c r="L1287" s="168"/>
      <c r="M1287" s="168"/>
      <c r="N1287" s="168"/>
      <c r="O1287" s="433"/>
      <c r="P1287" s="122"/>
      <c r="Q1287" s="156"/>
      <c r="R1287" s="156"/>
      <c r="S1287" s="156"/>
      <c r="T1287" s="156"/>
      <c r="U1287" s="156"/>
      <c r="V1287" s="156"/>
      <c r="W1287" s="156"/>
      <c r="X1287" s="156"/>
      <c r="Y1287" s="156"/>
      <c r="Z1287" s="157"/>
      <c r="AA1287" s="157"/>
      <c r="AB1287" s="156"/>
      <c r="AC1287" s="156"/>
      <c r="AD1287" s="156"/>
      <c r="AE1287" s="156"/>
      <c r="AF1287" s="156"/>
      <c r="AG1287" s="156"/>
      <c r="AH1287" s="156"/>
      <c r="AI1287" s="156"/>
      <c r="AJ1287" s="156"/>
      <c r="AK1287" s="156"/>
      <c r="AL1287" s="156"/>
      <c r="AM1287" s="158"/>
      <c r="AN1287" s="156"/>
      <c r="AO1287" s="156"/>
      <c r="AP1287" s="156"/>
      <c r="AQ1287" s="156"/>
      <c r="AR1287" s="156"/>
      <c r="AS1287" s="156"/>
      <c r="AT1287" s="156"/>
      <c r="AU1287" s="156"/>
      <c r="AV1287" s="156"/>
      <c r="AW1287" s="156"/>
      <c r="AX1287" s="156"/>
      <c r="AY1287" s="156"/>
      <c r="AZ1287" s="156"/>
      <c r="BA1287" s="153"/>
      <c r="BD1287" s="153"/>
      <c r="BE1287" s="147"/>
      <c r="BI1287" s="153"/>
      <c r="BO1287" s="153"/>
      <c r="BW1287" s="153"/>
      <c r="CD1287" s="146"/>
      <c r="CF1287" s="147"/>
      <c r="CI1287" s="146"/>
      <c r="CJ1287" s="153"/>
      <c r="CV1287" s="154"/>
      <c r="CX1287" s="154"/>
      <c r="CZ1287" s="154"/>
      <c r="DB1287" s="154"/>
      <c r="DD1287" s="154"/>
      <c r="DH1287" s="474"/>
      <c r="DI1287" s="459"/>
      <c r="DJ1287" s="459"/>
      <c r="DK1287" s="459"/>
      <c r="DL1287" s="459"/>
      <c r="DM1287" s="459"/>
      <c r="DN1287" s="459"/>
      <c r="DO1287" s="459"/>
      <c r="DP1287" s="459"/>
      <c r="DQ1287" s="459"/>
      <c r="DR1287" s="459"/>
      <c r="DS1287" s="459"/>
      <c r="DT1287" s="459"/>
      <c r="DU1287" s="459"/>
      <c r="DV1287" s="468"/>
      <c r="DW1287" s="468"/>
      <c r="DX1287" s="459"/>
      <c r="DY1287" s="459"/>
    </row>
    <row r="1288" spans="1:129" s="128" customFormat="1" ht="54.95" customHeight="1" x14ac:dyDescent="0.25">
      <c r="A1288" s="377"/>
      <c r="B1288" s="175"/>
      <c r="C1288" s="393"/>
      <c r="D1288" s="168"/>
      <c r="E1288" s="168"/>
      <c r="F1288" s="168"/>
      <c r="G1288" s="168"/>
      <c r="H1288" s="168"/>
      <c r="I1288" s="168"/>
      <c r="J1288" s="168"/>
      <c r="K1288" s="168"/>
      <c r="L1288" s="168"/>
      <c r="M1288" s="168"/>
      <c r="N1288" s="168"/>
      <c r="O1288" s="433"/>
      <c r="P1288" s="122"/>
      <c r="Q1288" s="156"/>
      <c r="R1288" s="156"/>
      <c r="S1288" s="156"/>
      <c r="T1288" s="156"/>
      <c r="U1288" s="156"/>
      <c r="V1288" s="156"/>
      <c r="W1288" s="156"/>
      <c r="X1288" s="156"/>
      <c r="Y1288" s="156"/>
      <c r="Z1288" s="157"/>
      <c r="AA1288" s="157"/>
      <c r="AB1288" s="156"/>
      <c r="AC1288" s="156"/>
      <c r="AD1288" s="156"/>
      <c r="AE1288" s="156"/>
      <c r="AF1288" s="156"/>
      <c r="AG1288" s="156"/>
      <c r="AH1288" s="156"/>
      <c r="AI1288" s="156"/>
      <c r="AJ1288" s="156"/>
      <c r="AK1288" s="156"/>
      <c r="AL1288" s="156"/>
      <c r="AM1288" s="158"/>
      <c r="AN1288" s="156"/>
      <c r="AO1288" s="156"/>
      <c r="AP1288" s="156"/>
      <c r="AQ1288" s="156"/>
      <c r="AR1288" s="156"/>
      <c r="AS1288" s="156"/>
      <c r="AT1288" s="156"/>
      <c r="AU1288" s="156"/>
      <c r="AV1288" s="156"/>
      <c r="AW1288" s="156"/>
      <c r="AX1288" s="156"/>
      <c r="AY1288" s="156"/>
      <c r="AZ1288" s="156"/>
      <c r="BA1288" s="153"/>
      <c r="BD1288" s="153"/>
      <c r="BE1288" s="147"/>
      <c r="BI1288" s="153"/>
      <c r="BO1288" s="153"/>
      <c r="BW1288" s="153"/>
      <c r="CD1288" s="146"/>
      <c r="CF1288" s="147"/>
      <c r="CI1288" s="146"/>
      <c r="CJ1288" s="153"/>
      <c r="CV1288" s="154"/>
      <c r="CX1288" s="154"/>
      <c r="CZ1288" s="154"/>
      <c r="DB1288" s="154"/>
      <c r="DD1288" s="154"/>
      <c r="DH1288" s="474"/>
      <c r="DI1288" s="459"/>
      <c r="DJ1288" s="459"/>
      <c r="DK1288" s="459"/>
      <c r="DL1288" s="459"/>
      <c r="DM1288" s="459"/>
      <c r="DN1288" s="459"/>
      <c r="DO1288" s="459"/>
      <c r="DP1288" s="459"/>
      <c r="DQ1288" s="459"/>
      <c r="DR1288" s="459"/>
      <c r="DS1288" s="459"/>
      <c r="DT1288" s="459"/>
      <c r="DU1288" s="459"/>
      <c r="DV1288" s="468"/>
      <c r="DW1288" s="468"/>
      <c r="DX1288" s="459"/>
      <c r="DY1288" s="459"/>
    </row>
    <row r="1289" spans="1:129" s="128" customFormat="1" ht="54.95" customHeight="1" x14ac:dyDescent="0.25">
      <c r="A1289" s="377"/>
      <c r="B1289" s="175"/>
      <c r="C1289" s="393"/>
      <c r="D1289" s="168"/>
      <c r="E1289" s="168"/>
      <c r="F1289" s="168"/>
      <c r="G1289" s="168"/>
      <c r="H1289" s="168"/>
      <c r="I1289" s="168"/>
      <c r="J1289" s="168"/>
      <c r="K1289" s="168"/>
      <c r="L1289" s="168"/>
      <c r="M1289" s="168"/>
      <c r="N1289" s="168"/>
      <c r="O1289" s="433"/>
      <c r="P1289" s="122"/>
      <c r="Q1289" s="156"/>
      <c r="R1289" s="156"/>
      <c r="S1289" s="156"/>
      <c r="T1289" s="156"/>
      <c r="U1289" s="156"/>
      <c r="V1289" s="156"/>
      <c r="W1289" s="156"/>
      <c r="X1289" s="156"/>
      <c r="Y1289" s="156"/>
      <c r="Z1289" s="157"/>
      <c r="AA1289" s="157"/>
      <c r="AB1289" s="156"/>
      <c r="AC1289" s="156"/>
      <c r="AD1289" s="156"/>
      <c r="AE1289" s="156"/>
      <c r="AF1289" s="156"/>
      <c r="AG1289" s="156"/>
      <c r="AH1289" s="156"/>
      <c r="AI1289" s="156"/>
      <c r="AJ1289" s="156"/>
      <c r="AK1289" s="156"/>
      <c r="AL1289" s="156"/>
      <c r="AM1289" s="158"/>
      <c r="AN1289" s="156"/>
      <c r="AO1289" s="156"/>
      <c r="AP1289" s="156"/>
      <c r="AQ1289" s="156"/>
      <c r="AR1289" s="156"/>
      <c r="AS1289" s="156"/>
      <c r="AT1289" s="156"/>
      <c r="AU1289" s="156"/>
      <c r="AV1289" s="156"/>
      <c r="AW1289" s="156"/>
      <c r="AX1289" s="156"/>
      <c r="AY1289" s="156"/>
      <c r="AZ1289" s="156"/>
      <c r="BA1289" s="153"/>
      <c r="BD1289" s="153"/>
      <c r="BE1289" s="147"/>
      <c r="BI1289" s="153"/>
      <c r="BO1289" s="153"/>
      <c r="BW1289" s="153"/>
      <c r="CD1289" s="146"/>
      <c r="CF1289" s="147"/>
      <c r="CI1289" s="146"/>
      <c r="CJ1289" s="153"/>
      <c r="CV1289" s="154"/>
      <c r="CX1289" s="154"/>
      <c r="CZ1289" s="154"/>
      <c r="DB1289" s="154"/>
      <c r="DD1289" s="154"/>
      <c r="DH1289" s="474"/>
      <c r="DI1289" s="459"/>
      <c r="DJ1289" s="459"/>
      <c r="DK1289" s="459"/>
      <c r="DL1289" s="459"/>
      <c r="DM1289" s="459"/>
      <c r="DN1289" s="459"/>
      <c r="DO1289" s="459"/>
      <c r="DP1289" s="459"/>
      <c r="DQ1289" s="459"/>
      <c r="DR1289" s="459"/>
      <c r="DS1289" s="459"/>
      <c r="DT1289" s="459"/>
      <c r="DU1289" s="459"/>
      <c r="DV1289" s="468"/>
      <c r="DW1289" s="468"/>
      <c r="DX1289" s="459"/>
      <c r="DY1289" s="459"/>
    </row>
    <row r="1290" spans="1:129" s="128" customFormat="1" ht="54.95" customHeight="1" x14ac:dyDescent="0.25">
      <c r="A1290" s="377"/>
      <c r="B1290" s="175"/>
      <c r="C1290" s="393"/>
      <c r="D1290" s="168"/>
      <c r="E1290" s="168"/>
      <c r="F1290" s="168"/>
      <c r="G1290" s="168"/>
      <c r="H1290" s="168"/>
      <c r="I1290" s="168"/>
      <c r="J1290" s="168"/>
      <c r="K1290" s="168"/>
      <c r="L1290" s="168"/>
      <c r="M1290" s="168"/>
      <c r="N1290" s="168"/>
      <c r="O1290" s="433"/>
      <c r="P1290" s="122"/>
      <c r="Q1290" s="156"/>
      <c r="R1290" s="156"/>
      <c r="S1290" s="156"/>
      <c r="T1290" s="156"/>
      <c r="U1290" s="156"/>
      <c r="V1290" s="156"/>
      <c r="W1290" s="156"/>
      <c r="X1290" s="156"/>
      <c r="Y1290" s="156"/>
      <c r="Z1290" s="157"/>
      <c r="AA1290" s="157"/>
      <c r="AB1290" s="156"/>
      <c r="AC1290" s="156"/>
      <c r="AD1290" s="156"/>
      <c r="AE1290" s="156"/>
      <c r="AF1290" s="156"/>
      <c r="AG1290" s="156"/>
      <c r="AH1290" s="156"/>
      <c r="AI1290" s="156"/>
      <c r="AJ1290" s="156"/>
      <c r="AK1290" s="156"/>
      <c r="AL1290" s="156"/>
      <c r="AM1290" s="158"/>
      <c r="AN1290" s="156"/>
      <c r="AO1290" s="156"/>
      <c r="AP1290" s="156"/>
      <c r="AQ1290" s="156"/>
      <c r="AR1290" s="156"/>
      <c r="AS1290" s="156"/>
      <c r="AT1290" s="156"/>
      <c r="AU1290" s="156"/>
      <c r="AV1290" s="156"/>
      <c r="AW1290" s="156"/>
      <c r="AX1290" s="156"/>
      <c r="AY1290" s="156"/>
      <c r="AZ1290" s="156"/>
      <c r="BA1290" s="153"/>
      <c r="BD1290" s="153"/>
      <c r="BE1290" s="147"/>
      <c r="BI1290" s="153"/>
      <c r="BO1290" s="153"/>
      <c r="BW1290" s="153"/>
      <c r="CD1290" s="146"/>
      <c r="CF1290" s="147"/>
      <c r="CI1290" s="146"/>
      <c r="CJ1290" s="153"/>
      <c r="CV1290" s="154"/>
      <c r="CX1290" s="154"/>
      <c r="CZ1290" s="154"/>
      <c r="DB1290" s="154"/>
      <c r="DD1290" s="154"/>
      <c r="DH1290" s="474"/>
      <c r="DI1290" s="459"/>
      <c r="DJ1290" s="459"/>
      <c r="DK1290" s="459"/>
      <c r="DL1290" s="459"/>
      <c r="DM1290" s="459"/>
      <c r="DN1290" s="459"/>
      <c r="DO1290" s="459"/>
      <c r="DP1290" s="459"/>
      <c r="DQ1290" s="459"/>
      <c r="DR1290" s="459"/>
      <c r="DS1290" s="459"/>
      <c r="DT1290" s="459"/>
      <c r="DU1290" s="459"/>
      <c r="DV1290" s="468"/>
      <c r="DW1290" s="468"/>
      <c r="DX1290" s="459"/>
      <c r="DY1290" s="459"/>
    </row>
    <row r="1291" spans="1:129" s="128" customFormat="1" ht="54.95" customHeight="1" x14ac:dyDescent="0.25">
      <c r="A1291" s="377"/>
      <c r="B1291" s="175"/>
      <c r="C1291" s="393"/>
      <c r="D1291" s="168"/>
      <c r="E1291" s="168"/>
      <c r="F1291" s="168"/>
      <c r="G1291" s="168"/>
      <c r="H1291" s="168"/>
      <c r="I1291" s="168"/>
      <c r="J1291" s="168"/>
      <c r="K1291" s="168"/>
      <c r="L1291" s="168"/>
      <c r="M1291" s="168"/>
      <c r="N1291" s="168"/>
      <c r="O1291" s="433"/>
      <c r="P1291" s="122"/>
      <c r="Q1291" s="156"/>
      <c r="R1291" s="156"/>
      <c r="S1291" s="156"/>
      <c r="T1291" s="156"/>
      <c r="U1291" s="156"/>
      <c r="V1291" s="156"/>
      <c r="W1291" s="156"/>
      <c r="X1291" s="156"/>
      <c r="Y1291" s="156"/>
      <c r="Z1291" s="157"/>
      <c r="AA1291" s="157"/>
      <c r="AB1291" s="156"/>
      <c r="AC1291" s="156"/>
      <c r="AD1291" s="156"/>
      <c r="AE1291" s="156"/>
      <c r="AF1291" s="156"/>
      <c r="AG1291" s="156"/>
      <c r="AH1291" s="156"/>
      <c r="AI1291" s="156"/>
      <c r="AJ1291" s="156"/>
      <c r="AK1291" s="156"/>
      <c r="AL1291" s="156"/>
      <c r="AM1291" s="158"/>
      <c r="AN1291" s="156"/>
      <c r="AO1291" s="156"/>
      <c r="AP1291" s="156"/>
      <c r="AQ1291" s="156"/>
      <c r="AR1291" s="156"/>
      <c r="AS1291" s="156"/>
      <c r="AT1291" s="156"/>
      <c r="AU1291" s="156"/>
      <c r="AV1291" s="156"/>
      <c r="AW1291" s="156"/>
      <c r="AX1291" s="156"/>
      <c r="AY1291" s="156"/>
      <c r="AZ1291" s="156"/>
      <c r="BA1291" s="153"/>
      <c r="BD1291" s="153"/>
      <c r="BE1291" s="147"/>
      <c r="BI1291" s="153"/>
      <c r="BO1291" s="153"/>
      <c r="BW1291" s="153"/>
      <c r="CD1291" s="146"/>
      <c r="CF1291" s="147"/>
      <c r="CI1291" s="146"/>
      <c r="CJ1291" s="153"/>
      <c r="CV1291" s="154"/>
      <c r="CX1291" s="154"/>
      <c r="CZ1291" s="154"/>
      <c r="DB1291" s="154"/>
      <c r="DD1291" s="154"/>
      <c r="DH1291" s="474"/>
      <c r="DI1291" s="459"/>
      <c r="DJ1291" s="459"/>
      <c r="DK1291" s="459"/>
      <c r="DL1291" s="459"/>
      <c r="DM1291" s="459"/>
      <c r="DN1291" s="459"/>
      <c r="DO1291" s="459"/>
      <c r="DP1291" s="459"/>
      <c r="DQ1291" s="459"/>
      <c r="DR1291" s="459"/>
      <c r="DS1291" s="459"/>
      <c r="DT1291" s="459"/>
      <c r="DU1291" s="459"/>
      <c r="DV1291" s="468"/>
      <c r="DW1291" s="468"/>
      <c r="DX1291" s="459"/>
      <c r="DY1291" s="459"/>
    </row>
    <row r="1292" spans="1:129" s="128" customFormat="1" ht="54.95" customHeight="1" x14ac:dyDescent="0.25">
      <c r="A1292" s="377"/>
      <c r="B1292" s="175"/>
      <c r="C1292" s="393"/>
      <c r="D1292" s="168"/>
      <c r="E1292" s="168"/>
      <c r="F1292" s="168"/>
      <c r="G1292" s="168"/>
      <c r="H1292" s="168"/>
      <c r="I1292" s="168"/>
      <c r="J1292" s="168"/>
      <c r="K1292" s="168"/>
      <c r="L1292" s="168"/>
      <c r="M1292" s="168"/>
      <c r="N1292" s="168"/>
      <c r="O1292" s="433"/>
      <c r="P1292" s="122"/>
      <c r="Q1292" s="156"/>
      <c r="R1292" s="156"/>
      <c r="S1292" s="156"/>
      <c r="T1292" s="156"/>
      <c r="U1292" s="156"/>
      <c r="V1292" s="156"/>
      <c r="W1292" s="156"/>
      <c r="X1292" s="156"/>
      <c r="Y1292" s="156"/>
      <c r="Z1292" s="157"/>
      <c r="AA1292" s="157"/>
      <c r="AB1292" s="156"/>
      <c r="AC1292" s="156"/>
      <c r="AD1292" s="156"/>
      <c r="AE1292" s="156"/>
      <c r="AF1292" s="156"/>
      <c r="AG1292" s="156"/>
      <c r="AH1292" s="156"/>
      <c r="AI1292" s="156"/>
      <c r="AJ1292" s="156"/>
      <c r="AK1292" s="156"/>
      <c r="AL1292" s="156"/>
      <c r="AM1292" s="158"/>
      <c r="AN1292" s="156"/>
      <c r="AO1292" s="156"/>
      <c r="AP1292" s="156"/>
      <c r="AQ1292" s="156"/>
      <c r="AR1292" s="156"/>
      <c r="AS1292" s="156"/>
      <c r="AT1292" s="156"/>
      <c r="AU1292" s="156"/>
      <c r="AV1292" s="156"/>
      <c r="AW1292" s="156"/>
      <c r="AX1292" s="156"/>
      <c r="AY1292" s="156"/>
      <c r="AZ1292" s="156"/>
      <c r="BA1292" s="153"/>
      <c r="BD1292" s="153"/>
      <c r="BE1292" s="147"/>
      <c r="BI1292" s="153"/>
      <c r="BO1292" s="153"/>
      <c r="BW1292" s="153"/>
      <c r="CD1292" s="146"/>
      <c r="CF1292" s="147"/>
      <c r="CI1292" s="146"/>
      <c r="CJ1292" s="153"/>
      <c r="CV1292" s="154"/>
      <c r="CX1292" s="154"/>
      <c r="CZ1292" s="154"/>
      <c r="DB1292" s="154"/>
      <c r="DD1292" s="154"/>
      <c r="DH1292" s="474"/>
      <c r="DI1292" s="459"/>
      <c r="DJ1292" s="459"/>
      <c r="DK1292" s="459"/>
      <c r="DL1292" s="459"/>
      <c r="DM1292" s="459"/>
      <c r="DN1292" s="459"/>
      <c r="DO1292" s="459"/>
      <c r="DP1292" s="459"/>
      <c r="DQ1292" s="459"/>
      <c r="DR1292" s="459"/>
      <c r="DS1292" s="459"/>
      <c r="DT1292" s="459"/>
      <c r="DU1292" s="459"/>
      <c r="DV1292" s="468"/>
      <c r="DW1292" s="468"/>
      <c r="DX1292" s="459"/>
      <c r="DY1292" s="459"/>
    </row>
    <row r="1293" spans="1:129" s="128" customFormat="1" ht="54.95" customHeight="1" x14ac:dyDescent="0.25">
      <c r="A1293" s="377"/>
      <c r="B1293" s="175"/>
      <c r="C1293" s="393"/>
      <c r="D1293" s="168"/>
      <c r="E1293" s="168"/>
      <c r="F1293" s="168"/>
      <c r="G1293" s="168"/>
      <c r="H1293" s="168"/>
      <c r="I1293" s="168"/>
      <c r="J1293" s="168"/>
      <c r="K1293" s="168"/>
      <c r="L1293" s="168"/>
      <c r="M1293" s="168"/>
      <c r="N1293" s="168"/>
      <c r="O1293" s="433"/>
      <c r="P1293" s="122"/>
      <c r="Q1293" s="156"/>
      <c r="R1293" s="156"/>
      <c r="S1293" s="156"/>
      <c r="T1293" s="156"/>
      <c r="U1293" s="156"/>
      <c r="V1293" s="156"/>
      <c r="W1293" s="156"/>
      <c r="X1293" s="156"/>
      <c r="Y1293" s="156"/>
      <c r="Z1293" s="157"/>
      <c r="AA1293" s="157"/>
      <c r="AB1293" s="156"/>
      <c r="AC1293" s="156"/>
      <c r="AD1293" s="156"/>
      <c r="AE1293" s="156"/>
      <c r="AF1293" s="156"/>
      <c r="AG1293" s="156"/>
      <c r="AH1293" s="156"/>
      <c r="AI1293" s="156"/>
      <c r="AJ1293" s="156"/>
      <c r="AK1293" s="156"/>
      <c r="AL1293" s="156"/>
      <c r="AM1293" s="158"/>
      <c r="AN1293" s="156"/>
      <c r="AO1293" s="156"/>
      <c r="AP1293" s="156"/>
      <c r="AQ1293" s="156"/>
      <c r="AR1293" s="156"/>
      <c r="AS1293" s="156"/>
      <c r="AT1293" s="156"/>
      <c r="AU1293" s="156"/>
      <c r="AV1293" s="156"/>
      <c r="AW1293" s="156"/>
      <c r="AX1293" s="156"/>
      <c r="AY1293" s="156"/>
      <c r="AZ1293" s="156"/>
      <c r="BA1293" s="153"/>
      <c r="BD1293" s="153"/>
      <c r="BE1293" s="147"/>
      <c r="BI1293" s="153"/>
      <c r="BO1293" s="153"/>
      <c r="BW1293" s="153"/>
      <c r="CD1293" s="146"/>
      <c r="CF1293" s="147"/>
      <c r="CI1293" s="146"/>
      <c r="CJ1293" s="153"/>
      <c r="CV1293" s="154"/>
      <c r="CX1293" s="154"/>
      <c r="CZ1293" s="154"/>
      <c r="DB1293" s="154"/>
      <c r="DD1293" s="154"/>
      <c r="DH1293" s="474"/>
      <c r="DI1293" s="459"/>
      <c r="DJ1293" s="459"/>
      <c r="DK1293" s="459"/>
      <c r="DL1293" s="459"/>
      <c r="DM1293" s="459"/>
      <c r="DN1293" s="459"/>
      <c r="DO1293" s="459"/>
      <c r="DP1293" s="459"/>
      <c r="DQ1293" s="459"/>
      <c r="DR1293" s="459"/>
      <c r="DS1293" s="459"/>
      <c r="DT1293" s="459"/>
      <c r="DU1293" s="459"/>
      <c r="DV1293" s="468"/>
      <c r="DW1293" s="468"/>
      <c r="DX1293" s="459"/>
      <c r="DY1293" s="459"/>
    </row>
    <row r="1294" spans="1:129" s="128" customFormat="1" ht="54.95" customHeight="1" x14ac:dyDescent="0.25">
      <c r="A1294" s="377"/>
      <c r="B1294" s="175"/>
      <c r="C1294" s="393"/>
      <c r="D1294" s="168"/>
      <c r="E1294" s="168"/>
      <c r="F1294" s="168"/>
      <c r="G1294" s="168"/>
      <c r="H1294" s="168"/>
      <c r="I1294" s="168"/>
      <c r="J1294" s="168"/>
      <c r="K1294" s="168"/>
      <c r="L1294" s="168"/>
      <c r="M1294" s="168"/>
      <c r="N1294" s="168"/>
      <c r="O1294" s="433"/>
      <c r="P1294" s="122"/>
      <c r="Q1294" s="156"/>
      <c r="R1294" s="156"/>
      <c r="S1294" s="156"/>
      <c r="T1294" s="156"/>
      <c r="U1294" s="156"/>
      <c r="V1294" s="156"/>
      <c r="W1294" s="156"/>
      <c r="X1294" s="156"/>
      <c r="Y1294" s="156"/>
      <c r="Z1294" s="157"/>
      <c r="AA1294" s="157"/>
      <c r="AB1294" s="156"/>
      <c r="AC1294" s="156"/>
      <c r="AD1294" s="156"/>
      <c r="AE1294" s="156"/>
      <c r="AF1294" s="156"/>
      <c r="AG1294" s="156"/>
      <c r="AH1294" s="156"/>
      <c r="AI1294" s="156"/>
      <c r="AJ1294" s="156"/>
      <c r="AK1294" s="156"/>
      <c r="AL1294" s="156"/>
      <c r="AM1294" s="158"/>
      <c r="AN1294" s="156"/>
      <c r="AO1294" s="156"/>
      <c r="AP1294" s="156"/>
      <c r="AQ1294" s="156"/>
      <c r="AR1294" s="156"/>
      <c r="AS1294" s="156"/>
      <c r="AT1294" s="156"/>
      <c r="AU1294" s="156"/>
      <c r="AV1294" s="156"/>
      <c r="AW1294" s="156"/>
      <c r="AX1294" s="156"/>
      <c r="AY1294" s="156"/>
      <c r="AZ1294" s="156"/>
      <c r="BA1294" s="153"/>
      <c r="BD1294" s="153"/>
      <c r="BE1294" s="147"/>
      <c r="BI1294" s="153"/>
      <c r="BO1294" s="153"/>
      <c r="BW1294" s="153"/>
      <c r="CD1294" s="146"/>
      <c r="CF1294" s="147"/>
      <c r="CI1294" s="146"/>
      <c r="CJ1294" s="153"/>
      <c r="CV1294" s="154"/>
      <c r="CX1294" s="154"/>
      <c r="CZ1294" s="154"/>
      <c r="DB1294" s="154"/>
      <c r="DD1294" s="154"/>
      <c r="DH1294" s="474"/>
      <c r="DI1294" s="459"/>
      <c r="DJ1294" s="459"/>
      <c r="DK1294" s="459"/>
      <c r="DL1294" s="459"/>
      <c r="DM1294" s="459"/>
      <c r="DN1294" s="459"/>
      <c r="DO1294" s="459"/>
      <c r="DP1294" s="459"/>
      <c r="DQ1294" s="459"/>
      <c r="DR1294" s="459"/>
      <c r="DS1294" s="459"/>
      <c r="DT1294" s="459"/>
      <c r="DU1294" s="459"/>
      <c r="DV1294" s="468"/>
      <c r="DW1294" s="468"/>
      <c r="DX1294" s="459"/>
      <c r="DY1294" s="459"/>
    </row>
    <row r="1295" spans="1:129" s="128" customFormat="1" ht="54.95" customHeight="1" x14ac:dyDescent="0.25">
      <c r="A1295" s="377"/>
      <c r="B1295" s="175"/>
      <c r="C1295" s="393"/>
      <c r="D1295" s="168"/>
      <c r="E1295" s="168"/>
      <c r="F1295" s="168"/>
      <c r="G1295" s="168"/>
      <c r="H1295" s="168"/>
      <c r="I1295" s="168"/>
      <c r="J1295" s="168"/>
      <c r="K1295" s="168"/>
      <c r="L1295" s="168"/>
      <c r="M1295" s="168"/>
      <c r="N1295" s="168"/>
      <c r="O1295" s="433"/>
      <c r="P1295" s="122"/>
      <c r="Q1295" s="156"/>
      <c r="R1295" s="156"/>
      <c r="S1295" s="156"/>
      <c r="T1295" s="156"/>
      <c r="U1295" s="156"/>
      <c r="V1295" s="156"/>
      <c r="W1295" s="156"/>
      <c r="X1295" s="156"/>
      <c r="Y1295" s="156"/>
      <c r="Z1295" s="157"/>
      <c r="AA1295" s="157"/>
      <c r="AB1295" s="156"/>
      <c r="AC1295" s="156"/>
      <c r="AD1295" s="156"/>
      <c r="AE1295" s="156"/>
      <c r="AF1295" s="156"/>
      <c r="AG1295" s="156"/>
      <c r="AH1295" s="156"/>
      <c r="AI1295" s="156"/>
      <c r="AJ1295" s="156"/>
      <c r="AK1295" s="156"/>
      <c r="AL1295" s="156"/>
      <c r="AM1295" s="158"/>
      <c r="AN1295" s="156"/>
      <c r="AO1295" s="156"/>
      <c r="AP1295" s="156"/>
      <c r="AQ1295" s="156"/>
      <c r="AR1295" s="156"/>
      <c r="AS1295" s="156"/>
      <c r="AT1295" s="156"/>
      <c r="AU1295" s="156"/>
      <c r="AV1295" s="156"/>
      <c r="AW1295" s="156"/>
      <c r="AX1295" s="156"/>
      <c r="AY1295" s="156"/>
      <c r="AZ1295" s="156"/>
      <c r="BA1295" s="153"/>
      <c r="BD1295" s="153"/>
      <c r="BE1295" s="147"/>
      <c r="BI1295" s="153"/>
      <c r="BO1295" s="153"/>
      <c r="BW1295" s="153"/>
      <c r="CD1295" s="146"/>
      <c r="CF1295" s="147"/>
      <c r="CI1295" s="146"/>
      <c r="CJ1295" s="153"/>
      <c r="CV1295" s="154"/>
      <c r="CX1295" s="154"/>
      <c r="CZ1295" s="154"/>
      <c r="DB1295" s="154"/>
      <c r="DD1295" s="154"/>
      <c r="DH1295" s="474"/>
      <c r="DI1295" s="459"/>
      <c r="DJ1295" s="459"/>
      <c r="DK1295" s="459"/>
      <c r="DL1295" s="459"/>
      <c r="DM1295" s="459"/>
      <c r="DN1295" s="459"/>
      <c r="DO1295" s="459"/>
      <c r="DP1295" s="459"/>
      <c r="DQ1295" s="459"/>
      <c r="DR1295" s="459"/>
      <c r="DS1295" s="459"/>
      <c r="DT1295" s="459"/>
      <c r="DU1295" s="459"/>
      <c r="DV1295" s="468"/>
      <c r="DW1295" s="468"/>
      <c r="DX1295" s="459"/>
      <c r="DY1295" s="459"/>
    </row>
    <row r="1296" spans="1:129" s="128" customFormat="1" ht="54.95" customHeight="1" x14ac:dyDescent="0.25">
      <c r="A1296" s="377"/>
      <c r="B1296" s="175"/>
      <c r="C1296" s="393"/>
      <c r="D1296" s="168"/>
      <c r="E1296" s="168"/>
      <c r="F1296" s="168"/>
      <c r="G1296" s="168"/>
      <c r="H1296" s="168"/>
      <c r="I1296" s="168"/>
      <c r="J1296" s="168"/>
      <c r="K1296" s="168"/>
      <c r="L1296" s="168"/>
      <c r="M1296" s="168"/>
      <c r="N1296" s="168"/>
      <c r="O1296" s="433"/>
      <c r="P1296" s="122"/>
      <c r="Q1296" s="156"/>
      <c r="R1296" s="156"/>
      <c r="S1296" s="156"/>
      <c r="T1296" s="156"/>
      <c r="U1296" s="156"/>
      <c r="V1296" s="156"/>
      <c r="W1296" s="156"/>
      <c r="X1296" s="156"/>
      <c r="Y1296" s="156"/>
      <c r="Z1296" s="157"/>
      <c r="AA1296" s="157"/>
      <c r="AB1296" s="156"/>
      <c r="AC1296" s="156"/>
      <c r="AD1296" s="156"/>
      <c r="AE1296" s="156"/>
      <c r="AF1296" s="156"/>
      <c r="AG1296" s="156"/>
      <c r="AH1296" s="156"/>
      <c r="AI1296" s="156"/>
      <c r="AJ1296" s="156"/>
      <c r="AK1296" s="156"/>
      <c r="AL1296" s="156"/>
      <c r="AM1296" s="158"/>
      <c r="AN1296" s="156"/>
      <c r="AO1296" s="156"/>
      <c r="AP1296" s="156"/>
      <c r="AQ1296" s="156"/>
      <c r="AR1296" s="156"/>
      <c r="AS1296" s="156"/>
      <c r="AT1296" s="156"/>
      <c r="AU1296" s="156"/>
      <c r="AV1296" s="156"/>
      <c r="AW1296" s="156"/>
      <c r="AX1296" s="156"/>
      <c r="AY1296" s="156"/>
      <c r="AZ1296" s="156"/>
      <c r="BA1296" s="153"/>
      <c r="BD1296" s="153"/>
      <c r="BE1296" s="147"/>
      <c r="BI1296" s="153"/>
      <c r="BO1296" s="153"/>
      <c r="BW1296" s="153"/>
      <c r="CD1296" s="146"/>
      <c r="CF1296" s="147"/>
      <c r="CI1296" s="146"/>
      <c r="CJ1296" s="153"/>
      <c r="CV1296" s="154"/>
      <c r="CX1296" s="154"/>
      <c r="CZ1296" s="154"/>
      <c r="DB1296" s="154"/>
      <c r="DD1296" s="154"/>
      <c r="DH1296" s="474"/>
      <c r="DI1296" s="459"/>
      <c r="DJ1296" s="459"/>
      <c r="DK1296" s="459"/>
      <c r="DL1296" s="459"/>
      <c r="DM1296" s="459"/>
      <c r="DN1296" s="459"/>
      <c r="DO1296" s="459"/>
      <c r="DP1296" s="459"/>
      <c r="DQ1296" s="459"/>
      <c r="DR1296" s="459"/>
      <c r="DS1296" s="459"/>
      <c r="DT1296" s="459"/>
      <c r="DU1296" s="459"/>
      <c r="DV1296" s="468"/>
      <c r="DW1296" s="468"/>
      <c r="DX1296" s="459"/>
      <c r="DY1296" s="459"/>
    </row>
    <row r="1297" spans="1:129" s="128" customFormat="1" ht="54.95" customHeight="1" x14ac:dyDescent="0.25">
      <c r="A1297" s="377"/>
      <c r="B1297" s="175"/>
      <c r="C1297" s="393"/>
      <c r="D1297" s="168"/>
      <c r="E1297" s="168"/>
      <c r="F1297" s="168"/>
      <c r="G1297" s="168"/>
      <c r="H1297" s="168"/>
      <c r="I1297" s="168"/>
      <c r="J1297" s="168"/>
      <c r="K1297" s="168"/>
      <c r="L1297" s="168"/>
      <c r="M1297" s="168"/>
      <c r="N1297" s="168"/>
      <c r="O1297" s="433"/>
      <c r="P1297" s="122"/>
      <c r="Q1297" s="156"/>
      <c r="R1297" s="156"/>
      <c r="S1297" s="156"/>
      <c r="T1297" s="156"/>
      <c r="U1297" s="156"/>
      <c r="V1297" s="156"/>
      <c r="W1297" s="156"/>
      <c r="X1297" s="156"/>
      <c r="Y1297" s="156"/>
      <c r="Z1297" s="157"/>
      <c r="AA1297" s="157"/>
      <c r="AB1297" s="156"/>
      <c r="AC1297" s="156"/>
      <c r="AD1297" s="156"/>
      <c r="AE1297" s="156"/>
      <c r="AF1297" s="156"/>
      <c r="AG1297" s="156"/>
      <c r="AH1297" s="156"/>
      <c r="AI1297" s="156"/>
      <c r="AJ1297" s="156"/>
      <c r="AK1297" s="156"/>
      <c r="AL1297" s="156"/>
      <c r="AM1297" s="158"/>
      <c r="AN1297" s="156"/>
      <c r="AO1297" s="156"/>
      <c r="AP1297" s="156"/>
      <c r="AQ1297" s="156"/>
      <c r="AR1297" s="156"/>
      <c r="AS1297" s="156"/>
      <c r="AT1297" s="156"/>
      <c r="AU1297" s="156"/>
      <c r="AV1297" s="156"/>
      <c r="AW1297" s="156"/>
      <c r="AX1297" s="156"/>
      <c r="AY1297" s="156"/>
      <c r="AZ1297" s="156"/>
      <c r="BA1297" s="153"/>
      <c r="BD1297" s="153"/>
      <c r="BE1297" s="147"/>
      <c r="BI1297" s="153"/>
      <c r="BO1297" s="153"/>
      <c r="BW1297" s="153"/>
      <c r="CD1297" s="146"/>
      <c r="CF1297" s="147"/>
      <c r="CI1297" s="146"/>
      <c r="CJ1297" s="153"/>
      <c r="CV1297" s="154"/>
      <c r="CX1297" s="154"/>
      <c r="CZ1297" s="154"/>
      <c r="DB1297" s="154"/>
      <c r="DD1297" s="154"/>
      <c r="DH1297" s="474"/>
      <c r="DI1297" s="459"/>
      <c r="DJ1297" s="459"/>
      <c r="DK1297" s="459"/>
      <c r="DL1297" s="459"/>
      <c r="DM1297" s="459"/>
      <c r="DN1297" s="459"/>
      <c r="DO1297" s="459"/>
      <c r="DP1297" s="459"/>
      <c r="DQ1297" s="459"/>
      <c r="DR1297" s="459"/>
      <c r="DS1297" s="459"/>
      <c r="DT1297" s="459"/>
      <c r="DU1297" s="459"/>
      <c r="DV1297" s="468"/>
      <c r="DW1297" s="468"/>
      <c r="DX1297" s="459"/>
      <c r="DY1297" s="459"/>
    </row>
    <row r="1298" spans="1:129" s="128" customFormat="1" ht="54.95" customHeight="1" x14ac:dyDescent="0.25">
      <c r="A1298" s="377"/>
      <c r="B1298" s="175"/>
      <c r="C1298" s="393"/>
      <c r="D1298" s="168"/>
      <c r="E1298" s="168"/>
      <c r="F1298" s="168"/>
      <c r="G1298" s="168"/>
      <c r="H1298" s="168"/>
      <c r="I1298" s="168"/>
      <c r="J1298" s="168"/>
      <c r="K1298" s="168"/>
      <c r="L1298" s="168"/>
      <c r="M1298" s="168"/>
      <c r="N1298" s="168"/>
      <c r="O1298" s="433"/>
      <c r="P1298" s="122"/>
      <c r="Q1298" s="156"/>
      <c r="R1298" s="156"/>
      <c r="S1298" s="156"/>
      <c r="T1298" s="156"/>
      <c r="U1298" s="156"/>
      <c r="V1298" s="156"/>
      <c r="W1298" s="156"/>
      <c r="X1298" s="156"/>
      <c r="Y1298" s="156"/>
      <c r="Z1298" s="157"/>
      <c r="AA1298" s="157"/>
      <c r="AB1298" s="156"/>
      <c r="AC1298" s="156"/>
      <c r="AD1298" s="156"/>
      <c r="AE1298" s="156"/>
      <c r="AF1298" s="156"/>
      <c r="AG1298" s="156"/>
      <c r="AH1298" s="156"/>
      <c r="AI1298" s="156"/>
      <c r="AJ1298" s="156"/>
      <c r="AK1298" s="156"/>
      <c r="AL1298" s="156"/>
      <c r="AM1298" s="158"/>
      <c r="AN1298" s="156"/>
      <c r="AO1298" s="156"/>
      <c r="AP1298" s="156"/>
      <c r="AQ1298" s="156"/>
      <c r="AR1298" s="156"/>
      <c r="AS1298" s="156"/>
      <c r="AT1298" s="156"/>
      <c r="AU1298" s="156"/>
      <c r="AV1298" s="156"/>
      <c r="AW1298" s="156"/>
      <c r="AX1298" s="156"/>
      <c r="AY1298" s="156"/>
      <c r="AZ1298" s="156"/>
      <c r="BA1298" s="153"/>
      <c r="BD1298" s="153"/>
      <c r="BE1298" s="147"/>
      <c r="BI1298" s="153"/>
      <c r="BO1298" s="153"/>
      <c r="BW1298" s="153"/>
      <c r="CD1298" s="146"/>
      <c r="CF1298" s="147"/>
      <c r="CI1298" s="146"/>
      <c r="CJ1298" s="153"/>
      <c r="CV1298" s="154"/>
      <c r="CX1298" s="154"/>
      <c r="CZ1298" s="154"/>
      <c r="DB1298" s="154"/>
      <c r="DD1298" s="154"/>
      <c r="DH1298" s="474"/>
      <c r="DI1298" s="459"/>
      <c r="DJ1298" s="459"/>
      <c r="DK1298" s="459"/>
      <c r="DL1298" s="459"/>
      <c r="DM1298" s="459"/>
      <c r="DN1298" s="459"/>
      <c r="DO1298" s="459"/>
      <c r="DP1298" s="459"/>
      <c r="DQ1298" s="459"/>
      <c r="DR1298" s="459"/>
      <c r="DS1298" s="459"/>
      <c r="DT1298" s="459"/>
      <c r="DU1298" s="459"/>
      <c r="DV1298" s="468"/>
      <c r="DW1298" s="468"/>
      <c r="DX1298" s="459"/>
      <c r="DY1298" s="459"/>
    </row>
    <row r="1299" spans="1:129" s="128" customFormat="1" ht="54.95" customHeight="1" x14ac:dyDescent="0.25">
      <c r="A1299" s="377"/>
      <c r="B1299" s="175"/>
      <c r="C1299" s="393"/>
      <c r="D1299" s="168"/>
      <c r="E1299" s="168"/>
      <c r="F1299" s="168"/>
      <c r="G1299" s="168"/>
      <c r="H1299" s="168"/>
      <c r="I1299" s="168"/>
      <c r="J1299" s="168"/>
      <c r="K1299" s="168"/>
      <c r="L1299" s="168"/>
      <c r="M1299" s="168"/>
      <c r="N1299" s="168"/>
      <c r="O1299" s="433"/>
      <c r="P1299" s="122"/>
      <c r="Q1299" s="156"/>
      <c r="R1299" s="156"/>
      <c r="S1299" s="156"/>
      <c r="T1299" s="156"/>
      <c r="U1299" s="156"/>
      <c r="V1299" s="156"/>
      <c r="W1299" s="156"/>
      <c r="X1299" s="156"/>
      <c r="Y1299" s="156"/>
      <c r="Z1299" s="157"/>
      <c r="AA1299" s="157"/>
      <c r="AB1299" s="156"/>
      <c r="AC1299" s="156"/>
      <c r="AD1299" s="156"/>
      <c r="AE1299" s="156"/>
      <c r="AF1299" s="156"/>
      <c r="AG1299" s="156"/>
      <c r="AH1299" s="156"/>
      <c r="AI1299" s="156"/>
      <c r="AJ1299" s="156"/>
      <c r="AK1299" s="156"/>
      <c r="AL1299" s="156"/>
      <c r="AM1299" s="158"/>
      <c r="AN1299" s="156"/>
      <c r="AO1299" s="156"/>
      <c r="AP1299" s="156"/>
      <c r="AQ1299" s="156"/>
      <c r="AR1299" s="156"/>
      <c r="AS1299" s="156"/>
      <c r="AT1299" s="156"/>
      <c r="AU1299" s="156"/>
      <c r="AV1299" s="156"/>
      <c r="AW1299" s="156"/>
      <c r="AX1299" s="156"/>
      <c r="AY1299" s="156"/>
      <c r="AZ1299" s="156"/>
      <c r="BA1299" s="153"/>
      <c r="BD1299" s="153"/>
      <c r="BE1299" s="147"/>
      <c r="BI1299" s="153"/>
      <c r="BO1299" s="153"/>
      <c r="BW1299" s="153"/>
      <c r="CD1299" s="146"/>
      <c r="CF1299" s="147"/>
      <c r="CI1299" s="146"/>
      <c r="CJ1299" s="153"/>
      <c r="CV1299" s="154"/>
      <c r="CX1299" s="154"/>
      <c r="CZ1299" s="154"/>
      <c r="DB1299" s="154"/>
      <c r="DD1299" s="154"/>
      <c r="DH1299" s="474"/>
      <c r="DI1299" s="459"/>
      <c r="DJ1299" s="459"/>
      <c r="DK1299" s="459"/>
      <c r="DL1299" s="459"/>
      <c r="DM1299" s="459"/>
      <c r="DN1299" s="459"/>
      <c r="DO1299" s="459"/>
      <c r="DP1299" s="459"/>
      <c r="DQ1299" s="459"/>
      <c r="DR1299" s="459"/>
      <c r="DS1299" s="459"/>
      <c r="DT1299" s="459"/>
      <c r="DU1299" s="459"/>
      <c r="DV1299" s="468"/>
      <c r="DW1299" s="468"/>
      <c r="DX1299" s="459"/>
      <c r="DY1299" s="459"/>
    </row>
    <row r="1300" spans="1:129" s="128" customFormat="1" ht="54.95" customHeight="1" x14ac:dyDescent="0.25">
      <c r="A1300" s="377"/>
      <c r="B1300" s="175"/>
      <c r="C1300" s="393"/>
      <c r="D1300" s="168"/>
      <c r="E1300" s="168"/>
      <c r="F1300" s="168"/>
      <c r="G1300" s="168"/>
      <c r="H1300" s="168"/>
      <c r="I1300" s="168"/>
      <c r="J1300" s="168"/>
      <c r="K1300" s="168"/>
      <c r="L1300" s="168"/>
      <c r="M1300" s="168"/>
      <c r="N1300" s="168"/>
      <c r="O1300" s="433"/>
      <c r="P1300" s="122"/>
      <c r="Q1300" s="156"/>
      <c r="R1300" s="156"/>
      <c r="S1300" s="156"/>
      <c r="T1300" s="156"/>
      <c r="U1300" s="156"/>
      <c r="V1300" s="156"/>
      <c r="W1300" s="156"/>
      <c r="X1300" s="156"/>
      <c r="Y1300" s="156"/>
      <c r="Z1300" s="157"/>
      <c r="AA1300" s="157"/>
      <c r="AB1300" s="156"/>
      <c r="AC1300" s="156"/>
      <c r="AD1300" s="156"/>
      <c r="AE1300" s="156"/>
      <c r="AF1300" s="156"/>
      <c r="AG1300" s="156"/>
      <c r="AH1300" s="156"/>
      <c r="AI1300" s="156"/>
      <c r="AJ1300" s="156"/>
      <c r="AK1300" s="156"/>
      <c r="AL1300" s="156"/>
      <c r="AM1300" s="158"/>
      <c r="AN1300" s="156"/>
      <c r="AO1300" s="156"/>
      <c r="AP1300" s="156"/>
      <c r="AQ1300" s="156"/>
      <c r="AR1300" s="156"/>
      <c r="AS1300" s="156"/>
      <c r="AT1300" s="156"/>
      <c r="AU1300" s="156"/>
      <c r="AV1300" s="156"/>
      <c r="AW1300" s="156"/>
      <c r="AX1300" s="156"/>
      <c r="AY1300" s="156"/>
      <c r="AZ1300" s="156"/>
      <c r="BA1300" s="153"/>
      <c r="BD1300" s="153"/>
      <c r="BE1300" s="147"/>
      <c r="BI1300" s="153"/>
      <c r="BO1300" s="153"/>
      <c r="BW1300" s="153"/>
      <c r="CD1300" s="146"/>
      <c r="CF1300" s="147"/>
      <c r="CI1300" s="146"/>
      <c r="CJ1300" s="153"/>
      <c r="CV1300" s="154"/>
      <c r="CX1300" s="154"/>
      <c r="CZ1300" s="154"/>
      <c r="DB1300" s="154"/>
      <c r="DD1300" s="154"/>
      <c r="DH1300" s="474"/>
      <c r="DI1300" s="459"/>
      <c r="DJ1300" s="459"/>
      <c r="DK1300" s="459"/>
      <c r="DL1300" s="459"/>
      <c r="DM1300" s="459"/>
      <c r="DN1300" s="459"/>
      <c r="DO1300" s="459"/>
      <c r="DP1300" s="459"/>
      <c r="DQ1300" s="459"/>
      <c r="DR1300" s="459"/>
      <c r="DS1300" s="459"/>
      <c r="DT1300" s="459"/>
      <c r="DU1300" s="459"/>
      <c r="DV1300" s="468"/>
      <c r="DW1300" s="468"/>
      <c r="DX1300" s="459"/>
      <c r="DY1300" s="459"/>
    </row>
    <row r="1301" spans="1:129" s="128" customFormat="1" ht="54.95" customHeight="1" x14ac:dyDescent="0.25">
      <c r="A1301" s="377"/>
      <c r="B1301" s="175"/>
      <c r="C1301" s="393"/>
      <c r="D1301" s="168"/>
      <c r="E1301" s="168"/>
      <c r="F1301" s="168"/>
      <c r="G1301" s="168"/>
      <c r="H1301" s="168"/>
      <c r="I1301" s="168"/>
      <c r="J1301" s="168"/>
      <c r="K1301" s="168"/>
      <c r="L1301" s="168"/>
      <c r="M1301" s="168"/>
      <c r="N1301" s="168"/>
      <c r="O1301" s="433"/>
      <c r="P1301" s="122"/>
      <c r="Q1301" s="156"/>
      <c r="R1301" s="156"/>
      <c r="S1301" s="156"/>
      <c r="T1301" s="156"/>
      <c r="U1301" s="156"/>
      <c r="V1301" s="156"/>
      <c r="W1301" s="156"/>
      <c r="X1301" s="156"/>
      <c r="Y1301" s="156"/>
      <c r="Z1301" s="157"/>
      <c r="AA1301" s="157"/>
      <c r="AB1301" s="156"/>
      <c r="AC1301" s="156"/>
      <c r="AD1301" s="156"/>
      <c r="AE1301" s="156"/>
      <c r="AF1301" s="156"/>
      <c r="AG1301" s="156"/>
      <c r="AH1301" s="156"/>
      <c r="AI1301" s="156"/>
      <c r="AJ1301" s="156"/>
      <c r="AK1301" s="156"/>
      <c r="AL1301" s="156"/>
      <c r="AM1301" s="158"/>
      <c r="AN1301" s="156"/>
      <c r="AO1301" s="156"/>
      <c r="AP1301" s="156"/>
      <c r="AQ1301" s="156"/>
      <c r="AR1301" s="156"/>
      <c r="AS1301" s="156"/>
      <c r="AT1301" s="156"/>
      <c r="AU1301" s="156"/>
      <c r="AV1301" s="156"/>
      <c r="AW1301" s="156"/>
      <c r="AX1301" s="156"/>
      <c r="AY1301" s="156"/>
      <c r="AZ1301" s="156"/>
      <c r="BA1301" s="153"/>
      <c r="BD1301" s="153"/>
      <c r="BE1301" s="147"/>
      <c r="BI1301" s="153"/>
      <c r="BO1301" s="153"/>
      <c r="BW1301" s="153"/>
      <c r="CD1301" s="146"/>
      <c r="CF1301" s="147"/>
      <c r="CI1301" s="146"/>
      <c r="CJ1301" s="153"/>
      <c r="CV1301" s="154"/>
      <c r="CX1301" s="154"/>
      <c r="CZ1301" s="154"/>
      <c r="DB1301" s="154"/>
      <c r="DD1301" s="154"/>
      <c r="DH1301" s="474"/>
      <c r="DI1301" s="459"/>
      <c r="DJ1301" s="459"/>
      <c r="DK1301" s="459"/>
      <c r="DL1301" s="459"/>
      <c r="DM1301" s="459"/>
      <c r="DN1301" s="459"/>
      <c r="DO1301" s="459"/>
      <c r="DP1301" s="459"/>
      <c r="DQ1301" s="459"/>
      <c r="DR1301" s="459"/>
      <c r="DS1301" s="459"/>
      <c r="DT1301" s="459"/>
      <c r="DU1301" s="459"/>
      <c r="DV1301" s="468"/>
      <c r="DW1301" s="468"/>
      <c r="DX1301" s="459"/>
      <c r="DY1301" s="459"/>
    </row>
    <row r="1302" spans="1:129" s="128" customFormat="1" ht="54.95" customHeight="1" x14ac:dyDescent="0.25">
      <c r="A1302" s="377"/>
      <c r="B1302" s="175"/>
      <c r="C1302" s="393"/>
      <c r="D1302" s="168"/>
      <c r="E1302" s="168"/>
      <c r="F1302" s="168"/>
      <c r="G1302" s="168"/>
      <c r="H1302" s="168"/>
      <c r="I1302" s="168"/>
      <c r="J1302" s="168"/>
      <c r="K1302" s="168"/>
      <c r="L1302" s="168"/>
      <c r="M1302" s="168"/>
      <c r="N1302" s="168"/>
      <c r="O1302" s="433"/>
      <c r="P1302" s="122"/>
      <c r="Q1302" s="156"/>
      <c r="R1302" s="156"/>
      <c r="S1302" s="156"/>
      <c r="T1302" s="156"/>
      <c r="U1302" s="156"/>
      <c r="V1302" s="156"/>
      <c r="W1302" s="156"/>
      <c r="X1302" s="156"/>
      <c r="Y1302" s="156"/>
      <c r="Z1302" s="157"/>
      <c r="AA1302" s="157"/>
      <c r="AB1302" s="156"/>
      <c r="AC1302" s="156"/>
      <c r="AD1302" s="156"/>
      <c r="AE1302" s="156"/>
      <c r="AF1302" s="156"/>
      <c r="AG1302" s="156"/>
      <c r="AH1302" s="156"/>
      <c r="AI1302" s="156"/>
      <c r="AJ1302" s="156"/>
      <c r="AK1302" s="156"/>
      <c r="AL1302" s="156"/>
      <c r="AM1302" s="158"/>
      <c r="AN1302" s="156"/>
      <c r="AO1302" s="156"/>
      <c r="AP1302" s="156"/>
      <c r="AQ1302" s="156"/>
      <c r="AR1302" s="156"/>
      <c r="AS1302" s="156"/>
      <c r="AT1302" s="156"/>
      <c r="AU1302" s="156"/>
      <c r="AV1302" s="156"/>
      <c r="AW1302" s="156"/>
      <c r="AX1302" s="156"/>
      <c r="AY1302" s="156"/>
      <c r="AZ1302" s="156"/>
      <c r="BA1302" s="153"/>
      <c r="BD1302" s="153"/>
      <c r="BE1302" s="147"/>
      <c r="BI1302" s="153"/>
      <c r="BO1302" s="153"/>
      <c r="BW1302" s="153"/>
      <c r="CD1302" s="146"/>
      <c r="CF1302" s="147"/>
      <c r="CI1302" s="146"/>
      <c r="CJ1302" s="153"/>
      <c r="CV1302" s="154"/>
      <c r="CX1302" s="154"/>
      <c r="CZ1302" s="154"/>
      <c r="DB1302" s="154"/>
      <c r="DD1302" s="154"/>
      <c r="DH1302" s="474"/>
      <c r="DI1302" s="459"/>
      <c r="DJ1302" s="459"/>
      <c r="DK1302" s="459"/>
      <c r="DL1302" s="459"/>
      <c r="DM1302" s="459"/>
      <c r="DN1302" s="459"/>
      <c r="DO1302" s="459"/>
      <c r="DP1302" s="459"/>
      <c r="DQ1302" s="459"/>
      <c r="DR1302" s="459"/>
      <c r="DS1302" s="459"/>
      <c r="DT1302" s="459"/>
      <c r="DU1302" s="459"/>
      <c r="DV1302" s="468"/>
      <c r="DW1302" s="468"/>
      <c r="DX1302" s="459"/>
      <c r="DY1302" s="459"/>
    </row>
    <row r="1303" spans="1:129" s="128" customFormat="1" ht="54.95" customHeight="1" x14ac:dyDescent="0.25">
      <c r="A1303" s="377"/>
      <c r="B1303" s="175"/>
      <c r="C1303" s="393"/>
      <c r="D1303" s="168"/>
      <c r="E1303" s="168"/>
      <c r="F1303" s="168"/>
      <c r="G1303" s="168"/>
      <c r="H1303" s="168"/>
      <c r="I1303" s="168"/>
      <c r="J1303" s="168"/>
      <c r="K1303" s="168"/>
      <c r="L1303" s="168"/>
      <c r="M1303" s="168"/>
      <c r="N1303" s="168"/>
      <c r="O1303" s="433"/>
      <c r="P1303" s="122"/>
      <c r="Q1303" s="156"/>
      <c r="R1303" s="156"/>
      <c r="S1303" s="156"/>
      <c r="T1303" s="156"/>
      <c r="U1303" s="156"/>
      <c r="V1303" s="156"/>
      <c r="W1303" s="156"/>
      <c r="X1303" s="156"/>
      <c r="Y1303" s="156"/>
      <c r="Z1303" s="157"/>
      <c r="AA1303" s="157"/>
      <c r="AB1303" s="156"/>
      <c r="AC1303" s="156"/>
      <c r="AD1303" s="156"/>
      <c r="AE1303" s="156"/>
      <c r="AF1303" s="156"/>
      <c r="AG1303" s="156"/>
      <c r="AH1303" s="156"/>
      <c r="AI1303" s="156"/>
      <c r="AJ1303" s="156"/>
      <c r="AK1303" s="156"/>
      <c r="AL1303" s="156"/>
      <c r="AM1303" s="158"/>
      <c r="AN1303" s="156"/>
      <c r="AO1303" s="156"/>
      <c r="AP1303" s="156"/>
      <c r="AQ1303" s="156"/>
      <c r="AR1303" s="156"/>
      <c r="AS1303" s="156"/>
      <c r="AT1303" s="156"/>
      <c r="AU1303" s="156"/>
      <c r="AV1303" s="156"/>
      <c r="AW1303" s="156"/>
      <c r="AX1303" s="156"/>
      <c r="AY1303" s="156"/>
      <c r="AZ1303" s="156"/>
      <c r="BA1303" s="153"/>
      <c r="BD1303" s="153"/>
      <c r="BE1303" s="147"/>
      <c r="BI1303" s="153"/>
      <c r="BO1303" s="153"/>
      <c r="BW1303" s="153"/>
      <c r="CD1303" s="146"/>
      <c r="CF1303" s="147"/>
      <c r="CI1303" s="146"/>
      <c r="CJ1303" s="153"/>
      <c r="CV1303" s="154"/>
      <c r="CX1303" s="154"/>
      <c r="CZ1303" s="154"/>
      <c r="DB1303" s="154"/>
      <c r="DD1303" s="154"/>
      <c r="DH1303" s="474"/>
      <c r="DI1303" s="459"/>
      <c r="DJ1303" s="459"/>
      <c r="DK1303" s="459"/>
      <c r="DL1303" s="459"/>
      <c r="DM1303" s="459"/>
      <c r="DN1303" s="459"/>
      <c r="DO1303" s="459"/>
      <c r="DP1303" s="459"/>
      <c r="DQ1303" s="459"/>
      <c r="DR1303" s="459"/>
      <c r="DS1303" s="459"/>
      <c r="DT1303" s="459"/>
      <c r="DU1303" s="459"/>
      <c r="DV1303" s="468"/>
      <c r="DW1303" s="468"/>
      <c r="DX1303" s="459"/>
      <c r="DY1303" s="459"/>
    </row>
    <row r="1304" spans="1:129" s="128" customFormat="1" ht="54.95" customHeight="1" x14ac:dyDescent="0.25">
      <c r="A1304" s="377"/>
      <c r="B1304" s="175"/>
      <c r="C1304" s="393"/>
      <c r="D1304" s="168"/>
      <c r="E1304" s="168"/>
      <c r="F1304" s="168"/>
      <c r="G1304" s="168"/>
      <c r="H1304" s="168"/>
      <c r="I1304" s="168"/>
      <c r="J1304" s="168"/>
      <c r="K1304" s="168"/>
      <c r="L1304" s="168"/>
      <c r="M1304" s="168"/>
      <c r="N1304" s="168"/>
      <c r="O1304" s="433"/>
      <c r="P1304" s="122"/>
      <c r="Q1304" s="156"/>
      <c r="R1304" s="156"/>
      <c r="S1304" s="156"/>
      <c r="T1304" s="156"/>
      <c r="U1304" s="156"/>
      <c r="V1304" s="156"/>
      <c r="W1304" s="156"/>
      <c r="X1304" s="156"/>
      <c r="Y1304" s="156"/>
      <c r="Z1304" s="157"/>
      <c r="AA1304" s="157"/>
      <c r="AB1304" s="156"/>
      <c r="AC1304" s="156"/>
      <c r="AD1304" s="156"/>
      <c r="AE1304" s="156"/>
      <c r="AF1304" s="156"/>
      <c r="AG1304" s="156"/>
      <c r="AH1304" s="156"/>
      <c r="AI1304" s="156"/>
      <c r="AJ1304" s="156"/>
      <c r="AK1304" s="156"/>
      <c r="AL1304" s="156"/>
      <c r="AM1304" s="158"/>
      <c r="AN1304" s="156"/>
      <c r="AO1304" s="156"/>
      <c r="AP1304" s="156"/>
      <c r="AQ1304" s="156"/>
      <c r="AR1304" s="156"/>
      <c r="AS1304" s="156"/>
      <c r="AT1304" s="156"/>
      <c r="AU1304" s="156"/>
      <c r="AV1304" s="156"/>
      <c r="AW1304" s="156"/>
      <c r="AX1304" s="156"/>
      <c r="AY1304" s="156"/>
      <c r="AZ1304" s="156"/>
      <c r="BA1304" s="153"/>
      <c r="BD1304" s="153"/>
      <c r="BE1304" s="147"/>
      <c r="BI1304" s="153"/>
      <c r="BO1304" s="153"/>
      <c r="BW1304" s="153"/>
      <c r="CD1304" s="146"/>
      <c r="CF1304" s="147"/>
      <c r="CI1304" s="146"/>
      <c r="CJ1304" s="153"/>
      <c r="CV1304" s="154"/>
      <c r="CX1304" s="154"/>
      <c r="CZ1304" s="154"/>
      <c r="DB1304" s="154"/>
      <c r="DD1304" s="154"/>
      <c r="DH1304" s="474"/>
      <c r="DI1304" s="459"/>
      <c r="DJ1304" s="459"/>
      <c r="DK1304" s="459"/>
      <c r="DL1304" s="459"/>
      <c r="DM1304" s="459"/>
      <c r="DN1304" s="459"/>
      <c r="DO1304" s="459"/>
      <c r="DP1304" s="459"/>
      <c r="DQ1304" s="459"/>
      <c r="DR1304" s="459"/>
      <c r="DS1304" s="459"/>
      <c r="DT1304" s="459"/>
      <c r="DU1304" s="459"/>
      <c r="DV1304" s="468"/>
      <c r="DW1304" s="468"/>
      <c r="DX1304" s="459"/>
      <c r="DY1304" s="459"/>
    </row>
    <row r="1305" spans="1:129" s="128" customFormat="1" ht="54.95" customHeight="1" x14ac:dyDescent="0.25">
      <c r="A1305" s="377"/>
      <c r="B1305" s="175"/>
      <c r="C1305" s="393"/>
      <c r="D1305" s="168"/>
      <c r="E1305" s="168"/>
      <c r="F1305" s="168"/>
      <c r="G1305" s="168"/>
      <c r="H1305" s="168"/>
      <c r="I1305" s="168"/>
      <c r="J1305" s="168"/>
      <c r="K1305" s="168"/>
      <c r="L1305" s="168"/>
      <c r="M1305" s="168"/>
      <c r="N1305" s="168"/>
      <c r="O1305" s="433"/>
      <c r="P1305" s="122"/>
      <c r="Q1305" s="156"/>
      <c r="R1305" s="156"/>
      <c r="S1305" s="156"/>
      <c r="T1305" s="156"/>
      <c r="U1305" s="156"/>
      <c r="V1305" s="156"/>
      <c r="W1305" s="156"/>
      <c r="X1305" s="156"/>
      <c r="Y1305" s="156"/>
      <c r="Z1305" s="157"/>
      <c r="AA1305" s="157"/>
      <c r="AB1305" s="156"/>
      <c r="AC1305" s="156"/>
      <c r="AD1305" s="156"/>
      <c r="AE1305" s="156"/>
      <c r="AF1305" s="156"/>
      <c r="AG1305" s="156"/>
      <c r="AH1305" s="156"/>
      <c r="AI1305" s="156"/>
      <c r="AJ1305" s="156"/>
      <c r="AK1305" s="156"/>
      <c r="AL1305" s="156"/>
      <c r="AM1305" s="158"/>
      <c r="AN1305" s="156"/>
      <c r="AO1305" s="156"/>
      <c r="AP1305" s="156"/>
      <c r="AQ1305" s="156"/>
      <c r="AR1305" s="156"/>
      <c r="AS1305" s="156"/>
      <c r="AT1305" s="156"/>
      <c r="AU1305" s="156"/>
      <c r="AV1305" s="156"/>
      <c r="AW1305" s="156"/>
      <c r="AX1305" s="156"/>
      <c r="AY1305" s="156"/>
      <c r="AZ1305" s="156"/>
      <c r="BA1305" s="153"/>
      <c r="BD1305" s="153"/>
      <c r="BE1305" s="147"/>
      <c r="BI1305" s="153"/>
      <c r="BO1305" s="153"/>
      <c r="BW1305" s="153"/>
      <c r="CD1305" s="146"/>
      <c r="CF1305" s="147"/>
      <c r="CI1305" s="146"/>
      <c r="CJ1305" s="153"/>
      <c r="CV1305" s="154"/>
      <c r="CX1305" s="154"/>
      <c r="CZ1305" s="154"/>
      <c r="DB1305" s="154"/>
      <c r="DD1305" s="154"/>
      <c r="DH1305" s="474"/>
      <c r="DI1305" s="459"/>
      <c r="DJ1305" s="459"/>
      <c r="DK1305" s="459"/>
      <c r="DL1305" s="459"/>
      <c r="DM1305" s="459"/>
      <c r="DN1305" s="459"/>
      <c r="DO1305" s="459"/>
      <c r="DP1305" s="459"/>
      <c r="DQ1305" s="459"/>
      <c r="DR1305" s="459"/>
      <c r="DS1305" s="459"/>
      <c r="DT1305" s="459"/>
      <c r="DU1305" s="459"/>
      <c r="DV1305" s="468"/>
      <c r="DW1305" s="468"/>
      <c r="DX1305" s="459"/>
      <c r="DY1305" s="459"/>
    </row>
    <row r="1306" spans="1:129" s="128" customFormat="1" ht="54.95" customHeight="1" x14ac:dyDescent="0.25">
      <c r="A1306" s="377"/>
      <c r="B1306" s="175"/>
      <c r="C1306" s="393"/>
      <c r="D1306" s="168"/>
      <c r="E1306" s="168"/>
      <c r="F1306" s="168"/>
      <c r="G1306" s="168"/>
      <c r="H1306" s="168"/>
      <c r="I1306" s="168"/>
      <c r="J1306" s="168"/>
      <c r="K1306" s="168"/>
      <c r="L1306" s="168"/>
      <c r="M1306" s="168"/>
      <c r="N1306" s="168"/>
      <c r="O1306" s="433"/>
      <c r="P1306" s="122"/>
      <c r="Q1306" s="156"/>
      <c r="R1306" s="156"/>
      <c r="S1306" s="156"/>
      <c r="T1306" s="156"/>
      <c r="U1306" s="156"/>
      <c r="V1306" s="156"/>
      <c r="W1306" s="156"/>
      <c r="X1306" s="156"/>
      <c r="Y1306" s="156"/>
      <c r="Z1306" s="157"/>
      <c r="AA1306" s="157"/>
      <c r="AB1306" s="156"/>
      <c r="AC1306" s="156"/>
      <c r="AD1306" s="156"/>
      <c r="AE1306" s="156"/>
      <c r="AF1306" s="156"/>
      <c r="AG1306" s="156"/>
      <c r="AH1306" s="156"/>
      <c r="AI1306" s="156"/>
      <c r="AJ1306" s="156"/>
      <c r="AK1306" s="156"/>
      <c r="AL1306" s="156"/>
      <c r="AM1306" s="158"/>
      <c r="AN1306" s="156"/>
      <c r="AO1306" s="156"/>
      <c r="AP1306" s="156"/>
      <c r="AQ1306" s="156"/>
      <c r="AR1306" s="156"/>
      <c r="AS1306" s="156"/>
      <c r="AT1306" s="156"/>
      <c r="AU1306" s="156"/>
      <c r="AV1306" s="156"/>
      <c r="AW1306" s="156"/>
      <c r="AX1306" s="156"/>
      <c r="AY1306" s="156"/>
      <c r="AZ1306" s="156"/>
      <c r="BA1306" s="153"/>
      <c r="BD1306" s="153"/>
      <c r="BE1306" s="147"/>
      <c r="BI1306" s="153"/>
      <c r="BO1306" s="153"/>
      <c r="BW1306" s="153"/>
      <c r="CD1306" s="146"/>
      <c r="CF1306" s="147"/>
      <c r="CI1306" s="146"/>
      <c r="CJ1306" s="153"/>
      <c r="CV1306" s="154"/>
      <c r="CX1306" s="154"/>
      <c r="CZ1306" s="154"/>
      <c r="DB1306" s="154"/>
      <c r="DD1306" s="154"/>
      <c r="DH1306" s="474"/>
      <c r="DI1306" s="459"/>
      <c r="DJ1306" s="459"/>
      <c r="DK1306" s="459"/>
      <c r="DL1306" s="459"/>
      <c r="DM1306" s="459"/>
      <c r="DN1306" s="459"/>
      <c r="DO1306" s="459"/>
      <c r="DP1306" s="459"/>
      <c r="DQ1306" s="459"/>
      <c r="DR1306" s="459"/>
      <c r="DS1306" s="459"/>
      <c r="DT1306" s="459"/>
      <c r="DU1306" s="459"/>
      <c r="DV1306" s="468"/>
      <c r="DW1306" s="468"/>
      <c r="DX1306" s="459"/>
      <c r="DY1306" s="459"/>
    </row>
    <row r="1307" spans="1:129" s="128" customFormat="1" ht="54.95" customHeight="1" x14ac:dyDescent="0.25">
      <c r="A1307" s="377"/>
      <c r="B1307" s="175"/>
      <c r="C1307" s="393"/>
      <c r="D1307" s="168"/>
      <c r="E1307" s="168"/>
      <c r="F1307" s="168"/>
      <c r="G1307" s="168"/>
      <c r="H1307" s="168"/>
      <c r="I1307" s="168"/>
      <c r="J1307" s="168"/>
      <c r="K1307" s="168"/>
      <c r="L1307" s="168"/>
      <c r="M1307" s="168"/>
      <c r="N1307" s="168"/>
      <c r="O1307" s="433"/>
      <c r="P1307" s="122"/>
      <c r="Q1307" s="156"/>
      <c r="R1307" s="156"/>
      <c r="S1307" s="156"/>
      <c r="T1307" s="156"/>
      <c r="U1307" s="156"/>
      <c r="V1307" s="156"/>
      <c r="W1307" s="156"/>
      <c r="X1307" s="156"/>
      <c r="Y1307" s="156"/>
      <c r="Z1307" s="157"/>
      <c r="AA1307" s="157"/>
      <c r="AB1307" s="156"/>
      <c r="AC1307" s="156"/>
      <c r="AD1307" s="156"/>
      <c r="AE1307" s="156"/>
      <c r="AF1307" s="156"/>
      <c r="AG1307" s="156"/>
      <c r="AH1307" s="156"/>
      <c r="AI1307" s="156"/>
      <c r="AJ1307" s="156"/>
      <c r="AK1307" s="156"/>
      <c r="AL1307" s="156"/>
      <c r="AM1307" s="158"/>
      <c r="AN1307" s="156"/>
      <c r="AO1307" s="156"/>
      <c r="AP1307" s="156"/>
      <c r="AQ1307" s="156"/>
      <c r="AR1307" s="156"/>
      <c r="AS1307" s="156"/>
      <c r="AT1307" s="156"/>
      <c r="AU1307" s="156"/>
      <c r="AV1307" s="156"/>
      <c r="AW1307" s="156"/>
      <c r="AX1307" s="156"/>
      <c r="AY1307" s="156"/>
      <c r="AZ1307" s="156"/>
      <c r="BA1307" s="153"/>
      <c r="BD1307" s="153"/>
      <c r="BE1307" s="147"/>
      <c r="BI1307" s="153"/>
      <c r="BO1307" s="153"/>
      <c r="BW1307" s="153"/>
      <c r="CD1307" s="146"/>
      <c r="CF1307" s="147"/>
      <c r="CI1307" s="146"/>
      <c r="CJ1307" s="153"/>
      <c r="CV1307" s="154"/>
      <c r="CX1307" s="154"/>
      <c r="CZ1307" s="154"/>
      <c r="DB1307" s="154"/>
      <c r="DD1307" s="154"/>
      <c r="DH1307" s="474"/>
      <c r="DI1307" s="459"/>
      <c r="DJ1307" s="459"/>
      <c r="DK1307" s="459"/>
      <c r="DL1307" s="459"/>
      <c r="DM1307" s="459"/>
      <c r="DN1307" s="459"/>
      <c r="DO1307" s="459"/>
      <c r="DP1307" s="459"/>
      <c r="DQ1307" s="459"/>
      <c r="DR1307" s="459"/>
      <c r="DS1307" s="459"/>
      <c r="DT1307" s="459"/>
      <c r="DU1307" s="459"/>
      <c r="DV1307" s="468"/>
      <c r="DW1307" s="468"/>
      <c r="DX1307" s="459"/>
      <c r="DY1307" s="459"/>
    </row>
    <row r="1308" spans="1:129" s="128" customFormat="1" ht="54.95" customHeight="1" x14ac:dyDescent="0.25">
      <c r="A1308" s="377"/>
      <c r="B1308" s="175"/>
      <c r="C1308" s="393"/>
      <c r="D1308" s="168"/>
      <c r="E1308" s="168"/>
      <c r="F1308" s="168"/>
      <c r="G1308" s="168"/>
      <c r="H1308" s="168"/>
      <c r="I1308" s="168"/>
      <c r="J1308" s="168"/>
      <c r="K1308" s="168"/>
      <c r="L1308" s="168"/>
      <c r="M1308" s="168"/>
      <c r="N1308" s="168"/>
      <c r="O1308" s="433"/>
      <c r="P1308" s="122"/>
      <c r="Q1308" s="156"/>
      <c r="R1308" s="156"/>
      <c r="S1308" s="156"/>
      <c r="T1308" s="156"/>
      <c r="U1308" s="156"/>
      <c r="V1308" s="156"/>
      <c r="W1308" s="156"/>
      <c r="X1308" s="156"/>
      <c r="Y1308" s="156"/>
      <c r="Z1308" s="157"/>
      <c r="AA1308" s="157"/>
      <c r="AB1308" s="156"/>
      <c r="AC1308" s="156"/>
      <c r="AD1308" s="156"/>
      <c r="AE1308" s="156"/>
      <c r="AF1308" s="156"/>
      <c r="AG1308" s="156"/>
      <c r="AH1308" s="156"/>
      <c r="AI1308" s="156"/>
      <c r="AJ1308" s="156"/>
      <c r="AK1308" s="156"/>
      <c r="AL1308" s="156"/>
      <c r="AM1308" s="158"/>
      <c r="AN1308" s="156"/>
      <c r="AO1308" s="156"/>
      <c r="AP1308" s="156"/>
      <c r="AQ1308" s="156"/>
      <c r="AR1308" s="156"/>
      <c r="AS1308" s="156"/>
      <c r="AT1308" s="156"/>
      <c r="AU1308" s="156"/>
      <c r="AV1308" s="156"/>
      <c r="AW1308" s="156"/>
      <c r="AX1308" s="156"/>
      <c r="AY1308" s="156"/>
      <c r="AZ1308" s="156"/>
      <c r="BA1308" s="153"/>
      <c r="BD1308" s="153"/>
      <c r="BE1308" s="147"/>
      <c r="BI1308" s="153"/>
      <c r="BO1308" s="153"/>
      <c r="BW1308" s="153"/>
      <c r="CD1308" s="146"/>
      <c r="CF1308" s="147"/>
      <c r="CI1308" s="146"/>
      <c r="CJ1308" s="153"/>
      <c r="CV1308" s="154"/>
      <c r="CX1308" s="154"/>
      <c r="CZ1308" s="154"/>
      <c r="DB1308" s="154"/>
      <c r="DD1308" s="154"/>
      <c r="DH1308" s="474"/>
      <c r="DI1308" s="459"/>
      <c r="DJ1308" s="459"/>
      <c r="DK1308" s="459"/>
      <c r="DL1308" s="459"/>
      <c r="DM1308" s="459"/>
      <c r="DN1308" s="459"/>
      <c r="DO1308" s="459"/>
      <c r="DP1308" s="459"/>
      <c r="DQ1308" s="459"/>
      <c r="DR1308" s="459"/>
      <c r="DS1308" s="459"/>
      <c r="DT1308" s="459"/>
      <c r="DU1308" s="459"/>
      <c r="DV1308" s="468"/>
      <c r="DW1308" s="468"/>
      <c r="DX1308" s="459"/>
      <c r="DY1308" s="459"/>
    </row>
    <row r="1309" spans="1:129" s="128" customFormat="1" ht="54.95" customHeight="1" x14ac:dyDescent="0.25">
      <c r="A1309" s="377"/>
      <c r="B1309" s="175"/>
      <c r="C1309" s="393"/>
      <c r="D1309" s="168"/>
      <c r="E1309" s="168"/>
      <c r="F1309" s="168"/>
      <c r="G1309" s="168"/>
      <c r="H1309" s="168"/>
      <c r="I1309" s="168"/>
      <c r="J1309" s="168"/>
      <c r="K1309" s="168"/>
      <c r="L1309" s="168"/>
      <c r="M1309" s="168"/>
      <c r="N1309" s="168"/>
      <c r="O1309" s="433"/>
      <c r="P1309" s="122"/>
      <c r="Q1309" s="156"/>
      <c r="R1309" s="156"/>
      <c r="S1309" s="156"/>
      <c r="T1309" s="156"/>
      <c r="U1309" s="156"/>
      <c r="V1309" s="156"/>
      <c r="W1309" s="156"/>
      <c r="X1309" s="156"/>
      <c r="Y1309" s="156"/>
      <c r="Z1309" s="157"/>
      <c r="AA1309" s="157"/>
      <c r="AB1309" s="156"/>
      <c r="AC1309" s="156"/>
      <c r="AD1309" s="156"/>
      <c r="AE1309" s="156"/>
      <c r="AF1309" s="156"/>
      <c r="AG1309" s="156"/>
      <c r="AH1309" s="156"/>
      <c r="AI1309" s="156"/>
      <c r="AJ1309" s="156"/>
      <c r="AK1309" s="156"/>
      <c r="AL1309" s="156"/>
      <c r="AM1309" s="158"/>
      <c r="AN1309" s="156"/>
      <c r="AO1309" s="156"/>
      <c r="AP1309" s="156"/>
      <c r="AQ1309" s="156"/>
      <c r="AR1309" s="156"/>
      <c r="AS1309" s="156"/>
      <c r="AT1309" s="156"/>
      <c r="AU1309" s="156"/>
      <c r="AV1309" s="156"/>
      <c r="AW1309" s="156"/>
      <c r="AX1309" s="156"/>
      <c r="AY1309" s="156"/>
      <c r="AZ1309" s="156"/>
      <c r="BA1309" s="153"/>
      <c r="BD1309" s="153"/>
      <c r="BE1309" s="147"/>
      <c r="BI1309" s="153"/>
      <c r="BO1309" s="153"/>
      <c r="BW1309" s="153"/>
      <c r="CD1309" s="146"/>
      <c r="CF1309" s="147"/>
      <c r="CI1309" s="146"/>
      <c r="CJ1309" s="153"/>
      <c r="CV1309" s="154"/>
      <c r="CX1309" s="154"/>
      <c r="CZ1309" s="154"/>
      <c r="DB1309" s="154"/>
      <c r="DD1309" s="154"/>
      <c r="DH1309" s="474"/>
      <c r="DI1309" s="459"/>
      <c r="DJ1309" s="459"/>
      <c r="DK1309" s="459"/>
      <c r="DL1309" s="459"/>
      <c r="DM1309" s="459"/>
      <c r="DN1309" s="459"/>
      <c r="DO1309" s="459"/>
      <c r="DP1309" s="459"/>
      <c r="DQ1309" s="459"/>
      <c r="DR1309" s="459"/>
      <c r="DS1309" s="459"/>
      <c r="DT1309" s="459"/>
      <c r="DU1309" s="459"/>
      <c r="DV1309" s="468"/>
      <c r="DW1309" s="468"/>
      <c r="DX1309" s="459"/>
      <c r="DY1309" s="459"/>
    </row>
    <row r="1310" spans="1:129" s="128" customFormat="1" ht="54.95" customHeight="1" x14ac:dyDescent="0.25">
      <c r="A1310" s="377"/>
      <c r="B1310" s="175"/>
      <c r="C1310" s="393"/>
      <c r="D1310" s="168"/>
      <c r="E1310" s="168"/>
      <c r="F1310" s="168"/>
      <c r="G1310" s="168"/>
      <c r="H1310" s="168"/>
      <c r="I1310" s="168"/>
      <c r="J1310" s="168"/>
      <c r="K1310" s="168"/>
      <c r="L1310" s="168"/>
      <c r="M1310" s="168"/>
      <c r="N1310" s="168"/>
      <c r="O1310" s="433"/>
      <c r="P1310" s="122"/>
      <c r="Q1310" s="156"/>
      <c r="R1310" s="156"/>
      <c r="S1310" s="156"/>
      <c r="T1310" s="156"/>
      <c r="U1310" s="156"/>
      <c r="V1310" s="156"/>
      <c r="W1310" s="156"/>
      <c r="X1310" s="156"/>
      <c r="Y1310" s="156"/>
      <c r="Z1310" s="157"/>
      <c r="AA1310" s="157"/>
      <c r="AB1310" s="156"/>
      <c r="AC1310" s="156"/>
      <c r="AD1310" s="156"/>
      <c r="AE1310" s="156"/>
      <c r="AF1310" s="156"/>
      <c r="AG1310" s="156"/>
      <c r="AH1310" s="156"/>
      <c r="AI1310" s="156"/>
      <c r="AJ1310" s="156"/>
      <c r="AK1310" s="156"/>
      <c r="AL1310" s="156"/>
      <c r="AM1310" s="158"/>
      <c r="AN1310" s="156"/>
      <c r="AO1310" s="156"/>
      <c r="AP1310" s="156"/>
      <c r="AQ1310" s="156"/>
      <c r="AR1310" s="156"/>
      <c r="AS1310" s="156"/>
      <c r="AT1310" s="156"/>
      <c r="AU1310" s="156"/>
      <c r="AV1310" s="156"/>
      <c r="AW1310" s="156"/>
      <c r="AX1310" s="156"/>
      <c r="AY1310" s="156"/>
      <c r="AZ1310" s="156"/>
      <c r="BA1310" s="153"/>
      <c r="BD1310" s="153"/>
      <c r="BE1310" s="147"/>
      <c r="BI1310" s="153"/>
      <c r="BO1310" s="153"/>
      <c r="BW1310" s="153"/>
      <c r="CD1310" s="146"/>
      <c r="CF1310" s="147"/>
      <c r="CI1310" s="146"/>
      <c r="CJ1310" s="153"/>
      <c r="CV1310" s="154"/>
      <c r="CX1310" s="154"/>
      <c r="CZ1310" s="154"/>
      <c r="DB1310" s="154"/>
      <c r="DD1310" s="154"/>
      <c r="DH1310" s="474"/>
      <c r="DI1310" s="459"/>
      <c r="DJ1310" s="459"/>
      <c r="DK1310" s="459"/>
      <c r="DL1310" s="459"/>
      <c r="DM1310" s="459"/>
      <c r="DN1310" s="459"/>
      <c r="DO1310" s="459"/>
      <c r="DP1310" s="459"/>
      <c r="DQ1310" s="459"/>
      <c r="DR1310" s="459"/>
      <c r="DS1310" s="459"/>
      <c r="DT1310" s="459"/>
      <c r="DU1310" s="459"/>
      <c r="DV1310" s="468"/>
      <c r="DW1310" s="468"/>
      <c r="DX1310" s="459"/>
      <c r="DY1310" s="459"/>
    </row>
    <row r="1311" spans="1:129" s="128" customFormat="1" ht="54.95" customHeight="1" x14ac:dyDescent="0.25">
      <c r="A1311" s="377"/>
      <c r="B1311" s="175"/>
      <c r="C1311" s="393"/>
      <c r="D1311" s="168"/>
      <c r="E1311" s="168"/>
      <c r="F1311" s="168"/>
      <c r="G1311" s="168"/>
      <c r="H1311" s="168"/>
      <c r="I1311" s="168"/>
      <c r="J1311" s="168"/>
      <c r="K1311" s="168"/>
      <c r="L1311" s="168"/>
      <c r="M1311" s="168"/>
      <c r="N1311" s="168"/>
      <c r="O1311" s="433"/>
      <c r="P1311" s="122"/>
      <c r="Q1311" s="156"/>
      <c r="R1311" s="156"/>
      <c r="S1311" s="156"/>
      <c r="T1311" s="156"/>
      <c r="U1311" s="156"/>
      <c r="V1311" s="156"/>
      <c r="W1311" s="156"/>
      <c r="X1311" s="156"/>
      <c r="Y1311" s="156"/>
      <c r="Z1311" s="157"/>
      <c r="AA1311" s="157"/>
      <c r="AB1311" s="156"/>
      <c r="AC1311" s="156"/>
      <c r="AD1311" s="156"/>
      <c r="AE1311" s="156"/>
      <c r="AF1311" s="156"/>
      <c r="AG1311" s="156"/>
      <c r="AH1311" s="156"/>
      <c r="AI1311" s="156"/>
      <c r="AJ1311" s="156"/>
      <c r="AK1311" s="156"/>
      <c r="AL1311" s="156"/>
      <c r="AM1311" s="158"/>
      <c r="AN1311" s="156"/>
      <c r="AO1311" s="156"/>
      <c r="AP1311" s="156"/>
      <c r="AQ1311" s="156"/>
      <c r="AR1311" s="156"/>
      <c r="AS1311" s="156"/>
      <c r="AT1311" s="156"/>
      <c r="AU1311" s="156"/>
      <c r="AV1311" s="156"/>
      <c r="AW1311" s="156"/>
      <c r="AX1311" s="156"/>
      <c r="AY1311" s="156"/>
      <c r="AZ1311" s="156"/>
      <c r="BA1311" s="153"/>
      <c r="BD1311" s="153"/>
      <c r="BE1311" s="147"/>
      <c r="BI1311" s="153"/>
      <c r="BO1311" s="153"/>
      <c r="BW1311" s="153"/>
      <c r="CD1311" s="146"/>
      <c r="CF1311" s="147"/>
      <c r="CI1311" s="146"/>
      <c r="CJ1311" s="153"/>
      <c r="CV1311" s="154"/>
      <c r="CX1311" s="154"/>
      <c r="CZ1311" s="154"/>
      <c r="DB1311" s="154"/>
      <c r="DD1311" s="154"/>
      <c r="DH1311" s="474"/>
      <c r="DI1311" s="459"/>
      <c r="DJ1311" s="459"/>
      <c r="DK1311" s="459"/>
      <c r="DL1311" s="459"/>
      <c r="DM1311" s="459"/>
      <c r="DN1311" s="459"/>
      <c r="DO1311" s="459"/>
      <c r="DP1311" s="459"/>
      <c r="DQ1311" s="459"/>
      <c r="DR1311" s="459"/>
      <c r="DS1311" s="459"/>
      <c r="DT1311" s="459"/>
      <c r="DU1311" s="459"/>
      <c r="DV1311" s="468"/>
      <c r="DW1311" s="468"/>
      <c r="DX1311" s="459"/>
      <c r="DY1311" s="459"/>
    </row>
    <row r="1312" spans="1:129" s="128" customFormat="1" ht="54.95" customHeight="1" x14ac:dyDescent="0.25">
      <c r="A1312" s="377"/>
      <c r="B1312" s="175"/>
      <c r="C1312" s="393"/>
      <c r="D1312" s="168"/>
      <c r="E1312" s="168"/>
      <c r="F1312" s="168"/>
      <c r="G1312" s="168"/>
      <c r="H1312" s="168"/>
      <c r="I1312" s="168"/>
      <c r="J1312" s="168"/>
      <c r="K1312" s="168"/>
      <c r="L1312" s="168"/>
      <c r="M1312" s="168"/>
      <c r="N1312" s="168"/>
      <c r="O1312" s="433"/>
      <c r="P1312" s="122"/>
      <c r="Q1312" s="156"/>
      <c r="R1312" s="156"/>
      <c r="S1312" s="156"/>
      <c r="T1312" s="156"/>
      <c r="U1312" s="156"/>
      <c r="V1312" s="156"/>
      <c r="W1312" s="156"/>
      <c r="X1312" s="156"/>
      <c r="Y1312" s="156"/>
      <c r="Z1312" s="157"/>
      <c r="AA1312" s="157"/>
      <c r="AB1312" s="156"/>
      <c r="AC1312" s="156"/>
      <c r="AD1312" s="156"/>
      <c r="AE1312" s="156"/>
      <c r="AF1312" s="156"/>
      <c r="AG1312" s="156"/>
      <c r="AH1312" s="156"/>
      <c r="AI1312" s="156"/>
      <c r="AJ1312" s="156"/>
      <c r="AK1312" s="156"/>
      <c r="AL1312" s="156"/>
      <c r="AM1312" s="158"/>
      <c r="AN1312" s="156"/>
      <c r="AO1312" s="156"/>
      <c r="AP1312" s="156"/>
      <c r="AQ1312" s="156"/>
      <c r="AR1312" s="156"/>
      <c r="AS1312" s="156"/>
      <c r="AT1312" s="156"/>
      <c r="AU1312" s="156"/>
      <c r="AV1312" s="156"/>
      <c r="AW1312" s="156"/>
      <c r="AX1312" s="156"/>
      <c r="AY1312" s="156"/>
      <c r="AZ1312" s="156"/>
      <c r="BA1312" s="153"/>
      <c r="BD1312" s="153"/>
      <c r="BE1312" s="147"/>
      <c r="BI1312" s="153"/>
      <c r="BO1312" s="153"/>
      <c r="BW1312" s="153"/>
      <c r="CD1312" s="146"/>
      <c r="CF1312" s="147"/>
      <c r="CI1312" s="146"/>
      <c r="CJ1312" s="153"/>
      <c r="CV1312" s="154"/>
      <c r="CX1312" s="154"/>
      <c r="CZ1312" s="154"/>
      <c r="DB1312" s="154"/>
      <c r="DD1312" s="154"/>
      <c r="DH1312" s="474"/>
      <c r="DI1312" s="459"/>
      <c r="DJ1312" s="459"/>
      <c r="DK1312" s="459"/>
      <c r="DL1312" s="459"/>
      <c r="DM1312" s="459"/>
      <c r="DN1312" s="459"/>
      <c r="DO1312" s="459"/>
      <c r="DP1312" s="459"/>
      <c r="DQ1312" s="459"/>
      <c r="DR1312" s="459"/>
      <c r="DS1312" s="459"/>
      <c r="DT1312" s="459"/>
      <c r="DU1312" s="459"/>
      <c r="DV1312" s="468"/>
      <c r="DW1312" s="468"/>
      <c r="DX1312" s="459"/>
      <c r="DY1312" s="459"/>
    </row>
    <row r="1313" spans="1:129" s="128" customFormat="1" ht="54.95" customHeight="1" x14ac:dyDescent="0.25">
      <c r="A1313" s="377"/>
      <c r="B1313" s="175"/>
      <c r="C1313" s="393"/>
      <c r="D1313" s="168"/>
      <c r="E1313" s="168"/>
      <c r="F1313" s="168"/>
      <c r="G1313" s="168"/>
      <c r="H1313" s="168"/>
      <c r="I1313" s="168"/>
      <c r="J1313" s="168"/>
      <c r="K1313" s="168"/>
      <c r="L1313" s="168"/>
      <c r="M1313" s="168"/>
      <c r="N1313" s="168"/>
      <c r="O1313" s="433"/>
      <c r="P1313" s="122"/>
      <c r="Q1313" s="156"/>
      <c r="R1313" s="156"/>
      <c r="S1313" s="156"/>
      <c r="T1313" s="156"/>
      <c r="U1313" s="156"/>
      <c r="V1313" s="156"/>
      <c r="W1313" s="156"/>
      <c r="X1313" s="156"/>
      <c r="Y1313" s="156"/>
      <c r="Z1313" s="157"/>
      <c r="AA1313" s="157"/>
      <c r="AB1313" s="156"/>
      <c r="AC1313" s="156"/>
      <c r="AD1313" s="156"/>
      <c r="AE1313" s="156"/>
      <c r="AF1313" s="156"/>
      <c r="AG1313" s="156"/>
      <c r="AH1313" s="156"/>
      <c r="AI1313" s="156"/>
      <c r="AJ1313" s="156"/>
      <c r="AK1313" s="156"/>
      <c r="AL1313" s="156"/>
      <c r="AM1313" s="158"/>
      <c r="AN1313" s="156"/>
      <c r="AO1313" s="156"/>
      <c r="AP1313" s="156"/>
      <c r="AQ1313" s="156"/>
      <c r="AR1313" s="156"/>
      <c r="AS1313" s="156"/>
      <c r="AT1313" s="156"/>
      <c r="AU1313" s="156"/>
      <c r="AV1313" s="156"/>
      <c r="AW1313" s="156"/>
      <c r="AX1313" s="156"/>
      <c r="AY1313" s="156"/>
      <c r="AZ1313" s="156"/>
      <c r="BA1313" s="153"/>
      <c r="BD1313" s="153"/>
      <c r="BE1313" s="147"/>
      <c r="BI1313" s="153"/>
      <c r="BO1313" s="153"/>
      <c r="BW1313" s="153"/>
      <c r="CD1313" s="146"/>
      <c r="CF1313" s="147"/>
      <c r="CI1313" s="146"/>
      <c r="CJ1313" s="153"/>
      <c r="CV1313" s="154"/>
      <c r="CX1313" s="154"/>
      <c r="CZ1313" s="154"/>
      <c r="DB1313" s="154"/>
      <c r="DD1313" s="154"/>
      <c r="DH1313" s="474"/>
      <c r="DI1313" s="459"/>
      <c r="DJ1313" s="459"/>
      <c r="DK1313" s="459"/>
      <c r="DL1313" s="459"/>
      <c r="DM1313" s="459"/>
      <c r="DN1313" s="459"/>
      <c r="DO1313" s="459"/>
      <c r="DP1313" s="459"/>
      <c r="DQ1313" s="459"/>
      <c r="DR1313" s="459"/>
      <c r="DS1313" s="459"/>
      <c r="DT1313" s="459"/>
      <c r="DU1313" s="459"/>
      <c r="DV1313" s="468"/>
      <c r="DW1313" s="468"/>
      <c r="DX1313" s="459"/>
      <c r="DY1313" s="459"/>
    </row>
    <row r="1314" spans="1:129" s="128" customFormat="1" ht="54.95" customHeight="1" x14ac:dyDescent="0.25">
      <c r="A1314" s="377"/>
      <c r="B1314" s="175"/>
      <c r="C1314" s="393"/>
      <c r="D1314" s="168"/>
      <c r="E1314" s="168"/>
      <c r="F1314" s="168"/>
      <c r="G1314" s="168"/>
      <c r="H1314" s="168"/>
      <c r="I1314" s="168"/>
      <c r="J1314" s="168"/>
      <c r="K1314" s="168"/>
      <c r="L1314" s="168"/>
      <c r="M1314" s="168"/>
      <c r="N1314" s="168"/>
      <c r="O1314" s="433"/>
      <c r="P1314" s="122"/>
      <c r="Q1314" s="156"/>
      <c r="R1314" s="156"/>
      <c r="S1314" s="156"/>
      <c r="T1314" s="156"/>
      <c r="U1314" s="156"/>
      <c r="V1314" s="156"/>
      <c r="W1314" s="156"/>
      <c r="X1314" s="156"/>
      <c r="Y1314" s="156"/>
      <c r="Z1314" s="157"/>
      <c r="AA1314" s="157"/>
      <c r="AB1314" s="156"/>
      <c r="AC1314" s="156"/>
      <c r="AD1314" s="156"/>
      <c r="AE1314" s="156"/>
      <c r="AF1314" s="156"/>
      <c r="AG1314" s="156"/>
      <c r="AH1314" s="156"/>
      <c r="AI1314" s="156"/>
      <c r="AJ1314" s="156"/>
      <c r="AK1314" s="156"/>
      <c r="AL1314" s="156"/>
      <c r="AM1314" s="158"/>
      <c r="AN1314" s="156"/>
      <c r="AO1314" s="156"/>
      <c r="AP1314" s="156"/>
      <c r="AQ1314" s="156"/>
      <c r="AR1314" s="156"/>
      <c r="AS1314" s="156"/>
      <c r="AT1314" s="156"/>
      <c r="AU1314" s="156"/>
      <c r="AV1314" s="156"/>
      <c r="AW1314" s="156"/>
      <c r="AX1314" s="156"/>
      <c r="AY1314" s="156"/>
      <c r="AZ1314" s="156"/>
      <c r="BA1314" s="153"/>
      <c r="BD1314" s="153"/>
      <c r="BE1314" s="147"/>
      <c r="BI1314" s="153"/>
      <c r="BO1314" s="153"/>
      <c r="BW1314" s="153"/>
      <c r="CD1314" s="146"/>
      <c r="CF1314" s="147"/>
      <c r="CI1314" s="146"/>
      <c r="CJ1314" s="153"/>
      <c r="CV1314" s="154"/>
      <c r="CX1314" s="154"/>
      <c r="CZ1314" s="154"/>
      <c r="DB1314" s="154"/>
      <c r="DD1314" s="154"/>
      <c r="DH1314" s="474"/>
      <c r="DI1314" s="459"/>
      <c r="DJ1314" s="459"/>
      <c r="DK1314" s="459"/>
      <c r="DL1314" s="459"/>
      <c r="DM1314" s="459"/>
      <c r="DN1314" s="459"/>
      <c r="DO1314" s="459"/>
      <c r="DP1314" s="459"/>
      <c r="DQ1314" s="459"/>
      <c r="DR1314" s="459"/>
      <c r="DS1314" s="459"/>
      <c r="DT1314" s="459"/>
      <c r="DU1314" s="459"/>
      <c r="DV1314" s="468"/>
      <c r="DW1314" s="468"/>
      <c r="DX1314" s="459"/>
      <c r="DY1314" s="459"/>
    </row>
    <row r="1315" spans="1:129" s="128" customFormat="1" ht="54.95" customHeight="1" x14ac:dyDescent="0.25">
      <c r="A1315" s="377"/>
      <c r="B1315" s="175"/>
      <c r="C1315" s="393"/>
      <c r="D1315" s="168"/>
      <c r="E1315" s="168"/>
      <c r="F1315" s="168"/>
      <c r="G1315" s="168"/>
      <c r="H1315" s="168"/>
      <c r="I1315" s="168"/>
      <c r="J1315" s="168"/>
      <c r="K1315" s="168"/>
      <c r="L1315" s="168"/>
      <c r="M1315" s="168"/>
      <c r="N1315" s="168"/>
      <c r="O1315" s="433"/>
      <c r="P1315" s="122"/>
      <c r="Q1315" s="156"/>
      <c r="R1315" s="156"/>
      <c r="S1315" s="156"/>
      <c r="T1315" s="156"/>
      <c r="U1315" s="156"/>
      <c r="V1315" s="156"/>
      <c r="W1315" s="156"/>
      <c r="X1315" s="156"/>
      <c r="Y1315" s="156"/>
      <c r="Z1315" s="157"/>
      <c r="AA1315" s="157"/>
      <c r="AB1315" s="156"/>
      <c r="AC1315" s="156"/>
      <c r="AD1315" s="156"/>
      <c r="AE1315" s="156"/>
      <c r="AF1315" s="156"/>
      <c r="AG1315" s="156"/>
      <c r="AH1315" s="156"/>
      <c r="AI1315" s="156"/>
      <c r="AJ1315" s="156"/>
      <c r="AK1315" s="156"/>
      <c r="AL1315" s="156"/>
      <c r="AM1315" s="158"/>
      <c r="AN1315" s="156"/>
      <c r="AO1315" s="156"/>
      <c r="AP1315" s="156"/>
      <c r="AQ1315" s="156"/>
      <c r="AR1315" s="156"/>
      <c r="AS1315" s="156"/>
      <c r="AT1315" s="156"/>
      <c r="AU1315" s="156"/>
      <c r="AV1315" s="156"/>
      <c r="AW1315" s="156"/>
      <c r="AX1315" s="156"/>
      <c r="AY1315" s="156"/>
      <c r="AZ1315" s="156"/>
      <c r="BA1315" s="153"/>
      <c r="BD1315" s="153"/>
      <c r="BE1315" s="147"/>
      <c r="BI1315" s="153"/>
      <c r="BO1315" s="153"/>
      <c r="BW1315" s="153"/>
      <c r="CD1315" s="146"/>
      <c r="CF1315" s="147"/>
      <c r="CI1315" s="146"/>
      <c r="CJ1315" s="153"/>
      <c r="CV1315" s="154"/>
      <c r="CX1315" s="154"/>
      <c r="CZ1315" s="154"/>
      <c r="DB1315" s="154"/>
      <c r="DD1315" s="154"/>
      <c r="DH1315" s="474"/>
      <c r="DI1315" s="459"/>
      <c r="DJ1315" s="459"/>
      <c r="DK1315" s="459"/>
      <c r="DL1315" s="459"/>
      <c r="DM1315" s="459"/>
      <c r="DN1315" s="459"/>
      <c r="DO1315" s="459"/>
      <c r="DP1315" s="459"/>
      <c r="DQ1315" s="459"/>
      <c r="DR1315" s="459"/>
      <c r="DS1315" s="459"/>
      <c r="DT1315" s="459"/>
      <c r="DU1315" s="459"/>
      <c r="DV1315" s="468"/>
      <c r="DW1315" s="468"/>
      <c r="DX1315" s="459"/>
      <c r="DY1315" s="459"/>
    </row>
    <row r="1316" spans="1:129" s="128" customFormat="1" ht="54.95" customHeight="1" x14ac:dyDescent="0.25">
      <c r="A1316" s="377"/>
      <c r="B1316" s="175"/>
      <c r="C1316" s="393"/>
      <c r="D1316" s="168"/>
      <c r="E1316" s="168"/>
      <c r="F1316" s="168"/>
      <c r="G1316" s="168"/>
      <c r="H1316" s="168"/>
      <c r="I1316" s="168"/>
      <c r="J1316" s="168"/>
      <c r="K1316" s="168"/>
      <c r="L1316" s="168"/>
      <c r="M1316" s="168"/>
      <c r="N1316" s="168"/>
      <c r="O1316" s="433"/>
      <c r="P1316" s="122"/>
      <c r="Q1316" s="156"/>
      <c r="R1316" s="156"/>
      <c r="S1316" s="156"/>
      <c r="T1316" s="156"/>
      <c r="U1316" s="156"/>
      <c r="V1316" s="156"/>
      <c r="W1316" s="156"/>
      <c r="X1316" s="156"/>
      <c r="Y1316" s="156"/>
      <c r="Z1316" s="157"/>
      <c r="AA1316" s="157"/>
      <c r="AB1316" s="156"/>
      <c r="AC1316" s="156"/>
      <c r="AD1316" s="156"/>
      <c r="AE1316" s="156"/>
      <c r="AF1316" s="156"/>
      <c r="AG1316" s="156"/>
      <c r="AH1316" s="156"/>
      <c r="AI1316" s="156"/>
      <c r="AJ1316" s="156"/>
      <c r="AK1316" s="156"/>
      <c r="AL1316" s="156"/>
      <c r="AM1316" s="158"/>
      <c r="AN1316" s="156"/>
      <c r="AO1316" s="156"/>
      <c r="AP1316" s="156"/>
      <c r="AQ1316" s="156"/>
      <c r="AR1316" s="156"/>
      <c r="AS1316" s="156"/>
      <c r="AT1316" s="156"/>
      <c r="AU1316" s="156"/>
      <c r="AV1316" s="156"/>
      <c r="AW1316" s="156"/>
      <c r="AX1316" s="156"/>
      <c r="AY1316" s="156"/>
      <c r="AZ1316" s="156"/>
      <c r="BA1316" s="153"/>
      <c r="BD1316" s="153"/>
      <c r="BE1316" s="147"/>
      <c r="BI1316" s="153"/>
      <c r="BO1316" s="153"/>
      <c r="BW1316" s="153"/>
      <c r="CD1316" s="146"/>
      <c r="CF1316" s="147"/>
      <c r="CI1316" s="146"/>
      <c r="CJ1316" s="153"/>
      <c r="CV1316" s="154"/>
      <c r="CX1316" s="154"/>
      <c r="CZ1316" s="154"/>
      <c r="DB1316" s="154"/>
      <c r="DD1316" s="154"/>
      <c r="DH1316" s="474"/>
      <c r="DI1316" s="459"/>
      <c r="DJ1316" s="459"/>
      <c r="DK1316" s="459"/>
      <c r="DL1316" s="459"/>
      <c r="DM1316" s="459"/>
      <c r="DN1316" s="459"/>
      <c r="DO1316" s="459"/>
      <c r="DP1316" s="459"/>
      <c r="DQ1316" s="459"/>
      <c r="DR1316" s="459"/>
      <c r="DS1316" s="459"/>
      <c r="DT1316" s="459"/>
      <c r="DU1316" s="459"/>
      <c r="DV1316" s="468"/>
      <c r="DW1316" s="468"/>
      <c r="DX1316" s="459"/>
      <c r="DY1316" s="459"/>
    </row>
    <row r="1317" spans="1:129" s="128" customFormat="1" ht="54.95" customHeight="1" x14ac:dyDescent="0.25">
      <c r="A1317" s="377"/>
      <c r="B1317" s="175"/>
      <c r="C1317" s="393"/>
      <c r="D1317" s="168"/>
      <c r="E1317" s="168"/>
      <c r="F1317" s="168"/>
      <c r="G1317" s="168"/>
      <c r="H1317" s="168"/>
      <c r="I1317" s="168"/>
      <c r="J1317" s="168"/>
      <c r="K1317" s="168"/>
      <c r="L1317" s="168"/>
      <c r="M1317" s="168"/>
      <c r="N1317" s="168"/>
      <c r="O1317" s="433"/>
      <c r="P1317" s="122"/>
      <c r="Q1317" s="156"/>
      <c r="R1317" s="156"/>
      <c r="S1317" s="156"/>
      <c r="T1317" s="156"/>
      <c r="U1317" s="156"/>
      <c r="V1317" s="156"/>
      <c r="W1317" s="156"/>
      <c r="X1317" s="156"/>
      <c r="Y1317" s="156"/>
      <c r="Z1317" s="157"/>
      <c r="AA1317" s="157"/>
      <c r="AB1317" s="156"/>
      <c r="AC1317" s="156"/>
      <c r="AD1317" s="156"/>
      <c r="AE1317" s="156"/>
      <c r="AF1317" s="156"/>
      <c r="AG1317" s="156"/>
      <c r="AH1317" s="156"/>
      <c r="AI1317" s="156"/>
      <c r="AJ1317" s="156"/>
      <c r="AK1317" s="156"/>
      <c r="AL1317" s="156"/>
      <c r="AM1317" s="158"/>
      <c r="AN1317" s="156"/>
      <c r="AO1317" s="156"/>
      <c r="AP1317" s="156"/>
      <c r="AQ1317" s="156"/>
      <c r="AR1317" s="156"/>
      <c r="AS1317" s="156"/>
      <c r="AT1317" s="156"/>
      <c r="AU1317" s="156"/>
      <c r="AV1317" s="156"/>
      <c r="AW1317" s="156"/>
      <c r="AX1317" s="156"/>
      <c r="AY1317" s="156"/>
      <c r="AZ1317" s="156"/>
      <c r="BA1317" s="153"/>
      <c r="BD1317" s="153"/>
      <c r="BE1317" s="147"/>
      <c r="BI1317" s="153"/>
      <c r="BO1317" s="153"/>
      <c r="BW1317" s="153"/>
      <c r="CD1317" s="146"/>
      <c r="CF1317" s="147"/>
      <c r="CI1317" s="146"/>
      <c r="CJ1317" s="153"/>
      <c r="CV1317" s="154"/>
      <c r="CX1317" s="154"/>
      <c r="CZ1317" s="154"/>
      <c r="DB1317" s="154"/>
      <c r="DD1317" s="154"/>
      <c r="DH1317" s="474"/>
      <c r="DI1317" s="459"/>
      <c r="DJ1317" s="459"/>
      <c r="DK1317" s="459"/>
      <c r="DL1317" s="459"/>
      <c r="DM1317" s="459"/>
      <c r="DN1317" s="459"/>
      <c r="DO1317" s="459"/>
      <c r="DP1317" s="459"/>
      <c r="DQ1317" s="459"/>
      <c r="DR1317" s="459"/>
      <c r="DS1317" s="459"/>
      <c r="DT1317" s="459"/>
      <c r="DU1317" s="459"/>
      <c r="DV1317" s="468"/>
      <c r="DW1317" s="468"/>
      <c r="DX1317" s="459"/>
      <c r="DY1317" s="459"/>
    </row>
    <row r="1318" spans="1:129" s="128" customFormat="1" ht="54.95" customHeight="1" x14ac:dyDescent="0.25">
      <c r="A1318" s="377"/>
      <c r="B1318" s="175"/>
      <c r="C1318" s="393"/>
      <c r="D1318" s="168"/>
      <c r="E1318" s="168"/>
      <c r="F1318" s="168"/>
      <c r="G1318" s="168"/>
      <c r="H1318" s="168"/>
      <c r="I1318" s="168"/>
      <c r="J1318" s="168"/>
      <c r="K1318" s="168"/>
      <c r="L1318" s="168"/>
      <c r="M1318" s="168"/>
      <c r="N1318" s="168"/>
      <c r="O1318" s="433"/>
      <c r="P1318" s="122"/>
      <c r="Q1318" s="156"/>
      <c r="R1318" s="156"/>
      <c r="S1318" s="156"/>
      <c r="T1318" s="156"/>
      <c r="U1318" s="156"/>
      <c r="V1318" s="156"/>
      <c r="W1318" s="156"/>
      <c r="X1318" s="156"/>
      <c r="Y1318" s="156"/>
      <c r="Z1318" s="157"/>
      <c r="AA1318" s="157"/>
      <c r="AB1318" s="156"/>
      <c r="AC1318" s="156"/>
      <c r="AD1318" s="156"/>
      <c r="AE1318" s="156"/>
      <c r="AF1318" s="156"/>
      <c r="AG1318" s="156"/>
      <c r="AH1318" s="156"/>
      <c r="AI1318" s="156"/>
      <c r="AJ1318" s="156"/>
      <c r="AK1318" s="156"/>
      <c r="AL1318" s="156"/>
      <c r="AM1318" s="158"/>
      <c r="AN1318" s="156"/>
      <c r="AO1318" s="156"/>
      <c r="AP1318" s="156"/>
      <c r="AQ1318" s="156"/>
      <c r="AR1318" s="156"/>
      <c r="AS1318" s="156"/>
      <c r="AT1318" s="156"/>
      <c r="AU1318" s="156"/>
      <c r="AV1318" s="156"/>
      <c r="AW1318" s="156"/>
      <c r="AX1318" s="156"/>
      <c r="AY1318" s="156"/>
      <c r="AZ1318" s="156"/>
      <c r="BA1318" s="153"/>
      <c r="BD1318" s="153"/>
      <c r="BE1318" s="147"/>
      <c r="BI1318" s="153"/>
      <c r="BO1318" s="153"/>
      <c r="BW1318" s="153"/>
      <c r="CD1318" s="146"/>
      <c r="CF1318" s="147"/>
      <c r="CI1318" s="146"/>
      <c r="CJ1318" s="153"/>
      <c r="CV1318" s="154"/>
      <c r="CX1318" s="154"/>
      <c r="CZ1318" s="154"/>
      <c r="DB1318" s="154"/>
      <c r="DD1318" s="154"/>
      <c r="DH1318" s="474"/>
      <c r="DI1318" s="459"/>
      <c r="DJ1318" s="459"/>
      <c r="DK1318" s="459"/>
      <c r="DL1318" s="459"/>
      <c r="DM1318" s="459"/>
      <c r="DN1318" s="459"/>
      <c r="DO1318" s="459"/>
      <c r="DP1318" s="459"/>
      <c r="DQ1318" s="459"/>
      <c r="DR1318" s="459"/>
      <c r="DS1318" s="459"/>
      <c r="DT1318" s="459"/>
      <c r="DU1318" s="459"/>
      <c r="DV1318" s="468"/>
      <c r="DW1318" s="468"/>
      <c r="DX1318" s="459"/>
      <c r="DY1318" s="459"/>
    </row>
    <row r="1319" spans="1:129" s="128" customFormat="1" ht="54.95" customHeight="1" x14ac:dyDescent="0.25">
      <c r="A1319" s="377"/>
      <c r="B1319" s="175"/>
      <c r="C1319" s="393"/>
      <c r="D1319" s="168"/>
      <c r="E1319" s="168"/>
      <c r="F1319" s="168"/>
      <c r="G1319" s="168"/>
      <c r="H1319" s="168"/>
      <c r="I1319" s="168"/>
      <c r="J1319" s="168"/>
      <c r="K1319" s="168"/>
      <c r="L1319" s="168"/>
      <c r="M1319" s="168"/>
      <c r="N1319" s="168"/>
      <c r="O1319" s="433"/>
      <c r="P1319" s="122"/>
      <c r="Q1319" s="156"/>
      <c r="R1319" s="156"/>
      <c r="S1319" s="156"/>
      <c r="T1319" s="156"/>
      <c r="U1319" s="156"/>
      <c r="V1319" s="156"/>
      <c r="W1319" s="156"/>
      <c r="X1319" s="156"/>
      <c r="Y1319" s="156"/>
      <c r="Z1319" s="157"/>
      <c r="AA1319" s="157"/>
      <c r="AB1319" s="156"/>
      <c r="AC1319" s="156"/>
      <c r="AD1319" s="156"/>
      <c r="AE1319" s="156"/>
      <c r="AF1319" s="156"/>
      <c r="AG1319" s="156"/>
      <c r="AH1319" s="156"/>
      <c r="AI1319" s="156"/>
      <c r="AJ1319" s="156"/>
      <c r="AK1319" s="156"/>
      <c r="AL1319" s="156"/>
      <c r="AM1319" s="158"/>
      <c r="AN1319" s="156"/>
      <c r="AO1319" s="156"/>
      <c r="AP1319" s="156"/>
      <c r="AQ1319" s="156"/>
      <c r="AR1319" s="156"/>
      <c r="AS1319" s="156"/>
      <c r="AT1319" s="156"/>
      <c r="AU1319" s="156"/>
      <c r="AV1319" s="156"/>
      <c r="AW1319" s="156"/>
      <c r="AX1319" s="156"/>
      <c r="AY1319" s="156"/>
      <c r="AZ1319" s="156"/>
      <c r="BA1319" s="153"/>
      <c r="BD1319" s="153"/>
      <c r="BE1319" s="147"/>
      <c r="BI1319" s="153"/>
      <c r="BO1319" s="153"/>
      <c r="BW1319" s="153"/>
      <c r="CD1319" s="146"/>
      <c r="CF1319" s="147"/>
      <c r="CI1319" s="146"/>
      <c r="CJ1319" s="153"/>
      <c r="CV1319" s="154"/>
      <c r="CX1319" s="154"/>
      <c r="CZ1319" s="154"/>
      <c r="DB1319" s="154"/>
      <c r="DD1319" s="154"/>
      <c r="DH1319" s="474"/>
      <c r="DI1319" s="459"/>
      <c r="DJ1319" s="459"/>
      <c r="DK1319" s="459"/>
      <c r="DL1319" s="459"/>
      <c r="DM1319" s="459"/>
      <c r="DN1319" s="459"/>
      <c r="DO1319" s="459"/>
      <c r="DP1319" s="459"/>
      <c r="DQ1319" s="459"/>
      <c r="DR1319" s="459"/>
      <c r="DS1319" s="459"/>
      <c r="DT1319" s="459"/>
      <c r="DU1319" s="459"/>
      <c r="DV1319" s="468"/>
      <c r="DW1319" s="468"/>
      <c r="DX1319" s="459"/>
      <c r="DY1319" s="459"/>
    </row>
    <row r="1320" spans="1:129" s="128" customFormat="1" ht="54.95" customHeight="1" x14ac:dyDescent="0.25">
      <c r="A1320" s="377"/>
      <c r="B1320" s="175"/>
      <c r="C1320" s="393"/>
      <c r="D1320" s="168"/>
      <c r="E1320" s="168"/>
      <c r="F1320" s="168"/>
      <c r="G1320" s="168"/>
      <c r="H1320" s="168"/>
      <c r="I1320" s="168"/>
      <c r="J1320" s="168"/>
      <c r="K1320" s="168"/>
      <c r="L1320" s="168"/>
      <c r="M1320" s="168"/>
      <c r="N1320" s="168"/>
      <c r="O1320" s="433"/>
      <c r="P1320" s="122"/>
      <c r="Q1320" s="156"/>
      <c r="R1320" s="156"/>
      <c r="S1320" s="156"/>
      <c r="T1320" s="156"/>
      <c r="U1320" s="156"/>
      <c r="V1320" s="156"/>
      <c r="W1320" s="156"/>
      <c r="X1320" s="156"/>
      <c r="Y1320" s="156"/>
      <c r="Z1320" s="157"/>
      <c r="AA1320" s="157"/>
      <c r="AB1320" s="156"/>
      <c r="AC1320" s="156"/>
      <c r="AD1320" s="156"/>
      <c r="AE1320" s="156"/>
      <c r="AF1320" s="156"/>
      <c r="AG1320" s="156"/>
      <c r="AH1320" s="156"/>
      <c r="AI1320" s="156"/>
      <c r="AJ1320" s="156"/>
      <c r="AK1320" s="156"/>
      <c r="AL1320" s="156"/>
      <c r="AM1320" s="158"/>
      <c r="AN1320" s="156"/>
      <c r="AO1320" s="156"/>
      <c r="AP1320" s="156"/>
      <c r="AQ1320" s="156"/>
      <c r="AR1320" s="156"/>
      <c r="AS1320" s="156"/>
      <c r="AT1320" s="156"/>
      <c r="AU1320" s="156"/>
      <c r="AV1320" s="156"/>
      <c r="AW1320" s="156"/>
      <c r="AX1320" s="156"/>
      <c r="AY1320" s="156"/>
      <c r="AZ1320" s="156"/>
      <c r="BA1320" s="153"/>
      <c r="BD1320" s="153"/>
      <c r="BE1320" s="147"/>
      <c r="BI1320" s="153"/>
      <c r="BO1320" s="153"/>
      <c r="BW1320" s="153"/>
      <c r="CD1320" s="146"/>
      <c r="CF1320" s="147"/>
      <c r="CI1320" s="146"/>
      <c r="CJ1320" s="153"/>
      <c r="CV1320" s="154"/>
      <c r="CX1320" s="154"/>
      <c r="CZ1320" s="154"/>
      <c r="DB1320" s="154"/>
      <c r="DD1320" s="154"/>
      <c r="DH1320" s="474"/>
      <c r="DI1320" s="459"/>
      <c r="DJ1320" s="459"/>
      <c r="DK1320" s="459"/>
      <c r="DL1320" s="459"/>
      <c r="DM1320" s="459"/>
      <c r="DN1320" s="459"/>
      <c r="DO1320" s="459"/>
      <c r="DP1320" s="459"/>
      <c r="DQ1320" s="459"/>
      <c r="DR1320" s="459"/>
      <c r="DS1320" s="459"/>
      <c r="DT1320" s="459"/>
      <c r="DU1320" s="459"/>
      <c r="DV1320" s="468"/>
      <c r="DW1320" s="468"/>
      <c r="DX1320" s="459"/>
      <c r="DY1320" s="459"/>
    </row>
    <row r="1321" spans="1:129" s="128" customFormat="1" ht="54.95" customHeight="1" x14ac:dyDescent="0.25">
      <c r="A1321" s="377"/>
      <c r="B1321" s="175"/>
      <c r="C1321" s="393"/>
      <c r="D1321" s="168"/>
      <c r="E1321" s="168"/>
      <c r="F1321" s="168"/>
      <c r="G1321" s="168"/>
      <c r="H1321" s="168"/>
      <c r="I1321" s="168"/>
      <c r="J1321" s="168"/>
      <c r="K1321" s="168"/>
      <c r="L1321" s="168"/>
      <c r="M1321" s="168"/>
      <c r="N1321" s="168"/>
      <c r="O1321" s="433"/>
      <c r="P1321" s="122"/>
      <c r="Q1321" s="156"/>
      <c r="R1321" s="156"/>
      <c r="S1321" s="156"/>
      <c r="T1321" s="156"/>
      <c r="U1321" s="156"/>
      <c r="V1321" s="156"/>
      <c r="W1321" s="156"/>
      <c r="X1321" s="156"/>
      <c r="Y1321" s="156"/>
      <c r="Z1321" s="157"/>
      <c r="AA1321" s="157"/>
      <c r="AB1321" s="156"/>
      <c r="AC1321" s="156"/>
      <c r="AD1321" s="156"/>
      <c r="AE1321" s="156"/>
      <c r="AF1321" s="156"/>
      <c r="AG1321" s="156"/>
      <c r="AH1321" s="156"/>
      <c r="AI1321" s="156"/>
      <c r="AJ1321" s="156"/>
      <c r="AK1321" s="156"/>
      <c r="AL1321" s="156"/>
      <c r="AM1321" s="158"/>
      <c r="AN1321" s="156"/>
      <c r="AO1321" s="156"/>
      <c r="AP1321" s="156"/>
      <c r="AQ1321" s="156"/>
      <c r="AR1321" s="156"/>
      <c r="AS1321" s="156"/>
      <c r="AT1321" s="156"/>
      <c r="AU1321" s="156"/>
      <c r="AV1321" s="156"/>
      <c r="AW1321" s="156"/>
      <c r="AX1321" s="156"/>
      <c r="AY1321" s="156"/>
      <c r="AZ1321" s="156"/>
      <c r="BA1321" s="153"/>
      <c r="BD1321" s="153"/>
      <c r="BE1321" s="147"/>
      <c r="BI1321" s="153"/>
      <c r="BO1321" s="153"/>
      <c r="BW1321" s="153"/>
      <c r="CD1321" s="146"/>
      <c r="CF1321" s="147"/>
      <c r="CI1321" s="146"/>
      <c r="CJ1321" s="153"/>
      <c r="CV1321" s="154"/>
      <c r="CX1321" s="154"/>
      <c r="CZ1321" s="154"/>
      <c r="DB1321" s="154"/>
      <c r="DD1321" s="154"/>
      <c r="DH1321" s="474"/>
      <c r="DI1321" s="459"/>
      <c r="DJ1321" s="459"/>
      <c r="DK1321" s="459"/>
      <c r="DL1321" s="459"/>
      <c r="DM1321" s="459"/>
      <c r="DN1321" s="459"/>
      <c r="DO1321" s="459"/>
      <c r="DP1321" s="459"/>
      <c r="DQ1321" s="459"/>
      <c r="DR1321" s="459"/>
      <c r="DS1321" s="459"/>
      <c r="DT1321" s="459"/>
      <c r="DU1321" s="459"/>
      <c r="DV1321" s="468"/>
      <c r="DW1321" s="468"/>
      <c r="DX1321" s="459"/>
      <c r="DY1321" s="459"/>
    </row>
    <row r="1322" spans="1:129" s="128" customFormat="1" ht="54.95" customHeight="1" x14ac:dyDescent="0.25">
      <c r="A1322" s="377"/>
      <c r="B1322" s="175"/>
      <c r="C1322" s="393"/>
      <c r="D1322" s="168"/>
      <c r="E1322" s="168"/>
      <c r="F1322" s="168"/>
      <c r="G1322" s="168"/>
      <c r="H1322" s="168"/>
      <c r="I1322" s="168"/>
      <c r="J1322" s="168"/>
      <c r="K1322" s="168"/>
      <c r="L1322" s="168"/>
      <c r="M1322" s="168"/>
      <c r="N1322" s="168"/>
      <c r="O1322" s="433"/>
      <c r="P1322" s="122"/>
      <c r="Q1322" s="156"/>
      <c r="R1322" s="156"/>
      <c r="S1322" s="156"/>
      <c r="T1322" s="156"/>
      <c r="U1322" s="156"/>
      <c r="V1322" s="156"/>
      <c r="W1322" s="156"/>
      <c r="X1322" s="156"/>
      <c r="Y1322" s="156"/>
      <c r="Z1322" s="157"/>
      <c r="AA1322" s="157"/>
      <c r="AB1322" s="156"/>
      <c r="AC1322" s="156"/>
      <c r="AD1322" s="156"/>
      <c r="AE1322" s="156"/>
      <c r="AF1322" s="156"/>
      <c r="AG1322" s="156"/>
      <c r="AH1322" s="156"/>
      <c r="AI1322" s="156"/>
      <c r="AJ1322" s="156"/>
      <c r="AK1322" s="156"/>
      <c r="AL1322" s="156"/>
      <c r="AM1322" s="158"/>
      <c r="AN1322" s="156"/>
      <c r="AO1322" s="156"/>
      <c r="AP1322" s="156"/>
      <c r="AQ1322" s="156"/>
      <c r="AR1322" s="156"/>
      <c r="AS1322" s="156"/>
      <c r="AT1322" s="156"/>
      <c r="AU1322" s="156"/>
      <c r="AV1322" s="156"/>
      <c r="AW1322" s="156"/>
      <c r="AX1322" s="156"/>
      <c r="AY1322" s="156"/>
      <c r="AZ1322" s="156"/>
      <c r="BA1322" s="153"/>
      <c r="BD1322" s="153"/>
      <c r="BE1322" s="147"/>
      <c r="BI1322" s="153"/>
      <c r="BO1322" s="153"/>
      <c r="BW1322" s="153"/>
      <c r="CD1322" s="146"/>
      <c r="CF1322" s="147"/>
      <c r="CI1322" s="146"/>
      <c r="CJ1322" s="153"/>
      <c r="CV1322" s="154"/>
      <c r="CX1322" s="154"/>
      <c r="CZ1322" s="154"/>
      <c r="DB1322" s="154"/>
      <c r="DD1322" s="154"/>
      <c r="DH1322" s="474"/>
      <c r="DI1322" s="459"/>
      <c r="DJ1322" s="459"/>
      <c r="DK1322" s="459"/>
      <c r="DL1322" s="459"/>
      <c r="DM1322" s="459"/>
      <c r="DN1322" s="459"/>
      <c r="DO1322" s="459"/>
      <c r="DP1322" s="459"/>
      <c r="DQ1322" s="459"/>
      <c r="DR1322" s="459"/>
      <c r="DS1322" s="459"/>
      <c r="DT1322" s="459"/>
      <c r="DU1322" s="459"/>
      <c r="DV1322" s="468"/>
      <c r="DW1322" s="468"/>
      <c r="DX1322" s="459"/>
      <c r="DY1322" s="459"/>
    </row>
    <row r="1323" spans="1:129" s="128" customFormat="1" ht="54.95" customHeight="1" x14ac:dyDescent="0.25">
      <c r="A1323" s="377"/>
      <c r="B1323" s="175"/>
      <c r="C1323" s="393"/>
      <c r="D1323" s="168"/>
      <c r="E1323" s="168"/>
      <c r="F1323" s="168"/>
      <c r="G1323" s="168"/>
      <c r="H1323" s="168"/>
      <c r="I1323" s="168"/>
      <c r="J1323" s="168"/>
      <c r="K1323" s="168"/>
      <c r="L1323" s="168"/>
      <c r="M1323" s="168"/>
      <c r="N1323" s="168"/>
      <c r="O1323" s="433"/>
      <c r="P1323" s="122"/>
      <c r="Q1323" s="156"/>
      <c r="R1323" s="156"/>
      <c r="S1323" s="156"/>
      <c r="T1323" s="156"/>
      <c r="U1323" s="156"/>
      <c r="V1323" s="156"/>
      <c r="W1323" s="156"/>
      <c r="X1323" s="156"/>
      <c r="Y1323" s="156"/>
      <c r="Z1323" s="157"/>
      <c r="AA1323" s="157"/>
      <c r="AB1323" s="156"/>
      <c r="AC1323" s="156"/>
      <c r="AD1323" s="156"/>
      <c r="AE1323" s="156"/>
      <c r="AF1323" s="156"/>
      <c r="AG1323" s="156"/>
      <c r="AH1323" s="156"/>
      <c r="AI1323" s="156"/>
      <c r="AJ1323" s="156"/>
      <c r="AK1323" s="156"/>
      <c r="AL1323" s="156"/>
      <c r="AM1323" s="158"/>
      <c r="AN1323" s="156"/>
      <c r="AO1323" s="156"/>
      <c r="AP1323" s="156"/>
      <c r="AQ1323" s="156"/>
      <c r="AR1323" s="156"/>
      <c r="AS1323" s="156"/>
      <c r="AT1323" s="156"/>
      <c r="AU1323" s="156"/>
      <c r="AV1323" s="156"/>
      <c r="AW1323" s="156"/>
      <c r="AX1323" s="156"/>
      <c r="AY1323" s="156"/>
      <c r="AZ1323" s="156"/>
      <c r="BA1323" s="153"/>
      <c r="BD1323" s="153"/>
      <c r="BE1323" s="147"/>
      <c r="BI1323" s="153"/>
      <c r="BO1323" s="153"/>
      <c r="BW1323" s="153"/>
      <c r="CD1323" s="146"/>
      <c r="CF1323" s="147"/>
      <c r="CI1323" s="146"/>
      <c r="CJ1323" s="153"/>
      <c r="CV1323" s="154"/>
      <c r="CX1323" s="154"/>
      <c r="CZ1323" s="154"/>
      <c r="DB1323" s="154"/>
      <c r="DD1323" s="154"/>
      <c r="DH1323" s="474"/>
      <c r="DI1323" s="459"/>
      <c r="DJ1323" s="459"/>
      <c r="DK1323" s="459"/>
      <c r="DL1323" s="459"/>
      <c r="DM1323" s="459"/>
      <c r="DN1323" s="459"/>
      <c r="DO1323" s="459"/>
      <c r="DP1323" s="459"/>
      <c r="DQ1323" s="459"/>
      <c r="DR1323" s="459"/>
      <c r="DS1323" s="459"/>
      <c r="DT1323" s="459"/>
      <c r="DU1323" s="459"/>
      <c r="DV1323" s="468"/>
      <c r="DW1323" s="468"/>
      <c r="DX1323" s="459"/>
      <c r="DY1323" s="459"/>
    </row>
    <row r="1324" spans="1:129" s="128" customFormat="1" ht="54.95" customHeight="1" x14ac:dyDescent="0.25">
      <c r="A1324" s="377"/>
      <c r="B1324" s="175"/>
      <c r="C1324" s="393"/>
      <c r="D1324" s="168"/>
      <c r="E1324" s="168"/>
      <c r="F1324" s="168"/>
      <c r="G1324" s="168"/>
      <c r="H1324" s="168"/>
      <c r="I1324" s="168"/>
      <c r="J1324" s="168"/>
      <c r="K1324" s="168"/>
      <c r="L1324" s="168"/>
      <c r="M1324" s="168"/>
      <c r="N1324" s="168"/>
      <c r="O1324" s="433"/>
      <c r="P1324" s="122"/>
      <c r="Q1324" s="156"/>
      <c r="R1324" s="156"/>
      <c r="S1324" s="156"/>
      <c r="T1324" s="156"/>
      <c r="U1324" s="156"/>
      <c r="V1324" s="156"/>
      <c r="W1324" s="156"/>
      <c r="X1324" s="156"/>
      <c r="Y1324" s="156"/>
      <c r="Z1324" s="157"/>
      <c r="AA1324" s="157"/>
      <c r="AB1324" s="156"/>
      <c r="AC1324" s="156"/>
      <c r="AD1324" s="156"/>
      <c r="AE1324" s="156"/>
      <c r="AF1324" s="156"/>
      <c r="AG1324" s="156"/>
      <c r="AH1324" s="156"/>
      <c r="AI1324" s="156"/>
      <c r="AJ1324" s="156"/>
      <c r="AK1324" s="156"/>
      <c r="AL1324" s="156"/>
      <c r="AM1324" s="158"/>
      <c r="AN1324" s="156"/>
      <c r="AO1324" s="156"/>
      <c r="AP1324" s="156"/>
      <c r="AQ1324" s="156"/>
      <c r="AR1324" s="156"/>
      <c r="AS1324" s="156"/>
      <c r="AT1324" s="156"/>
      <c r="AU1324" s="156"/>
      <c r="AV1324" s="156"/>
      <c r="AW1324" s="156"/>
      <c r="AX1324" s="156"/>
      <c r="AY1324" s="156"/>
      <c r="AZ1324" s="156"/>
      <c r="BA1324" s="153"/>
      <c r="BD1324" s="153"/>
      <c r="BE1324" s="147"/>
      <c r="BI1324" s="153"/>
      <c r="BO1324" s="153"/>
      <c r="BW1324" s="153"/>
      <c r="CD1324" s="146"/>
      <c r="CF1324" s="147"/>
      <c r="CI1324" s="146"/>
      <c r="CJ1324" s="153"/>
      <c r="CV1324" s="154"/>
      <c r="CX1324" s="154"/>
      <c r="CZ1324" s="154"/>
      <c r="DB1324" s="154"/>
      <c r="DD1324" s="154"/>
      <c r="DH1324" s="474"/>
      <c r="DI1324" s="459"/>
      <c r="DJ1324" s="459"/>
      <c r="DK1324" s="459"/>
      <c r="DL1324" s="459"/>
      <c r="DM1324" s="459"/>
      <c r="DN1324" s="459"/>
      <c r="DO1324" s="459"/>
      <c r="DP1324" s="459"/>
      <c r="DQ1324" s="459"/>
      <c r="DR1324" s="459"/>
      <c r="DS1324" s="459"/>
      <c r="DT1324" s="459"/>
      <c r="DU1324" s="459"/>
      <c r="DV1324" s="468"/>
      <c r="DW1324" s="468"/>
      <c r="DX1324" s="459"/>
      <c r="DY1324" s="459"/>
    </row>
    <row r="1325" spans="1:129" s="128" customFormat="1" ht="54.95" customHeight="1" x14ac:dyDescent="0.25">
      <c r="A1325" s="377"/>
      <c r="B1325" s="175"/>
      <c r="C1325" s="393"/>
      <c r="D1325" s="168"/>
      <c r="E1325" s="168"/>
      <c r="F1325" s="168"/>
      <c r="G1325" s="168"/>
      <c r="H1325" s="168"/>
      <c r="I1325" s="168"/>
      <c r="J1325" s="168"/>
      <c r="K1325" s="168"/>
      <c r="L1325" s="168"/>
      <c r="M1325" s="168"/>
      <c r="N1325" s="168"/>
      <c r="O1325" s="433"/>
      <c r="P1325" s="122"/>
      <c r="Q1325" s="156"/>
      <c r="R1325" s="156"/>
      <c r="S1325" s="156"/>
      <c r="T1325" s="156"/>
      <c r="U1325" s="156"/>
      <c r="V1325" s="156"/>
      <c r="W1325" s="156"/>
      <c r="X1325" s="156"/>
      <c r="Y1325" s="156"/>
      <c r="Z1325" s="157"/>
      <c r="AA1325" s="157"/>
      <c r="AB1325" s="156"/>
      <c r="AC1325" s="156"/>
      <c r="AD1325" s="156"/>
      <c r="AE1325" s="156"/>
      <c r="AF1325" s="156"/>
      <c r="AG1325" s="156"/>
      <c r="AH1325" s="156"/>
      <c r="AI1325" s="156"/>
      <c r="AJ1325" s="156"/>
      <c r="AK1325" s="156"/>
      <c r="AL1325" s="156"/>
      <c r="AM1325" s="158"/>
      <c r="AN1325" s="156"/>
      <c r="AO1325" s="156"/>
      <c r="AP1325" s="156"/>
      <c r="AQ1325" s="156"/>
      <c r="AR1325" s="156"/>
      <c r="AS1325" s="156"/>
      <c r="AT1325" s="156"/>
      <c r="AU1325" s="156"/>
      <c r="AV1325" s="156"/>
      <c r="AW1325" s="156"/>
      <c r="AX1325" s="156"/>
      <c r="AY1325" s="156"/>
      <c r="AZ1325" s="156"/>
      <c r="BA1325" s="153"/>
      <c r="BD1325" s="153"/>
      <c r="BE1325" s="147"/>
      <c r="BI1325" s="153"/>
      <c r="BO1325" s="153"/>
      <c r="BW1325" s="153"/>
      <c r="CD1325" s="146"/>
      <c r="CF1325" s="147"/>
      <c r="CI1325" s="146"/>
      <c r="CJ1325" s="153"/>
      <c r="CV1325" s="154"/>
      <c r="CX1325" s="154"/>
      <c r="CZ1325" s="154"/>
      <c r="DB1325" s="154"/>
      <c r="DD1325" s="154"/>
      <c r="DH1325" s="474"/>
      <c r="DI1325" s="459"/>
      <c r="DJ1325" s="459"/>
      <c r="DK1325" s="459"/>
      <c r="DL1325" s="459"/>
      <c r="DM1325" s="459"/>
      <c r="DN1325" s="459"/>
      <c r="DO1325" s="459"/>
      <c r="DP1325" s="459"/>
      <c r="DQ1325" s="459"/>
      <c r="DR1325" s="459"/>
      <c r="DS1325" s="459"/>
      <c r="DT1325" s="459"/>
      <c r="DU1325" s="459"/>
      <c r="DV1325" s="468"/>
      <c r="DW1325" s="468"/>
      <c r="DX1325" s="459"/>
      <c r="DY1325" s="459"/>
    </row>
    <row r="1326" spans="1:129" s="128" customFormat="1" ht="54.95" customHeight="1" x14ac:dyDescent="0.25">
      <c r="A1326" s="377"/>
      <c r="B1326" s="175"/>
      <c r="C1326" s="393"/>
      <c r="D1326" s="168"/>
      <c r="E1326" s="168"/>
      <c r="F1326" s="168"/>
      <c r="G1326" s="168"/>
      <c r="H1326" s="168"/>
      <c r="I1326" s="168"/>
      <c r="J1326" s="168"/>
      <c r="K1326" s="168"/>
      <c r="L1326" s="168"/>
      <c r="M1326" s="168"/>
      <c r="N1326" s="168"/>
      <c r="O1326" s="433"/>
      <c r="P1326" s="122"/>
      <c r="Q1326" s="156"/>
      <c r="R1326" s="156"/>
      <c r="S1326" s="156"/>
      <c r="T1326" s="156"/>
      <c r="U1326" s="156"/>
      <c r="V1326" s="156"/>
      <c r="W1326" s="156"/>
      <c r="X1326" s="156"/>
      <c r="Y1326" s="156"/>
      <c r="Z1326" s="157"/>
      <c r="AA1326" s="157"/>
      <c r="AB1326" s="156"/>
      <c r="AC1326" s="156"/>
      <c r="AD1326" s="156"/>
      <c r="AE1326" s="156"/>
      <c r="AF1326" s="156"/>
      <c r="AG1326" s="156"/>
      <c r="AH1326" s="156"/>
      <c r="AI1326" s="156"/>
      <c r="AJ1326" s="156"/>
      <c r="AK1326" s="156"/>
      <c r="AL1326" s="156"/>
      <c r="AM1326" s="158"/>
      <c r="AN1326" s="156"/>
      <c r="AO1326" s="156"/>
      <c r="AP1326" s="156"/>
      <c r="AQ1326" s="156"/>
      <c r="AR1326" s="156"/>
      <c r="AS1326" s="156"/>
      <c r="AT1326" s="156"/>
      <c r="AU1326" s="156"/>
      <c r="AV1326" s="156"/>
      <c r="AW1326" s="156"/>
      <c r="AX1326" s="156"/>
      <c r="AY1326" s="156"/>
      <c r="AZ1326" s="156"/>
      <c r="BA1326" s="153"/>
      <c r="BD1326" s="153"/>
      <c r="BE1326" s="147"/>
      <c r="BI1326" s="153"/>
      <c r="BO1326" s="153"/>
      <c r="BW1326" s="153"/>
      <c r="CD1326" s="146"/>
      <c r="CF1326" s="147"/>
      <c r="CI1326" s="146"/>
      <c r="CJ1326" s="153"/>
      <c r="CV1326" s="154"/>
      <c r="CX1326" s="154"/>
      <c r="CZ1326" s="154"/>
      <c r="DB1326" s="154"/>
      <c r="DD1326" s="154"/>
      <c r="DH1326" s="474"/>
      <c r="DI1326" s="459"/>
      <c r="DJ1326" s="459"/>
      <c r="DK1326" s="459"/>
      <c r="DL1326" s="459"/>
      <c r="DM1326" s="459"/>
      <c r="DN1326" s="459"/>
      <c r="DO1326" s="459"/>
      <c r="DP1326" s="459"/>
      <c r="DQ1326" s="459"/>
      <c r="DR1326" s="459"/>
      <c r="DS1326" s="459"/>
      <c r="DT1326" s="459"/>
      <c r="DU1326" s="459"/>
      <c r="DV1326" s="468"/>
      <c r="DW1326" s="468"/>
      <c r="DX1326" s="459"/>
      <c r="DY1326" s="459"/>
    </row>
    <row r="1327" spans="1:129" s="128" customFormat="1" ht="54.95" customHeight="1" x14ac:dyDescent="0.25">
      <c r="A1327" s="377"/>
      <c r="B1327" s="175"/>
      <c r="C1327" s="393"/>
      <c r="D1327" s="168"/>
      <c r="E1327" s="168"/>
      <c r="F1327" s="168"/>
      <c r="G1327" s="168"/>
      <c r="H1327" s="168"/>
      <c r="I1327" s="168"/>
      <c r="J1327" s="168"/>
      <c r="K1327" s="168"/>
      <c r="L1327" s="168"/>
      <c r="M1327" s="168"/>
      <c r="N1327" s="168"/>
      <c r="O1327" s="433"/>
      <c r="P1327" s="122"/>
      <c r="Q1327" s="156"/>
      <c r="R1327" s="156"/>
      <c r="S1327" s="156"/>
      <c r="T1327" s="156"/>
      <c r="U1327" s="156"/>
      <c r="V1327" s="156"/>
      <c r="W1327" s="156"/>
      <c r="X1327" s="156"/>
      <c r="Y1327" s="156"/>
      <c r="Z1327" s="157"/>
      <c r="AA1327" s="157"/>
      <c r="AB1327" s="156"/>
      <c r="AC1327" s="156"/>
      <c r="AD1327" s="156"/>
      <c r="AE1327" s="156"/>
      <c r="AF1327" s="156"/>
      <c r="AG1327" s="156"/>
      <c r="AH1327" s="156"/>
      <c r="AI1327" s="156"/>
      <c r="AJ1327" s="156"/>
      <c r="AK1327" s="156"/>
      <c r="AL1327" s="156"/>
      <c r="AM1327" s="158"/>
      <c r="AN1327" s="156"/>
      <c r="AO1327" s="156"/>
      <c r="AP1327" s="156"/>
      <c r="AQ1327" s="156"/>
      <c r="AR1327" s="156"/>
      <c r="AS1327" s="156"/>
      <c r="AT1327" s="156"/>
      <c r="AU1327" s="156"/>
      <c r="AV1327" s="156"/>
      <c r="AW1327" s="156"/>
      <c r="AX1327" s="156"/>
      <c r="AY1327" s="156"/>
      <c r="AZ1327" s="156"/>
      <c r="BA1327" s="153"/>
      <c r="BD1327" s="153"/>
      <c r="BE1327" s="147"/>
      <c r="BI1327" s="153"/>
      <c r="BO1327" s="153"/>
      <c r="BW1327" s="153"/>
      <c r="CD1327" s="146"/>
      <c r="CF1327" s="147"/>
      <c r="CI1327" s="146"/>
      <c r="CJ1327" s="153"/>
      <c r="CV1327" s="154"/>
      <c r="CX1327" s="154"/>
      <c r="CZ1327" s="154"/>
      <c r="DB1327" s="154"/>
      <c r="DD1327" s="154"/>
      <c r="DH1327" s="474"/>
      <c r="DI1327" s="459"/>
      <c r="DJ1327" s="459"/>
      <c r="DK1327" s="459"/>
      <c r="DL1327" s="459"/>
      <c r="DM1327" s="459"/>
      <c r="DN1327" s="459"/>
      <c r="DO1327" s="459"/>
      <c r="DP1327" s="459"/>
      <c r="DQ1327" s="459"/>
      <c r="DR1327" s="459"/>
      <c r="DS1327" s="459"/>
      <c r="DT1327" s="459"/>
      <c r="DU1327" s="459"/>
      <c r="DV1327" s="468"/>
      <c r="DW1327" s="468"/>
      <c r="DX1327" s="459"/>
      <c r="DY1327" s="459"/>
    </row>
    <row r="1328" spans="1:129" s="128" customFormat="1" ht="54.95" customHeight="1" x14ac:dyDescent="0.25">
      <c r="A1328" s="377"/>
      <c r="B1328" s="175"/>
      <c r="C1328" s="393"/>
      <c r="D1328" s="168"/>
      <c r="E1328" s="168"/>
      <c r="F1328" s="168"/>
      <c r="G1328" s="168"/>
      <c r="H1328" s="168"/>
      <c r="I1328" s="168"/>
      <c r="J1328" s="168"/>
      <c r="K1328" s="168"/>
      <c r="L1328" s="168"/>
      <c r="M1328" s="168"/>
      <c r="N1328" s="168"/>
      <c r="O1328" s="433"/>
      <c r="P1328" s="122"/>
      <c r="Q1328" s="156"/>
      <c r="R1328" s="156"/>
      <c r="S1328" s="156"/>
      <c r="T1328" s="156"/>
      <c r="U1328" s="156"/>
      <c r="V1328" s="156"/>
      <c r="W1328" s="156"/>
      <c r="X1328" s="156"/>
      <c r="Y1328" s="156"/>
      <c r="Z1328" s="157"/>
      <c r="AA1328" s="157"/>
      <c r="AB1328" s="156"/>
      <c r="AC1328" s="156"/>
      <c r="AD1328" s="156"/>
      <c r="AE1328" s="156"/>
      <c r="AF1328" s="156"/>
      <c r="AG1328" s="156"/>
      <c r="AH1328" s="156"/>
      <c r="AI1328" s="156"/>
      <c r="AJ1328" s="156"/>
      <c r="AK1328" s="156"/>
      <c r="AL1328" s="156"/>
      <c r="AM1328" s="158"/>
      <c r="AN1328" s="156"/>
      <c r="AO1328" s="156"/>
      <c r="AP1328" s="156"/>
      <c r="AQ1328" s="156"/>
      <c r="AR1328" s="156"/>
      <c r="AS1328" s="156"/>
      <c r="AT1328" s="156"/>
      <c r="AU1328" s="156"/>
      <c r="AV1328" s="156"/>
      <c r="AW1328" s="156"/>
      <c r="AX1328" s="156"/>
      <c r="AY1328" s="156"/>
      <c r="AZ1328" s="156"/>
      <c r="BA1328" s="153"/>
      <c r="BD1328" s="153"/>
      <c r="BE1328" s="147"/>
      <c r="BI1328" s="153"/>
      <c r="BO1328" s="153"/>
      <c r="BW1328" s="153"/>
      <c r="CD1328" s="146"/>
      <c r="CF1328" s="147"/>
      <c r="CI1328" s="146"/>
      <c r="CJ1328" s="153"/>
      <c r="CV1328" s="154"/>
      <c r="CX1328" s="154"/>
      <c r="CZ1328" s="154"/>
      <c r="DB1328" s="154"/>
      <c r="DD1328" s="154"/>
      <c r="DH1328" s="474"/>
      <c r="DI1328" s="459"/>
      <c r="DJ1328" s="459"/>
      <c r="DK1328" s="459"/>
      <c r="DL1328" s="459"/>
      <c r="DM1328" s="459"/>
      <c r="DN1328" s="459"/>
      <c r="DO1328" s="459"/>
      <c r="DP1328" s="459"/>
      <c r="DQ1328" s="459"/>
      <c r="DR1328" s="459"/>
      <c r="DS1328" s="459"/>
      <c r="DT1328" s="459"/>
      <c r="DU1328" s="459"/>
      <c r="DV1328" s="468"/>
      <c r="DW1328" s="468"/>
      <c r="DX1328" s="459"/>
      <c r="DY1328" s="459"/>
    </row>
    <row r="1329" spans="1:129" s="128" customFormat="1" ht="54.95" customHeight="1" x14ac:dyDescent="0.25">
      <c r="A1329" s="377"/>
      <c r="B1329" s="175"/>
      <c r="C1329" s="393"/>
      <c r="D1329" s="168"/>
      <c r="E1329" s="168"/>
      <c r="F1329" s="168"/>
      <c r="G1329" s="168"/>
      <c r="H1329" s="168"/>
      <c r="I1329" s="168"/>
      <c r="J1329" s="168"/>
      <c r="K1329" s="168"/>
      <c r="L1329" s="168"/>
      <c r="M1329" s="168"/>
      <c r="N1329" s="168"/>
      <c r="O1329" s="433"/>
      <c r="P1329" s="122"/>
      <c r="Q1329" s="156"/>
      <c r="R1329" s="156"/>
      <c r="S1329" s="156"/>
      <c r="T1329" s="156"/>
      <c r="U1329" s="156"/>
      <c r="V1329" s="156"/>
      <c r="W1329" s="156"/>
      <c r="X1329" s="156"/>
      <c r="Y1329" s="156"/>
      <c r="Z1329" s="157"/>
      <c r="AA1329" s="157"/>
      <c r="AB1329" s="156"/>
      <c r="AC1329" s="156"/>
      <c r="AD1329" s="156"/>
      <c r="AE1329" s="156"/>
      <c r="AF1329" s="156"/>
      <c r="AG1329" s="156"/>
      <c r="AH1329" s="156"/>
      <c r="AI1329" s="156"/>
      <c r="AJ1329" s="156"/>
      <c r="AK1329" s="156"/>
      <c r="AL1329" s="156"/>
      <c r="AM1329" s="158"/>
      <c r="AN1329" s="156"/>
      <c r="AO1329" s="156"/>
      <c r="AP1329" s="156"/>
      <c r="AQ1329" s="156"/>
      <c r="AR1329" s="156"/>
      <c r="AS1329" s="156"/>
      <c r="AT1329" s="156"/>
      <c r="AU1329" s="156"/>
      <c r="AV1329" s="156"/>
      <c r="AW1329" s="156"/>
      <c r="AX1329" s="156"/>
      <c r="AY1329" s="156"/>
      <c r="AZ1329" s="156"/>
      <c r="BA1329" s="153"/>
      <c r="BD1329" s="153"/>
      <c r="BE1329" s="147"/>
      <c r="BI1329" s="153"/>
      <c r="BO1329" s="153"/>
      <c r="BW1329" s="153"/>
      <c r="CD1329" s="146"/>
      <c r="CF1329" s="147"/>
      <c r="CI1329" s="146"/>
      <c r="CJ1329" s="153"/>
      <c r="CV1329" s="154"/>
      <c r="CX1329" s="154"/>
      <c r="CZ1329" s="154"/>
      <c r="DB1329" s="154"/>
      <c r="DD1329" s="154"/>
      <c r="DH1329" s="474"/>
      <c r="DI1329" s="459"/>
      <c r="DJ1329" s="459"/>
      <c r="DK1329" s="459"/>
      <c r="DL1329" s="459"/>
      <c r="DM1329" s="459"/>
      <c r="DN1329" s="459"/>
      <c r="DO1329" s="459"/>
      <c r="DP1329" s="459"/>
      <c r="DQ1329" s="459"/>
      <c r="DR1329" s="459"/>
      <c r="DS1329" s="459"/>
      <c r="DT1329" s="459"/>
      <c r="DU1329" s="459"/>
      <c r="DV1329" s="468"/>
      <c r="DW1329" s="468"/>
      <c r="DX1329" s="459"/>
      <c r="DY1329" s="459"/>
    </row>
    <row r="1330" spans="1:129" s="128" customFormat="1" ht="54.95" customHeight="1" x14ac:dyDescent="0.25">
      <c r="A1330" s="377"/>
      <c r="B1330" s="175"/>
      <c r="C1330" s="393"/>
      <c r="D1330" s="168"/>
      <c r="E1330" s="168"/>
      <c r="F1330" s="168"/>
      <c r="G1330" s="168"/>
      <c r="H1330" s="168"/>
      <c r="I1330" s="168"/>
      <c r="J1330" s="168"/>
      <c r="K1330" s="168"/>
      <c r="L1330" s="168"/>
      <c r="M1330" s="168"/>
      <c r="N1330" s="168"/>
      <c r="O1330" s="433"/>
      <c r="P1330" s="122"/>
      <c r="Q1330" s="156"/>
      <c r="R1330" s="156"/>
      <c r="S1330" s="156"/>
      <c r="T1330" s="156"/>
      <c r="U1330" s="156"/>
      <c r="V1330" s="156"/>
      <c r="W1330" s="156"/>
      <c r="X1330" s="156"/>
      <c r="Y1330" s="156"/>
      <c r="Z1330" s="157"/>
      <c r="AA1330" s="157"/>
      <c r="AB1330" s="156"/>
      <c r="AC1330" s="156"/>
      <c r="AD1330" s="156"/>
      <c r="AE1330" s="156"/>
      <c r="AF1330" s="156"/>
      <c r="AG1330" s="156"/>
      <c r="AH1330" s="156"/>
      <c r="AI1330" s="156"/>
      <c r="AJ1330" s="156"/>
      <c r="AK1330" s="156"/>
      <c r="AL1330" s="156"/>
      <c r="AM1330" s="158"/>
      <c r="AN1330" s="156"/>
      <c r="AO1330" s="156"/>
      <c r="AP1330" s="156"/>
      <c r="AQ1330" s="156"/>
      <c r="AR1330" s="156"/>
      <c r="AS1330" s="156"/>
      <c r="AT1330" s="156"/>
      <c r="AU1330" s="156"/>
      <c r="AV1330" s="156"/>
      <c r="AW1330" s="156"/>
      <c r="AX1330" s="156"/>
      <c r="AY1330" s="156"/>
      <c r="AZ1330" s="156"/>
      <c r="BA1330" s="153"/>
      <c r="BD1330" s="153"/>
      <c r="BE1330" s="147"/>
      <c r="BI1330" s="153"/>
      <c r="BO1330" s="153"/>
      <c r="BW1330" s="153"/>
      <c r="CD1330" s="146"/>
      <c r="CF1330" s="147"/>
      <c r="CI1330" s="146"/>
      <c r="CJ1330" s="153"/>
      <c r="CV1330" s="154"/>
      <c r="CX1330" s="154"/>
      <c r="CZ1330" s="154"/>
      <c r="DB1330" s="154"/>
      <c r="DD1330" s="154"/>
      <c r="DH1330" s="474"/>
      <c r="DI1330" s="459"/>
      <c r="DJ1330" s="459"/>
      <c r="DK1330" s="459"/>
      <c r="DL1330" s="459"/>
      <c r="DM1330" s="459"/>
      <c r="DN1330" s="459"/>
      <c r="DO1330" s="459"/>
      <c r="DP1330" s="459"/>
      <c r="DQ1330" s="459"/>
      <c r="DR1330" s="459"/>
      <c r="DS1330" s="459"/>
      <c r="DT1330" s="459"/>
      <c r="DU1330" s="459"/>
      <c r="DV1330" s="468"/>
      <c r="DW1330" s="468"/>
      <c r="DX1330" s="459"/>
      <c r="DY1330" s="459"/>
    </row>
    <row r="1331" spans="1:129" s="128" customFormat="1" ht="54.95" customHeight="1" x14ac:dyDescent="0.25">
      <c r="A1331" s="377"/>
      <c r="B1331" s="175"/>
      <c r="C1331" s="393"/>
      <c r="D1331" s="168"/>
      <c r="E1331" s="168"/>
      <c r="F1331" s="168"/>
      <c r="G1331" s="168"/>
      <c r="H1331" s="168"/>
      <c r="I1331" s="168"/>
      <c r="J1331" s="168"/>
      <c r="K1331" s="168"/>
      <c r="L1331" s="168"/>
      <c r="M1331" s="168"/>
      <c r="N1331" s="168"/>
      <c r="O1331" s="433"/>
      <c r="P1331" s="122"/>
      <c r="Q1331" s="156"/>
      <c r="R1331" s="156"/>
      <c r="S1331" s="156"/>
      <c r="T1331" s="156"/>
      <c r="U1331" s="156"/>
      <c r="V1331" s="156"/>
      <c r="W1331" s="156"/>
      <c r="X1331" s="156"/>
      <c r="Y1331" s="156"/>
      <c r="Z1331" s="157"/>
      <c r="AA1331" s="157"/>
      <c r="AB1331" s="156"/>
      <c r="AC1331" s="156"/>
      <c r="AD1331" s="156"/>
      <c r="AE1331" s="156"/>
      <c r="AF1331" s="156"/>
      <c r="AG1331" s="156"/>
      <c r="AH1331" s="156"/>
      <c r="AI1331" s="156"/>
      <c r="AJ1331" s="156"/>
      <c r="AK1331" s="156"/>
      <c r="AL1331" s="156"/>
      <c r="AM1331" s="158"/>
      <c r="AN1331" s="156"/>
      <c r="AO1331" s="156"/>
      <c r="AP1331" s="156"/>
      <c r="AQ1331" s="156"/>
      <c r="AR1331" s="156"/>
      <c r="AS1331" s="156"/>
      <c r="AT1331" s="156"/>
      <c r="AU1331" s="156"/>
      <c r="AV1331" s="156"/>
      <c r="AW1331" s="156"/>
      <c r="AX1331" s="156"/>
      <c r="AY1331" s="156"/>
      <c r="AZ1331" s="156"/>
      <c r="BA1331" s="153"/>
      <c r="BD1331" s="153"/>
      <c r="BE1331" s="147"/>
      <c r="BI1331" s="153"/>
      <c r="BO1331" s="153"/>
      <c r="BW1331" s="153"/>
      <c r="CD1331" s="146"/>
      <c r="CF1331" s="147"/>
      <c r="CI1331" s="146"/>
      <c r="CJ1331" s="153"/>
      <c r="CV1331" s="154"/>
      <c r="CX1331" s="154"/>
      <c r="CZ1331" s="154"/>
      <c r="DB1331" s="154"/>
      <c r="DD1331" s="154"/>
      <c r="DH1331" s="474"/>
      <c r="DI1331" s="459"/>
      <c r="DJ1331" s="459"/>
      <c r="DK1331" s="459"/>
      <c r="DL1331" s="459"/>
      <c r="DM1331" s="459"/>
      <c r="DN1331" s="459"/>
      <c r="DO1331" s="459"/>
      <c r="DP1331" s="459"/>
      <c r="DQ1331" s="459"/>
      <c r="DR1331" s="459"/>
      <c r="DS1331" s="459"/>
      <c r="DT1331" s="459"/>
      <c r="DU1331" s="459"/>
      <c r="DV1331" s="468"/>
      <c r="DW1331" s="468"/>
      <c r="DX1331" s="459"/>
      <c r="DY1331" s="459"/>
    </row>
    <row r="1332" spans="1:129" s="128" customFormat="1" ht="54.95" customHeight="1" x14ac:dyDescent="0.25">
      <c r="A1332" s="377"/>
      <c r="B1332" s="175"/>
      <c r="C1332" s="393"/>
      <c r="D1332" s="168"/>
      <c r="E1332" s="168"/>
      <c r="F1332" s="168"/>
      <c r="G1332" s="168"/>
      <c r="H1332" s="168"/>
      <c r="I1332" s="168"/>
      <c r="J1332" s="168"/>
      <c r="K1332" s="168"/>
      <c r="L1332" s="168"/>
      <c r="M1332" s="168"/>
      <c r="N1332" s="168"/>
      <c r="O1332" s="433"/>
      <c r="P1332" s="122"/>
      <c r="Q1332" s="156"/>
      <c r="R1332" s="156"/>
      <c r="S1332" s="156"/>
      <c r="T1332" s="156"/>
      <c r="U1332" s="156"/>
      <c r="V1332" s="156"/>
      <c r="W1332" s="156"/>
      <c r="X1332" s="156"/>
      <c r="Y1332" s="156"/>
      <c r="Z1332" s="157"/>
      <c r="AA1332" s="157"/>
      <c r="AB1332" s="156"/>
      <c r="AC1332" s="156"/>
      <c r="AD1332" s="156"/>
      <c r="AE1332" s="156"/>
      <c r="AF1332" s="156"/>
      <c r="AG1332" s="156"/>
      <c r="AH1332" s="156"/>
      <c r="AI1332" s="156"/>
      <c r="AJ1332" s="156"/>
      <c r="AK1332" s="156"/>
      <c r="AL1332" s="156"/>
      <c r="AM1332" s="158"/>
      <c r="AN1332" s="156"/>
      <c r="AO1332" s="156"/>
      <c r="AP1332" s="156"/>
      <c r="AQ1332" s="156"/>
      <c r="AR1332" s="156"/>
      <c r="AS1332" s="156"/>
      <c r="AT1332" s="156"/>
      <c r="AU1332" s="156"/>
      <c r="AV1332" s="156"/>
      <c r="AW1332" s="156"/>
      <c r="AX1332" s="156"/>
      <c r="AY1332" s="156"/>
      <c r="AZ1332" s="156"/>
      <c r="BA1332" s="153"/>
      <c r="BD1332" s="153"/>
      <c r="BE1332" s="147"/>
      <c r="BI1332" s="153"/>
      <c r="BO1332" s="153"/>
      <c r="BW1332" s="153"/>
      <c r="CD1332" s="146"/>
      <c r="CF1332" s="147"/>
      <c r="CI1332" s="146"/>
      <c r="CJ1332" s="153"/>
      <c r="CV1332" s="154"/>
      <c r="CX1332" s="154"/>
      <c r="CZ1332" s="154"/>
      <c r="DB1332" s="154"/>
      <c r="DD1332" s="154"/>
      <c r="DH1332" s="474"/>
      <c r="DI1332" s="459"/>
      <c r="DJ1332" s="459"/>
      <c r="DK1332" s="459"/>
      <c r="DL1332" s="459"/>
      <c r="DM1332" s="459"/>
      <c r="DN1332" s="459"/>
      <c r="DO1332" s="459"/>
      <c r="DP1332" s="459"/>
      <c r="DQ1332" s="459"/>
      <c r="DR1332" s="459"/>
      <c r="DS1332" s="459"/>
      <c r="DT1332" s="459"/>
      <c r="DU1332" s="459"/>
      <c r="DV1332" s="468"/>
      <c r="DW1332" s="468"/>
      <c r="DX1332" s="459"/>
      <c r="DY1332" s="459"/>
    </row>
    <row r="1333" spans="1:129" s="128" customFormat="1" ht="54.95" customHeight="1" x14ac:dyDescent="0.25">
      <c r="A1333" s="377"/>
      <c r="B1333" s="175"/>
      <c r="C1333" s="393"/>
      <c r="D1333" s="168"/>
      <c r="E1333" s="168"/>
      <c r="F1333" s="168"/>
      <c r="G1333" s="168"/>
      <c r="H1333" s="168"/>
      <c r="I1333" s="168"/>
      <c r="J1333" s="168"/>
      <c r="K1333" s="168"/>
      <c r="L1333" s="168"/>
      <c r="M1333" s="168"/>
      <c r="N1333" s="168"/>
      <c r="O1333" s="433"/>
      <c r="P1333" s="122"/>
      <c r="Q1333" s="156"/>
      <c r="R1333" s="156"/>
      <c r="S1333" s="156"/>
      <c r="T1333" s="156"/>
      <c r="U1333" s="156"/>
      <c r="V1333" s="156"/>
      <c r="W1333" s="156"/>
      <c r="X1333" s="156"/>
      <c r="Y1333" s="156"/>
      <c r="Z1333" s="157"/>
      <c r="AA1333" s="157"/>
      <c r="AB1333" s="156"/>
      <c r="AC1333" s="156"/>
      <c r="AD1333" s="156"/>
      <c r="AE1333" s="156"/>
      <c r="AF1333" s="156"/>
      <c r="AG1333" s="156"/>
      <c r="AH1333" s="156"/>
      <c r="AI1333" s="156"/>
      <c r="AJ1333" s="156"/>
      <c r="AK1333" s="156"/>
      <c r="AL1333" s="156"/>
      <c r="AM1333" s="158"/>
      <c r="AN1333" s="156"/>
      <c r="AO1333" s="156"/>
      <c r="AP1333" s="156"/>
      <c r="AQ1333" s="156"/>
      <c r="AR1333" s="156"/>
      <c r="AS1333" s="156"/>
      <c r="AT1333" s="156"/>
      <c r="AU1333" s="156"/>
      <c r="AV1333" s="156"/>
      <c r="AW1333" s="156"/>
      <c r="AX1333" s="156"/>
      <c r="AY1333" s="156"/>
      <c r="AZ1333" s="156"/>
      <c r="BA1333" s="153"/>
      <c r="BD1333" s="153"/>
      <c r="BE1333" s="147"/>
      <c r="BI1333" s="153"/>
      <c r="BO1333" s="153"/>
      <c r="BW1333" s="153"/>
      <c r="CD1333" s="146"/>
      <c r="CF1333" s="147"/>
      <c r="CI1333" s="146"/>
      <c r="CJ1333" s="153"/>
      <c r="CV1333" s="154"/>
      <c r="CX1333" s="154"/>
      <c r="CZ1333" s="154"/>
      <c r="DB1333" s="154"/>
      <c r="DD1333" s="154"/>
      <c r="DH1333" s="474"/>
      <c r="DI1333" s="459"/>
      <c r="DJ1333" s="459"/>
      <c r="DK1333" s="459"/>
      <c r="DL1333" s="459"/>
      <c r="DM1333" s="459"/>
      <c r="DN1333" s="459"/>
      <c r="DO1333" s="459"/>
      <c r="DP1333" s="459"/>
      <c r="DQ1333" s="459"/>
      <c r="DR1333" s="459"/>
      <c r="DS1333" s="459"/>
      <c r="DT1333" s="459"/>
      <c r="DU1333" s="459"/>
      <c r="DV1333" s="468"/>
      <c r="DW1333" s="468"/>
      <c r="DX1333" s="459"/>
      <c r="DY1333" s="459"/>
    </row>
    <row r="1334" spans="1:129" s="128" customFormat="1" ht="54.95" customHeight="1" x14ac:dyDescent="0.25">
      <c r="A1334" s="377"/>
      <c r="B1334" s="175"/>
      <c r="C1334" s="393"/>
      <c r="D1334" s="168"/>
      <c r="E1334" s="168"/>
      <c r="F1334" s="168"/>
      <c r="G1334" s="168"/>
      <c r="H1334" s="168"/>
      <c r="I1334" s="168"/>
      <c r="J1334" s="168"/>
      <c r="K1334" s="168"/>
      <c r="L1334" s="168"/>
      <c r="M1334" s="168"/>
      <c r="N1334" s="168"/>
      <c r="O1334" s="433"/>
      <c r="P1334" s="122"/>
      <c r="Q1334" s="156"/>
      <c r="R1334" s="156"/>
      <c r="S1334" s="156"/>
      <c r="T1334" s="156"/>
      <c r="U1334" s="156"/>
      <c r="V1334" s="156"/>
      <c r="W1334" s="156"/>
      <c r="X1334" s="156"/>
      <c r="Y1334" s="156"/>
      <c r="Z1334" s="157"/>
      <c r="AA1334" s="157"/>
      <c r="AB1334" s="156"/>
      <c r="AC1334" s="156"/>
      <c r="AD1334" s="156"/>
      <c r="AE1334" s="156"/>
      <c r="AF1334" s="156"/>
      <c r="AG1334" s="156"/>
      <c r="AH1334" s="156"/>
      <c r="AI1334" s="156"/>
      <c r="AJ1334" s="156"/>
      <c r="AK1334" s="156"/>
      <c r="AL1334" s="156"/>
      <c r="AM1334" s="158"/>
      <c r="AN1334" s="156"/>
      <c r="AO1334" s="156"/>
      <c r="AP1334" s="156"/>
      <c r="AQ1334" s="156"/>
      <c r="AR1334" s="156"/>
      <c r="AS1334" s="156"/>
      <c r="AT1334" s="156"/>
      <c r="AU1334" s="156"/>
      <c r="AV1334" s="156"/>
      <c r="AW1334" s="156"/>
      <c r="AX1334" s="156"/>
      <c r="AY1334" s="156"/>
      <c r="AZ1334" s="156"/>
      <c r="BA1334" s="153"/>
      <c r="BD1334" s="153"/>
      <c r="BE1334" s="147"/>
      <c r="BI1334" s="153"/>
      <c r="BO1334" s="153"/>
      <c r="BW1334" s="153"/>
      <c r="CD1334" s="146"/>
      <c r="CF1334" s="147"/>
      <c r="CI1334" s="146"/>
      <c r="CJ1334" s="153"/>
      <c r="CV1334" s="154"/>
      <c r="CX1334" s="154"/>
      <c r="CZ1334" s="154"/>
      <c r="DB1334" s="154"/>
      <c r="DD1334" s="154"/>
      <c r="DH1334" s="474"/>
      <c r="DI1334" s="459"/>
      <c r="DJ1334" s="459"/>
      <c r="DK1334" s="459"/>
      <c r="DL1334" s="459"/>
      <c r="DM1334" s="459"/>
      <c r="DN1334" s="459"/>
      <c r="DO1334" s="459"/>
      <c r="DP1334" s="459"/>
      <c r="DQ1334" s="459"/>
      <c r="DR1334" s="459"/>
      <c r="DS1334" s="459"/>
      <c r="DT1334" s="459"/>
      <c r="DU1334" s="459"/>
      <c r="DV1334" s="468"/>
      <c r="DW1334" s="468"/>
      <c r="DX1334" s="459"/>
      <c r="DY1334" s="459"/>
    </row>
    <row r="1335" spans="1:129" s="128" customFormat="1" ht="54.95" customHeight="1" x14ac:dyDescent="0.25">
      <c r="A1335" s="377"/>
      <c r="B1335" s="175"/>
      <c r="C1335" s="393"/>
      <c r="D1335" s="168"/>
      <c r="E1335" s="168"/>
      <c r="F1335" s="168"/>
      <c r="G1335" s="168"/>
      <c r="H1335" s="168"/>
      <c r="I1335" s="168"/>
      <c r="J1335" s="168"/>
      <c r="K1335" s="168"/>
      <c r="L1335" s="168"/>
      <c r="M1335" s="168"/>
      <c r="N1335" s="168"/>
      <c r="O1335" s="433"/>
      <c r="P1335" s="122"/>
      <c r="Q1335" s="156"/>
      <c r="R1335" s="156"/>
      <c r="S1335" s="156"/>
      <c r="T1335" s="156"/>
      <c r="U1335" s="156"/>
      <c r="V1335" s="156"/>
      <c r="W1335" s="156"/>
      <c r="X1335" s="156"/>
      <c r="Y1335" s="156"/>
      <c r="Z1335" s="157"/>
      <c r="AA1335" s="157"/>
      <c r="AB1335" s="156"/>
      <c r="AC1335" s="156"/>
      <c r="AD1335" s="156"/>
      <c r="AE1335" s="156"/>
      <c r="AF1335" s="156"/>
      <c r="AG1335" s="156"/>
      <c r="AH1335" s="156"/>
      <c r="AI1335" s="156"/>
      <c r="AJ1335" s="156"/>
      <c r="AK1335" s="156"/>
      <c r="AL1335" s="156"/>
      <c r="AM1335" s="158"/>
      <c r="AN1335" s="156"/>
      <c r="AO1335" s="156"/>
      <c r="AP1335" s="156"/>
      <c r="AQ1335" s="156"/>
      <c r="AR1335" s="156"/>
      <c r="AS1335" s="156"/>
      <c r="AT1335" s="156"/>
      <c r="AU1335" s="156"/>
      <c r="AV1335" s="156"/>
      <c r="AW1335" s="156"/>
      <c r="AX1335" s="156"/>
      <c r="AY1335" s="156"/>
      <c r="AZ1335" s="156"/>
      <c r="BA1335" s="153"/>
      <c r="BD1335" s="153"/>
      <c r="BE1335" s="147"/>
      <c r="BI1335" s="153"/>
      <c r="BO1335" s="153"/>
      <c r="BW1335" s="153"/>
      <c r="CD1335" s="146"/>
      <c r="CF1335" s="147"/>
      <c r="CI1335" s="146"/>
      <c r="CJ1335" s="153"/>
      <c r="CV1335" s="154"/>
      <c r="CX1335" s="154"/>
      <c r="CZ1335" s="154"/>
      <c r="DB1335" s="154"/>
      <c r="DD1335" s="154"/>
      <c r="DH1335" s="474"/>
      <c r="DI1335" s="459"/>
      <c r="DJ1335" s="459"/>
      <c r="DK1335" s="459"/>
      <c r="DL1335" s="459"/>
      <c r="DM1335" s="459"/>
      <c r="DN1335" s="459"/>
      <c r="DO1335" s="459"/>
      <c r="DP1335" s="459"/>
      <c r="DQ1335" s="459"/>
      <c r="DR1335" s="459"/>
      <c r="DS1335" s="459"/>
      <c r="DT1335" s="459"/>
      <c r="DU1335" s="459"/>
      <c r="DV1335" s="468"/>
      <c r="DW1335" s="468"/>
      <c r="DX1335" s="459"/>
      <c r="DY1335" s="459"/>
    </row>
    <row r="1336" spans="1:129" s="128" customFormat="1" ht="54.95" customHeight="1" x14ac:dyDescent="0.25">
      <c r="A1336" s="377"/>
      <c r="B1336" s="175"/>
      <c r="C1336" s="393"/>
      <c r="D1336" s="168"/>
      <c r="E1336" s="168"/>
      <c r="F1336" s="168"/>
      <c r="G1336" s="168"/>
      <c r="H1336" s="168"/>
      <c r="I1336" s="168"/>
      <c r="J1336" s="168"/>
      <c r="K1336" s="168"/>
      <c r="L1336" s="168"/>
      <c r="M1336" s="168"/>
      <c r="N1336" s="168"/>
      <c r="O1336" s="433"/>
      <c r="P1336" s="122"/>
      <c r="Q1336" s="156"/>
      <c r="R1336" s="156"/>
      <c r="S1336" s="156"/>
      <c r="T1336" s="156"/>
      <c r="U1336" s="156"/>
      <c r="V1336" s="156"/>
      <c r="W1336" s="156"/>
      <c r="X1336" s="156"/>
      <c r="Y1336" s="156"/>
      <c r="Z1336" s="157"/>
      <c r="AA1336" s="157"/>
      <c r="AB1336" s="156"/>
      <c r="AC1336" s="156"/>
      <c r="AD1336" s="156"/>
      <c r="AE1336" s="156"/>
      <c r="AF1336" s="156"/>
      <c r="AG1336" s="156"/>
      <c r="AH1336" s="156"/>
      <c r="AI1336" s="156"/>
      <c r="AJ1336" s="156"/>
      <c r="AK1336" s="156"/>
      <c r="AL1336" s="156"/>
      <c r="AM1336" s="158"/>
      <c r="AN1336" s="156"/>
      <c r="AO1336" s="156"/>
      <c r="AP1336" s="156"/>
      <c r="AQ1336" s="156"/>
      <c r="AR1336" s="156"/>
      <c r="AS1336" s="156"/>
      <c r="AT1336" s="156"/>
      <c r="AU1336" s="156"/>
      <c r="AV1336" s="156"/>
      <c r="AW1336" s="156"/>
      <c r="AX1336" s="156"/>
      <c r="AY1336" s="156"/>
      <c r="AZ1336" s="156"/>
      <c r="BA1336" s="153"/>
      <c r="BD1336" s="153"/>
      <c r="BE1336" s="147"/>
      <c r="BI1336" s="153"/>
      <c r="BO1336" s="153"/>
      <c r="BW1336" s="153"/>
      <c r="CD1336" s="146"/>
      <c r="CF1336" s="147"/>
      <c r="CI1336" s="146"/>
      <c r="CJ1336" s="153"/>
      <c r="CV1336" s="154"/>
      <c r="CX1336" s="154"/>
      <c r="CZ1336" s="154"/>
      <c r="DB1336" s="154"/>
      <c r="DD1336" s="154"/>
      <c r="DH1336" s="474"/>
      <c r="DI1336" s="459"/>
      <c r="DJ1336" s="459"/>
      <c r="DK1336" s="459"/>
      <c r="DL1336" s="459"/>
      <c r="DM1336" s="459"/>
      <c r="DN1336" s="459"/>
      <c r="DO1336" s="459"/>
      <c r="DP1336" s="459"/>
      <c r="DQ1336" s="459"/>
      <c r="DR1336" s="459"/>
      <c r="DS1336" s="459"/>
      <c r="DT1336" s="459"/>
      <c r="DU1336" s="459"/>
      <c r="DV1336" s="468"/>
      <c r="DW1336" s="468"/>
      <c r="DX1336" s="459"/>
      <c r="DY1336" s="459"/>
    </row>
    <row r="1337" spans="1:129" s="128" customFormat="1" ht="54.95" customHeight="1" x14ac:dyDescent="0.25">
      <c r="A1337" s="377"/>
      <c r="B1337" s="175"/>
      <c r="C1337" s="393"/>
      <c r="D1337" s="168"/>
      <c r="E1337" s="168"/>
      <c r="F1337" s="168"/>
      <c r="G1337" s="168"/>
      <c r="H1337" s="168"/>
      <c r="I1337" s="168"/>
      <c r="J1337" s="168"/>
      <c r="K1337" s="168"/>
      <c r="L1337" s="168"/>
      <c r="M1337" s="168"/>
      <c r="N1337" s="168"/>
      <c r="O1337" s="433"/>
      <c r="P1337" s="122"/>
      <c r="Q1337" s="156"/>
      <c r="R1337" s="156"/>
      <c r="S1337" s="156"/>
      <c r="T1337" s="156"/>
      <c r="U1337" s="156"/>
      <c r="V1337" s="156"/>
      <c r="W1337" s="156"/>
      <c r="X1337" s="156"/>
      <c r="Y1337" s="156"/>
      <c r="Z1337" s="157"/>
      <c r="AA1337" s="157"/>
      <c r="AB1337" s="156"/>
      <c r="AC1337" s="156"/>
      <c r="AD1337" s="156"/>
      <c r="AE1337" s="156"/>
      <c r="AF1337" s="156"/>
      <c r="AG1337" s="156"/>
      <c r="AH1337" s="156"/>
      <c r="AI1337" s="156"/>
      <c r="AJ1337" s="156"/>
      <c r="AK1337" s="156"/>
      <c r="AL1337" s="156"/>
      <c r="AM1337" s="158"/>
      <c r="AN1337" s="156"/>
      <c r="AO1337" s="156"/>
      <c r="AP1337" s="156"/>
      <c r="AQ1337" s="156"/>
      <c r="AR1337" s="156"/>
      <c r="AS1337" s="156"/>
      <c r="AT1337" s="156"/>
      <c r="AU1337" s="156"/>
      <c r="AV1337" s="156"/>
      <c r="AW1337" s="156"/>
      <c r="AX1337" s="156"/>
      <c r="AY1337" s="156"/>
      <c r="AZ1337" s="156"/>
      <c r="BA1337" s="153"/>
      <c r="BD1337" s="153"/>
      <c r="BE1337" s="147"/>
      <c r="BI1337" s="153"/>
      <c r="BO1337" s="153"/>
      <c r="BW1337" s="153"/>
      <c r="CD1337" s="146"/>
      <c r="CF1337" s="147"/>
      <c r="CI1337" s="146"/>
      <c r="CJ1337" s="153"/>
      <c r="CV1337" s="154"/>
      <c r="CX1337" s="154"/>
      <c r="CZ1337" s="154"/>
      <c r="DB1337" s="154"/>
      <c r="DD1337" s="154"/>
      <c r="DH1337" s="474"/>
      <c r="DI1337" s="459"/>
      <c r="DJ1337" s="459"/>
      <c r="DK1337" s="459"/>
      <c r="DL1337" s="459"/>
      <c r="DM1337" s="459"/>
      <c r="DN1337" s="459"/>
      <c r="DO1337" s="459"/>
      <c r="DP1337" s="459"/>
      <c r="DQ1337" s="459"/>
      <c r="DR1337" s="459"/>
      <c r="DS1337" s="459"/>
      <c r="DT1337" s="459"/>
      <c r="DU1337" s="459"/>
      <c r="DV1337" s="468"/>
      <c r="DW1337" s="468"/>
      <c r="DX1337" s="459"/>
      <c r="DY1337" s="459"/>
    </row>
    <row r="1338" spans="1:129" s="128" customFormat="1" ht="54.95" customHeight="1" x14ac:dyDescent="0.25">
      <c r="A1338" s="377"/>
      <c r="B1338" s="175"/>
      <c r="C1338" s="393"/>
      <c r="D1338" s="168"/>
      <c r="E1338" s="168"/>
      <c r="F1338" s="168"/>
      <c r="G1338" s="168"/>
      <c r="H1338" s="168"/>
      <c r="I1338" s="168"/>
      <c r="J1338" s="168"/>
      <c r="K1338" s="168"/>
      <c r="L1338" s="168"/>
      <c r="M1338" s="168"/>
      <c r="N1338" s="168"/>
      <c r="O1338" s="433"/>
      <c r="P1338" s="122"/>
      <c r="Q1338" s="156"/>
      <c r="R1338" s="156"/>
      <c r="S1338" s="156"/>
      <c r="T1338" s="156"/>
      <c r="U1338" s="156"/>
      <c r="V1338" s="156"/>
      <c r="W1338" s="156"/>
      <c r="X1338" s="156"/>
      <c r="Y1338" s="156"/>
      <c r="Z1338" s="157"/>
      <c r="AA1338" s="157"/>
      <c r="AB1338" s="156"/>
      <c r="AC1338" s="156"/>
      <c r="AD1338" s="156"/>
      <c r="AE1338" s="156"/>
      <c r="AF1338" s="156"/>
      <c r="AG1338" s="156"/>
      <c r="AH1338" s="156"/>
      <c r="AI1338" s="156"/>
      <c r="AJ1338" s="156"/>
      <c r="AK1338" s="156"/>
      <c r="AL1338" s="156"/>
      <c r="AM1338" s="158"/>
      <c r="AN1338" s="156"/>
      <c r="AO1338" s="156"/>
      <c r="AP1338" s="156"/>
      <c r="AQ1338" s="156"/>
      <c r="AR1338" s="156"/>
      <c r="AS1338" s="156"/>
      <c r="AT1338" s="156"/>
      <c r="AU1338" s="156"/>
      <c r="AV1338" s="156"/>
      <c r="AW1338" s="156"/>
      <c r="AX1338" s="156"/>
      <c r="AY1338" s="156"/>
      <c r="AZ1338" s="156"/>
      <c r="BA1338" s="153"/>
      <c r="BD1338" s="153"/>
      <c r="BE1338" s="147"/>
      <c r="BI1338" s="153"/>
      <c r="BO1338" s="153"/>
      <c r="BW1338" s="153"/>
      <c r="CD1338" s="146"/>
      <c r="CF1338" s="147"/>
      <c r="CI1338" s="146"/>
      <c r="CJ1338" s="153"/>
      <c r="CV1338" s="154"/>
      <c r="CX1338" s="154"/>
      <c r="CZ1338" s="154"/>
      <c r="DB1338" s="154"/>
      <c r="DD1338" s="154"/>
      <c r="DH1338" s="474"/>
      <c r="DI1338" s="459"/>
      <c r="DJ1338" s="459"/>
      <c r="DK1338" s="459"/>
      <c r="DL1338" s="459"/>
      <c r="DM1338" s="459"/>
      <c r="DN1338" s="459"/>
      <c r="DO1338" s="459"/>
      <c r="DP1338" s="459"/>
      <c r="DQ1338" s="459"/>
      <c r="DR1338" s="459"/>
      <c r="DS1338" s="459"/>
      <c r="DT1338" s="459"/>
      <c r="DU1338" s="459"/>
      <c r="DV1338" s="468"/>
      <c r="DW1338" s="468"/>
      <c r="DX1338" s="459"/>
      <c r="DY1338" s="459"/>
    </row>
    <row r="1339" spans="1:129" s="128" customFormat="1" ht="54.95" customHeight="1" x14ac:dyDescent="0.25">
      <c r="A1339" s="377"/>
      <c r="B1339" s="175"/>
      <c r="C1339" s="393"/>
      <c r="D1339" s="168"/>
      <c r="E1339" s="168"/>
      <c r="F1339" s="168"/>
      <c r="G1339" s="168"/>
      <c r="H1339" s="168"/>
      <c r="I1339" s="168"/>
      <c r="J1339" s="168"/>
      <c r="K1339" s="168"/>
      <c r="L1339" s="168"/>
      <c r="M1339" s="168"/>
      <c r="N1339" s="168"/>
      <c r="O1339" s="433"/>
      <c r="P1339" s="122"/>
      <c r="Q1339" s="156"/>
      <c r="R1339" s="156"/>
      <c r="S1339" s="156"/>
      <c r="T1339" s="156"/>
      <c r="U1339" s="156"/>
      <c r="V1339" s="156"/>
      <c r="W1339" s="156"/>
      <c r="X1339" s="156"/>
      <c r="Y1339" s="156"/>
      <c r="Z1339" s="157"/>
      <c r="AA1339" s="157"/>
      <c r="AB1339" s="156"/>
      <c r="AC1339" s="156"/>
      <c r="AD1339" s="156"/>
      <c r="AE1339" s="156"/>
      <c r="AF1339" s="156"/>
      <c r="AG1339" s="156"/>
      <c r="AH1339" s="156"/>
      <c r="AI1339" s="156"/>
      <c r="AJ1339" s="156"/>
      <c r="AK1339" s="156"/>
      <c r="AL1339" s="156"/>
      <c r="AM1339" s="158"/>
      <c r="AN1339" s="156"/>
      <c r="AO1339" s="156"/>
      <c r="AP1339" s="156"/>
      <c r="AQ1339" s="156"/>
      <c r="AR1339" s="156"/>
      <c r="AS1339" s="156"/>
      <c r="AT1339" s="156"/>
      <c r="AU1339" s="156"/>
      <c r="AV1339" s="156"/>
      <c r="AW1339" s="156"/>
      <c r="AX1339" s="156"/>
      <c r="AY1339" s="156"/>
      <c r="AZ1339" s="156"/>
      <c r="BA1339" s="153"/>
      <c r="BD1339" s="153"/>
      <c r="BE1339" s="147"/>
      <c r="BI1339" s="153"/>
      <c r="BO1339" s="153"/>
      <c r="BW1339" s="153"/>
      <c r="CD1339" s="146"/>
      <c r="CF1339" s="147"/>
      <c r="CI1339" s="146"/>
      <c r="CJ1339" s="153"/>
      <c r="CV1339" s="154"/>
      <c r="CX1339" s="154"/>
      <c r="CZ1339" s="154"/>
      <c r="DB1339" s="154"/>
      <c r="DD1339" s="154"/>
      <c r="DH1339" s="474"/>
      <c r="DI1339" s="459"/>
      <c r="DJ1339" s="459"/>
      <c r="DK1339" s="459"/>
      <c r="DL1339" s="459"/>
      <c r="DM1339" s="459"/>
      <c r="DN1339" s="459"/>
      <c r="DO1339" s="459"/>
      <c r="DP1339" s="459"/>
      <c r="DQ1339" s="459"/>
      <c r="DR1339" s="459"/>
      <c r="DS1339" s="459"/>
      <c r="DT1339" s="459"/>
      <c r="DU1339" s="459"/>
      <c r="DV1339" s="468"/>
      <c r="DW1339" s="468"/>
      <c r="DX1339" s="459"/>
      <c r="DY1339" s="459"/>
    </row>
    <row r="1340" spans="1:129" s="128" customFormat="1" ht="54.95" customHeight="1" x14ac:dyDescent="0.25">
      <c r="A1340" s="377"/>
      <c r="B1340" s="175"/>
      <c r="C1340" s="393"/>
      <c r="D1340" s="168"/>
      <c r="E1340" s="168"/>
      <c r="F1340" s="168"/>
      <c r="G1340" s="168"/>
      <c r="H1340" s="168"/>
      <c r="I1340" s="168"/>
      <c r="J1340" s="168"/>
      <c r="K1340" s="168"/>
      <c r="L1340" s="168"/>
      <c r="M1340" s="168"/>
      <c r="N1340" s="168"/>
      <c r="O1340" s="433"/>
      <c r="P1340" s="122"/>
      <c r="Q1340" s="156"/>
      <c r="R1340" s="156"/>
      <c r="S1340" s="156"/>
      <c r="T1340" s="156"/>
      <c r="U1340" s="156"/>
      <c r="V1340" s="156"/>
      <c r="W1340" s="156"/>
      <c r="X1340" s="156"/>
      <c r="Y1340" s="156"/>
      <c r="Z1340" s="157"/>
      <c r="AA1340" s="157"/>
      <c r="AB1340" s="156"/>
      <c r="AC1340" s="156"/>
      <c r="AD1340" s="156"/>
      <c r="AE1340" s="156"/>
      <c r="AF1340" s="156"/>
      <c r="AG1340" s="156"/>
      <c r="AH1340" s="156"/>
      <c r="AI1340" s="156"/>
      <c r="AJ1340" s="156"/>
      <c r="AK1340" s="156"/>
      <c r="AL1340" s="156"/>
      <c r="AM1340" s="158"/>
      <c r="AN1340" s="156"/>
      <c r="AO1340" s="156"/>
      <c r="AP1340" s="156"/>
      <c r="AQ1340" s="156"/>
      <c r="AR1340" s="156"/>
      <c r="AS1340" s="156"/>
      <c r="AT1340" s="156"/>
      <c r="AU1340" s="156"/>
      <c r="AV1340" s="156"/>
      <c r="AW1340" s="156"/>
      <c r="AX1340" s="156"/>
      <c r="AY1340" s="156"/>
      <c r="AZ1340" s="156"/>
      <c r="BA1340" s="153"/>
      <c r="BD1340" s="153"/>
      <c r="BE1340" s="147"/>
      <c r="BI1340" s="153"/>
      <c r="BO1340" s="153"/>
      <c r="BW1340" s="153"/>
      <c r="CD1340" s="146"/>
      <c r="CF1340" s="147"/>
      <c r="CI1340" s="146"/>
      <c r="CJ1340" s="153"/>
      <c r="CV1340" s="154"/>
      <c r="CX1340" s="154"/>
      <c r="CZ1340" s="154"/>
      <c r="DB1340" s="154"/>
      <c r="DD1340" s="154"/>
      <c r="DH1340" s="474"/>
      <c r="DI1340" s="459"/>
      <c r="DJ1340" s="459"/>
      <c r="DK1340" s="459"/>
      <c r="DL1340" s="459"/>
      <c r="DM1340" s="459"/>
      <c r="DN1340" s="459"/>
      <c r="DO1340" s="459"/>
      <c r="DP1340" s="459"/>
      <c r="DQ1340" s="459"/>
      <c r="DR1340" s="459"/>
      <c r="DS1340" s="459"/>
      <c r="DT1340" s="459"/>
      <c r="DU1340" s="459"/>
      <c r="DV1340" s="468"/>
      <c r="DW1340" s="468"/>
      <c r="DX1340" s="459"/>
      <c r="DY1340" s="459"/>
    </row>
    <row r="1341" spans="1:129" s="128" customFormat="1" ht="54.95" customHeight="1" x14ac:dyDescent="0.25">
      <c r="A1341" s="377"/>
      <c r="B1341" s="175"/>
      <c r="C1341" s="393"/>
      <c r="D1341" s="168"/>
      <c r="E1341" s="168"/>
      <c r="F1341" s="168"/>
      <c r="G1341" s="168"/>
      <c r="H1341" s="168"/>
      <c r="I1341" s="168"/>
      <c r="J1341" s="168"/>
      <c r="K1341" s="168"/>
      <c r="L1341" s="168"/>
      <c r="M1341" s="168"/>
      <c r="N1341" s="168"/>
      <c r="O1341" s="433"/>
      <c r="P1341" s="122"/>
      <c r="Q1341" s="156"/>
      <c r="R1341" s="156"/>
      <c r="S1341" s="156"/>
      <c r="T1341" s="156"/>
      <c r="U1341" s="156"/>
      <c r="V1341" s="156"/>
      <c r="W1341" s="156"/>
      <c r="X1341" s="156"/>
      <c r="Y1341" s="156"/>
      <c r="Z1341" s="157"/>
      <c r="AA1341" s="157"/>
      <c r="AB1341" s="156"/>
      <c r="AC1341" s="156"/>
      <c r="AD1341" s="156"/>
      <c r="AE1341" s="156"/>
      <c r="AF1341" s="156"/>
      <c r="AG1341" s="156"/>
      <c r="AH1341" s="156"/>
      <c r="AI1341" s="156"/>
      <c r="AJ1341" s="156"/>
      <c r="AK1341" s="156"/>
      <c r="AL1341" s="156"/>
      <c r="AM1341" s="158"/>
      <c r="AN1341" s="156"/>
      <c r="AO1341" s="156"/>
      <c r="AP1341" s="156"/>
      <c r="AQ1341" s="156"/>
      <c r="AR1341" s="156"/>
      <c r="AS1341" s="156"/>
      <c r="AT1341" s="156"/>
      <c r="AU1341" s="156"/>
      <c r="AV1341" s="156"/>
      <c r="AW1341" s="156"/>
      <c r="AX1341" s="156"/>
      <c r="AY1341" s="156"/>
      <c r="AZ1341" s="156"/>
      <c r="BA1341" s="153"/>
      <c r="BD1341" s="153"/>
      <c r="BE1341" s="147"/>
      <c r="BI1341" s="153"/>
      <c r="BO1341" s="153"/>
      <c r="BW1341" s="153"/>
      <c r="CD1341" s="146"/>
      <c r="CF1341" s="147"/>
      <c r="CI1341" s="146"/>
      <c r="CJ1341" s="153"/>
      <c r="CV1341" s="154"/>
      <c r="CX1341" s="154"/>
      <c r="CZ1341" s="154"/>
      <c r="DB1341" s="154"/>
      <c r="DD1341" s="154"/>
      <c r="DH1341" s="474"/>
      <c r="DI1341" s="459"/>
      <c r="DJ1341" s="459"/>
      <c r="DK1341" s="459"/>
      <c r="DL1341" s="459"/>
      <c r="DM1341" s="459"/>
      <c r="DN1341" s="459"/>
      <c r="DO1341" s="459"/>
      <c r="DP1341" s="459"/>
      <c r="DQ1341" s="459"/>
      <c r="DR1341" s="459"/>
      <c r="DS1341" s="459"/>
      <c r="DT1341" s="459"/>
      <c r="DU1341" s="459"/>
      <c r="DV1341" s="468"/>
      <c r="DW1341" s="468"/>
      <c r="DX1341" s="459"/>
      <c r="DY1341" s="459"/>
    </row>
    <row r="1342" spans="1:129" s="128" customFormat="1" ht="54.95" customHeight="1" x14ac:dyDescent="0.25">
      <c r="A1342" s="377"/>
      <c r="B1342" s="175"/>
      <c r="C1342" s="393"/>
      <c r="D1342" s="168"/>
      <c r="E1342" s="168"/>
      <c r="F1342" s="168"/>
      <c r="G1342" s="168"/>
      <c r="H1342" s="168"/>
      <c r="I1342" s="168"/>
      <c r="J1342" s="168"/>
      <c r="K1342" s="168"/>
      <c r="L1342" s="168"/>
      <c r="M1342" s="168"/>
      <c r="N1342" s="168"/>
      <c r="O1342" s="433"/>
      <c r="P1342" s="122"/>
      <c r="Q1342" s="156"/>
      <c r="R1342" s="156"/>
      <c r="S1342" s="156"/>
      <c r="T1342" s="156"/>
      <c r="U1342" s="156"/>
      <c r="V1342" s="156"/>
      <c r="W1342" s="156"/>
      <c r="X1342" s="156"/>
      <c r="Y1342" s="156"/>
      <c r="Z1342" s="157"/>
      <c r="AA1342" s="157"/>
      <c r="AB1342" s="156"/>
      <c r="AC1342" s="156"/>
      <c r="AD1342" s="156"/>
      <c r="AE1342" s="156"/>
      <c r="AF1342" s="156"/>
      <c r="AG1342" s="156"/>
      <c r="AH1342" s="156"/>
      <c r="AI1342" s="156"/>
      <c r="AJ1342" s="156"/>
      <c r="AK1342" s="156"/>
      <c r="AL1342" s="156"/>
      <c r="AM1342" s="158"/>
      <c r="AN1342" s="156"/>
      <c r="AO1342" s="156"/>
      <c r="AP1342" s="156"/>
      <c r="AQ1342" s="156"/>
      <c r="AR1342" s="156"/>
      <c r="AS1342" s="156"/>
      <c r="AT1342" s="156"/>
      <c r="AU1342" s="156"/>
      <c r="AV1342" s="156"/>
      <c r="AW1342" s="156"/>
      <c r="AX1342" s="156"/>
      <c r="AY1342" s="156"/>
      <c r="AZ1342" s="156"/>
      <c r="BA1342" s="153"/>
      <c r="BD1342" s="153"/>
      <c r="BE1342" s="147"/>
      <c r="BI1342" s="153"/>
      <c r="BO1342" s="153"/>
      <c r="BW1342" s="153"/>
      <c r="CD1342" s="146"/>
      <c r="CF1342" s="147"/>
      <c r="CI1342" s="146"/>
      <c r="CJ1342" s="153"/>
      <c r="CV1342" s="154"/>
      <c r="CX1342" s="154"/>
      <c r="CZ1342" s="154"/>
      <c r="DB1342" s="154"/>
      <c r="DD1342" s="154"/>
      <c r="DH1342" s="474"/>
      <c r="DI1342" s="459"/>
      <c r="DJ1342" s="459"/>
      <c r="DK1342" s="459"/>
      <c r="DL1342" s="459"/>
      <c r="DM1342" s="459"/>
      <c r="DN1342" s="459"/>
      <c r="DO1342" s="459"/>
      <c r="DP1342" s="459"/>
      <c r="DQ1342" s="459"/>
      <c r="DR1342" s="459"/>
      <c r="DS1342" s="459"/>
      <c r="DT1342" s="459"/>
      <c r="DU1342" s="459"/>
      <c r="DV1342" s="468"/>
      <c r="DW1342" s="468"/>
      <c r="DX1342" s="459"/>
      <c r="DY1342" s="459"/>
    </row>
    <row r="1343" spans="1:129" s="128" customFormat="1" ht="54.95" customHeight="1" x14ac:dyDescent="0.25">
      <c r="A1343" s="377"/>
      <c r="B1343" s="175"/>
      <c r="C1343" s="393"/>
      <c r="D1343" s="168"/>
      <c r="E1343" s="168"/>
      <c r="F1343" s="168"/>
      <c r="G1343" s="168"/>
      <c r="H1343" s="168"/>
      <c r="I1343" s="168"/>
      <c r="J1343" s="168"/>
      <c r="K1343" s="168"/>
      <c r="L1343" s="168"/>
      <c r="M1343" s="168"/>
      <c r="N1343" s="168"/>
      <c r="O1343" s="433"/>
      <c r="P1343" s="122"/>
      <c r="Q1343" s="156"/>
      <c r="R1343" s="156"/>
      <c r="S1343" s="156"/>
      <c r="T1343" s="156"/>
      <c r="U1343" s="156"/>
      <c r="V1343" s="156"/>
      <c r="W1343" s="156"/>
      <c r="X1343" s="156"/>
      <c r="Y1343" s="156"/>
      <c r="Z1343" s="157"/>
      <c r="AA1343" s="157"/>
      <c r="AB1343" s="156"/>
      <c r="AC1343" s="156"/>
      <c r="AD1343" s="156"/>
      <c r="AE1343" s="156"/>
      <c r="AF1343" s="156"/>
      <c r="AG1343" s="156"/>
      <c r="AH1343" s="156"/>
      <c r="AI1343" s="156"/>
      <c r="AJ1343" s="156"/>
      <c r="AK1343" s="156"/>
      <c r="AL1343" s="156"/>
      <c r="AM1343" s="158"/>
      <c r="AN1343" s="156"/>
      <c r="AO1343" s="156"/>
      <c r="AP1343" s="156"/>
      <c r="AQ1343" s="156"/>
      <c r="AR1343" s="156"/>
      <c r="AS1343" s="156"/>
      <c r="AT1343" s="156"/>
      <c r="AU1343" s="156"/>
      <c r="AV1343" s="156"/>
      <c r="AW1343" s="156"/>
      <c r="AX1343" s="156"/>
      <c r="AY1343" s="156"/>
      <c r="AZ1343" s="156"/>
      <c r="BA1343" s="153"/>
      <c r="BD1343" s="153"/>
      <c r="BE1343" s="147"/>
      <c r="BI1343" s="153"/>
      <c r="BO1343" s="153"/>
      <c r="BW1343" s="153"/>
      <c r="CD1343" s="146"/>
      <c r="CF1343" s="147"/>
      <c r="CI1343" s="146"/>
      <c r="CJ1343" s="153"/>
      <c r="CV1343" s="154"/>
      <c r="CX1343" s="154"/>
      <c r="CZ1343" s="154"/>
      <c r="DB1343" s="154"/>
      <c r="DD1343" s="154"/>
      <c r="DH1343" s="474"/>
      <c r="DI1343" s="459"/>
      <c r="DJ1343" s="459"/>
      <c r="DK1343" s="459"/>
      <c r="DL1343" s="459"/>
      <c r="DM1343" s="459"/>
      <c r="DN1343" s="459"/>
      <c r="DO1343" s="459"/>
      <c r="DP1343" s="459"/>
      <c r="DQ1343" s="459"/>
      <c r="DR1343" s="459"/>
      <c r="DS1343" s="459"/>
      <c r="DT1343" s="459"/>
      <c r="DU1343" s="459"/>
      <c r="DV1343" s="468"/>
      <c r="DW1343" s="468"/>
      <c r="DX1343" s="459"/>
      <c r="DY1343" s="459"/>
    </row>
    <row r="1344" spans="1:129" s="128" customFormat="1" ht="54.95" customHeight="1" x14ac:dyDescent="0.25">
      <c r="A1344" s="377"/>
      <c r="B1344" s="175"/>
      <c r="C1344" s="393"/>
      <c r="D1344" s="168"/>
      <c r="E1344" s="168"/>
      <c r="F1344" s="168"/>
      <c r="G1344" s="168"/>
      <c r="H1344" s="168"/>
      <c r="I1344" s="168"/>
      <c r="J1344" s="168"/>
      <c r="K1344" s="168"/>
      <c r="L1344" s="168"/>
      <c r="M1344" s="168"/>
      <c r="N1344" s="168"/>
      <c r="O1344" s="433"/>
      <c r="P1344" s="122"/>
      <c r="Q1344" s="156"/>
      <c r="R1344" s="156"/>
      <c r="S1344" s="156"/>
      <c r="T1344" s="156"/>
      <c r="U1344" s="156"/>
      <c r="V1344" s="156"/>
      <c r="W1344" s="156"/>
      <c r="X1344" s="156"/>
      <c r="Y1344" s="156"/>
      <c r="Z1344" s="157"/>
      <c r="AA1344" s="157"/>
      <c r="AB1344" s="156"/>
      <c r="AC1344" s="156"/>
      <c r="AD1344" s="156"/>
      <c r="AE1344" s="156"/>
      <c r="AF1344" s="156"/>
      <c r="AG1344" s="156"/>
      <c r="AH1344" s="156"/>
      <c r="AI1344" s="156"/>
      <c r="AJ1344" s="156"/>
      <c r="AK1344" s="156"/>
      <c r="AL1344" s="156"/>
      <c r="AM1344" s="158"/>
      <c r="AN1344" s="156"/>
      <c r="AO1344" s="156"/>
      <c r="AP1344" s="156"/>
      <c r="AQ1344" s="156"/>
      <c r="AR1344" s="156"/>
      <c r="AS1344" s="156"/>
      <c r="AT1344" s="156"/>
      <c r="AU1344" s="156"/>
      <c r="AV1344" s="156"/>
      <c r="AW1344" s="156"/>
      <c r="AX1344" s="156"/>
      <c r="AY1344" s="156"/>
      <c r="AZ1344" s="156"/>
      <c r="BA1344" s="153"/>
      <c r="BD1344" s="153"/>
      <c r="BE1344" s="147"/>
      <c r="BI1344" s="153"/>
      <c r="BO1344" s="153"/>
      <c r="BW1344" s="153"/>
      <c r="CD1344" s="146"/>
      <c r="CF1344" s="147"/>
      <c r="CI1344" s="146"/>
      <c r="CJ1344" s="153"/>
      <c r="CV1344" s="154"/>
      <c r="CX1344" s="154"/>
      <c r="CZ1344" s="154"/>
      <c r="DB1344" s="154"/>
      <c r="DD1344" s="154"/>
      <c r="DH1344" s="474"/>
      <c r="DI1344" s="459"/>
      <c r="DJ1344" s="459"/>
      <c r="DK1344" s="459"/>
      <c r="DL1344" s="459"/>
      <c r="DM1344" s="459"/>
      <c r="DN1344" s="459"/>
      <c r="DO1344" s="459"/>
      <c r="DP1344" s="459"/>
      <c r="DQ1344" s="459"/>
      <c r="DR1344" s="459"/>
      <c r="DS1344" s="459"/>
      <c r="DT1344" s="459"/>
      <c r="DU1344" s="459"/>
      <c r="DV1344" s="468"/>
      <c r="DW1344" s="468"/>
      <c r="DX1344" s="459"/>
      <c r="DY1344" s="459"/>
    </row>
    <row r="1345" spans="1:194" s="128" customFormat="1" ht="54.95" customHeight="1" x14ac:dyDescent="0.25">
      <c r="A1345" s="377"/>
      <c r="B1345" s="175"/>
      <c r="C1345" s="393"/>
      <c r="D1345" s="168"/>
      <c r="E1345" s="168"/>
      <c r="F1345" s="168"/>
      <c r="G1345" s="168"/>
      <c r="H1345" s="168"/>
      <c r="I1345" s="168"/>
      <c r="J1345" s="168"/>
      <c r="K1345" s="168"/>
      <c r="L1345" s="168"/>
      <c r="M1345" s="168"/>
      <c r="N1345" s="168"/>
      <c r="O1345" s="433"/>
      <c r="P1345" s="122"/>
      <c r="Q1345" s="156"/>
      <c r="R1345" s="156"/>
      <c r="S1345" s="156"/>
      <c r="T1345" s="156"/>
      <c r="U1345" s="156"/>
      <c r="V1345" s="156"/>
      <c r="W1345" s="156"/>
      <c r="X1345" s="156"/>
      <c r="Y1345" s="156"/>
      <c r="Z1345" s="157"/>
      <c r="AA1345" s="157"/>
      <c r="AB1345" s="156"/>
      <c r="AC1345" s="156"/>
      <c r="AD1345" s="156"/>
      <c r="AE1345" s="156"/>
      <c r="AF1345" s="156"/>
      <c r="AG1345" s="156"/>
      <c r="AH1345" s="156"/>
      <c r="AI1345" s="156"/>
      <c r="AJ1345" s="156"/>
      <c r="AK1345" s="156"/>
      <c r="AL1345" s="156"/>
      <c r="AM1345" s="158"/>
      <c r="AN1345" s="156"/>
      <c r="AO1345" s="156"/>
      <c r="AP1345" s="156"/>
      <c r="AQ1345" s="156"/>
      <c r="AR1345" s="156"/>
      <c r="AS1345" s="156"/>
      <c r="AT1345" s="156"/>
      <c r="AU1345" s="156"/>
      <c r="AV1345" s="156"/>
      <c r="AW1345" s="156"/>
      <c r="AX1345" s="156"/>
      <c r="AY1345" s="156"/>
      <c r="AZ1345" s="156"/>
      <c r="BA1345" s="153"/>
      <c r="BD1345" s="153"/>
      <c r="BE1345" s="147"/>
      <c r="BI1345" s="153"/>
      <c r="BO1345" s="153"/>
      <c r="BW1345" s="153"/>
      <c r="CD1345" s="146"/>
      <c r="CF1345" s="147"/>
      <c r="CI1345" s="146"/>
      <c r="CJ1345" s="153"/>
      <c r="CV1345" s="154"/>
      <c r="CX1345" s="154"/>
      <c r="CZ1345" s="154"/>
      <c r="DB1345" s="154"/>
      <c r="DD1345" s="154"/>
      <c r="DH1345" s="474"/>
      <c r="DI1345" s="459"/>
      <c r="DJ1345" s="459"/>
      <c r="DK1345" s="459"/>
      <c r="DL1345" s="459"/>
      <c r="DM1345" s="459"/>
      <c r="DN1345" s="459"/>
      <c r="DO1345" s="459"/>
      <c r="DP1345" s="459"/>
      <c r="DQ1345" s="459"/>
      <c r="DR1345" s="459"/>
      <c r="DS1345" s="459"/>
      <c r="DT1345" s="459"/>
      <c r="DU1345" s="459"/>
      <c r="DV1345" s="468"/>
      <c r="DW1345" s="468"/>
      <c r="DX1345" s="459"/>
      <c r="DY1345" s="459"/>
    </row>
    <row r="1346" spans="1:194" s="128" customFormat="1" ht="54.95" customHeight="1" x14ac:dyDescent="0.25">
      <c r="A1346" s="377"/>
      <c r="B1346" s="175"/>
      <c r="C1346" s="393"/>
      <c r="D1346" s="168"/>
      <c r="E1346" s="168"/>
      <c r="F1346" s="168"/>
      <c r="G1346" s="168"/>
      <c r="H1346" s="168"/>
      <c r="I1346" s="168"/>
      <c r="J1346" s="168"/>
      <c r="K1346" s="168"/>
      <c r="L1346" s="168"/>
      <c r="M1346" s="168"/>
      <c r="N1346" s="168"/>
      <c r="O1346" s="433"/>
      <c r="P1346" s="122"/>
      <c r="Q1346" s="156"/>
      <c r="R1346" s="156"/>
      <c r="S1346" s="156"/>
      <c r="T1346" s="156"/>
      <c r="U1346" s="156"/>
      <c r="V1346" s="156"/>
      <c r="W1346" s="156"/>
      <c r="X1346" s="156"/>
      <c r="Y1346" s="156"/>
      <c r="Z1346" s="157"/>
      <c r="AA1346" s="157"/>
      <c r="AB1346" s="156"/>
      <c r="AC1346" s="156"/>
      <c r="AD1346" s="156"/>
      <c r="AE1346" s="156"/>
      <c r="AF1346" s="156"/>
      <c r="AG1346" s="156"/>
      <c r="AH1346" s="156"/>
      <c r="AI1346" s="156"/>
      <c r="AJ1346" s="156"/>
      <c r="AK1346" s="156"/>
      <c r="AL1346" s="156"/>
      <c r="AM1346" s="158"/>
      <c r="AN1346" s="156"/>
      <c r="AO1346" s="156"/>
      <c r="AP1346" s="156"/>
      <c r="AQ1346" s="156"/>
      <c r="AR1346" s="156"/>
      <c r="AS1346" s="156"/>
      <c r="AT1346" s="156"/>
      <c r="AU1346" s="156"/>
      <c r="AV1346" s="156"/>
      <c r="AW1346" s="156"/>
      <c r="AX1346" s="156"/>
      <c r="AY1346" s="156"/>
      <c r="AZ1346" s="156"/>
      <c r="BA1346" s="153"/>
      <c r="BD1346" s="153"/>
      <c r="BE1346" s="147"/>
      <c r="BI1346" s="153"/>
      <c r="BO1346" s="153"/>
      <c r="BW1346" s="153"/>
      <c r="CD1346" s="146"/>
      <c r="CF1346" s="147"/>
      <c r="CI1346" s="146"/>
      <c r="CJ1346" s="153"/>
      <c r="CV1346" s="154"/>
      <c r="CX1346" s="154"/>
      <c r="CZ1346" s="154"/>
      <c r="DB1346" s="154"/>
      <c r="DD1346" s="154"/>
      <c r="DH1346" s="474"/>
      <c r="DI1346" s="459"/>
      <c r="DJ1346" s="459"/>
      <c r="DK1346" s="459"/>
      <c r="DL1346" s="459"/>
      <c r="DM1346" s="459"/>
      <c r="DN1346" s="459"/>
      <c r="DO1346" s="459"/>
      <c r="DP1346" s="459"/>
      <c r="DQ1346" s="459"/>
      <c r="DR1346" s="459"/>
      <c r="DS1346" s="459"/>
      <c r="DT1346" s="459"/>
      <c r="DU1346" s="459"/>
      <c r="DV1346" s="468"/>
      <c r="DW1346" s="468"/>
      <c r="DX1346" s="459"/>
      <c r="DY1346" s="459"/>
    </row>
    <row r="1347" spans="1:194" s="128" customFormat="1" ht="54.95" customHeight="1" x14ac:dyDescent="0.25">
      <c r="A1347" s="377"/>
      <c r="B1347" s="175"/>
      <c r="C1347" s="393"/>
      <c r="D1347" s="168"/>
      <c r="E1347" s="168"/>
      <c r="F1347" s="168"/>
      <c r="G1347" s="168"/>
      <c r="H1347" s="168"/>
      <c r="I1347" s="168"/>
      <c r="J1347" s="168"/>
      <c r="K1347" s="168"/>
      <c r="L1347" s="168"/>
      <c r="M1347" s="168"/>
      <c r="N1347" s="168"/>
      <c r="O1347" s="433"/>
      <c r="P1347" s="122"/>
      <c r="Q1347" s="156"/>
      <c r="R1347" s="156"/>
      <c r="S1347" s="156"/>
      <c r="T1347" s="156"/>
      <c r="U1347" s="156"/>
      <c r="V1347" s="156"/>
      <c r="W1347" s="156"/>
      <c r="X1347" s="156"/>
      <c r="Y1347" s="156"/>
      <c r="Z1347" s="157"/>
      <c r="AA1347" s="157"/>
      <c r="AB1347" s="156"/>
      <c r="AC1347" s="156"/>
      <c r="AD1347" s="156"/>
      <c r="AE1347" s="156"/>
      <c r="AF1347" s="156"/>
      <c r="AG1347" s="156"/>
      <c r="AH1347" s="156"/>
      <c r="AI1347" s="156"/>
      <c r="AJ1347" s="156"/>
      <c r="AK1347" s="156"/>
      <c r="AL1347" s="156"/>
      <c r="AM1347" s="158"/>
      <c r="AN1347" s="156"/>
      <c r="AO1347" s="156"/>
      <c r="AP1347" s="156"/>
      <c r="AQ1347" s="156"/>
      <c r="AR1347" s="156"/>
      <c r="AS1347" s="156"/>
      <c r="AT1347" s="156"/>
      <c r="AU1347" s="156"/>
      <c r="AV1347" s="156"/>
      <c r="AW1347" s="156"/>
      <c r="AX1347" s="156"/>
      <c r="AY1347" s="156"/>
      <c r="AZ1347" s="156"/>
      <c r="BA1347" s="153"/>
      <c r="BD1347" s="153"/>
      <c r="BE1347" s="147"/>
      <c r="BI1347" s="153"/>
      <c r="BO1347" s="153"/>
      <c r="BW1347" s="153"/>
      <c r="CD1347" s="146"/>
      <c r="CF1347" s="147"/>
      <c r="CI1347" s="146"/>
      <c r="CJ1347" s="153"/>
      <c r="CV1347" s="154"/>
      <c r="CX1347" s="154"/>
      <c r="CZ1347" s="154"/>
      <c r="DB1347" s="154"/>
      <c r="DD1347" s="154"/>
      <c r="DH1347" s="474"/>
      <c r="DI1347" s="459"/>
      <c r="DJ1347" s="459"/>
      <c r="DK1347" s="459"/>
      <c r="DL1347" s="459"/>
      <c r="DM1347" s="459"/>
      <c r="DN1347" s="459"/>
      <c r="DO1347" s="459"/>
      <c r="DP1347" s="459"/>
      <c r="DQ1347" s="459"/>
      <c r="DR1347" s="459"/>
      <c r="DS1347" s="459"/>
      <c r="DT1347" s="459"/>
      <c r="DU1347" s="459"/>
      <c r="DV1347" s="468"/>
      <c r="DW1347" s="468"/>
      <c r="DX1347" s="459"/>
      <c r="DY1347" s="459"/>
    </row>
    <row r="1348" spans="1:194" s="128" customFormat="1" ht="54.95" customHeight="1" x14ac:dyDescent="0.25">
      <c r="A1348" s="377"/>
      <c r="B1348" s="175"/>
      <c r="C1348" s="393"/>
      <c r="D1348" s="168"/>
      <c r="E1348" s="168"/>
      <c r="F1348" s="168"/>
      <c r="G1348" s="168"/>
      <c r="H1348" s="168"/>
      <c r="I1348" s="168"/>
      <c r="J1348" s="168"/>
      <c r="K1348" s="168"/>
      <c r="L1348" s="168"/>
      <c r="M1348" s="168"/>
      <c r="N1348" s="168"/>
      <c r="O1348" s="433"/>
      <c r="P1348" s="122"/>
      <c r="Q1348" s="156"/>
      <c r="R1348" s="156"/>
      <c r="S1348" s="156"/>
      <c r="T1348" s="156"/>
      <c r="U1348" s="156"/>
      <c r="V1348" s="156"/>
      <c r="W1348" s="156"/>
      <c r="X1348" s="156"/>
      <c r="Y1348" s="156"/>
      <c r="Z1348" s="157"/>
      <c r="AA1348" s="157"/>
      <c r="AB1348" s="156"/>
      <c r="AC1348" s="156"/>
      <c r="AD1348" s="156"/>
      <c r="AE1348" s="156"/>
      <c r="AF1348" s="156"/>
      <c r="AG1348" s="156"/>
      <c r="AH1348" s="156"/>
      <c r="AI1348" s="156"/>
      <c r="AJ1348" s="156"/>
      <c r="AK1348" s="156"/>
      <c r="AL1348" s="156"/>
      <c r="AM1348" s="158"/>
      <c r="AN1348" s="156"/>
      <c r="AO1348" s="156"/>
      <c r="AP1348" s="156"/>
      <c r="AQ1348" s="156"/>
      <c r="AR1348" s="156"/>
      <c r="AS1348" s="156"/>
      <c r="AT1348" s="156"/>
      <c r="AU1348" s="156"/>
      <c r="AV1348" s="156"/>
      <c r="AW1348" s="156"/>
      <c r="AX1348" s="156"/>
      <c r="AY1348" s="156"/>
      <c r="AZ1348" s="156"/>
      <c r="BA1348" s="153"/>
      <c r="BD1348" s="153"/>
      <c r="BE1348" s="147"/>
      <c r="BI1348" s="153"/>
      <c r="BO1348" s="153"/>
      <c r="BW1348" s="153"/>
      <c r="CD1348" s="146"/>
      <c r="CF1348" s="147"/>
      <c r="CI1348" s="146"/>
      <c r="CJ1348" s="153"/>
      <c r="CV1348" s="154"/>
      <c r="CX1348" s="154"/>
      <c r="CZ1348" s="154"/>
      <c r="DB1348" s="154"/>
      <c r="DD1348" s="154"/>
      <c r="DH1348" s="474"/>
      <c r="DI1348" s="459"/>
      <c r="DJ1348" s="459"/>
      <c r="DK1348" s="459"/>
      <c r="DL1348" s="459"/>
      <c r="DM1348" s="459"/>
      <c r="DN1348" s="459"/>
      <c r="DO1348" s="459"/>
      <c r="DP1348" s="459"/>
      <c r="DQ1348" s="459"/>
      <c r="DR1348" s="459"/>
      <c r="DS1348" s="459"/>
      <c r="DT1348" s="459"/>
      <c r="DU1348" s="459"/>
      <c r="DV1348" s="468"/>
      <c r="DW1348" s="468"/>
      <c r="DX1348" s="459"/>
      <c r="DY1348" s="459"/>
    </row>
    <row r="1349" spans="1:194" s="128" customFormat="1" ht="54.95" customHeight="1" x14ac:dyDescent="0.25">
      <c r="A1349" s="377"/>
      <c r="B1349" s="175"/>
      <c r="C1349" s="393"/>
      <c r="D1349" s="168"/>
      <c r="E1349" s="168"/>
      <c r="F1349" s="168"/>
      <c r="G1349" s="168"/>
      <c r="H1349" s="168"/>
      <c r="I1349" s="168"/>
      <c r="J1349" s="168"/>
      <c r="K1349" s="168"/>
      <c r="L1349" s="168"/>
      <c r="M1349" s="168"/>
      <c r="N1349" s="168"/>
      <c r="O1349" s="433"/>
      <c r="P1349" s="122"/>
      <c r="Q1349" s="156"/>
      <c r="R1349" s="156"/>
      <c r="S1349" s="156"/>
      <c r="T1349" s="156"/>
      <c r="U1349" s="156"/>
      <c r="V1349" s="156"/>
      <c r="W1349" s="156"/>
      <c r="X1349" s="156"/>
      <c r="Y1349" s="156"/>
      <c r="Z1349" s="157"/>
      <c r="AA1349" s="157"/>
      <c r="AB1349" s="156"/>
      <c r="AC1349" s="156"/>
      <c r="AD1349" s="156"/>
      <c r="AE1349" s="156"/>
      <c r="AF1349" s="156"/>
      <c r="AG1349" s="156"/>
      <c r="AH1349" s="156"/>
      <c r="AI1349" s="156"/>
      <c r="AJ1349" s="156"/>
      <c r="AK1349" s="156"/>
      <c r="AL1349" s="156"/>
      <c r="AM1349" s="158"/>
      <c r="AN1349" s="156"/>
      <c r="AO1349" s="156"/>
      <c r="AP1349" s="156"/>
      <c r="AQ1349" s="156"/>
      <c r="AR1349" s="156"/>
      <c r="AS1349" s="156"/>
      <c r="AT1349" s="156"/>
      <c r="AU1349" s="156"/>
      <c r="AV1349" s="156"/>
      <c r="AW1349" s="156"/>
      <c r="AX1349" s="156"/>
      <c r="AY1349" s="156"/>
      <c r="AZ1349" s="156"/>
      <c r="BA1349" s="153"/>
      <c r="BD1349" s="153"/>
      <c r="BE1349" s="147"/>
      <c r="BI1349" s="153"/>
      <c r="BO1349" s="153"/>
      <c r="BW1349" s="153"/>
      <c r="CD1349" s="146"/>
      <c r="CF1349" s="147"/>
      <c r="CI1349" s="146"/>
      <c r="CJ1349" s="153"/>
      <c r="CV1349" s="154"/>
      <c r="CX1349" s="154"/>
      <c r="CZ1349" s="154"/>
      <c r="DB1349" s="154"/>
      <c r="DD1349" s="154"/>
      <c r="DH1349" s="474"/>
      <c r="DI1349" s="459"/>
      <c r="DJ1349" s="459"/>
      <c r="DK1349" s="459"/>
      <c r="DL1349" s="459"/>
      <c r="DM1349" s="459"/>
      <c r="DN1349" s="459"/>
      <c r="DO1349" s="459"/>
      <c r="DP1349" s="459"/>
      <c r="DQ1349" s="459"/>
      <c r="DR1349" s="459"/>
      <c r="DS1349" s="459"/>
      <c r="DT1349" s="459"/>
      <c r="DU1349" s="459"/>
      <c r="DV1349" s="468"/>
      <c r="DW1349" s="468"/>
      <c r="DX1349" s="459"/>
      <c r="DY1349" s="459"/>
    </row>
    <row r="1350" spans="1:194" s="128" customFormat="1" ht="54.95" customHeight="1" x14ac:dyDescent="0.25">
      <c r="A1350" s="377"/>
      <c r="B1350" s="175"/>
      <c r="C1350" s="393"/>
      <c r="D1350" s="168"/>
      <c r="E1350" s="168"/>
      <c r="F1350" s="168"/>
      <c r="G1350" s="168"/>
      <c r="H1350" s="168"/>
      <c r="I1350" s="168"/>
      <c r="J1350" s="168"/>
      <c r="K1350" s="168"/>
      <c r="L1350" s="168"/>
      <c r="M1350" s="168"/>
      <c r="N1350" s="168"/>
      <c r="O1350" s="433"/>
      <c r="P1350" s="122"/>
      <c r="Q1350" s="156"/>
      <c r="R1350" s="156"/>
      <c r="S1350" s="156"/>
      <c r="T1350" s="156"/>
      <c r="U1350" s="156"/>
      <c r="V1350" s="156"/>
      <c r="W1350" s="156"/>
      <c r="X1350" s="156"/>
      <c r="Y1350" s="156"/>
      <c r="Z1350" s="157"/>
      <c r="AA1350" s="157"/>
      <c r="AB1350" s="156"/>
      <c r="AC1350" s="156"/>
      <c r="AD1350" s="156"/>
      <c r="AE1350" s="156"/>
      <c r="AF1350" s="156"/>
      <c r="AG1350" s="156"/>
      <c r="AH1350" s="156"/>
      <c r="AI1350" s="156"/>
      <c r="AJ1350" s="156"/>
      <c r="AK1350" s="156"/>
      <c r="AL1350" s="156"/>
      <c r="AM1350" s="158"/>
      <c r="AN1350" s="156"/>
      <c r="AO1350" s="156"/>
      <c r="AP1350" s="156"/>
      <c r="AQ1350" s="156"/>
      <c r="AR1350" s="156"/>
      <c r="AS1350" s="156"/>
      <c r="AT1350" s="156"/>
      <c r="AU1350" s="156"/>
      <c r="AV1350" s="156"/>
      <c r="AW1350" s="156"/>
      <c r="AX1350" s="156"/>
      <c r="AY1350" s="156"/>
      <c r="AZ1350" s="156"/>
      <c r="BA1350" s="153"/>
      <c r="BD1350" s="153"/>
      <c r="BE1350" s="147"/>
      <c r="BI1350" s="153"/>
      <c r="BO1350" s="153"/>
      <c r="BW1350" s="153"/>
      <c r="CD1350" s="146"/>
      <c r="CF1350" s="147"/>
      <c r="CI1350" s="146"/>
      <c r="CJ1350" s="153"/>
      <c r="CV1350" s="154"/>
      <c r="CX1350" s="154"/>
      <c r="CZ1350" s="154"/>
      <c r="DB1350" s="154"/>
      <c r="DD1350" s="154"/>
      <c r="DH1350" s="474"/>
      <c r="DI1350" s="459"/>
      <c r="DJ1350" s="459"/>
      <c r="DK1350" s="459"/>
      <c r="DL1350" s="459"/>
      <c r="DM1350" s="459"/>
      <c r="DN1350" s="459"/>
      <c r="DO1350" s="459"/>
      <c r="DP1350" s="459"/>
      <c r="DQ1350" s="459"/>
      <c r="DR1350" s="459"/>
      <c r="DS1350" s="459"/>
      <c r="DT1350" s="459"/>
      <c r="DU1350" s="459"/>
      <c r="DV1350" s="468"/>
      <c r="DW1350" s="468"/>
      <c r="DX1350" s="459"/>
      <c r="DY1350" s="459"/>
    </row>
    <row r="1351" spans="1:194" s="128" customFormat="1" ht="54.95" customHeight="1" x14ac:dyDescent="0.25">
      <c r="A1351" s="377"/>
      <c r="B1351" s="175"/>
      <c r="C1351" s="393"/>
      <c r="D1351" s="168"/>
      <c r="E1351" s="168"/>
      <c r="F1351" s="168"/>
      <c r="G1351" s="168"/>
      <c r="H1351" s="168"/>
      <c r="I1351" s="168"/>
      <c r="J1351" s="168"/>
      <c r="K1351" s="168"/>
      <c r="L1351" s="168"/>
      <c r="M1351" s="168"/>
      <c r="N1351" s="168"/>
      <c r="O1351" s="433"/>
      <c r="P1351" s="122"/>
      <c r="Q1351" s="156"/>
      <c r="R1351" s="156"/>
      <c r="S1351" s="156"/>
      <c r="T1351" s="156"/>
      <c r="U1351" s="156"/>
      <c r="V1351" s="156"/>
      <c r="W1351" s="156"/>
      <c r="X1351" s="156"/>
      <c r="Y1351" s="156"/>
      <c r="Z1351" s="157"/>
      <c r="AA1351" s="157"/>
      <c r="AB1351" s="156"/>
      <c r="AC1351" s="156"/>
      <c r="AD1351" s="156"/>
      <c r="AE1351" s="156"/>
      <c r="AF1351" s="156"/>
      <c r="AG1351" s="156"/>
      <c r="AH1351" s="156"/>
      <c r="AI1351" s="156"/>
      <c r="AJ1351" s="156"/>
      <c r="AK1351" s="156"/>
      <c r="AL1351" s="156"/>
      <c r="AM1351" s="158"/>
      <c r="AN1351" s="156"/>
      <c r="AO1351" s="156"/>
      <c r="AP1351" s="156"/>
      <c r="AQ1351" s="156"/>
      <c r="AR1351" s="156"/>
      <c r="AS1351" s="156"/>
      <c r="AT1351" s="156"/>
      <c r="AU1351" s="156"/>
      <c r="AV1351" s="156"/>
      <c r="AW1351" s="156"/>
      <c r="AX1351" s="156"/>
      <c r="AY1351" s="156"/>
      <c r="AZ1351" s="156"/>
      <c r="BA1351" s="153"/>
      <c r="BD1351" s="153"/>
      <c r="BE1351" s="147"/>
      <c r="BI1351" s="153"/>
      <c r="BO1351" s="153"/>
      <c r="BW1351" s="153"/>
      <c r="CD1351" s="146"/>
      <c r="CF1351" s="147"/>
      <c r="CI1351" s="146"/>
      <c r="CJ1351" s="153"/>
      <c r="CV1351" s="154"/>
      <c r="CX1351" s="154"/>
      <c r="CZ1351" s="154"/>
      <c r="DB1351" s="154"/>
      <c r="DD1351" s="154"/>
      <c r="DH1351" s="474"/>
      <c r="DI1351" s="459"/>
      <c r="DJ1351" s="459"/>
      <c r="DK1351" s="459"/>
      <c r="DL1351" s="459"/>
      <c r="DM1351" s="459"/>
      <c r="DN1351" s="459"/>
      <c r="DO1351" s="459"/>
      <c r="DP1351" s="459"/>
      <c r="DQ1351" s="459"/>
      <c r="DR1351" s="459"/>
      <c r="DS1351" s="459"/>
      <c r="DT1351" s="459"/>
      <c r="DU1351" s="459"/>
      <c r="DV1351" s="468"/>
      <c r="DW1351" s="468"/>
      <c r="DX1351" s="459"/>
      <c r="DY1351" s="459"/>
    </row>
    <row r="1352" spans="1:194" s="128" customFormat="1" ht="39.950000000000003" customHeight="1" x14ac:dyDescent="0.25">
      <c r="A1352" s="377"/>
      <c r="B1352" s="6"/>
      <c r="C1352" s="406"/>
      <c r="D1352" s="407"/>
      <c r="E1352" s="407"/>
      <c r="F1352" s="407"/>
      <c r="G1352" s="407"/>
      <c r="H1352" s="407"/>
      <c r="I1352" s="407"/>
      <c r="J1352" s="6"/>
      <c r="K1352" s="6"/>
      <c r="L1352" s="6"/>
      <c r="M1352" s="6"/>
      <c r="N1352" s="385"/>
      <c r="O1352" s="433"/>
      <c r="P1352" s="122"/>
      <c r="Q1352" s="156"/>
      <c r="R1352" s="156"/>
      <c r="S1352" s="156"/>
      <c r="T1352" s="156"/>
      <c r="U1352" s="156"/>
      <c r="V1352" s="156"/>
      <c r="W1352" s="156"/>
      <c r="X1352" s="156"/>
      <c r="Y1352" s="156"/>
      <c r="Z1352" s="157"/>
      <c r="AA1352" s="157"/>
      <c r="AB1352" s="156"/>
      <c r="AC1352" s="156"/>
      <c r="AD1352" s="156"/>
      <c r="AE1352" s="156"/>
      <c r="AF1352" s="156"/>
      <c r="AG1352" s="156"/>
      <c r="AH1352" s="156"/>
      <c r="AI1352" s="156"/>
      <c r="AJ1352" s="156"/>
      <c r="AK1352" s="156"/>
      <c r="AL1352" s="156"/>
      <c r="AM1352" s="158"/>
      <c r="AN1352" s="156"/>
      <c r="AO1352" s="156"/>
      <c r="AP1352" s="156"/>
      <c r="AQ1352" s="156"/>
      <c r="AR1352" s="156"/>
      <c r="AS1352" s="156"/>
      <c r="AT1352" s="156"/>
      <c r="AU1352" s="156"/>
      <c r="AV1352" s="156"/>
      <c r="AW1352" s="156"/>
      <c r="AX1352" s="156"/>
      <c r="AY1352" s="156"/>
      <c r="AZ1352" s="156"/>
      <c r="BA1352" s="153"/>
      <c r="BD1352" s="153"/>
      <c r="BE1352" s="147"/>
      <c r="BI1352" s="153"/>
      <c r="BO1352" s="153"/>
      <c r="BW1352" s="153"/>
      <c r="CD1352" s="146"/>
      <c r="CF1352" s="147"/>
      <c r="CI1352" s="146"/>
      <c r="CJ1352" s="153"/>
      <c r="CV1352" s="154"/>
      <c r="CX1352" s="154"/>
      <c r="CZ1352" s="154"/>
      <c r="DB1352" s="154"/>
      <c r="DD1352" s="154"/>
      <c r="DH1352" s="474"/>
      <c r="DI1352" s="459"/>
      <c r="DJ1352" s="459"/>
      <c r="DK1352" s="459"/>
      <c r="DL1352" s="459"/>
      <c r="DM1352" s="459"/>
      <c r="DN1352" s="459"/>
      <c r="DO1352" s="459"/>
      <c r="DP1352" s="459"/>
      <c r="DQ1352" s="459"/>
      <c r="DR1352" s="459"/>
      <c r="DS1352" s="459"/>
      <c r="DT1352" s="459"/>
      <c r="DU1352" s="459"/>
      <c r="DV1352" s="468"/>
      <c r="DW1352" s="468"/>
      <c r="DX1352" s="459"/>
      <c r="DY1352" s="459"/>
    </row>
    <row r="1353" spans="1:194" s="261" customFormat="1" ht="39.950000000000003" customHeight="1" x14ac:dyDescent="0.25">
      <c r="A1353" s="379"/>
      <c r="B1353" s="175"/>
      <c r="C1353" s="393"/>
      <c r="D1353" s="408"/>
      <c r="E1353" s="408"/>
      <c r="F1353" s="408"/>
      <c r="G1353" s="408"/>
      <c r="H1353" s="408"/>
      <c r="I1353" s="408"/>
      <c r="J1353" s="175"/>
      <c r="K1353" s="175"/>
      <c r="L1353" s="175"/>
      <c r="M1353" s="175"/>
      <c r="N1353" s="435"/>
      <c r="O1353" s="436"/>
      <c r="P1353" s="192"/>
      <c r="Q1353" s="258"/>
      <c r="R1353" s="258"/>
      <c r="S1353" s="258"/>
      <c r="T1353" s="258"/>
      <c r="U1353" s="258"/>
      <c r="V1353" s="258"/>
      <c r="W1353" s="258"/>
      <c r="X1353" s="258"/>
      <c r="Y1353" s="258"/>
      <c r="Z1353" s="258"/>
      <c r="AA1353" s="258"/>
      <c r="AB1353" s="258"/>
      <c r="AC1353" s="258"/>
      <c r="AD1353" s="258"/>
      <c r="AE1353" s="258"/>
      <c r="AF1353" s="258"/>
      <c r="AG1353" s="258"/>
      <c r="AH1353" s="258"/>
      <c r="AI1353" s="258"/>
      <c r="AJ1353" s="258"/>
      <c r="AK1353" s="258"/>
      <c r="AL1353" s="258"/>
      <c r="AM1353" s="259"/>
      <c r="AN1353" s="258"/>
      <c r="AO1353" s="258"/>
      <c r="AP1353" s="258"/>
      <c r="AQ1353" s="258"/>
      <c r="AR1353" s="258"/>
      <c r="AS1353" s="258"/>
      <c r="AT1353" s="258"/>
      <c r="AU1353" s="258"/>
      <c r="AV1353" s="258"/>
      <c r="AW1353" s="258"/>
      <c r="AX1353" s="258"/>
      <c r="AY1353" s="258"/>
      <c r="AZ1353" s="258"/>
      <c r="BA1353" s="260"/>
      <c r="BD1353" s="260"/>
      <c r="BE1353" s="262"/>
      <c r="BI1353" s="260"/>
      <c r="BO1353" s="260"/>
      <c r="BW1353" s="260"/>
      <c r="CD1353" s="263"/>
      <c r="CF1353" s="262"/>
      <c r="CI1353" s="263"/>
      <c r="CJ1353" s="260"/>
      <c r="CV1353" s="264"/>
      <c r="CX1353" s="264"/>
      <c r="CZ1353" s="264"/>
      <c r="DB1353" s="264"/>
      <c r="DD1353" s="264"/>
      <c r="DH1353" s="475"/>
      <c r="DI1353" s="460"/>
      <c r="DJ1353" s="460"/>
      <c r="DK1353" s="460"/>
      <c r="DL1353" s="460"/>
      <c r="DM1353" s="460"/>
      <c r="DN1353" s="460"/>
      <c r="DO1353" s="460"/>
      <c r="DP1353" s="460"/>
      <c r="DQ1353" s="460"/>
      <c r="DR1353" s="460"/>
      <c r="DS1353" s="460"/>
      <c r="DT1353" s="460"/>
      <c r="DU1353" s="460"/>
      <c r="DV1353" s="469"/>
      <c r="DW1353" s="469"/>
      <c r="DX1353" s="460"/>
      <c r="DY1353" s="460"/>
    </row>
    <row r="1354" spans="1:194" s="261" customFormat="1" ht="54.95" customHeight="1" x14ac:dyDescent="0.25">
      <c r="A1354" s="615" t="s">
        <v>419</v>
      </c>
      <c r="B1354" s="616"/>
      <c r="C1354" s="616"/>
      <c r="D1354" s="616"/>
      <c r="E1354" s="616"/>
      <c r="F1354" s="616"/>
      <c r="G1354" s="616"/>
      <c r="H1354" s="616"/>
      <c r="I1354" s="616"/>
      <c r="J1354" s="616"/>
      <c r="K1354" s="616"/>
      <c r="L1354" s="616"/>
      <c r="M1354" s="616"/>
      <c r="N1354" s="616"/>
      <c r="O1354" s="617"/>
      <c r="P1354" s="192"/>
      <c r="Q1354" s="258"/>
      <c r="R1354" s="258"/>
      <c r="S1354" s="258"/>
      <c r="T1354" s="258"/>
      <c r="U1354" s="258"/>
      <c r="V1354" s="258"/>
      <c r="W1354" s="258"/>
      <c r="X1354" s="258"/>
      <c r="Y1354" s="258"/>
      <c r="Z1354" s="258"/>
      <c r="AA1354" s="258"/>
      <c r="AB1354" s="258"/>
      <c r="AC1354" s="258"/>
      <c r="AD1354" s="258"/>
      <c r="AE1354" s="258"/>
      <c r="AF1354" s="258"/>
      <c r="AG1354" s="258"/>
      <c r="AH1354" s="258"/>
      <c r="AI1354" s="258"/>
      <c r="AJ1354" s="258"/>
      <c r="AK1354" s="258"/>
      <c r="AL1354" s="258"/>
      <c r="AM1354" s="259"/>
      <c r="AN1354" s="258"/>
      <c r="AO1354" s="258"/>
      <c r="AP1354" s="258"/>
      <c r="AQ1354" s="258"/>
      <c r="AR1354" s="258"/>
      <c r="AS1354" s="258"/>
      <c r="AT1354" s="258"/>
      <c r="AU1354" s="258"/>
      <c r="AV1354" s="258"/>
      <c r="AW1354" s="258"/>
      <c r="AX1354" s="258"/>
      <c r="AY1354" s="258"/>
      <c r="AZ1354" s="258"/>
      <c r="BA1354" s="260"/>
      <c r="BD1354" s="260"/>
      <c r="BE1354" s="262"/>
      <c r="BI1354" s="260"/>
      <c r="BO1354" s="260"/>
      <c r="BW1354" s="260"/>
      <c r="CD1354" s="263"/>
      <c r="CF1354" s="262"/>
      <c r="CI1354" s="263"/>
      <c r="CJ1354" s="260"/>
      <c r="CV1354" s="264"/>
      <c r="CX1354" s="264"/>
      <c r="CZ1354" s="264"/>
      <c r="DB1354" s="264"/>
      <c r="DD1354" s="264"/>
      <c r="DH1354" s="475"/>
      <c r="DI1354" s="460"/>
      <c r="DJ1354" s="460"/>
      <c r="DK1354" s="460"/>
      <c r="DL1354" s="460"/>
      <c r="DM1354" s="460"/>
      <c r="DN1354" s="460"/>
      <c r="DO1354" s="460"/>
      <c r="DP1354" s="460"/>
      <c r="DQ1354" s="460"/>
      <c r="DR1354" s="460"/>
      <c r="DS1354" s="460"/>
      <c r="DT1354" s="460"/>
      <c r="DU1354" s="460"/>
      <c r="DV1354" s="469"/>
      <c r="DW1354" s="469"/>
      <c r="DX1354" s="460"/>
      <c r="DY1354" s="460"/>
    </row>
    <row r="1355" spans="1:194" s="255" customFormat="1" ht="54.95" customHeight="1" x14ac:dyDescent="0.3">
      <c r="A1355" s="380" t="s">
        <v>193</v>
      </c>
      <c r="B1355" s="381" t="s">
        <v>25</v>
      </c>
      <c r="C1355" s="409" t="s">
        <v>174</v>
      </c>
      <c r="D1355" s="601" t="s">
        <v>173</v>
      </c>
      <c r="E1355" s="601"/>
      <c r="F1355" s="601"/>
      <c r="G1355" s="601"/>
      <c r="H1355" s="601"/>
      <c r="I1355" s="601"/>
      <c r="J1355" s="437" t="s">
        <v>406</v>
      </c>
      <c r="K1355" s="437" t="s">
        <v>405</v>
      </c>
      <c r="L1355" s="438" t="s">
        <v>171</v>
      </c>
      <c r="M1355" s="381" t="s">
        <v>2</v>
      </c>
      <c r="N1355" s="439" t="s">
        <v>7</v>
      </c>
      <c r="O1355" s="440" t="s">
        <v>8</v>
      </c>
      <c r="P1355" s="159"/>
      <c r="Q1355" s="164" t="s">
        <v>93</v>
      </c>
      <c r="R1355" s="164" t="s">
        <v>34</v>
      </c>
      <c r="S1355" s="164" t="s">
        <v>28</v>
      </c>
      <c r="T1355" s="164" t="s">
        <v>95</v>
      </c>
      <c r="U1355" s="164" t="s">
        <v>96</v>
      </c>
      <c r="V1355" s="164" t="s">
        <v>97</v>
      </c>
      <c r="W1355" s="164" t="s">
        <v>4</v>
      </c>
      <c r="X1355" s="164" t="s">
        <v>103</v>
      </c>
      <c r="Y1355" s="160" t="s">
        <v>402</v>
      </c>
      <c r="Z1355" s="165" t="s">
        <v>403</v>
      </c>
      <c r="AA1355" s="462" t="s">
        <v>404</v>
      </c>
      <c r="AB1355" s="164" t="s">
        <v>99</v>
      </c>
      <c r="AC1355" s="164" t="s">
        <v>395</v>
      </c>
      <c r="AD1355" s="253" t="s">
        <v>36</v>
      </c>
      <c r="AE1355" s="164" t="s">
        <v>389</v>
      </c>
      <c r="AF1355" s="164" t="s">
        <v>390</v>
      </c>
      <c r="AG1355" s="164" t="s">
        <v>164</v>
      </c>
      <c r="AH1355" s="253" t="s">
        <v>396</v>
      </c>
      <c r="AI1355" s="164" t="s">
        <v>190</v>
      </c>
      <c r="AJ1355" s="164" t="s">
        <v>339</v>
      </c>
      <c r="AK1355" s="253" t="s">
        <v>391</v>
      </c>
      <c r="AL1355" s="253" t="s">
        <v>393</v>
      </c>
      <c r="AM1355" s="167" t="s">
        <v>93</v>
      </c>
      <c r="AN1355" s="168" t="s">
        <v>34</v>
      </c>
      <c r="AO1355" s="169" t="s">
        <v>28</v>
      </c>
      <c r="AP1355" s="170" t="s">
        <v>95</v>
      </c>
      <c r="AQ1355" s="167" t="s">
        <v>3</v>
      </c>
      <c r="AR1355" s="167" t="s">
        <v>96</v>
      </c>
      <c r="AS1355" s="169" t="s">
        <v>97</v>
      </c>
      <c r="AT1355" s="170" t="s">
        <v>4</v>
      </c>
      <c r="AU1355" s="169" t="s">
        <v>103</v>
      </c>
      <c r="AV1355" s="170" t="s">
        <v>99</v>
      </c>
      <c r="AW1355" s="169" t="s">
        <v>36</v>
      </c>
      <c r="AX1355" s="171" t="s">
        <v>29</v>
      </c>
      <c r="AY1355" s="172" t="s">
        <v>190</v>
      </c>
      <c r="AZ1355" s="173" t="s">
        <v>102</v>
      </c>
      <c r="BA1355" s="174"/>
      <c r="BB1355" s="183"/>
      <c r="BC1355" s="211" t="s">
        <v>119</v>
      </c>
      <c r="BD1355" s="174"/>
      <c r="BE1355" s="176" t="s">
        <v>189</v>
      </c>
      <c r="BF1355" s="177" t="str">
        <f>$BF$13</f>
        <v xml:space="preserve">VR SILICONA </v>
      </c>
      <c r="BG1355" s="177" t="str">
        <f>$BG$13</f>
        <v xml:space="preserve">VR PELÍCULA </v>
      </c>
      <c r="BH1355" s="177" t="str">
        <f>$BH$13</f>
        <v>VR EMBALAJE</v>
      </c>
      <c r="BI1355" s="174"/>
      <c r="BJ1355" s="176" t="str">
        <f>$BJ$13</f>
        <v>ESP. CRISTAL</v>
      </c>
      <c r="BK1355" s="176" t="s">
        <v>130</v>
      </c>
      <c r="BL1355" s="177" t="s">
        <v>28</v>
      </c>
      <c r="BM1355" s="177">
        <f>BM352</f>
        <v>0</v>
      </c>
      <c r="BN1355" s="177" t="s">
        <v>133</v>
      </c>
      <c r="BO1355" s="174"/>
      <c r="BP1355" s="175"/>
      <c r="BQ1355" s="175"/>
      <c r="BR1355" s="175"/>
      <c r="BS1355" s="175"/>
      <c r="BT1355" s="175"/>
      <c r="BU1355" s="175"/>
      <c r="BV1355" s="175"/>
      <c r="BW1355" s="174"/>
      <c r="BX1355" s="175"/>
      <c r="BY1355" s="175"/>
      <c r="BZ1355" s="175"/>
      <c r="CA1355" s="175"/>
      <c r="CB1355" s="175"/>
      <c r="CC1355" s="175"/>
      <c r="CD1355" s="184"/>
      <c r="CE1355" s="175"/>
      <c r="CF1355" s="185"/>
      <c r="CG1355" s="175"/>
      <c r="CH1355" s="175"/>
      <c r="CI1355" s="184"/>
      <c r="CJ1355" s="174"/>
      <c r="CK1355" s="254" t="s">
        <v>415</v>
      </c>
      <c r="CL1355" s="265" t="s">
        <v>417</v>
      </c>
      <c r="CM1355" s="265" t="s">
        <v>416</v>
      </c>
      <c r="CN1355" s="266" t="s">
        <v>418</v>
      </c>
      <c r="CO1355" s="265" t="s">
        <v>417</v>
      </c>
      <c r="CP1355" s="265" t="s">
        <v>409</v>
      </c>
      <c r="CQ1355" s="265" t="s">
        <v>410</v>
      </c>
      <c r="CR1355" s="265" t="s">
        <v>411</v>
      </c>
      <c r="CS1355" s="265" t="s">
        <v>412</v>
      </c>
      <c r="CT1355" s="265" t="s">
        <v>413</v>
      </c>
      <c r="CU1355" s="476" t="s">
        <v>2</v>
      </c>
      <c r="CV1355" s="477" t="s">
        <v>159</v>
      </c>
      <c r="CW1355" s="478" t="s">
        <v>2</v>
      </c>
      <c r="CX1355" s="477" t="s">
        <v>159</v>
      </c>
      <c r="CY1355" s="478" t="s">
        <v>2</v>
      </c>
      <c r="CZ1355" s="477" t="s">
        <v>159</v>
      </c>
      <c r="DA1355" s="478" t="s">
        <v>2</v>
      </c>
      <c r="DB1355" s="477" t="s">
        <v>159</v>
      </c>
      <c r="DC1355" s="478" t="s">
        <v>2</v>
      </c>
      <c r="DD1355" s="479" t="s">
        <v>159</v>
      </c>
      <c r="DE1355" s="183"/>
      <c r="DF1355" s="183"/>
      <c r="DG1355" s="177" t="s">
        <v>505</v>
      </c>
      <c r="DH1355" s="472" t="s">
        <v>509</v>
      </c>
      <c r="DI1355" s="457" t="s">
        <v>506</v>
      </c>
      <c r="DJ1355" s="457" t="s">
        <v>134</v>
      </c>
      <c r="DK1355" s="457" t="s">
        <v>498</v>
      </c>
      <c r="DL1355" s="457" t="s">
        <v>499</v>
      </c>
      <c r="DM1355" s="457" t="s">
        <v>500</v>
      </c>
      <c r="DN1355" s="457" t="s">
        <v>131</v>
      </c>
      <c r="DO1355" s="457" t="s">
        <v>390</v>
      </c>
      <c r="DP1355" s="457" t="s">
        <v>36</v>
      </c>
      <c r="DQ1355" s="457" t="s">
        <v>501</v>
      </c>
      <c r="DR1355" s="457" t="s">
        <v>502</v>
      </c>
      <c r="DS1355" s="457" t="s">
        <v>503</v>
      </c>
      <c r="DT1355" s="457" t="s">
        <v>4</v>
      </c>
      <c r="DU1355" s="457" t="s">
        <v>504</v>
      </c>
      <c r="DV1355" s="466" t="s">
        <v>507</v>
      </c>
      <c r="DW1355" s="466" t="s">
        <v>508</v>
      </c>
      <c r="DX1355" s="457" t="s">
        <v>510</v>
      </c>
      <c r="DY1355" s="457" t="s">
        <v>511</v>
      </c>
      <c r="DZ1355" s="183"/>
      <c r="EA1355" s="183"/>
      <c r="EB1355" s="183"/>
      <c r="EC1355" s="183"/>
      <c r="ED1355" s="183"/>
      <c r="EE1355" s="183"/>
      <c r="EF1355" s="183"/>
      <c r="EG1355" s="183"/>
      <c r="EH1355" s="183"/>
      <c r="EI1355" s="183"/>
      <c r="EJ1355" s="183"/>
      <c r="EK1355" s="183"/>
      <c r="EL1355" s="183"/>
      <c r="EM1355" s="183"/>
      <c r="EN1355" s="183"/>
      <c r="EO1355" s="183"/>
      <c r="EP1355" s="183"/>
      <c r="EQ1355" s="183"/>
      <c r="ER1355" s="183"/>
      <c r="ES1355" s="183"/>
      <c r="ET1355" s="183"/>
      <c r="EU1355" s="183"/>
      <c r="EV1355" s="183"/>
      <c r="EW1355" s="183"/>
      <c r="EX1355" s="183"/>
      <c r="EY1355" s="183"/>
      <c r="EZ1355" s="183"/>
      <c r="FA1355" s="183"/>
      <c r="FB1355" s="183"/>
      <c r="FC1355" s="183"/>
      <c r="FD1355" s="183"/>
      <c r="FE1355" s="183"/>
      <c r="FF1355" s="183"/>
      <c r="FG1355" s="183"/>
      <c r="FH1355" s="183"/>
      <c r="FI1355" s="183"/>
      <c r="FJ1355" s="183"/>
      <c r="FK1355" s="183"/>
      <c r="FL1355" s="183"/>
      <c r="FM1355" s="183"/>
      <c r="FN1355" s="183"/>
      <c r="FO1355" s="183"/>
      <c r="FP1355" s="183"/>
      <c r="FQ1355" s="183"/>
      <c r="FR1355" s="183"/>
      <c r="FS1355" s="183"/>
      <c r="FT1355" s="183"/>
      <c r="FU1355" s="183"/>
      <c r="FV1355" s="183"/>
      <c r="FW1355" s="183"/>
      <c r="FX1355" s="183"/>
      <c r="FY1355" s="183"/>
      <c r="FZ1355" s="183"/>
      <c r="GA1355" s="183"/>
      <c r="GB1355" s="183"/>
      <c r="GC1355" s="183"/>
      <c r="GD1355" s="183"/>
      <c r="GE1355" s="183"/>
      <c r="GF1355" s="183"/>
      <c r="GG1355" s="183"/>
      <c r="GH1355" s="183"/>
      <c r="GI1355" s="183"/>
      <c r="GJ1355" s="183"/>
      <c r="GK1355" s="183"/>
      <c r="GL1355" s="183"/>
    </row>
    <row r="1356" spans="1:194" s="175" customFormat="1" ht="54.95" customHeight="1" x14ac:dyDescent="0.3">
      <c r="A1356" s="364"/>
      <c r="B1356" s="365"/>
      <c r="C1356" s="392" t="s">
        <v>27</v>
      </c>
      <c r="D1356" s="602"/>
      <c r="E1356" s="602"/>
      <c r="F1356" s="602"/>
      <c r="G1356" s="602"/>
      <c r="H1356" s="602"/>
      <c r="I1356" s="602"/>
      <c r="J1356" s="603"/>
      <c r="K1356" s="603"/>
      <c r="L1356" s="606">
        <f>J1356*K1356*M1356</f>
        <v>0</v>
      </c>
      <c r="M1356" s="596"/>
      <c r="N1356" s="609">
        <f>IFERROR(AL1356,"")</f>
        <v>1.1502546360919998</v>
      </c>
      <c r="O1356" s="612">
        <f>IFERROR(N1356*M1356,"")</f>
        <v>0</v>
      </c>
      <c r="P1356" s="192"/>
      <c r="Q1356" s="193">
        <f>Q1357+BF1356+($R$350*Q1357)</f>
        <v>0</v>
      </c>
      <c r="R1356" s="193">
        <f>IFERROR(R1357+($R$348*R1357),"")</f>
        <v>0</v>
      </c>
      <c r="S1356" s="194">
        <f>+IF(R1358="SI",((W1360*'BD GN'!$AB$2)+S1357)*1,COTIZACIÓN!S1357*1)+($R$352*S1357)</f>
        <v>0</v>
      </c>
      <c r="T1356" s="195">
        <f>IFERROR(R1356*IF(K1356&lt;=3,$T$13,15%),"")</f>
        <v>0</v>
      </c>
      <c r="U1356" s="196">
        <f>BH1356+BG1356</f>
        <v>0</v>
      </c>
      <c r="V1356" s="197" t="str">
        <f>IFERROR(BN1356,0)</f>
        <v/>
      </c>
      <c r="W1356" s="198" t="str">
        <f>IFERROR(IF(X1358="SI",W1359*J1356*K1356,IF(BE1356=3,BE1358,IF(BE1356=4,BE1359,IF(BE1356=5,BE1360,IF(BE1356&gt;5,BE1360+(BE1361*(BE1356-5)),"")))))*0,"")</f>
        <v/>
      </c>
      <c r="X1356" s="198" t="str">
        <f>IFERROR(IF(X1357="NO",(VLOOKUP(D1356,'BD M.O'!C:E,3,FALSE))*W1360,((VLOOKUP(D1356,'BD M.O'!C:E,3,FALSE))+7500)*W1360),"")</f>
        <v/>
      </c>
      <c r="Y1356" s="198">
        <f>IFERROR($Y$13*AK1356,"")</f>
        <v>4.2084457416288003E-2</v>
      </c>
      <c r="Z1356" s="198">
        <f>IFERROR($Z$13*AK1356,"")</f>
        <v>5.8166708502000002E-3</v>
      </c>
      <c r="AA1356" s="199">
        <f>IFERROR(Y1356+Z1356,"")</f>
        <v>4.7901128266487999E-2</v>
      </c>
      <c r="AB1356" s="200">
        <f>IFERROR((SUM(Q1356:X1356)-T1356+T1358)*$AB$13,"")</f>
        <v>0</v>
      </c>
      <c r="AC1356" s="201">
        <f>IFERROR(((SUM(Q1356:V1356,IF(X1361&gt;AA1356,AVERAGE(X1361,AA1356),AA1356))-T1356+T1358))*$AB$13,"")</f>
        <v>9.5802256532976E-4</v>
      </c>
      <c r="AD1356" s="202" t="str">
        <f>IFERROR((J1356*K1356*$BV$14),"")</f>
        <v/>
      </c>
      <c r="AE1356" s="202">
        <f>IFERROR($AE$13*AK1356,"")</f>
        <v>6.4010592649919984E-2</v>
      </c>
      <c r="AF1356" s="203" t="str">
        <f>IFERROR(($CI$11+$CI$13)*W1360,"")</f>
        <v/>
      </c>
      <c r="AG1356" s="267">
        <f>IFERROR((SUM(Q1356:X1356,AB1356,AD1356,AF1356)-T1356+T1358)*$AG$13,"")</f>
        <v>0</v>
      </c>
      <c r="AH1356" s="202">
        <f>IFERROR((SUM(Q1356:V1356,(IF(X1361&gt;AA1356,AVERAGE(X1361,AA1356),AA1356)),AC1356,AE1356,AF1356)-T1356+T1358)*$AG$13,"")</f>
        <v>5.6434871740868871E-2</v>
      </c>
      <c r="AI1356" s="268">
        <f>IFERROR(AL1356*$AI$13,"")</f>
        <v>2.3005092721839999E-2</v>
      </c>
      <c r="AJ1356" s="268">
        <f>IFERROR($AJ$13*AL1356,"")</f>
        <v>6.4184208693933587E-3</v>
      </c>
      <c r="AK1356" s="205">
        <f>IFERROR(SUM(Q1356:X1356,AB1356,AD1356,AG1356,AF1356)/(1-$AI$13)+(1-$AJ$13)-T1356+T1358,"")</f>
        <v>0.99441999999999997</v>
      </c>
      <c r="AL1356" s="205">
        <f>IFERROR(SUM(Q1356:V1356,AC1356,(IF(AD1356&gt;AE1356,AVERAGE(AD1356,AE1356),AE1356)),AF1356,,AH1356,(IF(SUM(X1361)&gt;AA1356,AVERAGE(AA1356,X1361),AA1356)))/(1-$AJ$13)+(1-$AI$13)-T1356+T1358,"")</f>
        <v>1.1502546360919998</v>
      </c>
      <c r="AM1356" s="206">
        <f>$M$15*Q1356</f>
        <v>0</v>
      </c>
      <c r="AN1356" s="207">
        <f>$M$15*R1356</f>
        <v>0</v>
      </c>
      <c r="AO1356" s="208">
        <f>$M$15*S1356</f>
        <v>0</v>
      </c>
      <c r="AP1356" s="207">
        <f>$M$15*T1356</f>
        <v>0</v>
      </c>
      <c r="AQ1356" s="207" t="e">
        <f>$M$15*#REF!</f>
        <v>#REF!</v>
      </c>
      <c r="AR1356" s="207">
        <f>$M$15*U1356</f>
        <v>0</v>
      </c>
      <c r="AS1356" s="208" t="e">
        <f>$M$15*V1356</f>
        <v>#VALUE!</v>
      </c>
      <c r="AT1356" s="207" t="e">
        <f>$M$15*W1356</f>
        <v>#VALUE!</v>
      </c>
      <c r="AU1356" s="208" t="e">
        <f>$M$15*X1356</f>
        <v>#VALUE!</v>
      </c>
      <c r="AV1356" s="207">
        <f>$M$15*AB1356</f>
        <v>0</v>
      </c>
      <c r="AW1356" s="208">
        <f>$M$15*AE1356</f>
        <v>0</v>
      </c>
      <c r="AX1356" s="207">
        <f>$M$15*AG1356</f>
        <v>0</v>
      </c>
      <c r="AY1356" s="209">
        <f>$M$15*AI1356</f>
        <v>0</v>
      </c>
      <c r="AZ1356" s="207">
        <f>$M$15*AK1356</f>
        <v>0</v>
      </c>
      <c r="BA1356" s="210"/>
      <c r="BB1356" s="175" t="s">
        <v>23</v>
      </c>
      <c r="BC1356" s="211" t="s">
        <v>113</v>
      </c>
      <c r="BD1356" s="210"/>
      <c r="BE1356" s="212"/>
      <c r="BF1356" s="213">
        <f>IF(BH1357="NO",((2*J1356)+(2*K1356))*'BD GN'!$AU$3,((3*J1356)+(2*K1356))*'BD GN'!$AU$3)</f>
        <v>0</v>
      </c>
      <c r="BG1356" s="213">
        <f>'BD GN'!$BB$3*J1356*K1356</f>
        <v>0</v>
      </c>
      <c r="BH1356" s="214">
        <f>((J1356*2*BE1356)+(K1356*2*BE1356))*'BD GN'!$AN$4</f>
        <v>0</v>
      </c>
      <c r="BI1356" s="210"/>
      <c r="BJ1356" s="212"/>
      <c r="BK1356" s="212"/>
      <c r="BL1356" s="215">
        <f>J1356*K1356*2.5*BJ1356</f>
        <v>0</v>
      </c>
      <c r="BM1356" s="215">
        <f>BK1356+BL1356</f>
        <v>0</v>
      </c>
      <c r="BN1356" s="216" t="str">
        <f>IFERROR((VLOOKUP($C$12,'BD GN'!BD:BM,10,FALSE)*BM1356)+0,"")</f>
        <v/>
      </c>
      <c r="BO1356" s="210"/>
      <c r="BW1356" s="210"/>
      <c r="CD1356" s="184"/>
      <c r="CF1356" s="185"/>
      <c r="CI1356" s="184"/>
      <c r="CJ1356" s="210"/>
      <c r="CK1356" s="565"/>
      <c r="CL1356" s="256"/>
      <c r="CM1356" s="596"/>
      <c r="CN1356" s="596"/>
      <c r="CO1356" s="567"/>
      <c r="CP1356" s="567"/>
      <c r="CQ1356" s="567"/>
      <c r="CR1356" s="567"/>
      <c r="CS1356" s="567"/>
      <c r="CT1356" s="567"/>
      <c r="CU1356" s="563"/>
      <c r="CV1356" s="561">
        <f>IFERROR(N1356*CU1356,"")</f>
        <v>0</v>
      </c>
      <c r="CW1356" s="563"/>
      <c r="CX1356" s="561">
        <f>IFERROR(P1356*CW1356,"")</f>
        <v>0</v>
      </c>
      <c r="CY1356" s="563"/>
      <c r="CZ1356" s="561">
        <f>IFERROR(R1356*CY1356,"")</f>
        <v>0</v>
      </c>
      <c r="DA1356" s="563">
        <f t="shared" ref="DA1356" si="1333">CU1356+CW1356+CY1356</f>
        <v>0</v>
      </c>
      <c r="DB1356" s="561">
        <f t="shared" ref="DB1356" si="1334">IFERROR(CV1356+CX1356+CZ1356,"")</f>
        <v>0</v>
      </c>
      <c r="DC1356" s="563">
        <f>M1356-(CU1356+CW1356+CY1356)</f>
        <v>0</v>
      </c>
      <c r="DD1356" s="561">
        <f>IFERROR(O1356-(CV1356+CX1356+CZ1356),"")</f>
        <v>0</v>
      </c>
      <c r="DG1356" s="575"/>
      <c r="DH1356" s="575"/>
      <c r="DI1356" s="569">
        <f t="shared" ref="DI1356" si="1335">IFERROR(IF(DG1356&gt;0,(((N1356)/(1+10%+19%*5%)+((N1356)/(1+10%+19%*5%))*10%)*DH1356),0),0)</f>
        <v>0</v>
      </c>
      <c r="DJ1356" s="569">
        <f t="shared" ref="DJ1356" si="1336">IFERROR(IF(DG1356&gt;0,(N1356*DH1356),0),0)</f>
        <v>0</v>
      </c>
      <c r="DK1356" s="569">
        <f t="shared" ref="DK1356" si="1337">IF(DG1356&gt;0,((R1356+T1356)*DH1356),0)</f>
        <v>0</v>
      </c>
      <c r="DL1356" s="569">
        <f t="shared" ref="DL1356" si="1338">IF(DG1356&gt;0,(Q1356*DH1356),0)</f>
        <v>0</v>
      </c>
      <c r="DM1356" s="572">
        <f t="shared" ref="DM1356" si="1339">IF(DG1356&gt;0,(S1356*DH1356),0)</f>
        <v>0</v>
      </c>
      <c r="DN1356" s="569">
        <f t="shared" ref="DN1356" si="1340">IF(DG1356&gt;0,(BN1356*DH1356),0)</f>
        <v>0</v>
      </c>
      <c r="DO1356" s="569">
        <f t="shared" ref="DO1356" si="1341">IF(DG1356&gt;0,(AF1356*DH1356),0)</f>
        <v>0</v>
      </c>
      <c r="DP1356" s="569">
        <f>IF(DG1356&gt;0,((DI1356)*('BD P&amp;G'!$E$16+'BD P&amp;G'!$E$17+'BD P&amp;G'!$E$18+'BD P&amp;G'!$E$19+'BD P&amp;G'!$E$20+'BD P&amp;G'!$E$21+'BD P&amp;G'!$E$22+'BD P&amp;G'!$E$23)*DH1356),0)</f>
        <v>0</v>
      </c>
      <c r="DQ1356" s="569">
        <f>IFERROR(IF(DG1356&gt;0,((DI1356*'BD P&amp;G'!$E$7)+(DI1356*'BD P&amp;G'!$E$9)+AI1356),0),0)</f>
        <v>0</v>
      </c>
      <c r="DR1356" s="569">
        <f t="shared" ref="DR1356" si="1342">IFERROR(IF(DG1356&gt;0,((DI1356*1%)),0),0)</f>
        <v>0</v>
      </c>
      <c r="DS1356" s="569">
        <f>IFERROR(IF(DG1356&gt;0,(((DI1356*'BD P&amp;G'!$E$32+DI1356*'BD P&amp;G'!$E$33+DI1356*'BD P&amp;G'!$E$35+DI1356*'BD P&amp;G'!$E$36+DI1356*'BD P&amp;G'!$E$37))),0),0)</f>
        <v>0</v>
      </c>
      <c r="DT1356" s="569">
        <f t="shared" ref="DT1356" si="1343">IF(DG1356&gt;0,(Y1356*DH1356),0)</f>
        <v>0</v>
      </c>
      <c r="DU1356" s="569">
        <f t="shared" ref="DU1356" si="1344">IF(DG1356&gt;0,(Z1356*DH1356),0)</f>
        <v>0</v>
      </c>
      <c r="DV1356" s="575">
        <f t="shared" ref="DV1356" si="1345">IF(DG1356&gt;0,(Y1360*DH1356),0)</f>
        <v>0</v>
      </c>
      <c r="DW1356" s="575">
        <f t="shared" ref="DW1356" si="1346">IF(DG1356&gt;0,(Z1360*DH1356),0)</f>
        <v>0</v>
      </c>
      <c r="DX1356" s="569">
        <f t="shared" ref="DX1356" si="1347">IF(DV1356&gt;0,DJ1356,0)</f>
        <v>0</v>
      </c>
      <c r="DY1356" s="569">
        <f t="shared" ref="DY1356" si="1348">IF(DW1356&gt;0,DJ1356,0)</f>
        <v>0</v>
      </c>
    </row>
    <row r="1357" spans="1:194" s="175" customFormat="1" ht="54.95" customHeight="1" x14ac:dyDescent="0.25">
      <c r="A1357" s="366"/>
      <c r="B1357" s="367"/>
      <c r="C1357" s="393" t="s">
        <v>28</v>
      </c>
      <c r="D1357" s="598"/>
      <c r="E1357" s="598"/>
      <c r="F1357" s="598"/>
      <c r="G1357" s="598"/>
      <c r="H1357" s="598"/>
      <c r="I1357" s="598"/>
      <c r="J1357" s="604"/>
      <c r="K1357" s="604"/>
      <c r="L1357" s="607"/>
      <c r="M1357" s="559"/>
      <c r="N1357" s="610"/>
      <c r="O1357" s="613"/>
      <c r="P1357" s="192"/>
      <c r="Q1357" s="217"/>
      <c r="R1357" s="217"/>
      <c r="S1357" s="218"/>
      <c r="T1357" s="219">
        <f>IFERROR(T1356/$R$353,"")</f>
        <v>0</v>
      </c>
      <c r="U1357" s="206"/>
      <c r="V1357" s="220"/>
      <c r="W1357" s="221" t="s">
        <v>239</v>
      </c>
      <c r="X1357" s="222" t="s">
        <v>204</v>
      </c>
      <c r="Y1357" s="223"/>
      <c r="Z1357" s="224"/>
      <c r="AA1357" s="225"/>
      <c r="AB1357" s="226"/>
      <c r="AC1357" s="206"/>
      <c r="AD1357" s="206"/>
      <c r="AE1357" s="206"/>
      <c r="AF1357" s="227"/>
      <c r="AG1357" s="206"/>
      <c r="AH1357" s="206"/>
      <c r="AI1357" s="206"/>
      <c r="AJ1357" s="206"/>
      <c r="AK1357" s="227"/>
      <c r="AL1357" s="210"/>
      <c r="AM1357" s="206"/>
      <c r="AN1357" s="206"/>
      <c r="AO1357" s="228"/>
      <c r="AP1357" s="229"/>
      <c r="AQ1357" s="206"/>
      <c r="AR1357" s="206"/>
      <c r="AS1357" s="228"/>
      <c r="AT1357" s="229"/>
      <c r="AU1357" s="228"/>
      <c r="AV1357" s="229"/>
      <c r="AW1357" s="228"/>
      <c r="AX1357" s="229"/>
      <c r="AY1357" s="206"/>
      <c r="AZ1357" s="229"/>
      <c r="BA1357" s="210"/>
      <c r="BB1357" s="175" t="s">
        <v>24</v>
      </c>
      <c r="BC1357" s="175" t="s">
        <v>114</v>
      </c>
      <c r="BD1357" s="210"/>
      <c r="BE1357" s="176" t="s">
        <v>206</v>
      </c>
      <c r="BF1357" s="230" t="s">
        <v>204</v>
      </c>
      <c r="BG1357" s="176" t="s">
        <v>290</v>
      </c>
      <c r="BH1357" s="230" t="s">
        <v>204</v>
      </c>
      <c r="BI1357" s="210"/>
      <c r="BJ1357" s="185"/>
      <c r="BN1357" s="269"/>
      <c r="BO1357" s="210"/>
      <c r="BV1357" s="184"/>
      <c r="BW1357" s="210"/>
      <c r="CD1357" s="184"/>
      <c r="CF1357" s="185"/>
      <c r="CI1357" s="184"/>
      <c r="CJ1357" s="210"/>
      <c r="CK1357" s="563"/>
      <c r="CM1357" s="559"/>
      <c r="CN1357" s="559"/>
      <c r="CO1357" s="567"/>
      <c r="CP1357" s="567"/>
      <c r="CQ1357" s="567"/>
      <c r="CR1357" s="567"/>
      <c r="CS1357" s="567"/>
      <c r="CT1357" s="567"/>
      <c r="CU1357" s="563"/>
      <c r="CV1357" s="561"/>
      <c r="CW1357" s="563"/>
      <c r="CX1357" s="561"/>
      <c r="CY1357" s="563"/>
      <c r="CZ1357" s="561"/>
      <c r="DA1357" s="563"/>
      <c r="DB1357" s="561"/>
      <c r="DC1357" s="563"/>
      <c r="DD1357" s="561"/>
      <c r="DG1357" s="576"/>
      <c r="DH1357" s="576"/>
      <c r="DI1357" s="570"/>
      <c r="DJ1357" s="570"/>
      <c r="DK1357" s="570"/>
      <c r="DL1357" s="570"/>
      <c r="DM1357" s="573"/>
      <c r="DN1357" s="570"/>
      <c r="DO1357" s="570"/>
      <c r="DP1357" s="570"/>
      <c r="DQ1357" s="570"/>
      <c r="DR1357" s="570"/>
      <c r="DS1357" s="570"/>
      <c r="DT1357" s="570"/>
      <c r="DU1357" s="570"/>
      <c r="DV1357" s="576"/>
      <c r="DW1357" s="576"/>
      <c r="DX1357" s="570"/>
      <c r="DY1357" s="570"/>
    </row>
    <row r="1358" spans="1:194" s="175" customFormat="1" ht="54.95" customHeight="1" x14ac:dyDescent="0.3">
      <c r="A1358" s="366"/>
      <c r="B1358" s="367"/>
      <c r="C1358" s="393" t="s">
        <v>30</v>
      </c>
      <c r="D1358" s="599"/>
      <c r="E1358" s="599"/>
      <c r="F1358" s="599"/>
      <c r="G1358" s="599"/>
      <c r="H1358" s="599"/>
      <c r="I1358" s="599"/>
      <c r="J1358" s="604"/>
      <c r="K1358" s="604"/>
      <c r="L1358" s="607"/>
      <c r="M1358" s="559"/>
      <c r="N1358" s="610"/>
      <c r="O1358" s="613"/>
      <c r="P1358" s="192"/>
      <c r="Q1358" s="176" t="s">
        <v>205</v>
      </c>
      <c r="R1358" s="233" t="s">
        <v>204</v>
      </c>
      <c r="S1358" s="234"/>
      <c r="T1358" s="235">
        <f>IFERROR(($R$353-8000)*T1357,"")</f>
        <v>0</v>
      </c>
      <c r="U1358" s="206"/>
      <c r="V1358" s="220"/>
      <c r="W1358" s="221" t="s">
        <v>258</v>
      </c>
      <c r="X1358" s="222" t="s">
        <v>204</v>
      </c>
      <c r="Y1358" s="236"/>
      <c r="Z1358" s="237"/>
      <c r="AA1358" s="225"/>
      <c r="AB1358" s="226"/>
      <c r="AC1358" s="206"/>
      <c r="AD1358" s="206"/>
      <c r="AE1358" s="206"/>
      <c r="AF1358" s="227"/>
      <c r="AG1358" s="206"/>
      <c r="AH1358" s="206"/>
      <c r="AI1358" s="206"/>
      <c r="AJ1358" s="206"/>
      <c r="AK1358" s="227"/>
      <c r="AL1358" s="238"/>
      <c r="AM1358" s="206"/>
      <c r="AN1358" s="206"/>
      <c r="AO1358" s="228"/>
      <c r="AP1358" s="229"/>
      <c r="AQ1358" s="206"/>
      <c r="AR1358" s="206"/>
      <c r="AS1358" s="228"/>
      <c r="AT1358" s="229"/>
      <c r="AU1358" s="228"/>
      <c r="AV1358" s="229"/>
      <c r="AW1358" s="228"/>
      <c r="AX1358" s="229"/>
      <c r="AY1358" s="206"/>
      <c r="AZ1358" s="229"/>
      <c r="BA1358" s="210"/>
      <c r="BB1358" s="175" t="s">
        <v>26</v>
      </c>
      <c r="BC1358" s="211" t="s">
        <v>115</v>
      </c>
      <c r="BD1358" s="210"/>
      <c r="BE1358" s="177" t="str">
        <f>IFERROR(VLOOKUP(D1356,'BD M.O'!C:H,4,FALSE),"")</f>
        <v/>
      </c>
      <c r="BF1358" s="177" t="s">
        <v>259</v>
      </c>
      <c r="BH1358" s="184"/>
      <c r="BI1358" s="210"/>
      <c r="BJ1358" s="185"/>
      <c r="BN1358" s="184"/>
      <c r="BO1358" s="210"/>
      <c r="BV1358" s="184"/>
      <c r="BW1358" s="210"/>
      <c r="CD1358" s="184"/>
      <c r="CF1358" s="185"/>
      <c r="CI1358" s="184"/>
      <c r="CJ1358" s="210"/>
      <c r="CK1358" s="563"/>
      <c r="CM1358" s="559"/>
      <c r="CN1358" s="559"/>
      <c r="CO1358" s="567"/>
      <c r="CP1358" s="567"/>
      <c r="CQ1358" s="567"/>
      <c r="CR1358" s="567"/>
      <c r="CS1358" s="567"/>
      <c r="CT1358" s="567"/>
      <c r="CU1358" s="563"/>
      <c r="CV1358" s="561"/>
      <c r="CW1358" s="563"/>
      <c r="CX1358" s="561"/>
      <c r="CY1358" s="563"/>
      <c r="CZ1358" s="561"/>
      <c r="DA1358" s="563"/>
      <c r="DB1358" s="561"/>
      <c r="DC1358" s="563"/>
      <c r="DD1358" s="561"/>
      <c r="DG1358" s="577"/>
      <c r="DH1358" s="577"/>
      <c r="DI1358" s="571"/>
      <c r="DJ1358" s="571"/>
      <c r="DK1358" s="571"/>
      <c r="DL1358" s="571"/>
      <c r="DM1358" s="574"/>
      <c r="DN1358" s="571"/>
      <c r="DO1358" s="571"/>
      <c r="DP1358" s="571"/>
      <c r="DQ1358" s="571"/>
      <c r="DR1358" s="571"/>
      <c r="DS1358" s="571"/>
      <c r="DT1358" s="571"/>
      <c r="DU1358" s="571"/>
      <c r="DV1358" s="577"/>
      <c r="DW1358" s="577"/>
      <c r="DX1358" s="571"/>
      <c r="DY1358" s="571"/>
    </row>
    <row r="1359" spans="1:194" s="175" customFormat="1" ht="54.95" customHeight="1" x14ac:dyDescent="0.25">
      <c r="A1359" s="366"/>
      <c r="B1359" s="367"/>
      <c r="C1359" s="395" t="s">
        <v>180</v>
      </c>
      <c r="D1359" s="599" t="s">
        <v>31</v>
      </c>
      <c r="E1359" s="599"/>
      <c r="F1359" s="394" t="s">
        <v>9</v>
      </c>
      <c r="G1359" s="599" t="s">
        <v>33</v>
      </c>
      <c r="H1359" s="599"/>
      <c r="I1359" s="394" t="str">
        <f>+IF($BG$9="SI","","X")</f>
        <v>X</v>
      </c>
      <c r="J1359" s="604"/>
      <c r="K1359" s="604"/>
      <c r="L1359" s="607"/>
      <c r="M1359" s="559"/>
      <c r="N1359" s="610"/>
      <c r="O1359" s="613"/>
      <c r="P1359" s="192"/>
      <c r="Q1359" s="239"/>
      <c r="R1359" s="221" t="s">
        <v>209</v>
      </c>
      <c r="S1359" s="234" t="str">
        <f>IF(S1357="","",S1357/(J1356*K1356))</f>
        <v/>
      </c>
      <c r="T1359" s="226"/>
      <c r="U1359" s="206"/>
      <c r="V1359" s="220"/>
      <c r="W1359" s="239" t="str">
        <f>IFERROR(IF(X1358="SI",VLOOKUP(D1356,'BD M.O'!C:F,4,FALSE),""),"")</f>
        <v/>
      </c>
      <c r="X1359" s="221" t="s">
        <v>258</v>
      </c>
      <c r="Y1359" s="221" t="s">
        <v>507</v>
      </c>
      <c r="Z1359" s="221" t="s">
        <v>508</v>
      </c>
      <c r="AA1359" s="225"/>
      <c r="AB1359" s="226"/>
      <c r="AC1359" s="206"/>
      <c r="AD1359" s="206"/>
      <c r="AE1359" s="206"/>
      <c r="AF1359" s="227"/>
      <c r="AG1359" s="206"/>
      <c r="AH1359" s="206"/>
      <c r="AI1359" s="206"/>
      <c r="AJ1359" s="206"/>
      <c r="AK1359" s="227"/>
      <c r="AL1359" s="240"/>
      <c r="AM1359" s="206"/>
      <c r="AN1359" s="206"/>
      <c r="AO1359" s="228"/>
      <c r="AP1359" s="229"/>
      <c r="AQ1359" s="206"/>
      <c r="AR1359" s="206"/>
      <c r="AS1359" s="228"/>
      <c r="AT1359" s="229"/>
      <c r="AU1359" s="228"/>
      <c r="AV1359" s="229"/>
      <c r="AW1359" s="228"/>
      <c r="AX1359" s="229"/>
      <c r="AY1359" s="206"/>
      <c r="AZ1359" s="229"/>
      <c r="BA1359" s="210"/>
      <c r="BC1359" s="175" t="s">
        <v>116</v>
      </c>
      <c r="BD1359" s="210"/>
      <c r="BE1359" s="177" t="str">
        <f>IFERROR(VLOOKUP(COTIZACIÓN!D1356,'BD M.O'!C:I,5,FALSE),"")</f>
        <v/>
      </c>
      <c r="BF1359" s="177" t="s">
        <v>260</v>
      </c>
      <c r="BH1359" s="184"/>
      <c r="BI1359" s="210"/>
      <c r="BJ1359" s="185"/>
      <c r="BN1359" s="184"/>
      <c r="BO1359" s="210"/>
      <c r="BP1359" s="183"/>
      <c r="BQ1359" s="183"/>
      <c r="BR1359" s="183"/>
      <c r="BS1359" s="183"/>
      <c r="BT1359" s="183"/>
      <c r="BU1359" s="183"/>
      <c r="BV1359" s="182"/>
      <c r="BW1359" s="210"/>
      <c r="BX1359" s="183"/>
      <c r="BY1359" s="183"/>
      <c r="BZ1359" s="183"/>
      <c r="CA1359" s="183"/>
      <c r="CB1359" s="183"/>
      <c r="CC1359" s="183"/>
      <c r="CD1359" s="182"/>
      <c r="CE1359" s="183"/>
      <c r="CF1359" s="241"/>
      <c r="CG1359" s="183"/>
      <c r="CH1359" s="183"/>
      <c r="CI1359" s="182"/>
      <c r="CJ1359" s="210"/>
      <c r="CK1359" s="563"/>
      <c r="CM1359" s="559"/>
      <c r="CN1359" s="559"/>
      <c r="CO1359" s="567"/>
      <c r="CP1359" s="567"/>
      <c r="CQ1359" s="567"/>
      <c r="CR1359" s="567"/>
      <c r="CS1359" s="567"/>
      <c r="CT1359" s="567"/>
      <c r="CU1359" s="563"/>
      <c r="CV1359" s="561"/>
      <c r="CW1359" s="563"/>
      <c r="CX1359" s="561"/>
      <c r="CY1359" s="563"/>
      <c r="CZ1359" s="561"/>
      <c r="DA1359" s="563"/>
      <c r="DB1359" s="561"/>
      <c r="DC1359" s="563"/>
      <c r="DD1359" s="561"/>
      <c r="DG1359" s="575"/>
      <c r="DH1359" s="575"/>
      <c r="DI1359" s="569">
        <f t="shared" ref="DI1359" si="1349">IFERROR(IF(DG1359&gt;0,(((N1356)/(1+10%+19%*5%)+((N1356)/(1+10%+19%*5%))*10%)*DH1359),0),0)</f>
        <v>0</v>
      </c>
      <c r="DJ1359" s="569">
        <f t="shared" ref="DJ1359" si="1350">IFERROR(IF(DG1359&gt;0,(N1356*DH1359),0),0)</f>
        <v>0</v>
      </c>
      <c r="DK1359" s="569">
        <f t="shared" ref="DK1359" si="1351">IF(DG1359&gt;0,((R1356+T1356)*DH1359),0)</f>
        <v>0</v>
      </c>
      <c r="DL1359" s="569">
        <f t="shared" ref="DL1359" si="1352">IF(DG1359&gt;0,(Q1356*DH1359),0)</f>
        <v>0</v>
      </c>
      <c r="DM1359" s="572">
        <f t="shared" ref="DM1359" si="1353">IF(DG1359&gt;0,(S1356*DH1359),0)</f>
        <v>0</v>
      </c>
      <c r="DN1359" s="569">
        <f t="shared" ref="DN1359" si="1354">IF(DG1359&gt;0,(BN1356*DH1359),0)</f>
        <v>0</v>
      </c>
      <c r="DO1359" s="569">
        <f t="shared" ref="DO1359" si="1355">IF(DG1359&gt;0,(AF1356*DH1359),0)</f>
        <v>0</v>
      </c>
      <c r="DP1359" s="569">
        <f>IF(DG1359&gt;0,((DI1359)*('BD P&amp;G'!$E$16+'BD P&amp;G'!$E$17+'BD P&amp;G'!$E$18+'BD P&amp;G'!$E$19+'BD P&amp;G'!$E$20+'BD P&amp;G'!$E$21+'BD P&amp;G'!$E$22+'BD P&amp;G'!$E$23)*DH1359),0)</f>
        <v>0</v>
      </c>
      <c r="DQ1359" s="569">
        <f>IFERROR(IF(DG1359&gt;0,((DI1359*'BD P&amp;G'!$E$7)+(DI1359*'BD P&amp;G'!$E$9)+AI1356),0),0)</f>
        <v>0</v>
      </c>
      <c r="DR1359" s="569">
        <f t="shared" ref="DR1359" si="1356">IFERROR(IF(DG1359&gt;0,((DI1359*1%)),0),0)</f>
        <v>0</v>
      </c>
      <c r="DS1359" s="569">
        <f>IFERROR(IF(DG1359&gt;0,(((DI1359*'BD P&amp;G'!$E$32+DI1359*'BD P&amp;G'!$E$33+DI1359*'BD P&amp;G'!$E$35+DI1359*'BD P&amp;G'!$E$36+DI1359*'BD P&amp;G'!$E$37))),0),0)</f>
        <v>0</v>
      </c>
      <c r="DT1359" s="569">
        <f t="shared" ref="DT1359" si="1357">IF(DG1359&gt;0,(Y1356*DH1359),0)</f>
        <v>0</v>
      </c>
      <c r="DU1359" s="569">
        <f t="shared" ref="DU1359" si="1358">IF(DG1359&gt;0,(Z1356*DH1359),0)</f>
        <v>0</v>
      </c>
      <c r="DV1359" s="575">
        <f t="shared" ref="DV1359" si="1359">IF(DG1359&gt;0,(Y1360*DH1359),0)</f>
        <v>0</v>
      </c>
      <c r="DW1359" s="575">
        <f t="shared" ref="DW1359" si="1360">IF(DG1359&gt;0,(Z1360*DH1359),0)</f>
        <v>0</v>
      </c>
      <c r="DX1359" s="569">
        <f t="shared" ref="DX1359" si="1361">IF(DV1359&gt;0,DJ1359,0)</f>
        <v>0</v>
      </c>
      <c r="DY1359" s="569">
        <f t="shared" ref="DY1359" si="1362">IF(DW1359&gt;0,DJ1359,0)</f>
        <v>0</v>
      </c>
    </row>
    <row r="1360" spans="1:194" s="175" customFormat="1" ht="54.95" customHeight="1" x14ac:dyDescent="0.3">
      <c r="A1360" s="366"/>
      <c r="B1360" s="367"/>
      <c r="C1360" s="393" t="s">
        <v>35</v>
      </c>
      <c r="D1360" s="599" t="str">
        <f>IFERROR(VLOOKUP(D1356,'BD GN'!C:E,3,),"")</f>
        <v/>
      </c>
      <c r="E1360" s="599"/>
      <c r="F1360" s="599"/>
      <c r="G1360" s="599"/>
      <c r="H1360" s="599"/>
      <c r="I1360" s="599"/>
      <c r="J1360" s="604"/>
      <c r="K1360" s="604"/>
      <c r="L1360" s="607"/>
      <c r="M1360" s="559"/>
      <c r="N1360" s="610"/>
      <c r="O1360" s="613"/>
      <c r="P1360" s="192"/>
      <c r="Q1360" s="239"/>
      <c r="R1360" s="221" t="s">
        <v>210</v>
      </c>
      <c r="S1360" s="234" t="str">
        <f>IFERROR(IF(N1356="","",N1356/W1360),"")</f>
        <v/>
      </c>
      <c r="T1360" s="226"/>
      <c r="U1360" s="206"/>
      <c r="V1360" s="220"/>
      <c r="W1360" s="242" t="str">
        <f>+IF(J1356*K1356&gt;=1,J1356*K1356,IF(AND(J1356*K1356&gt;0,J1356*K1356&lt;1),1,""))</f>
        <v/>
      </c>
      <c r="X1360" s="221" t="s">
        <v>298</v>
      </c>
      <c r="Y1360" s="461">
        <f>IFERROR(IF(D1356='BD GN'!$C$25,COTIZACIÓN!W1360,IF(D1356='BD GN'!$C$26,COTIZACIÓN!W1360,IF(D1356='BD GN'!$C$27,COTIZACIÓN!W1360,IF(COTIZACIÓN!D1356='BD GN'!$C$28,COTIZACIÓN!W1360,IF(COTIZACIÓN!D1356='BD GN'!$C$29,COTIZACIÓN!W1360,IF(COTIZACIÓN!D1356='BD GN'!$C$35,COTIZACIÓN!W1360,IF(COTIZACIÓN!D1356='BD GN'!$C$36,COTIZACIÓN!W1360,IF(COTIZACIÓN!D1356='BD GN'!$C$37,COTIZACIÓN!W1360,IF(COTIZACIÓN!D1356='BD GN'!$C$38,COTIZACIÓN!W1360,IF(COTIZACIÓN!D1356='BD GN'!$C$39,COTIZACIÓN!W1360,IF(COTIZACIÓN!D1356='BD GN'!$C$40,COTIZACIÓN!W1360,IF(COTIZACIÓN!D1356='BD GN'!$C$41,COTIZACIÓN!W1360,IF(COTIZACIÓN!D1356='BD GN'!$C$42,COTIZACIÓN!W1360,IF(COTIZACIÓN!D1356='BD GN'!$C$49,COTIZACIÓN!W1360,IF(COTIZACIÓN!D1356='BD GN'!$C$50,COTIZACIÓN!W1360,IF(COTIZACIÓN!D1356='BD GN'!$C$51,COTIZACIÓN!W1360,IF(COTIZACIÓN!D1356='BD GN'!$C$67,COTIZACIÓN!W1360,0))))))))))))))))),0)</f>
        <v>0</v>
      </c>
      <c r="Z1360" s="461">
        <f>IFERROR(W1360-Y1360,0)</f>
        <v>0</v>
      </c>
      <c r="AA1360" s="225"/>
      <c r="AB1360" s="226"/>
      <c r="AC1360" s="206"/>
      <c r="AD1360" s="206"/>
      <c r="AE1360" s="206"/>
      <c r="AF1360" s="227"/>
      <c r="AG1360" s="206"/>
      <c r="AH1360" s="206"/>
      <c r="AI1360" s="206"/>
      <c r="AJ1360" s="206"/>
      <c r="AK1360" s="227"/>
      <c r="AL1360" s="210"/>
      <c r="AM1360" s="206"/>
      <c r="AN1360" s="206"/>
      <c r="AO1360" s="228"/>
      <c r="AP1360" s="229"/>
      <c r="AQ1360" s="206"/>
      <c r="AR1360" s="206"/>
      <c r="AS1360" s="228"/>
      <c r="AT1360" s="229"/>
      <c r="AU1360" s="228"/>
      <c r="AV1360" s="229"/>
      <c r="AW1360" s="228"/>
      <c r="AX1360" s="229"/>
      <c r="AY1360" s="206"/>
      <c r="AZ1360" s="229"/>
      <c r="BA1360" s="210"/>
      <c r="BC1360" s="211" t="s">
        <v>117</v>
      </c>
      <c r="BD1360" s="210"/>
      <c r="BE1360" s="177" t="str">
        <f>IFERROR(VLOOKUP(D1356,'BD M.O'!C:I,6,FALSE),"")</f>
        <v/>
      </c>
      <c r="BF1360" s="177" t="s">
        <v>261</v>
      </c>
      <c r="BH1360" s="184"/>
      <c r="BI1360" s="210"/>
      <c r="BJ1360" s="185"/>
      <c r="BN1360" s="184"/>
      <c r="BO1360" s="210"/>
      <c r="BP1360" s="183"/>
      <c r="BQ1360" s="183"/>
      <c r="BR1360" s="183"/>
      <c r="BW1360" s="210"/>
      <c r="CD1360" s="184"/>
      <c r="CF1360" s="185"/>
      <c r="CI1360" s="184"/>
      <c r="CJ1360" s="210"/>
      <c r="CK1360" s="563"/>
      <c r="CM1360" s="559"/>
      <c r="CN1360" s="559"/>
      <c r="CO1360" s="567"/>
      <c r="CP1360" s="567"/>
      <c r="CQ1360" s="567"/>
      <c r="CR1360" s="567"/>
      <c r="CS1360" s="567"/>
      <c r="CT1360" s="567"/>
      <c r="CU1360" s="563"/>
      <c r="CV1360" s="561"/>
      <c r="CW1360" s="563"/>
      <c r="CX1360" s="561"/>
      <c r="CY1360" s="563"/>
      <c r="CZ1360" s="561"/>
      <c r="DA1360" s="563"/>
      <c r="DB1360" s="561"/>
      <c r="DC1360" s="563"/>
      <c r="DD1360" s="561"/>
      <c r="DG1360" s="576"/>
      <c r="DH1360" s="576"/>
      <c r="DI1360" s="570"/>
      <c r="DJ1360" s="570"/>
      <c r="DK1360" s="570"/>
      <c r="DL1360" s="570"/>
      <c r="DM1360" s="573"/>
      <c r="DN1360" s="570"/>
      <c r="DO1360" s="570"/>
      <c r="DP1360" s="570"/>
      <c r="DQ1360" s="570"/>
      <c r="DR1360" s="570"/>
      <c r="DS1360" s="570"/>
      <c r="DT1360" s="570"/>
      <c r="DU1360" s="570"/>
      <c r="DV1360" s="576"/>
      <c r="DW1360" s="576"/>
      <c r="DX1360" s="570"/>
      <c r="DY1360" s="570"/>
    </row>
    <row r="1361" spans="1:194" s="252" customFormat="1" ht="54.95" customHeight="1" x14ac:dyDescent="0.25">
      <c r="A1361" s="368"/>
      <c r="B1361" s="369"/>
      <c r="C1361" s="396" t="s">
        <v>10</v>
      </c>
      <c r="D1361" s="600" t="s">
        <v>32</v>
      </c>
      <c r="E1361" s="600"/>
      <c r="F1361" s="600"/>
      <c r="G1361" s="600"/>
      <c r="H1361" s="600"/>
      <c r="I1361" s="600"/>
      <c r="J1361" s="605"/>
      <c r="K1361" s="605"/>
      <c r="L1361" s="608"/>
      <c r="M1361" s="597"/>
      <c r="N1361" s="611"/>
      <c r="O1361" s="614"/>
      <c r="P1361" s="192"/>
      <c r="Q1361" s="239"/>
      <c r="R1361" s="239"/>
      <c r="S1361" s="234"/>
      <c r="T1361" s="243"/>
      <c r="U1361" s="244"/>
      <c r="V1361" s="245"/>
      <c r="W1361" s="177" t="s">
        <v>394</v>
      </c>
      <c r="X1361" s="246">
        <f>IFERROR(SUM(W1356:X1356),"")</f>
        <v>0</v>
      </c>
      <c r="Y1361" s="166" t="s">
        <v>404</v>
      </c>
      <c r="Z1361" s="199">
        <f>IFERROR(Y1356+Z1356,"")</f>
        <v>4.7901128266487999E-2</v>
      </c>
      <c r="AA1361" s="247"/>
      <c r="AB1361" s="243"/>
      <c r="AC1361" s="244"/>
      <c r="AD1361" s="244"/>
      <c r="AE1361" s="244"/>
      <c r="AF1361" s="270"/>
      <c r="AG1361" s="244"/>
      <c r="AH1361" s="244"/>
      <c r="AI1361" s="244"/>
      <c r="AJ1361" s="244"/>
      <c r="AK1361" s="270"/>
      <c r="AL1361" s="270"/>
      <c r="AM1361" s="248"/>
      <c r="AN1361" s="248"/>
      <c r="AO1361" s="249"/>
      <c r="AP1361" s="250"/>
      <c r="AQ1361" s="248"/>
      <c r="AR1361" s="248"/>
      <c r="AS1361" s="249"/>
      <c r="AT1361" s="250"/>
      <c r="AU1361" s="249"/>
      <c r="AV1361" s="250"/>
      <c r="AW1361" s="249"/>
      <c r="AX1361" s="250"/>
      <c r="AY1361" s="248"/>
      <c r="AZ1361" s="250"/>
      <c r="BA1361" s="210"/>
      <c r="BB1361" s="175"/>
      <c r="BC1361" s="175" t="s">
        <v>118</v>
      </c>
      <c r="BD1361" s="210"/>
      <c r="BE1361" s="177" t="str">
        <f>IFERROR(VLOOKUP(D1356,'BD M.O'!C:I,7,FALSE),"")</f>
        <v/>
      </c>
      <c r="BF1361" s="177" t="s">
        <v>262</v>
      </c>
      <c r="BG1361" s="257"/>
      <c r="BH1361" s="271"/>
      <c r="BI1361" s="210"/>
      <c r="BJ1361" s="272"/>
      <c r="BK1361" s="257"/>
      <c r="BL1361" s="257"/>
      <c r="BM1361" s="257"/>
      <c r="BN1361" s="271"/>
      <c r="BO1361" s="210"/>
      <c r="BP1361" s="175"/>
      <c r="BQ1361" s="175"/>
      <c r="BR1361" s="175"/>
      <c r="BS1361" s="183"/>
      <c r="BT1361" s="183"/>
      <c r="BU1361" s="183"/>
      <c r="BV1361" s="183"/>
      <c r="BW1361" s="210"/>
      <c r="BX1361" s="175"/>
      <c r="BY1361" s="175"/>
      <c r="BZ1361" s="175"/>
      <c r="CA1361" s="175"/>
      <c r="CB1361" s="175"/>
      <c r="CC1361" s="175"/>
      <c r="CD1361" s="184"/>
      <c r="CE1361" s="175"/>
      <c r="CF1361" s="185"/>
      <c r="CG1361" s="175"/>
      <c r="CH1361" s="175"/>
      <c r="CI1361" s="184"/>
      <c r="CJ1361" s="210"/>
      <c r="CK1361" s="564"/>
      <c r="CL1361" s="257"/>
      <c r="CM1361" s="597"/>
      <c r="CN1361" s="597"/>
      <c r="CO1361" s="567"/>
      <c r="CP1361" s="567"/>
      <c r="CQ1361" s="567"/>
      <c r="CR1361" s="567"/>
      <c r="CS1361" s="567"/>
      <c r="CT1361" s="567"/>
      <c r="CU1361" s="564"/>
      <c r="CV1361" s="562"/>
      <c r="CW1361" s="564"/>
      <c r="CX1361" s="562"/>
      <c r="CY1361" s="564"/>
      <c r="CZ1361" s="562"/>
      <c r="DA1361" s="564"/>
      <c r="DB1361" s="562"/>
      <c r="DC1361" s="564"/>
      <c r="DD1361" s="562"/>
      <c r="DE1361" s="175"/>
      <c r="DF1361" s="175"/>
      <c r="DG1361" s="577"/>
      <c r="DH1361" s="577"/>
      <c r="DI1361" s="571"/>
      <c r="DJ1361" s="571"/>
      <c r="DK1361" s="571"/>
      <c r="DL1361" s="571"/>
      <c r="DM1361" s="574"/>
      <c r="DN1361" s="571"/>
      <c r="DO1361" s="571"/>
      <c r="DP1361" s="571"/>
      <c r="DQ1361" s="571"/>
      <c r="DR1361" s="571"/>
      <c r="DS1361" s="571"/>
      <c r="DT1361" s="571"/>
      <c r="DU1361" s="571"/>
      <c r="DV1361" s="577"/>
      <c r="DW1361" s="577"/>
      <c r="DX1361" s="571"/>
      <c r="DY1361" s="571"/>
      <c r="DZ1361" s="175"/>
      <c r="EA1361" s="175"/>
      <c r="EB1361" s="175"/>
      <c r="EC1361" s="175"/>
      <c r="ED1361" s="175"/>
      <c r="EE1361" s="175"/>
      <c r="EF1361" s="175"/>
      <c r="EG1361" s="175"/>
      <c r="EH1361" s="175"/>
      <c r="EI1361" s="175"/>
      <c r="EJ1361" s="175"/>
      <c r="EK1361" s="175"/>
      <c r="EL1361" s="175"/>
      <c r="EM1361" s="175"/>
      <c r="EN1361" s="175"/>
      <c r="EO1361" s="175"/>
      <c r="EP1361" s="175"/>
      <c r="EQ1361" s="175"/>
      <c r="ER1361" s="175"/>
      <c r="ES1361" s="175"/>
      <c r="ET1361" s="175"/>
      <c r="EU1361" s="175"/>
      <c r="EV1361" s="175"/>
      <c r="EW1361" s="175"/>
      <c r="EX1361" s="175"/>
      <c r="EY1361" s="175"/>
      <c r="EZ1361" s="175"/>
      <c r="FA1361" s="175"/>
      <c r="FB1361" s="175"/>
      <c r="FC1361" s="175"/>
      <c r="FD1361" s="175"/>
      <c r="FE1361" s="175"/>
      <c r="FF1361" s="175"/>
      <c r="FG1361" s="175"/>
      <c r="FH1361" s="175"/>
      <c r="FI1361" s="175"/>
      <c r="FJ1361" s="175"/>
      <c r="FK1361" s="175"/>
      <c r="FL1361" s="175"/>
      <c r="FM1361" s="175"/>
      <c r="FN1361" s="175"/>
      <c r="FO1361" s="175"/>
      <c r="FP1361" s="175"/>
      <c r="FQ1361" s="175"/>
      <c r="FR1361" s="175"/>
      <c r="FS1361" s="175"/>
      <c r="FT1361" s="175"/>
      <c r="FU1361" s="175"/>
      <c r="FV1361" s="175"/>
      <c r="FW1361" s="175"/>
      <c r="FX1361" s="175"/>
      <c r="FY1361" s="175"/>
      <c r="FZ1361" s="175"/>
      <c r="GA1361" s="175"/>
      <c r="GB1361" s="175"/>
      <c r="GC1361" s="175"/>
      <c r="GD1361" s="175"/>
      <c r="GE1361" s="175"/>
      <c r="GF1361" s="175"/>
      <c r="GG1361" s="175"/>
      <c r="GH1361" s="175"/>
      <c r="GI1361" s="175"/>
      <c r="GJ1361" s="175"/>
      <c r="GK1361" s="175"/>
      <c r="GL1361" s="175"/>
    </row>
    <row r="1362" spans="1:194" s="255" customFormat="1" ht="54.95" customHeight="1" x14ac:dyDescent="0.3">
      <c r="A1362" s="380" t="s">
        <v>193</v>
      </c>
      <c r="B1362" s="381" t="s">
        <v>25</v>
      </c>
      <c r="C1362" s="409" t="s">
        <v>174</v>
      </c>
      <c r="D1362" s="601" t="s">
        <v>173</v>
      </c>
      <c r="E1362" s="601"/>
      <c r="F1362" s="601"/>
      <c r="G1362" s="601"/>
      <c r="H1362" s="601"/>
      <c r="I1362" s="601"/>
      <c r="J1362" s="437" t="s">
        <v>406</v>
      </c>
      <c r="K1362" s="437" t="s">
        <v>405</v>
      </c>
      <c r="L1362" s="438" t="s">
        <v>171</v>
      </c>
      <c r="M1362" s="381" t="s">
        <v>2</v>
      </c>
      <c r="N1362" s="439" t="s">
        <v>7</v>
      </c>
      <c r="O1362" s="440" t="s">
        <v>8</v>
      </c>
      <c r="P1362" s="159"/>
      <c r="Q1362" s="164" t="s">
        <v>93</v>
      </c>
      <c r="R1362" s="164" t="s">
        <v>34</v>
      </c>
      <c r="S1362" s="164" t="s">
        <v>28</v>
      </c>
      <c r="T1362" s="164" t="s">
        <v>95</v>
      </c>
      <c r="U1362" s="164" t="s">
        <v>96</v>
      </c>
      <c r="V1362" s="164" t="s">
        <v>97</v>
      </c>
      <c r="W1362" s="164" t="s">
        <v>4</v>
      </c>
      <c r="X1362" s="164" t="s">
        <v>103</v>
      </c>
      <c r="Y1362" s="160" t="s">
        <v>402</v>
      </c>
      <c r="Z1362" s="165" t="s">
        <v>403</v>
      </c>
      <c r="AA1362" s="166" t="s">
        <v>404</v>
      </c>
      <c r="AB1362" s="164" t="s">
        <v>99</v>
      </c>
      <c r="AC1362" s="164" t="s">
        <v>395</v>
      </c>
      <c r="AD1362" s="253" t="s">
        <v>36</v>
      </c>
      <c r="AE1362" s="164" t="s">
        <v>389</v>
      </c>
      <c r="AF1362" s="164" t="s">
        <v>390</v>
      </c>
      <c r="AG1362" s="164" t="s">
        <v>164</v>
      </c>
      <c r="AH1362" s="253" t="s">
        <v>396</v>
      </c>
      <c r="AI1362" s="164" t="s">
        <v>190</v>
      </c>
      <c r="AJ1362" s="164" t="s">
        <v>339</v>
      </c>
      <c r="AK1362" s="253" t="s">
        <v>391</v>
      </c>
      <c r="AL1362" s="253" t="s">
        <v>393</v>
      </c>
      <c r="AM1362" s="167" t="s">
        <v>93</v>
      </c>
      <c r="AN1362" s="168" t="s">
        <v>34</v>
      </c>
      <c r="AO1362" s="169" t="s">
        <v>28</v>
      </c>
      <c r="AP1362" s="170" t="s">
        <v>95</v>
      </c>
      <c r="AQ1362" s="167" t="s">
        <v>3</v>
      </c>
      <c r="AR1362" s="167" t="s">
        <v>96</v>
      </c>
      <c r="AS1362" s="169" t="s">
        <v>97</v>
      </c>
      <c r="AT1362" s="170" t="s">
        <v>4</v>
      </c>
      <c r="AU1362" s="169" t="s">
        <v>103</v>
      </c>
      <c r="AV1362" s="170" t="s">
        <v>99</v>
      </c>
      <c r="AW1362" s="169" t="s">
        <v>36</v>
      </c>
      <c r="AX1362" s="171" t="s">
        <v>29</v>
      </c>
      <c r="AY1362" s="172" t="s">
        <v>190</v>
      </c>
      <c r="AZ1362" s="173" t="s">
        <v>102</v>
      </c>
      <c r="BA1362" s="174"/>
      <c r="BB1362" s="183"/>
      <c r="BC1362" s="211" t="s">
        <v>119</v>
      </c>
      <c r="BD1362" s="174"/>
      <c r="BE1362" s="176" t="s">
        <v>189</v>
      </c>
      <c r="BF1362" s="177" t="str">
        <f>$BF$13</f>
        <v xml:space="preserve">VR SILICONA </v>
      </c>
      <c r="BG1362" s="177" t="str">
        <f>$BG$13</f>
        <v xml:space="preserve">VR PELÍCULA </v>
      </c>
      <c r="BH1362" s="177" t="str">
        <f>$BH$13</f>
        <v>VR EMBALAJE</v>
      </c>
      <c r="BI1362" s="174"/>
      <c r="BJ1362" s="176" t="str">
        <f>$BJ$13</f>
        <v>ESP. CRISTAL</v>
      </c>
      <c r="BK1362" s="176" t="s">
        <v>130</v>
      </c>
      <c r="BL1362" s="177" t="s">
        <v>28</v>
      </c>
      <c r="BM1362" s="177">
        <f>BM1355</f>
        <v>0</v>
      </c>
      <c r="BN1362" s="177" t="s">
        <v>133</v>
      </c>
      <c r="BO1362" s="174"/>
      <c r="BP1362" s="175"/>
      <c r="BQ1362" s="175"/>
      <c r="BR1362" s="175"/>
      <c r="BS1362" s="175"/>
      <c r="BT1362" s="175"/>
      <c r="BU1362" s="175"/>
      <c r="BV1362" s="175"/>
      <c r="BW1362" s="174"/>
      <c r="BX1362" s="175"/>
      <c r="BY1362" s="175"/>
      <c r="BZ1362" s="175"/>
      <c r="CA1362" s="175"/>
      <c r="CB1362" s="175"/>
      <c r="CC1362" s="175"/>
      <c r="CD1362" s="184"/>
      <c r="CE1362" s="175"/>
      <c r="CF1362" s="185"/>
      <c r="CG1362" s="175"/>
      <c r="CH1362" s="175"/>
      <c r="CI1362" s="184"/>
      <c r="CJ1362" s="174"/>
      <c r="CK1362" s="254" t="s">
        <v>415</v>
      </c>
      <c r="CL1362" s="265" t="s">
        <v>417</v>
      </c>
      <c r="CM1362" s="265" t="s">
        <v>416</v>
      </c>
      <c r="CN1362" s="266" t="s">
        <v>418</v>
      </c>
      <c r="CO1362" s="265" t="s">
        <v>417</v>
      </c>
      <c r="CP1362" s="265" t="s">
        <v>409</v>
      </c>
      <c r="CQ1362" s="265" t="s">
        <v>410</v>
      </c>
      <c r="CR1362" s="265" t="s">
        <v>411</v>
      </c>
      <c r="CS1362" s="265" t="s">
        <v>412</v>
      </c>
      <c r="CT1362" s="265" t="s">
        <v>413</v>
      </c>
      <c r="CU1362" s="189" t="s">
        <v>2</v>
      </c>
      <c r="CV1362" s="190" t="s">
        <v>159</v>
      </c>
      <c r="CW1362" s="189" t="s">
        <v>2</v>
      </c>
      <c r="CX1362" s="190" t="s">
        <v>159</v>
      </c>
      <c r="CY1362" s="189" t="s">
        <v>2</v>
      </c>
      <c r="CZ1362" s="190" t="s">
        <v>159</v>
      </c>
      <c r="DA1362" s="189" t="s">
        <v>2</v>
      </c>
      <c r="DB1362" s="190" t="s">
        <v>159</v>
      </c>
      <c r="DC1362" s="189" t="s">
        <v>2</v>
      </c>
      <c r="DD1362" s="190" t="s">
        <v>159</v>
      </c>
      <c r="DE1362" s="183"/>
      <c r="DF1362" s="183"/>
      <c r="DG1362" s="177" t="s">
        <v>505</v>
      </c>
      <c r="DH1362" s="472" t="s">
        <v>509</v>
      </c>
      <c r="DI1362" s="457" t="s">
        <v>506</v>
      </c>
      <c r="DJ1362" s="457" t="s">
        <v>134</v>
      </c>
      <c r="DK1362" s="457" t="s">
        <v>498</v>
      </c>
      <c r="DL1362" s="457" t="s">
        <v>499</v>
      </c>
      <c r="DM1362" s="457" t="s">
        <v>500</v>
      </c>
      <c r="DN1362" s="457" t="s">
        <v>131</v>
      </c>
      <c r="DO1362" s="457" t="s">
        <v>390</v>
      </c>
      <c r="DP1362" s="457" t="s">
        <v>36</v>
      </c>
      <c r="DQ1362" s="457" t="s">
        <v>501</v>
      </c>
      <c r="DR1362" s="457" t="s">
        <v>502</v>
      </c>
      <c r="DS1362" s="457" t="s">
        <v>503</v>
      </c>
      <c r="DT1362" s="457" t="s">
        <v>4</v>
      </c>
      <c r="DU1362" s="457" t="s">
        <v>504</v>
      </c>
      <c r="DV1362" s="466" t="s">
        <v>507</v>
      </c>
      <c r="DW1362" s="466" t="s">
        <v>508</v>
      </c>
      <c r="DX1362" s="457" t="s">
        <v>510</v>
      </c>
      <c r="DY1362" s="457" t="s">
        <v>511</v>
      </c>
      <c r="DZ1362" s="183"/>
      <c r="EA1362" s="183"/>
      <c r="EB1362" s="183"/>
      <c r="EC1362" s="183"/>
      <c r="ED1362" s="183"/>
      <c r="EE1362" s="183"/>
      <c r="EF1362" s="183"/>
      <c r="EG1362" s="183"/>
      <c r="EH1362" s="183"/>
      <c r="EI1362" s="183"/>
      <c r="EJ1362" s="183"/>
      <c r="EK1362" s="183"/>
      <c r="EL1362" s="183"/>
      <c r="EM1362" s="183"/>
      <c r="EN1362" s="183"/>
      <c r="EO1362" s="183"/>
      <c r="EP1362" s="183"/>
      <c r="EQ1362" s="183"/>
      <c r="ER1362" s="183"/>
      <c r="ES1362" s="183"/>
      <c r="ET1362" s="183"/>
      <c r="EU1362" s="183"/>
      <c r="EV1362" s="183"/>
      <c r="EW1362" s="183"/>
      <c r="EX1362" s="183"/>
      <c r="EY1362" s="183"/>
      <c r="EZ1362" s="183"/>
      <c r="FA1362" s="183"/>
      <c r="FB1362" s="183"/>
      <c r="FC1362" s="183"/>
      <c r="FD1362" s="183"/>
      <c r="FE1362" s="183"/>
      <c r="FF1362" s="183"/>
      <c r="FG1362" s="183"/>
      <c r="FH1362" s="183"/>
      <c r="FI1362" s="183"/>
      <c r="FJ1362" s="183"/>
      <c r="FK1362" s="183"/>
      <c r="FL1362" s="183"/>
      <c r="FM1362" s="183"/>
      <c r="FN1362" s="183"/>
      <c r="FO1362" s="183"/>
      <c r="FP1362" s="183"/>
      <c r="FQ1362" s="183"/>
      <c r="FR1362" s="183"/>
      <c r="FS1362" s="183"/>
      <c r="FT1362" s="183"/>
      <c r="FU1362" s="183"/>
      <c r="FV1362" s="183"/>
      <c r="FW1362" s="183"/>
      <c r="FX1362" s="183"/>
      <c r="FY1362" s="183"/>
      <c r="FZ1362" s="183"/>
      <c r="GA1362" s="183"/>
      <c r="GB1362" s="183"/>
      <c r="GC1362" s="183"/>
      <c r="GD1362" s="183"/>
      <c r="GE1362" s="183"/>
      <c r="GF1362" s="183"/>
      <c r="GG1362" s="183"/>
      <c r="GH1362" s="183"/>
      <c r="GI1362" s="183"/>
      <c r="GJ1362" s="183"/>
      <c r="GK1362" s="183"/>
      <c r="GL1362" s="183"/>
    </row>
    <row r="1363" spans="1:194" s="175" customFormat="1" ht="54.95" customHeight="1" x14ac:dyDescent="0.3">
      <c r="A1363" s="364"/>
      <c r="B1363" s="365"/>
      <c r="C1363" s="392" t="s">
        <v>27</v>
      </c>
      <c r="D1363" s="602"/>
      <c r="E1363" s="602"/>
      <c r="F1363" s="602"/>
      <c r="G1363" s="602"/>
      <c r="H1363" s="602"/>
      <c r="I1363" s="602"/>
      <c r="J1363" s="603"/>
      <c r="K1363" s="603"/>
      <c r="L1363" s="606">
        <f>J1363*K1363*M1363</f>
        <v>0</v>
      </c>
      <c r="M1363" s="596"/>
      <c r="N1363" s="609">
        <f>IFERROR(AL1363,"")</f>
        <v>1.1502546360919998</v>
      </c>
      <c r="O1363" s="612">
        <f>IFERROR(N1363*M1363,"")</f>
        <v>0</v>
      </c>
      <c r="P1363" s="192"/>
      <c r="Q1363" s="193">
        <f>Q1364+BF1363+($R$350*Q1364)</f>
        <v>0</v>
      </c>
      <c r="R1363" s="193">
        <f>IFERROR(R1364+($R$348*R1364),"")</f>
        <v>0</v>
      </c>
      <c r="S1363" s="194">
        <f>+IF(R1365="SI",((W1367*'BD GN'!$AB$2)+S1364)*1,COTIZACIÓN!S1364*1)+($R$352*S1364)</f>
        <v>0</v>
      </c>
      <c r="T1363" s="195">
        <f>IFERROR(R1363*IF(K1363&lt;=3,$T$13,15%),"")</f>
        <v>0</v>
      </c>
      <c r="U1363" s="196">
        <f>BH1363+BG1363</f>
        <v>0</v>
      </c>
      <c r="V1363" s="197" t="str">
        <f>IFERROR(BN1363,0)</f>
        <v/>
      </c>
      <c r="W1363" s="198" t="str">
        <f>IFERROR(IF(X1365="SI",W1366*J1363*K1363,IF(BE1363=3,BE1365,IF(BE1363=4,BE1366,IF(BE1363=5,BE1367,IF(BE1363&gt;5,BE1367+(BE1368*(BE1363-5)),"")))))*0,"")</f>
        <v/>
      </c>
      <c r="X1363" s="198" t="str">
        <f>IFERROR(IF(X1364="NO",(VLOOKUP(D1363,'BD M.O'!C:E,3,FALSE))*W1367,((VLOOKUP(D1363,'BD M.O'!C:E,3,FALSE))+7500)*W1367),"")</f>
        <v/>
      </c>
      <c r="Y1363" s="198">
        <f>IFERROR($Y$13*AK1363,"")</f>
        <v>4.2084457416288003E-2</v>
      </c>
      <c r="Z1363" s="198">
        <f>IFERROR($Z$13*AK1363,"")</f>
        <v>5.8166708502000002E-3</v>
      </c>
      <c r="AA1363" s="199">
        <f>IFERROR(Y1363+Z1363,"")</f>
        <v>4.7901128266487999E-2</v>
      </c>
      <c r="AB1363" s="200">
        <f>IFERROR((SUM(Q1363:X1363)-T1363+T1365)*$AB$13,"")</f>
        <v>0</v>
      </c>
      <c r="AC1363" s="201">
        <f>IFERROR(((SUM(Q1363:V1363,IF(X1368&gt;AA1363,AVERAGE(X1368,AA1363),AA1363))-T1363+T1365))*$AB$13,"")</f>
        <v>9.5802256532976E-4</v>
      </c>
      <c r="AD1363" s="202" t="str">
        <f>IFERROR((J1363*K1363*$BV$14),"")</f>
        <v/>
      </c>
      <c r="AE1363" s="202">
        <f>IFERROR($AE$13*AK1363,"")</f>
        <v>6.4010592649919984E-2</v>
      </c>
      <c r="AF1363" s="203" t="str">
        <f>IFERROR(($CI$11+$CI$13)*W1367,"")</f>
        <v/>
      </c>
      <c r="AG1363" s="267">
        <f>IFERROR((SUM(Q1363:X1363,AB1363,AD1363,AF1363)-T1363+T1365)*$AG$13,"")</f>
        <v>0</v>
      </c>
      <c r="AH1363" s="202">
        <f>IFERROR((SUM(Q1363:V1363,(IF(X1368&gt;AA1363,AVERAGE(X1368,AA1363),AA1363)),AC1363,AE1363,AF1363)-T1363+T1365)*$AG$13,"")</f>
        <v>5.6434871740868871E-2</v>
      </c>
      <c r="AI1363" s="268">
        <f>IFERROR(AL1363*$AI$13,"")</f>
        <v>2.3005092721839999E-2</v>
      </c>
      <c r="AJ1363" s="268">
        <f>IFERROR($AJ$13*AL1363,"")</f>
        <v>6.4184208693933587E-3</v>
      </c>
      <c r="AK1363" s="205">
        <f>IFERROR(SUM(Q1363:X1363,AB1363,AD1363,AG1363,AF1363)/(1-$AI$13)+(1-$AJ$13)-T1363+T1365,"")</f>
        <v>0.99441999999999997</v>
      </c>
      <c r="AL1363" s="205">
        <f>IFERROR(SUM(Q1363:V1363,AC1363,(IF(AD1363&gt;AE1363,AVERAGE(AD1363,AE1363),AE1363)),AF1363,,AH1363,(IF(SUM(X1368)&gt;AA1363,AVERAGE(AA1363,X1368),AA1363)))/(1-$AJ$13)+(1-$AI$13)-T1363+T1365,"")</f>
        <v>1.1502546360919998</v>
      </c>
      <c r="AM1363" s="206">
        <f>$M$15*Q1363</f>
        <v>0</v>
      </c>
      <c r="AN1363" s="207">
        <f>$M$15*R1363</f>
        <v>0</v>
      </c>
      <c r="AO1363" s="208">
        <f>$M$15*S1363</f>
        <v>0</v>
      </c>
      <c r="AP1363" s="207">
        <f>$M$15*T1363</f>
        <v>0</v>
      </c>
      <c r="AQ1363" s="207" t="e">
        <f>$M$15*#REF!</f>
        <v>#REF!</v>
      </c>
      <c r="AR1363" s="207">
        <f>$M$15*U1363</f>
        <v>0</v>
      </c>
      <c r="AS1363" s="208" t="e">
        <f>$M$15*V1363</f>
        <v>#VALUE!</v>
      </c>
      <c r="AT1363" s="207" t="e">
        <f>$M$15*W1363</f>
        <v>#VALUE!</v>
      </c>
      <c r="AU1363" s="208" t="e">
        <f>$M$15*X1363</f>
        <v>#VALUE!</v>
      </c>
      <c r="AV1363" s="207">
        <f>$M$15*AB1363</f>
        <v>0</v>
      </c>
      <c r="AW1363" s="208">
        <f>$M$15*AE1363</f>
        <v>0</v>
      </c>
      <c r="AX1363" s="207">
        <f>$M$15*AG1363</f>
        <v>0</v>
      </c>
      <c r="AY1363" s="209">
        <f>$M$15*AI1363</f>
        <v>0</v>
      </c>
      <c r="AZ1363" s="207">
        <f>$M$15*AK1363</f>
        <v>0</v>
      </c>
      <c r="BA1363" s="210"/>
      <c r="BB1363" s="175" t="s">
        <v>23</v>
      </c>
      <c r="BC1363" s="211" t="s">
        <v>113</v>
      </c>
      <c r="BD1363" s="210"/>
      <c r="BE1363" s="212"/>
      <c r="BF1363" s="213">
        <f>IF(BH1364="NO",((2*J1363)+(2*K1363))*'BD GN'!$AU$3,((3*J1363)+(2*K1363))*'BD GN'!$AU$3)</f>
        <v>0</v>
      </c>
      <c r="BG1363" s="213">
        <f>'BD GN'!$BB$3*J1363*K1363</f>
        <v>0</v>
      </c>
      <c r="BH1363" s="214">
        <f>((J1363*2*BE1363)+(K1363*2*BE1363))*'BD GN'!$AN$4</f>
        <v>0</v>
      </c>
      <c r="BI1363" s="210"/>
      <c r="BJ1363" s="212"/>
      <c r="BK1363" s="212"/>
      <c r="BL1363" s="215">
        <f>J1363*K1363*2.5*BJ1363</f>
        <v>0</v>
      </c>
      <c r="BM1363" s="215">
        <f>BK1363+BL1363</f>
        <v>0</v>
      </c>
      <c r="BN1363" s="216" t="str">
        <f>IFERROR((VLOOKUP($C$12,'BD GN'!BD:BM,10,FALSE)*BM1363)+0,"")</f>
        <v/>
      </c>
      <c r="BO1363" s="210"/>
      <c r="BW1363" s="210"/>
      <c r="CD1363" s="184"/>
      <c r="CF1363" s="185"/>
      <c r="CI1363" s="184"/>
      <c r="CJ1363" s="210"/>
      <c r="CK1363" s="565"/>
      <c r="CL1363" s="256"/>
      <c r="CM1363" s="596"/>
      <c r="CN1363" s="596"/>
      <c r="CO1363" s="567"/>
      <c r="CP1363" s="567"/>
      <c r="CQ1363" s="567"/>
      <c r="CR1363" s="567"/>
      <c r="CS1363" s="567"/>
      <c r="CT1363" s="567"/>
      <c r="CU1363" s="565"/>
      <c r="CV1363" s="560">
        <f>IFERROR(N1363*CU1363,"")</f>
        <v>0</v>
      </c>
      <c r="CW1363" s="565"/>
      <c r="CX1363" s="560">
        <f>IFERROR(P1363*CW1363,"")</f>
        <v>0</v>
      </c>
      <c r="CY1363" s="565"/>
      <c r="CZ1363" s="560">
        <f>IFERROR(R1363*CY1363,"")</f>
        <v>0</v>
      </c>
      <c r="DA1363" s="565">
        <f t="shared" ref="DA1363" si="1363">CU1363+CW1363+CY1363</f>
        <v>0</v>
      </c>
      <c r="DB1363" s="560">
        <f t="shared" ref="DB1363" si="1364">IFERROR(CV1363+CX1363+CZ1363,"")</f>
        <v>0</v>
      </c>
      <c r="DC1363" s="565">
        <f>M1363-(CU1363+CW1363+CY1363)</f>
        <v>0</v>
      </c>
      <c r="DD1363" s="560">
        <f>IFERROR(O1363-(CV1363+CX1363+CZ1363),"")</f>
        <v>0</v>
      </c>
      <c r="DG1363" s="575"/>
      <c r="DH1363" s="575"/>
      <c r="DI1363" s="569">
        <f t="shared" ref="DI1363" si="1365">IFERROR(IF(DG1363&gt;0,(((N1363)/(1+10%+19%*5%)+((N1363)/(1+10%+19%*5%))*10%)*DH1363),0),0)</f>
        <v>0</v>
      </c>
      <c r="DJ1363" s="569">
        <f t="shared" ref="DJ1363" si="1366">IFERROR(IF(DG1363&gt;0,(N1363*DH1363),0),0)</f>
        <v>0</v>
      </c>
      <c r="DK1363" s="569">
        <f t="shared" ref="DK1363" si="1367">IF(DG1363&gt;0,((R1363+T1363)*DH1363),0)</f>
        <v>0</v>
      </c>
      <c r="DL1363" s="569">
        <f t="shared" ref="DL1363" si="1368">IF(DG1363&gt;0,(Q1363*DH1363),0)</f>
        <v>0</v>
      </c>
      <c r="DM1363" s="572">
        <f t="shared" ref="DM1363" si="1369">IF(DG1363&gt;0,(S1363*DH1363),0)</f>
        <v>0</v>
      </c>
      <c r="DN1363" s="569">
        <f t="shared" ref="DN1363" si="1370">IF(DG1363&gt;0,(BN1363*DH1363),0)</f>
        <v>0</v>
      </c>
      <c r="DO1363" s="569">
        <f t="shared" ref="DO1363" si="1371">IF(DG1363&gt;0,(AF1363*DH1363),0)</f>
        <v>0</v>
      </c>
      <c r="DP1363" s="569">
        <f>IF(DG1363&gt;0,((DI1363)*('BD P&amp;G'!$E$16+'BD P&amp;G'!$E$17+'BD P&amp;G'!$E$18+'BD P&amp;G'!$E$19+'BD P&amp;G'!$E$20+'BD P&amp;G'!$E$21+'BD P&amp;G'!$E$22+'BD P&amp;G'!$E$23)*DH1363),0)</f>
        <v>0</v>
      </c>
      <c r="DQ1363" s="569">
        <f>IFERROR(IF(DG1363&gt;0,((DI1363*'BD P&amp;G'!$E$7)+(DI1363*'BD P&amp;G'!$E$9)+AI1363),0),0)</f>
        <v>0</v>
      </c>
      <c r="DR1363" s="569">
        <f t="shared" ref="DR1363" si="1372">IFERROR(IF(DG1363&gt;0,((DI1363*1%)),0),0)</f>
        <v>0</v>
      </c>
      <c r="DS1363" s="569">
        <f>IFERROR(IF(DG1363&gt;0,(((DI1363*'BD P&amp;G'!$E$32+DI1363*'BD P&amp;G'!$E$33+DI1363*'BD P&amp;G'!$E$35+DI1363*'BD P&amp;G'!$E$36+DI1363*'BD P&amp;G'!$E$37))),0),0)</f>
        <v>0</v>
      </c>
      <c r="DT1363" s="569">
        <f t="shared" ref="DT1363" si="1373">IF(DG1363&gt;0,(Y1363*DH1363),0)</f>
        <v>0</v>
      </c>
      <c r="DU1363" s="569">
        <f t="shared" ref="DU1363" si="1374">IF(DG1363&gt;0,(Z1363*DH1363),0)</f>
        <v>0</v>
      </c>
      <c r="DV1363" s="575">
        <f t="shared" ref="DV1363" si="1375">IF(DG1363&gt;0,(Y1367*DH1363),0)</f>
        <v>0</v>
      </c>
      <c r="DW1363" s="575">
        <f t="shared" ref="DW1363" si="1376">IF(DG1363&gt;0,(Z1367*DH1363),0)</f>
        <v>0</v>
      </c>
      <c r="DX1363" s="569">
        <f t="shared" ref="DX1363" si="1377">IF(DV1363&gt;0,DJ1363,0)</f>
        <v>0</v>
      </c>
      <c r="DY1363" s="569">
        <f t="shared" ref="DY1363" si="1378">IF(DW1363&gt;0,DJ1363,0)</f>
        <v>0</v>
      </c>
    </row>
    <row r="1364" spans="1:194" s="175" customFormat="1" ht="54.95" customHeight="1" x14ac:dyDescent="0.25">
      <c r="A1364" s="366"/>
      <c r="B1364" s="367"/>
      <c r="C1364" s="393" t="s">
        <v>28</v>
      </c>
      <c r="D1364" s="598"/>
      <c r="E1364" s="598"/>
      <c r="F1364" s="598"/>
      <c r="G1364" s="598"/>
      <c r="H1364" s="598"/>
      <c r="I1364" s="598"/>
      <c r="J1364" s="604"/>
      <c r="K1364" s="604"/>
      <c r="L1364" s="607"/>
      <c r="M1364" s="559"/>
      <c r="N1364" s="610"/>
      <c r="O1364" s="613"/>
      <c r="P1364" s="192"/>
      <c r="Q1364" s="217"/>
      <c r="R1364" s="217"/>
      <c r="S1364" s="218"/>
      <c r="T1364" s="219">
        <f>IFERROR(T1363/$R$353,"")</f>
        <v>0</v>
      </c>
      <c r="U1364" s="206"/>
      <c r="V1364" s="220"/>
      <c r="W1364" s="221" t="s">
        <v>239</v>
      </c>
      <c r="X1364" s="222" t="s">
        <v>204</v>
      </c>
      <c r="Y1364" s="223"/>
      <c r="Z1364" s="224"/>
      <c r="AA1364" s="225"/>
      <c r="AB1364" s="226"/>
      <c r="AC1364" s="206"/>
      <c r="AD1364" s="206"/>
      <c r="AE1364" s="206"/>
      <c r="AF1364" s="227"/>
      <c r="AG1364" s="206"/>
      <c r="AH1364" s="206"/>
      <c r="AI1364" s="206"/>
      <c r="AJ1364" s="206"/>
      <c r="AK1364" s="227"/>
      <c r="AL1364" s="210"/>
      <c r="AM1364" s="206"/>
      <c r="AN1364" s="206"/>
      <c r="AO1364" s="228"/>
      <c r="AP1364" s="229"/>
      <c r="AQ1364" s="206"/>
      <c r="AR1364" s="206"/>
      <c r="AS1364" s="228"/>
      <c r="AT1364" s="229"/>
      <c r="AU1364" s="228"/>
      <c r="AV1364" s="229"/>
      <c r="AW1364" s="228"/>
      <c r="AX1364" s="229"/>
      <c r="AY1364" s="206"/>
      <c r="AZ1364" s="229"/>
      <c r="BA1364" s="210"/>
      <c r="BB1364" s="175" t="s">
        <v>24</v>
      </c>
      <c r="BC1364" s="175" t="s">
        <v>114</v>
      </c>
      <c r="BD1364" s="210"/>
      <c r="BE1364" s="176" t="s">
        <v>206</v>
      </c>
      <c r="BF1364" s="230" t="s">
        <v>204</v>
      </c>
      <c r="BG1364" s="176" t="s">
        <v>290</v>
      </c>
      <c r="BH1364" s="230" t="s">
        <v>204</v>
      </c>
      <c r="BI1364" s="210"/>
      <c r="BJ1364" s="185"/>
      <c r="BN1364" s="269"/>
      <c r="BO1364" s="210"/>
      <c r="BV1364" s="184"/>
      <c r="BW1364" s="210"/>
      <c r="CD1364" s="184"/>
      <c r="CF1364" s="185"/>
      <c r="CI1364" s="184"/>
      <c r="CJ1364" s="210"/>
      <c r="CK1364" s="563"/>
      <c r="CM1364" s="559"/>
      <c r="CN1364" s="559"/>
      <c r="CO1364" s="567"/>
      <c r="CP1364" s="567"/>
      <c r="CQ1364" s="567"/>
      <c r="CR1364" s="567"/>
      <c r="CS1364" s="567"/>
      <c r="CT1364" s="567"/>
      <c r="CU1364" s="563"/>
      <c r="CV1364" s="561"/>
      <c r="CW1364" s="563"/>
      <c r="CX1364" s="561"/>
      <c r="CY1364" s="563"/>
      <c r="CZ1364" s="561"/>
      <c r="DA1364" s="563"/>
      <c r="DB1364" s="561"/>
      <c r="DC1364" s="563"/>
      <c r="DD1364" s="561"/>
      <c r="DG1364" s="576"/>
      <c r="DH1364" s="576"/>
      <c r="DI1364" s="570"/>
      <c r="DJ1364" s="570"/>
      <c r="DK1364" s="570"/>
      <c r="DL1364" s="570"/>
      <c r="DM1364" s="573"/>
      <c r="DN1364" s="570"/>
      <c r="DO1364" s="570"/>
      <c r="DP1364" s="570"/>
      <c r="DQ1364" s="570"/>
      <c r="DR1364" s="570"/>
      <c r="DS1364" s="570"/>
      <c r="DT1364" s="570"/>
      <c r="DU1364" s="570"/>
      <c r="DV1364" s="576"/>
      <c r="DW1364" s="576"/>
      <c r="DX1364" s="570"/>
      <c r="DY1364" s="570"/>
    </row>
    <row r="1365" spans="1:194" s="175" customFormat="1" ht="54.95" customHeight="1" x14ac:dyDescent="0.3">
      <c r="A1365" s="366"/>
      <c r="B1365" s="367"/>
      <c r="C1365" s="393" t="s">
        <v>30</v>
      </c>
      <c r="D1365" s="599"/>
      <c r="E1365" s="599"/>
      <c r="F1365" s="599"/>
      <c r="G1365" s="599"/>
      <c r="H1365" s="599"/>
      <c r="I1365" s="599"/>
      <c r="J1365" s="604"/>
      <c r="K1365" s="604"/>
      <c r="L1365" s="607"/>
      <c r="M1365" s="559"/>
      <c r="N1365" s="610"/>
      <c r="O1365" s="613"/>
      <c r="P1365" s="192"/>
      <c r="Q1365" s="176" t="s">
        <v>205</v>
      </c>
      <c r="R1365" s="233" t="s">
        <v>204</v>
      </c>
      <c r="S1365" s="234"/>
      <c r="T1365" s="235">
        <f>IFERROR(($R$353-8000)*T1364,"")</f>
        <v>0</v>
      </c>
      <c r="U1365" s="206"/>
      <c r="V1365" s="220"/>
      <c r="W1365" s="221" t="s">
        <v>258</v>
      </c>
      <c r="X1365" s="222" t="s">
        <v>204</v>
      </c>
      <c r="Y1365" s="236"/>
      <c r="Z1365" s="237"/>
      <c r="AA1365" s="225"/>
      <c r="AB1365" s="226"/>
      <c r="AC1365" s="206"/>
      <c r="AD1365" s="206"/>
      <c r="AE1365" s="206"/>
      <c r="AF1365" s="227"/>
      <c r="AG1365" s="206"/>
      <c r="AH1365" s="206"/>
      <c r="AI1365" s="206"/>
      <c r="AJ1365" s="206"/>
      <c r="AK1365" s="227"/>
      <c r="AL1365" s="238"/>
      <c r="AM1365" s="206"/>
      <c r="AN1365" s="206"/>
      <c r="AO1365" s="228"/>
      <c r="AP1365" s="229"/>
      <c r="AQ1365" s="206"/>
      <c r="AR1365" s="206"/>
      <c r="AS1365" s="228"/>
      <c r="AT1365" s="229"/>
      <c r="AU1365" s="228"/>
      <c r="AV1365" s="229"/>
      <c r="AW1365" s="228"/>
      <c r="AX1365" s="229"/>
      <c r="AY1365" s="206"/>
      <c r="AZ1365" s="229"/>
      <c r="BA1365" s="210"/>
      <c r="BB1365" s="175" t="s">
        <v>26</v>
      </c>
      <c r="BC1365" s="211" t="s">
        <v>115</v>
      </c>
      <c r="BD1365" s="210"/>
      <c r="BE1365" s="177" t="str">
        <f>IFERROR(VLOOKUP(D1363,'BD M.O'!C:H,4,FALSE),"")</f>
        <v/>
      </c>
      <c r="BF1365" s="177" t="s">
        <v>259</v>
      </c>
      <c r="BH1365" s="184"/>
      <c r="BI1365" s="210"/>
      <c r="BJ1365" s="185"/>
      <c r="BN1365" s="184"/>
      <c r="BO1365" s="210"/>
      <c r="BV1365" s="184"/>
      <c r="BW1365" s="210"/>
      <c r="CD1365" s="184"/>
      <c r="CF1365" s="185"/>
      <c r="CI1365" s="184"/>
      <c r="CJ1365" s="210"/>
      <c r="CK1365" s="563"/>
      <c r="CM1365" s="559"/>
      <c r="CN1365" s="559"/>
      <c r="CO1365" s="567"/>
      <c r="CP1365" s="567"/>
      <c r="CQ1365" s="567"/>
      <c r="CR1365" s="567"/>
      <c r="CS1365" s="567"/>
      <c r="CT1365" s="567"/>
      <c r="CU1365" s="563"/>
      <c r="CV1365" s="561"/>
      <c r="CW1365" s="563"/>
      <c r="CX1365" s="561"/>
      <c r="CY1365" s="563"/>
      <c r="CZ1365" s="561"/>
      <c r="DA1365" s="563"/>
      <c r="DB1365" s="561"/>
      <c r="DC1365" s="563"/>
      <c r="DD1365" s="561"/>
      <c r="DG1365" s="577"/>
      <c r="DH1365" s="577"/>
      <c r="DI1365" s="571"/>
      <c r="DJ1365" s="571"/>
      <c r="DK1365" s="571"/>
      <c r="DL1365" s="571"/>
      <c r="DM1365" s="574"/>
      <c r="DN1365" s="571"/>
      <c r="DO1365" s="571"/>
      <c r="DP1365" s="571"/>
      <c r="DQ1365" s="571"/>
      <c r="DR1365" s="571"/>
      <c r="DS1365" s="571"/>
      <c r="DT1365" s="571"/>
      <c r="DU1365" s="571"/>
      <c r="DV1365" s="577"/>
      <c r="DW1365" s="577"/>
      <c r="DX1365" s="571"/>
      <c r="DY1365" s="571"/>
    </row>
    <row r="1366" spans="1:194" s="175" customFormat="1" ht="54.95" customHeight="1" x14ac:dyDescent="0.25">
      <c r="A1366" s="366"/>
      <c r="B1366" s="367"/>
      <c r="C1366" s="395" t="s">
        <v>180</v>
      </c>
      <c r="D1366" s="599" t="s">
        <v>31</v>
      </c>
      <c r="E1366" s="599"/>
      <c r="F1366" s="394" t="s">
        <v>9</v>
      </c>
      <c r="G1366" s="599" t="s">
        <v>33</v>
      </c>
      <c r="H1366" s="599"/>
      <c r="I1366" s="394" t="str">
        <f>+IF($BG$9="SI","","X")</f>
        <v>X</v>
      </c>
      <c r="J1366" s="604"/>
      <c r="K1366" s="604"/>
      <c r="L1366" s="607"/>
      <c r="M1366" s="559"/>
      <c r="N1366" s="610"/>
      <c r="O1366" s="613"/>
      <c r="P1366" s="192"/>
      <c r="Q1366" s="239"/>
      <c r="R1366" s="221" t="s">
        <v>209</v>
      </c>
      <c r="S1366" s="234" t="str">
        <f>IF(S1364="","",S1364/(J1363*K1363))</f>
        <v/>
      </c>
      <c r="T1366" s="226"/>
      <c r="U1366" s="206"/>
      <c r="V1366" s="220"/>
      <c r="W1366" s="239" t="str">
        <f>IFERROR(IF(X1365="SI",VLOOKUP(D1363,'BD M.O'!C:F,4,FALSE),""),"")</f>
        <v/>
      </c>
      <c r="X1366" s="221" t="s">
        <v>258</v>
      </c>
      <c r="Y1366" s="221" t="s">
        <v>507</v>
      </c>
      <c r="Z1366" s="221" t="s">
        <v>508</v>
      </c>
      <c r="AA1366" s="225"/>
      <c r="AB1366" s="226"/>
      <c r="AC1366" s="206"/>
      <c r="AD1366" s="206"/>
      <c r="AE1366" s="206"/>
      <c r="AF1366" s="227"/>
      <c r="AG1366" s="206"/>
      <c r="AH1366" s="206"/>
      <c r="AI1366" s="206"/>
      <c r="AJ1366" s="206"/>
      <c r="AK1366" s="227"/>
      <c r="AL1366" s="240"/>
      <c r="AM1366" s="206"/>
      <c r="AN1366" s="206"/>
      <c r="AO1366" s="228"/>
      <c r="AP1366" s="229"/>
      <c r="AQ1366" s="206"/>
      <c r="AR1366" s="206"/>
      <c r="AS1366" s="228"/>
      <c r="AT1366" s="229"/>
      <c r="AU1366" s="228"/>
      <c r="AV1366" s="229"/>
      <c r="AW1366" s="228"/>
      <c r="AX1366" s="229"/>
      <c r="AY1366" s="206"/>
      <c r="AZ1366" s="229"/>
      <c r="BA1366" s="210"/>
      <c r="BC1366" s="175" t="s">
        <v>116</v>
      </c>
      <c r="BD1366" s="210"/>
      <c r="BE1366" s="177" t="str">
        <f>IFERROR(VLOOKUP(COTIZACIÓN!D1363,'BD M.O'!C:I,5,FALSE),"")</f>
        <v/>
      </c>
      <c r="BF1366" s="177" t="s">
        <v>260</v>
      </c>
      <c r="BH1366" s="184"/>
      <c r="BI1366" s="210"/>
      <c r="BJ1366" s="185"/>
      <c r="BN1366" s="184"/>
      <c r="BO1366" s="210"/>
      <c r="BP1366" s="183"/>
      <c r="BQ1366" s="183"/>
      <c r="BR1366" s="183"/>
      <c r="BS1366" s="183"/>
      <c r="BT1366" s="183"/>
      <c r="BU1366" s="183"/>
      <c r="BV1366" s="182"/>
      <c r="BW1366" s="210"/>
      <c r="BX1366" s="183"/>
      <c r="BY1366" s="183"/>
      <c r="BZ1366" s="183"/>
      <c r="CA1366" s="183"/>
      <c r="CB1366" s="183"/>
      <c r="CC1366" s="183"/>
      <c r="CD1366" s="182"/>
      <c r="CE1366" s="183"/>
      <c r="CF1366" s="241"/>
      <c r="CG1366" s="183"/>
      <c r="CH1366" s="183"/>
      <c r="CI1366" s="182"/>
      <c r="CJ1366" s="210"/>
      <c r="CK1366" s="563"/>
      <c r="CM1366" s="559"/>
      <c r="CN1366" s="559"/>
      <c r="CO1366" s="567"/>
      <c r="CP1366" s="567"/>
      <c r="CQ1366" s="567"/>
      <c r="CR1366" s="567"/>
      <c r="CS1366" s="567"/>
      <c r="CT1366" s="567"/>
      <c r="CU1366" s="563"/>
      <c r="CV1366" s="561"/>
      <c r="CW1366" s="563"/>
      <c r="CX1366" s="561"/>
      <c r="CY1366" s="563"/>
      <c r="CZ1366" s="561"/>
      <c r="DA1366" s="563"/>
      <c r="DB1366" s="561"/>
      <c r="DC1366" s="563"/>
      <c r="DD1366" s="561"/>
      <c r="DG1366" s="575"/>
      <c r="DH1366" s="575"/>
      <c r="DI1366" s="569">
        <f t="shared" ref="DI1366" si="1379">IFERROR(IF(DG1366&gt;0,(((N1363)/(1+10%+19%*5%)+((N1363)/(1+10%+19%*5%))*10%)*DH1366),0),0)</f>
        <v>0</v>
      </c>
      <c r="DJ1366" s="569">
        <f t="shared" ref="DJ1366" si="1380">IFERROR(IF(DG1366&gt;0,(N1363*DH1366),0),0)</f>
        <v>0</v>
      </c>
      <c r="DK1366" s="569">
        <f t="shared" ref="DK1366" si="1381">IF(DG1366&gt;0,((R1363+T1363)*DH1366),0)</f>
        <v>0</v>
      </c>
      <c r="DL1366" s="569">
        <f t="shared" ref="DL1366" si="1382">IF(DG1366&gt;0,(Q1363*DH1366),0)</f>
        <v>0</v>
      </c>
      <c r="DM1366" s="572">
        <f t="shared" ref="DM1366" si="1383">IF(DG1366&gt;0,(S1363*DH1366),0)</f>
        <v>0</v>
      </c>
      <c r="DN1366" s="569">
        <f t="shared" ref="DN1366" si="1384">IF(DG1366&gt;0,(BN1363*DH1366),0)</f>
        <v>0</v>
      </c>
      <c r="DO1366" s="569">
        <f t="shared" ref="DO1366" si="1385">IF(DG1366&gt;0,(AF1363*DH1366),0)</f>
        <v>0</v>
      </c>
      <c r="DP1366" s="569">
        <f>IF(DG1366&gt;0,((DI1366)*('BD P&amp;G'!$E$16+'BD P&amp;G'!$E$17+'BD P&amp;G'!$E$18+'BD P&amp;G'!$E$19+'BD P&amp;G'!$E$20+'BD P&amp;G'!$E$21+'BD P&amp;G'!$E$22+'BD P&amp;G'!$E$23)*DH1366),0)</f>
        <v>0</v>
      </c>
      <c r="DQ1366" s="569">
        <f>IFERROR(IF(DG1366&gt;0,((DI1366*'BD P&amp;G'!$E$7)+(DI1366*'BD P&amp;G'!$E$9)+AI1363),0),0)</f>
        <v>0</v>
      </c>
      <c r="DR1366" s="569">
        <f t="shared" ref="DR1366" si="1386">IFERROR(IF(DG1366&gt;0,((DI1366*1%)),0),0)</f>
        <v>0</v>
      </c>
      <c r="DS1366" s="569">
        <f>IFERROR(IF(DG1366&gt;0,(((DI1366*'BD P&amp;G'!$E$32+DI1366*'BD P&amp;G'!$E$33+DI1366*'BD P&amp;G'!$E$35+DI1366*'BD P&amp;G'!$E$36+DI1366*'BD P&amp;G'!$E$37))),0),0)</f>
        <v>0</v>
      </c>
      <c r="DT1366" s="569">
        <f t="shared" ref="DT1366" si="1387">IF(DG1366&gt;0,(Y1363*DH1366),0)</f>
        <v>0</v>
      </c>
      <c r="DU1366" s="569">
        <f t="shared" ref="DU1366" si="1388">IF(DG1366&gt;0,(Z1363*DH1366),0)</f>
        <v>0</v>
      </c>
      <c r="DV1366" s="575">
        <f t="shared" ref="DV1366" si="1389">IF(DG1366&gt;0,(Y1367*DH1366),0)</f>
        <v>0</v>
      </c>
      <c r="DW1366" s="575">
        <f t="shared" ref="DW1366" si="1390">IF(DG1366&gt;0,(Z1367*DH1366),0)</f>
        <v>0</v>
      </c>
      <c r="DX1366" s="569">
        <f t="shared" ref="DX1366" si="1391">IF(DV1366&gt;0,DJ1366,0)</f>
        <v>0</v>
      </c>
      <c r="DY1366" s="569">
        <f t="shared" ref="DY1366" si="1392">IF(DW1366&gt;0,DJ1366,0)</f>
        <v>0</v>
      </c>
    </row>
    <row r="1367" spans="1:194" s="175" customFormat="1" ht="54.95" customHeight="1" x14ac:dyDescent="0.3">
      <c r="A1367" s="366"/>
      <c r="B1367" s="367"/>
      <c r="C1367" s="393" t="s">
        <v>35</v>
      </c>
      <c r="D1367" s="599" t="str">
        <f>IFERROR(VLOOKUP(D1363,'BD GN'!C:E,3,),"")</f>
        <v/>
      </c>
      <c r="E1367" s="599"/>
      <c r="F1367" s="599"/>
      <c r="G1367" s="599"/>
      <c r="H1367" s="599"/>
      <c r="I1367" s="599"/>
      <c r="J1367" s="604"/>
      <c r="K1367" s="604"/>
      <c r="L1367" s="607"/>
      <c r="M1367" s="559"/>
      <c r="N1367" s="610"/>
      <c r="O1367" s="613"/>
      <c r="P1367" s="192"/>
      <c r="Q1367" s="239"/>
      <c r="R1367" s="221" t="s">
        <v>210</v>
      </c>
      <c r="S1367" s="234" t="str">
        <f>IFERROR(IF(N1363="","",N1363/W1367),"")</f>
        <v/>
      </c>
      <c r="T1367" s="226"/>
      <c r="U1367" s="206"/>
      <c r="V1367" s="220"/>
      <c r="W1367" s="242" t="str">
        <f>+IF(J1363*K1363&gt;=1,J1363*K1363,IF(AND(J1363*K1363&gt;0,J1363*K1363&lt;1),1,""))</f>
        <v/>
      </c>
      <c r="X1367" s="221" t="s">
        <v>298</v>
      </c>
      <c r="Y1367" s="461">
        <f>IFERROR(IF(D1363='BD GN'!$C$25,COTIZACIÓN!W1367,IF(D1363='BD GN'!$C$26,COTIZACIÓN!W1367,IF(D1363='BD GN'!$C$27,COTIZACIÓN!W1367,IF(COTIZACIÓN!D1363='BD GN'!$C$28,COTIZACIÓN!W1367,IF(COTIZACIÓN!D1363='BD GN'!$C$29,COTIZACIÓN!W1367,IF(COTIZACIÓN!D1363='BD GN'!$C$35,COTIZACIÓN!W1367,IF(COTIZACIÓN!D1363='BD GN'!$C$36,COTIZACIÓN!W1367,IF(COTIZACIÓN!D1363='BD GN'!$C$37,COTIZACIÓN!W1367,IF(COTIZACIÓN!D1363='BD GN'!$C$38,COTIZACIÓN!W1367,IF(COTIZACIÓN!D1363='BD GN'!$C$39,COTIZACIÓN!W1367,IF(COTIZACIÓN!D1363='BD GN'!$C$40,COTIZACIÓN!W1367,IF(COTIZACIÓN!D1363='BD GN'!$C$41,COTIZACIÓN!W1367,IF(COTIZACIÓN!D1363='BD GN'!$C$42,COTIZACIÓN!W1367,IF(COTIZACIÓN!D1363='BD GN'!$C$49,COTIZACIÓN!W1367,IF(COTIZACIÓN!D1363='BD GN'!$C$50,COTIZACIÓN!W1367,IF(COTIZACIÓN!D1363='BD GN'!$C$51,COTIZACIÓN!W1367,IF(COTIZACIÓN!D1363='BD GN'!$C$67,COTIZACIÓN!W1367,0))))))))))))))))),0)</f>
        <v>0</v>
      </c>
      <c r="Z1367" s="461">
        <f>IFERROR(W1367-Y1367,0)</f>
        <v>0</v>
      </c>
      <c r="AA1367" s="225"/>
      <c r="AB1367" s="226"/>
      <c r="AC1367" s="206"/>
      <c r="AD1367" s="206"/>
      <c r="AE1367" s="206"/>
      <c r="AF1367" s="227"/>
      <c r="AG1367" s="206"/>
      <c r="AH1367" s="206"/>
      <c r="AI1367" s="206"/>
      <c r="AJ1367" s="206"/>
      <c r="AK1367" s="227"/>
      <c r="AL1367" s="210"/>
      <c r="AM1367" s="206"/>
      <c r="AN1367" s="206"/>
      <c r="AO1367" s="228"/>
      <c r="AP1367" s="229"/>
      <c r="AQ1367" s="206"/>
      <c r="AR1367" s="206"/>
      <c r="AS1367" s="228"/>
      <c r="AT1367" s="229"/>
      <c r="AU1367" s="228"/>
      <c r="AV1367" s="229"/>
      <c r="AW1367" s="228"/>
      <c r="AX1367" s="229"/>
      <c r="AY1367" s="206"/>
      <c r="AZ1367" s="229"/>
      <c r="BA1367" s="210"/>
      <c r="BC1367" s="211" t="s">
        <v>117</v>
      </c>
      <c r="BD1367" s="210"/>
      <c r="BE1367" s="177" t="str">
        <f>IFERROR(VLOOKUP(D1363,'BD M.O'!C:I,6,FALSE),"")</f>
        <v/>
      </c>
      <c r="BF1367" s="177" t="s">
        <v>261</v>
      </c>
      <c r="BH1367" s="184"/>
      <c r="BI1367" s="210"/>
      <c r="BJ1367" s="185"/>
      <c r="BN1367" s="184"/>
      <c r="BO1367" s="210"/>
      <c r="BP1367" s="183"/>
      <c r="BQ1367" s="183"/>
      <c r="BR1367" s="183"/>
      <c r="BW1367" s="210"/>
      <c r="CD1367" s="184"/>
      <c r="CF1367" s="185"/>
      <c r="CI1367" s="184"/>
      <c r="CJ1367" s="210"/>
      <c r="CK1367" s="563"/>
      <c r="CM1367" s="559"/>
      <c r="CN1367" s="559"/>
      <c r="CO1367" s="567"/>
      <c r="CP1367" s="567"/>
      <c r="CQ1367" s="567"/>
      <c r="CR1367" s="567"/>
      <c r="CS1367" s="567"/>
      <c r="CT1367" s="567"/>
      <c r="CU1367" s="563"/>
      <c r="CV1367" s="561"/>
      <c r="CW1367" s="563"/>
      <c r="CX1367" s="561"/>
      <c r="CY1367" s="563"/>
      <c r="CZ1367" s="561"/>
      <c r="DA1367" s="563"/>
      <c r="DB1367" s="561"/>
      <c r="DC1367" s="563"/>
      <c r="DD1367" s="561"/>
      <c r="DG1367" s="576"/>
      <c r="DH1367" s="576"/>
      <c r="DI1367" s="570"/>
      <c r="DJ1367" s="570"/>
      <c r="DK1367" s="570"/>
      <c r="DL1367" s="570"/>
      <c r="DM1367" s="573"/>
      <c r="DN1367" s="570"/>
      <c r="DO1367" s="570"/>
      <c r="DP1367" s="570"/>
      <c r="DQ1367" s="570"/>
      <c r="DR1367" s="570"/>
      <c r="DS1367" s="570"/>
      <c r="DT1367" s="570"/>
      <c r="DU1367" s="570"/>
      <c r="DV1367" s="576"/>
      <c r="DW1367" s="576"/>
      <c r="DX1367" s="570"/>
      <c r="DY1367" s="570"/>
    </row>
    <row r="1368" spans="1:194" s="252" customFormat="1" ht="54.95" customHeight="1" x14ac:dyDescent="0.25">
      <c r="A1368" s="368"/>
      <c r="B1368" s="369"/>
      <c r="C1368" s="396" t="s">
        <v>10</v>
      </c>
      <c r="D1368" s="600" t="s">
        <v>32</v>
      </c>
      <c r="E1368" s="600"/>
      <c r="F1368" s="600"/>
      <c r="G1368" s="600"/>
      <c r="H1368" s="600"/>
      <c r="I1368" s="600"/>
      <c r="J1368" s="605"/>
      <c r="K1368" s="605"/>
      <c r="L1368" s="608"/>
      <c r="M1368" s="597"/>
      <c r="N1368" s="611"/>
      <c r="O1368" s="614"/>
      <c r="P1368" s="192"/>
      <c r="Q1368" s="239"/>
      <c r="R1368" s="239"/>
      <c r="S1368" s="234"/>
      <c r="T1368" s="243"/>
      <c r="U1368" s="244"/>
      <c r="V1368" s="245"/>
      <c r="W1368" s="177" t="s">
        <v>394</v>
      </c>
      <c r="X1368" s="246">
        <f>IFERROR(SUM(W1363:X1363),"")</f>
        <v>0</v>
      </c>
      <c r="Y1368" s="166" t="s">
        <v>404</v>
      </c>
      <c r="Z1368" s="199">
        <f>IFERROR(Y1363+Z1363,"")</f>
        <v>4.7901128266487999E-2</v>
      </c>
      <c r="AA1368" s="247"/>
      <c r="AB1368" s="243"/>
      <c r="AC1368" s="244"/>
      <c r="AD1368" s="244"/>
      <c r="AE1368" s="244"/>
      <c r="AF1368" s="270"/>
      <c r="AG1368" s="244"/>
      <c r="AH1368" s="244"/>
      <c r="AI1368" s="244"/>
      <c r="AJ1368" s="244"/>
      <c r="AK1368" s="270"/>
      <c r="AL1368" s="270"/>
      <c r="AM1368" s="248"/>
      <c r="AN1368" s="248"/>
      <c r="AO1368" s="249"/>
      <c r="AP1368" s="250"/>
      <c r="AQ1368" s="248"/>
      <c r="AR1368" s="248"/>
      <c r="AS1368" s="249"/>
      <c r="AT1368" s="250"/>
      <c r="AU1368" s="249"/>
      <c r="AV1368" s="250"/>
      <c r="AW1368" s="249"/>
      <c r="AX1368" s="250"/>
      <c r="AY1368" s="248"/>
      <c r="AZ1368" s="250"/>
      <c r="BA1368" s="210"/>
      <c r="BB1368" s="175"/>
      <c r="BC1368" s="175" t="s">
        <v>118</v>
      </c>
      <c r="BD1368" s="210"/>
      <c r="BE1368" s="177" t="str">
        <f>IFERROR(VLOOKUP(D1363,'BD M.O'!C:I,7,FALSE),"")</f>
        <v/>
      </c>
      <c r="BF1368" s="177" t="s">
        <v>262</v>
      </c>
      <c r="BG1368" s="257"/>
      <c r="BH1368" s="271"/>
      <c r="BI1368" s="210"/>
      <c r="BJ1368" s="272"/>
      <c r="BK1368" s="257"/>
      <c r="BL1368" s="257"/>
      <c r="BM1368" s="257"/>
      <c r="BN1368" s="271"/>
      <c r="BO1368" s="210"/>
      <c r="BP1368" s="175"/>
      <c r="BQ1368" s="175"/>
      <c r="BR1368" s="175"/>
      <c r="BS1368" s="183"/>
      <c r="BT1368" s="183"/>
      <c r="BU1368" s="183"/>
      <c r="BV1368" s="183"/>
      <c r="BW1368" s="210"/>
      <c r="BX1368" s="175"/>
      <c r="BY1368" s="175"/>
      <c r="BZ1368" s="175"/>
      <c r="CA1368" s="175"/>
      <c r="CB1368" s="175"/>
      <c r="CC1368" s="175"/>
      <c r="CD1368" s="184"/>
      <c r="CE1368" s="175"/>
      <c r="CF1368" s="185"/>
      <c r="CG1368" s="175"/>
      <c r="CH1368" s="175"/>
      <c r="CI1368" s="184"/>
      <c r="CJ1368" s="210"/>
      <c r="CK1368" s="564"/>
      <c r="CL1368" s="257"/>
      <c r="CM1368" s="597"/>
      <c r="CN1368" s="597"/>
      <c r="CO1368" s="567"/>
      <c r="CP1368" s="567"/>
      <c r="CQ1368" s="567"/>
      <c r="CR1368" s="567"/>
      <c r="CS1368" s="567"/>
      <c r="CT1368" s="567"/>
      <c r="CU1368" s="564"/>
      <c r="CV1368" s="562"/>
      <c r="CW1368" s="564"/>
      <c r="CX1368" s="562"/>
      <c r="CY1368" s="564"/>
      <c r="CZ1368" s="562"/>
      <c r="DA1368" s="564"/>
      <c r="DB1368" s="562"/>
      <c r="DC1368" s="564"/>
      <c r="DD1368" s="562"/>
      <c r="DE1368" s="175"/>
      <c r="DF1368" s="175"/>
      <c r="DG1368" s="577"/>
      <c r="DH1368" s="577"/>
      <c r="DI1368" s="571"/>
      <c r="DJ1368" s="571"/>
      <c r="DK1368" s="571"/>
      <c r="DL1368" s="571"/>
      <c r="DM1368" s="574"/>
      <c r="DN1368" s="571"/>
      <c r="DO1368" s="571"/>
      <c r="DP1368" s="571"/>
      <c r="DQ1368" s="571"/>
      <c r="DR1368" s="571"/>
      <c r="DS1368" s="571"/>
      <c r="DT1368" s="571"/>
      <c r="DU1368" s="571"/>
      <c r="DV1368" s="577"/>
      <c r="DW1368" s="577"/>
      <c r="DX1368" s="571"/>
      <c r="DY1368" s="571"/>
      <c r="DZ1368" s="175"/>
      <c r="EA1368" s="175"/>
      <c r="EB1368" s="175"/>
      <c r="EC1368" s="175"/>
      <c r="ED1368" s="175"/>
      <c r="EE1368" s="175"/>
      <c r="EF1368" s="175"/>
      <c r="EG1368" s="175"/>
      <c r="EH1368" s="175"/>
      <c r="EI1368" s="175"/>
      <c r="EJ1368" s="175"/>
      <c r="EK1368" s="175"/>
      <c r="EL1368" s="175"/>
      <c r="EM1368" s="175"/>
      <c r="EN1368" s="175"/>
      <c r="EO1368" s="175"/>
      <c r="EP1368" s="175"/>
      <c r="EQ1368" s="175"/>
      <c r="ER1368" s="175"/>
      <c r="ES1368" s="175"/>
      <c r="ET1368" s="175"/>
      <c r="EU1368" s="175"/>
      <c r="EV1368" s="175"/>
      <c r="EW1368" s="175"/>
      <c r="EX1368" s="175"/>
      <c r="EY1368" s="175"/>
      <c r="EZ1368" s="175"/>
      <c r="FA1368" s="175"/>
      <c r="FB1368" s="175"/>
      <c r="FC1368" s="175"/>
      <c r="FD1368" s="175"/>
      <c r="FE1368" s="175"/>
      <c r="FF1368" s="175"/>
      <c r="FG1368" s="175"/>
      <c r="FH1368" s="175"/>
      <c r="FI1368" s="175"/>
      <c r="FJ1368" s="175"/>
      <c r="FK1368" s="175"/>
      <c r="FL1368" s="175"/>
      <c r="FM1368" s="175"/>
      <c r="FN1368" s="175"/>
      <c r="FO1368" s="175"/>
      <c r="FP1368" s="175"/>
      <c r="FQ1368" s="175"/>
      <c r="FR1368" s="175"/>
      <c r="FS1368" s="175"/>
      <c r="FT1368" s="175"/>
      <c r="FU1368" s="175"/>
      <c r="FV1368" s="175"/>
      <c r="FW1368" s="175"/>
      <c r="FX1368" s="175"/>
      <c r="FY1368" s="175"/>
      <c r="FZ1368" s="175"/>
      <c r="GA1368" s="175"/>
      <c r="GB1368" s="175"/>
      <c r="GC1368" s="175"/>
      <c r="GD1368" s="175"/>
      <c r="GE1368" s="175"/>
      <c r="GF1368" s="175"/>
      <c r="GG1368" s="175"/>
      <c r="GH1368" s="175"/>
      <c r="GI1368" s="175"/>
      <c r="GJ1368" s="175"/>
      <c r="GK1368" s="175"/>
      <c r="GL1368" s="175"/>
    </row>
    <row r="1369" spans="1:194" s="255" customFormat="1" ht="54.95" customHeight="1" x14ac:dyDescent="0.3">
      <c r="A1369" s="380" t="s">
        <v>193</v>
      </c>
      <c r="B1369" s="381" t="s">
        <v>25</v>
      </c>
      <c r="C1369" s="409" t="s">
        <v>174</v>
      </c>
      <c r="D1369" s="601" t="s">
        <v>173</v>
      </c>
      <c r="E1369" s="601"/>
      <c r="F1369" s="601"/>
      <c r="G1369" s="601"/>
      <c r="H1369" s="601"/>
      <c r="I1369" s="601"/>
      <c r="J1369" s="437" t="s">
        <v>406</v>
      </c>
      <c r="K1369" s="437" t="s">
        <v>405</v>
      </c>
      <c r="L1369" s="438" t="s">
        <v>171</v>
      </c>
      <c r="M1369" s="381" t="s">
        <v>2</v>
      </c>
      <c r="N1369" s="439" t="s">
        <v>7</v>
      </c>
      <c r="O1369" s="440" t="s">
        <v>8</v>
      </c>
      <c r="P1369" s="159"/>
      <c r="Q1369" s="164" t="s">
        <v>93</v>
      </c>
      <c r="R1369" s="164" t="s">
        <v>34</v>
      </c>
      <c r="S1369" s="164" t="s">
        <v>28</v>
      </c>
      <c r="T1369" s="164" t="s">
        <v>95</v>
      </c>
      <c r="U1369" s="164" t="s">
        <v>96</v>
      </c>
      <c r="V1369" s="164" t="s">
        <v>97</v>
      </c>
      <c r="W1369" s="164" t="s">
        <v>4</v>
      </c>
      <c r="X1369" s="164" t="s">
        <v>103</v>
      </c>
      <c r="Y1369" s="160" t="s">
        <v>402</v>
      </c>
      <c r="Z1369" s="165" t="s">
        <v>403</v>
      </c>
      <c r="AA1369" s="166" t="s">
        <v>404</v>
      </c>
      <c r="AB1369" s="164" t="s">
        <v>99</v>
      </c>
      <c r="AC1369" s="164" t="s">
        <v>395</v>
      </c>
      <c r="AD1369" s="253" t="s">
        <v>36</v>
      </c>
      <c r="AE1369" s="164" t="s">
        <v>389</v>
      </c>
      <c r="AF1369" s="164" t="s">
        <v>390</v>
      </c>
      <c r="AG1369" s="164" t="s">
        <v>164</v>
      </c>
      <c r="AH1369" s="253" t="s">
        <v>396</v>
      </c>
      <c r="AI1369" s="164" t="s">
        <v>190</v>
      </c>
      <c r="AJ1369" s="164" t="s">
        <v>339</v>
      </c>
      <c r="AK1369" s="253" t="s">
        <v>391</v>
      </c>
      <c r="AL1369" s="253" t="s">
        <v>393</v>
      </c>
      <c r="AM1369" s="167" t="s">
        <v>93</v>
      </c>
      <c r="AN1369" s="168" t="s">
        <v>34</v>
      </c>
      <c r="AO1369" s="169" t="s">
        <v>28</v>
      </c>
      <c r="AP1369" s="170" t="s">
        <v>95</v>
      </c>
      <c r="AQ1369" s="167" t="s">
        <v>3</v>
      </c>
      <c r="AR1369" s="167" t="s">
        <v>96</v>
      </c>
      <c r="AS1369" s="169" t="s">
        <v>97</v>
      </c>
      <c r="AT1369" s="170" t="s">
        <v>4</v>
      </c>
      <c r="AU1369" s="169" t="s">
        <v>103</v>
      </c>
      <c r="AV1369" s="170" t="s">
        <v>99</v>
      </c>
      <c r="AW1369" s="169" t="s">
        <v>36</v>
      </c>
      <c r="AX1369" s="171" t="s">
        <v>29</v>
      </c>
      <c r="AY1369" s="172" t="s">
        <v>190</v>
      </c>
      <c r="AZ1369" s="173" t="s">
        <v>102</v>
      </c>
      <c r="BA1369" s="174"/>
      <c r="BB1369" s="183"/>
      <c r="BC1369" s="211" t="s">
        <v>119</v>
      </c>
      <c r="BD1369" s="174"/>
      <c r="BE1369" s="176" t="s">
        <v>189</v>
      </c>
      <c r="BF1369" s="177" t="str">
        <f>$BF$13</f>
        <v xml:space="preserve">VR SILICONA </v>
      </c>
      <c r="BG1369" s="177" t="str">
        <f>$BG$13</f>
        <v xml:space="preserve">VR PELÍCULA </v>
      </c>
      <c r="BH1369" s="177" t="str">
        <f>$BH$13</f>
        <v>VR EMBALAJE</v>
      </c>
      <c r="BI1369" s="174"/>
      <c r="BJ1369" s="176" t="str">
        <f>$BJ$13</f>
        <v>ESP. CRISTAL</v>
      </c>
      <c r="BK1369" s="176" t="s">
        <v>130</v>
      </c>
      <c r="BL1369" s="177" t="s">
        <v>28</v>
      </c>
      <c r="BM1369" s="177">
        <f>BM1362</f>
        <v>0</v>
      </c>
      <c r="BN1369" s="177" t="s">
        <v>133</v>
      </c>
      <c r="BO1369" s="174"/>
      <c r="BP1369" s="175"/>
      <c r="BQ1369" s="175"/>
      <c r="BR1369" s="175"/>
      <c r="BS1369" s="175"/>
      <c r="BT1369" s="175"/>
      <c r="BU1369" s="175"/>
      <c r="BV1369" s="175"/>
      <c r="BW1369" s="174"/>
      <c r="BX1369" s="175"/>
      <c r="BY1369" s="175"/>
      <c r="BZ1369" s="175"/>
      <c r="CA1369" s="175"/>
      <c r="CB1369" s="175"/>
      <c r="CC1369" s="175"/>
      <c r="CD1369" s="184"/>
      <c r="CE1369" s="175"/>
      <c r="CF1369" s="185"/>
      <c r="CG1369" s="175"/>
      <c r="CH1369" s="175"/>
      <c r="CI1369" s="184"/>
      <c r="CJ1369" s="174"/>
      <c r="CK1369" s="254" t="s">
        <v>415</v>
      </c>
      <c r="CL1369" s="265" t="s">
        <v>417</v>
      </c>
      <c r="CM1369" s="265" t="s">
        <v>416</v>
      </c>
      <c r="CN1369" s="266" t="s">
        <v>418</v>
      </c>
      <c r="CO1369" s="265" t="s">
        <v>417</v>
      </c>
      <c r="CP1369" s="265" t="s">
        <v>409</v>
      </c>
      <c r="CQ1369" s="265" t="s">
        <v>410</v>
      </c>
      <c r="CR1369" s="265" t="s">
        <v>411</v>
      </c>
      <c r="CS1369" s="265" t="s">
        <v>412</v>
      </c>
      <c r="CT1369" s="265" t="s">
        <v>413</v>
      </c>
      <c r="CU1369" s="189" t="s">
        <v>2</v>
      </c>
      <c r="CV1369" s="190" t="s">
        <v>159</v>
      </c>
      <c r="CW1369" s="189" t="s">
        <v>2</v>
      </c>
      <c r="CX1369" s="190" t="s">
        <v>159</v>
      </c>
      <c r="CY1369" s="189" t="s">
        <v>2</v>
      </c>
      <c r="CZ1369" s="190" t="s">
        <v>159</v>
      </c>
      <c r="DA1369" s="189" t="s">
        <v>2</v>
      </c>
      <c r="DB1369" s="190" t="s">
        <v>159</v>
      </c>
      <c r="DC1369" s="189" t="s">
        <v>2</v>
      </c>
      <c r="DD1369" s="190" t="s">
        <v>159</v>
      </c>
      <c r="DE1369" s="183"/>
      <c r="DF1369" s="183"/>
      <c r="DG1369" s="177" t="s">
        <v>505</v>
      </c>
      <c r="DH1369" s="472" t="s">
        <v>509</v>
      </c>
      <c r="DI1369" s="457" t="s">
        <v>506</v>
      </c>
      <c r="DJ1369" s="457" t="s">
        <v>134</v>
      </c>
      <c r="DK1369" s="457" t="s">
        <v>498</v>
      </c>
      <c r="DL1369" s="457" t="s">
        <v>499</v>
      </c>
      <c r="DM1369" s="457" t="s">
        <v>500</v>
      </c>
      <c r="DN1369" s="457" t="s">
        <v>131</v>
      </c>
      <c r="DO1369" s="457" t="s">
        <v>390</v>
      </c>
      <c r="DP1369" s="457" t="s">
        <v>36</v>
      </c>
      <c r="DQ1369" s="457" t="s">
        <v>501</v>
      </c>
      <c r="DR1369" s="457" t="s">
        <v>502</v>
      </c>
      <c r="DS1369" s="457" t="s">
        <v>503</v>
      </c>
      <c r="DT1369" s="457" t="s">
        <v>4</v>
      </c>
      <c r="DU1369" s="457" t="s">
        <v>504</v>
      </c>
      <c r="DV1369" s="466" t="s">
        <v>507</v>
      </c>
      <c r="DW1369" s="466" t="s">
        <v>508</v>
      </c>
      <c r="DX1369" s="457" t="s">
        <v>510</v>
      </c>
      <c r="DY1369" s="457" t="s">
        <v>511</v>
      </c>
      <c r="DZ1369" s="183"/>
      <c r="EA1369" s="183"/>
      <c r="EB1369" s="183"/>
      <c r="EC1369" s="183"/>
      <c r="ED1369" s="183"/>
      <c r="EE1369" s="183"/>
      <c r="EF1369" s="183"/>
      <c r="EG1369" s="183"/>
      <c r="EH1369" s="183"/>
      <c r="EI1369" s="183"/>
      <c r="EJ1369" s="183"/>
      <c r="EK1369" s="183"/>
      <c r="EL1369" s="183"/>
      <c r="EM1369" s="183"/>
      <c r="EN1369" s="183"/>
      <c r="EO1369" s="183"/>
      <c r="EP1369" s="183"/>
      <c r="EQ1369" s="183"/>
      <c r="ER1369" s="183"/>
      <c r="ES1369" s="183"/>
      <c r="ET1369" s="183"/>
      <c r="EU1369" s="183"/>
      <c r="EV1369" s="183"/>
      <c r="EW1369" s="183"/>
      <c r="EX1369" s="183"/>
      <c r="EY1369" s="183"/>
      <c r="EZ1369" s="183"/>
      <c r="FA1369" s="183"/>
      <c r="FB1369" s="183"/>
      <c r="FC1369" s="183"/>
      <c r="FD1369" s="183"/>
      <c r="FE1369" s="183"/>
      <c r="FF1369" s="183"/>
      <c r="FG1369" s="183"/>
      <c r="FH1369" s="183"/>
      <c r="FI1369" s="183"/>
      <c r="FJ1369" s="183"/>
      <c r="FK1369" s="183"/>
      <c r="FL1369" s="183"/>
      <c r="FM1369" s="183"/>
      <c r="FN1369" s="183"/>
      <c r="FO1369" s="183"/>
      <c r="FP1369" s="183"/>
      <c r="FQ1369" s="183"/>
      <c r="FR1369" s="183"/>
      <c r="FS1369" s="183"/>
      <c r="FT1369" s="183"/>
      <c r="FU1369" s="183"/>
      <c r="FV1369" s="183"/>
      <c r="FW1369" s="183"/>
      <c r="FX1369" s="183"/>
      <c r="FY1369" s="183"/>
      <c r="FZ1369" s="183"/>
      <c r="GA1369" s="183"/>
      <c r="GB1369" s="183"/>
      <c r="GC1369" s="183"/>
      <c r="GD1369" s="183"/>
      <c r="GE1369" s="183"/>
      <c r="GF1369" s="183"/>
      <c r="GG1369" s="183"/>
      <c r="GH1369" s="183"/>
      <c r="GI1369" s="183"/>
      <c r="GJ1369" s="183"/>
      <c r="GK1369" s="183"/>
      <c r="GL1369" s="183"/>
    </row>
    <row r="1370" spans="1:194" s="175" customFormat="1" ht="54.95" customHeight="1" x14ac:dyDescent="0.3">
      <c r="A1370" s="364"/>
      <c r="B1370" s="365"/>
      <c r="C1370" s="392" t="s">
        <v>27</v>
      </c>
      <c r="D1370" s="602"/>
      <c r="E1370" s="602"/>
      <c r="F1370" s="602"/>
      <c r="G1370" s="602"/>
      <c r="H1370" s="602"/>
      <c r="I1370" s="602"/>
      <c r="J1370" s="603"/>
      <c r="K1370" s="603"/>
      <c r="L1370" s="606">
        <f>J1370*K1370*M1370</f>
        <v>0</v>
      </c>
      <c r="M1370" s="596"/>
      <c r="N1370" s="609">
        <f>IFERROR(AL1370,"")</f>
        <v>1.1502546360919998</v>
      </c>
      <c r="O1370" s="612">
        <f>IFERROR(N1370*M1370,"")</f>
        <v>0</v>
      </c>
      <c r="P1370" s="192"/>
      <c r="Q1370" s="193">
        <f>Q1371+BF1370+($R$350*Q1371)</f>
        <v>0</v>
      </c>
      <c r="R1370" s="193">
        <f>IFERROR(R1371+($R$348*R1371),"")</f>
        <v>0</v>
      </c>
      <c r="S1370" s="194">
        <f>+IF(R1372="SI",((W1374*'BD GN'!$AB$2)+S1371)*1,COTIZACIÓN!S1371*1)+($R$352*S1371)</f>
        <v>0</v>
      </c>
      <c r="T1370" s="195">
        <f>IFERROR(R1370*IF(K1370&lt;=3,$T$13,15%),"")</f>
        <v>0</v>
      </c>
      <c r="U1370" s="196">
        <f>BH1370+BG1370</f>
        <v>0</v>
      </c>
      <c r="V1370" s="197" t="str">
        <f>IFERROR(BN1370,0)</f>
        <v/>
      </c>
      <c r="W1370" s="198" t="str">
        <f>IFERROR(IF(X1372="SI",W1373*J1370*K1370,IF(BE1370=3,BE1372,IF(BE1370=4,BE1373,IF(BE1370=5,BE1374,IF(BE1370&gt;5,BE1374+(BE1375*(BE1370-5)),"")))))*0,"")</f>
        <v/>
      </c>
      <c r="X1370" s="198" t="str">
        <f>IFERROR(IF(X1371="NO",(VLOOKUP(D1370,'BD M.O'!C:E,3,FALSE))*W1374,((VLOOKUP(D1370,'BD M.O'!C:E,3,FALSE))+7500)*W1374),"")</f>
        <v/>
      </c>
      <c r="Y1370" s="198">
        <f>IFERROR($Y$13*AK1370,"")</f>
        <v>4.2084457416288003E-2</v>
      </c>
      <c r="Z1370" s="198">
        <f>IFERROR($Z$13*AK1370,"")</f>
        <v>5.8166708502000002E-3</v>
      </c>
      <c r="AA1370" s="199">
        <f>IFERROR(Y1370+Z1370,"")</f>
        <v>4.7901128266487999E-2</v>
      </c>
      <c r="AB1370" s="200">
        <f>IFERROR((SUM(Q1370:X1370)-T1370+T1372)*$AB$13,"")</f>
        <v>0</v>
      </c>
      <c r="AC1370" s="201">
        <f>IFERROR(((SUM(Q1370:V1370,IF(X1375&gt;AA1370,AVERAGE(X1375,AA1370),AA1370))-T1370+T1372))*$AB$13,"")</f>
        <v>9.5802256532976E-4</v>
      </c>
      <c r="AD1370" s="202" t="str">
        <f>IFERROR((J1370*K1370*$BV$14),"")</f>
        <v/>
      </c>
      <c r="AE1370" s="202">
        <f>IFERROR($AE$13*AK1370,"")</f>
        <v>6.4010592649919984E-2</v>
      </c>
      <c r="AF1370" s="203" t="str">
        <f>IFERROR(($CI$11+$CI$13)*W1374,"")</f>
        <v/>
      </c>
      <c r="AG1370" s="267">
        <f>IFERROR((SUM(Q1370:X1370,AB1370,AD1370,AF1370)-T1370+T1372)*$AG$13,"")</f>
        <v>0</v>
      </c>
      <c r="AH1370" s="202">
        <f>IFERROR((SUM(Q1370:V1370,(IF(X1375&gt;AA1370,AVERAGE(X1375,AA1370),AA1370)),AC1370,AE1370,AF1370)-T1370+T1372)*$AG$13,"")</f>
        <v>5.6434871740868871E-2</v>
      </c>
      <c r="AI1370" s="268">
        <f>IFERROR(AL1370*$AI$13,"")</f>
        <v>2.3005092721839999E-2</v>
      </c>
      <c r="AJ1370" s="268">
        <f>IFERROR($AJ$13*AL1370,"")</f>
        <v>6.4184208693933587E-3</v>
      </c>
      <c r="AK1370" s="205">
        <f>IFERROR(SUM(Q1370:X1370,AB1370,AD1370,AG1370,AF1370)/(1-$AI$13)+(1-$AJ$13)-T1370+T1372,"")</f>
        <v>0.99441999999999997</v>
      </c>
      <c r="AL1370" s="205">
        <f>IFERROR(SUM(Q1370:V1370,AC1370,(IF(AD1370&gt;AE1370,AVERAGE(AD1370,AE1370),AE1370)),AF1370,,AH1370,(IF(SUM(X1375)&gt;AA1370,AVERAGE(AA1370,X1375),AA1370)))/(1-$AJ$13)+(1-$AI$13)-T1370+T1372,"")</f>
        <v>1.1502546360919998</v>
      </c>
      <c r="AM1370" s="206">
        <f>$M$15*Q1370</f>
        <v>0</v>
      </c>
      <c r="AN1370" s="207">
        <f>$M$15*R1370</f>
        <v>0</v>
      </c>
      <c r="AO1370" s="208">
        <f>$M$15*S1370</f>
        <v>0</v>
      </c>
      <c r="AP1370" s="207">
        <f>$M$15*T1370</f>
        <v>0</v>
      </c>
      <c r="AQ1370" s="207" t="e">
        <f>$M$15*#REF!</f>
        <v>#REF!</v>
      </c>
      <c r="AR1370" s="207">
        <f>$M$15*U1370</f>
        <v>0</v>
      </c>
      <c r="AS1370" s="208" t="e">
        <f>$M$15*V1370</f>
        <v>#VALUE!</v>
      </c>
      <c r="AT1370" s="207" t="e">
        <f>$M$15*W1370</f>
        <v>#VALUE!</v>
      </c>
      <c r="AU1370" s="208" t="e">
        <f>$M$15*X1370</f>
        <v>#VALUE!</v>
      </c>
      <c r="AV1370" s="207">
        <f>$M$15*AB1370</f>
        <v>0</v>
      </c>
      <c r="AW1370" s="208">
        <f>$M$15*AE1370</f>
        <v>0</v>
      </c>
      <c r="AX1370" s="207">
        <f>$M$15*AG1370</f>
        <v>0</v>
      </c>
      <c r="AY1370" s="209">
        <f>$M$15*AI1370</f>
        <v>0</v>
      </c>
      <c r="AZ1370" s="207">
        <f>$M$15*AK1370</f>
        <v>0</v>
      </c>
      <c r="BA1370" s="210"/>
      <c r="BB1370" s="175" t="s">
        <v>23</v>
      </c>
      <c r="BC1370" s="211" t="s">
        <v>113</v>
      </c>
      <c r="BD1370" s="210"/>
      <c r="BE1370" s="212"/>
      <c r="BF1370" s="213">
        <f>IF(BH1371="NO",((2*J1370)+(2*K1370))*'BD GN'!$AU$3,((3*J1370)+(2*K1370))*'BD GN'!$AU$3)</f>
        <v>0</v>
      </c>
      <c r="BG1370" s="213">
        <f>'BD GN'!$BB$3*J1370*K1370</f>
        <v>0</v>
      </c>
      <c r="BH1370" s="214">
        <f>((J1370*2*BE1370)+(K1370*2*BE1370))*'BD GN'!$AN$4</f>
        <v>0</v>
      </c>
      <c r="BI1370" s="210"/>
      <c r="BJ1370" s="212"/>
      <c r="BK1370" s="212"/>
      <c r="BL1370" s="215">
        <f>J1370*K1370*2.5*BJ1370</f>
        <v>0</v>
      </c>
      <c r="BM1370" s="215">
        <f>BK1370+BL1370</f>
        <v>0</v>
      </c>
      <c r="BN1370" s="216" t="str">
        <f>IFERROR((VLOOKUP($C$12,'BD GN'!BD:BM,10,FALSE)*BM1370)+0,"")</f>
        <v/>
      </c>
      <c r="BO1370" s="210"/>
      <c r="BW1370" s="210"/>
      <c r="CD1370" s="184"/>
      <c r="CF1370" s="185"/>
      <c r="CI1370" s="184"/>
      <c r="CJ1370" s="210"/>
      <c r="CK1370" s="565"/>
      <c r="CL1370" s="256"/>
      <c r="CM1370" s="596"/>
      <c r="CN1370" s="596"/>
      <c r="CO1370" s="567"/>
      <c r="CP1370" s="567"/>
      <c r="CQ1370" s="567"/>
      <c r="CR1370" s="567"/>
      <c r="CS1370" s="567"/>
      <c r="CT1370" s="567"/>
      <c r="CU1370" s="565"/>
      <c r="CV1370" s="560">
        <f>IFERROR(N1370*CU1370,"")</f>
        <v>0</v>
      </c>
      <c r="CW1370" s="565"/>
      <c r="CX1370" s="560">
        <f>IFERROR(P1370*CW1370,"")</f>
        <v>0</v>
      </c>
      <c r="CY1370" s="565"/>
      <c r="CZ1370" s="560">
        <f>IFERROR(R1370*CY1370,"")</f>
        <v>0</v>
      </c>
      <c r="DA1370" s="565">
        <f t="shared" ref="DA1370" si="1393">CU1370+CW1370+CY1370</f>
        <v>0</v>
      </c>
      <c r="DB1370" s="560">
        <f t="shared" ref="DB1370" si="1394">IFERROR(CV1370+CX1370+CZ1370,"")</f>
        <v>0</v>
      </c>
      <c r="DC1370" s="565">
        <f>M1370-(CU1370+CW1370+CY1370)</f>
        <v>0</v>
      </c>
      <c r="DD1370" s="560">
        <f>IFERROR(O1370-(CV1370+CX1370+CZ1370),"")</f>
        <v>0</v>
      </c>
      <c r="DG1370" s="575"/>
      <c r="DH1370" s="575"/>
      <c r="DI1370" s="569">
        <f t="shared" ref="DI1370" si="1395">IFERROR(IF(DG1370&gt;0,(((N1370)/(1+10%+19%*5%)+((N1370)/(1+10%+19%*5%))*10%)*DH1370),0),0)</f>
        <v>0</v>
      </c>
      <c r="DJ1370" s="569">
        <f t="shared" ref="DJ1370" si="1396">IFERROR(IF(DG1370&gt;0,(N1370*DH1370),0),0)</f>
        <v>0</v>
      </c>
      <c r="DK1370" s="569">
        <f t="shared" ref="DK1370" si="1397">IF(DG1370&gt;0,((R1370+T1370)*DH1370),0)</f>
        <v>0</v>
      </c>
      <c r="DL1370" s="569">
        <f t="shared" ref="DL1370" si="1398">IF(DG1370&gt;0,(Q1370*DH1370),0)</f>
        <v>0</v>
      </c>
      <c r="DM1370" s="572">
        <f t="shared" ref="DM1370" si="1399">IF(DG1370&gt;0,(S1370*DH1370),0)</f>
        <v>0</v>
      </c>
      <c r="DN1370" s="569">
        <f t="shared" ref="DN1370" si="1400">IF(DG1370&gt;0,(BN1370*DH1370),0)</f>
        <v>0</v>
      </c>
      <c r="DO1370" s="569">
        <f t="shared" ref="DO1370" si="1401">IF(DG1370&gt;0,(AF1370*DH1370),0)</f>
        <v>0</v>
      </c>
      <c r="DP1370" s="569">
        <f>IF(DG1370&gt;0,((DI1370)*('BD P&amp;G'!$E$16+'BD P&amp;G'!$E$17+'BD P&amp;G'!$E$18+'BD P&amp;G'!$E$19+'BD P&amp;G'!$E$20+'BD P&amp;G'!$E$21+'BD P&amp;G'!$E$22+'BD P&amp;G'!$E$23)*DH1370),0)</f>
        <v>0</v>
      </c>
      <c r="DQ1370" s="569">
        <f>IFERROR(IF(DG1370&gt;0,((DI1370*'BD P&amp;G'!$E$7)+(DI1370*'BD P&amp;G'!$E$9)+AI1370),0),0)</f>
        <v>0</v>
      </c>
      <c r="DR1370" s="569">
        <f t="shared" ref="DR1370" si="1402">IFERROR(IF(DG1370&gt;0,((DI1370*1%)),0),0)</f>
        <v>0</v>
      </c>
      <c r="DS1370" s="569">
        <f>IFERROR(IF(DG1370&gt;0,(((DI1370*'BD P&amp;G'!$E$32+DI1370*'BD P&amp;G'!$E$33+DI1370*'BD P&amp;G'!$E$35+DI1370*'BD P&amp;G'!$E$36+DI1370*'BD P&amp;G'!$E$37))),0),0)</f>
        <v>0</v>
      </c>
      <c r="DT1370" s="569">
        <f t="shared" ref="DT1370" si="1403">IF(DG1370&gt;0,(Y1370*DH1370),0)</f>
        <v>0</v>
      </c>
      <c r="DU1370" s="569">
        <f t="shared" ref="DU1370" si="1404">IF(DG1370&gt;0,(Z1370*DH1370),0)</f>
        <v>0</v>
      </c>
      <c r="DV1370" s="575">
        <f t="shared" ref="DV1370" si="1405">IF(DG1370&gt;0,(Y1374*DH1370),0)</f>
        <v>0</v>
      </c>
      <c r="DW1370" s="575">
        <f t="shared" ref="DW1370" si="1406">IF(DG1370&gt;0,(Z1374*DH1370),0)</f>
        <v>0</v>
      </c>
      <c r="DX1370" s="569">
        <f t="shared" ref="DX1370" si="1407">IF(DV1370&gt;0,DJ1370,0)</f>
        <v>0</v>
      </c>
      <c r="DY1370" s="569">
        <f t="shared" ref="DY1370" si="1408">IF(DW1370&gt;0,DJ1370,0)</f>
        <v>0</v>
      </c>
    </row>
    <row r="1371" spans="1:194" s="175" customFormat="1" ht="54.95" customHeight="1" x14ac:dyDescent="0.25">
      <c r="A1371" s="366"/>
      <c r="B1371" s="367"/>
      <c r="C1371" s="393" t="s">
        <v>28</v>
      </c>
      <c r="D1371" s="598"/>
      <c r="E1371" s="598"/>
      <c r="F1371" s="598"/>
      <c r="G1371" s="598"/>
      <c r="H1371" s="598"/>
      <c r="I1371" s="598"/>
      <c r="J1371" s="604"/>
      <c r="K1371" s="604"/>
      <c r="L1371" s="607"/>
      <c r="M1371" s="559"/>
      <c r="N1371" s="610"/>
      <c r="O1371" s="613"/>
      <c r="P1371" s="192"/>
      <c r="Q1371" s="217"/>
      <c r="R1371" s="217"/>
      <c r="S1371" s="218"/>
      <c r="T1371" s="219">
        <f>IFERROR(T1370/$R$353,"")</f>
        <v>0</v>
      </c>
      <c r="U1371" s="206"/>
      <c r="V1371" s="220"/>
      <c r="W1371" s="221" t="s">
        <v>239</v>
      </c>
      <c r="X1371" s="222" t="s">
        <v>204</v>
      </c>
      <c r="Y1371" s="223"/>
      <c r="Z1371" s="224"/>
      <c r="AA1371" s="225"/>
      <c r="AB1371" s="226"/>
      <c r="AC1371" s="206"/>
      <c r="AD1371" s="206"/>
      <c r="AE1371" s="206"/>
      <c r="AF1371" s="227"/>
      <c r="AG1371" s="206"/>
      <c r="AH1371" s="206"/>
      <c r="AI1371" s="206"/>
      <c r="AJ1371" s="206"/>
      <c r="AK1371" s="227"/>
      <c r="AL1371" s="210"/>
      <c r="AM1371" s="206"/>
      <c r="AN1371" s="206"/>
      <c r="AO1371" s="228"/>
      <c r="AP1371" s="229"/>
      <c r="AQ1371" s="206"/>
      <c r="AR1371" s="206"/>
      <c r="AS1371" s="228"/>
      <c r="AT1371" s="229"/>
      <c r="AU1371" s="228"/>
      <c r="AV1371" s="229"/>
      <c r="AW1371" s="228"/>
      <c r="AX1371" s="229"/>
      <c r="AY1371" s="206"/>
      <c r="AZ1371" s="229"/>
      <c r="BA1371" s="210"/>
      <c r="BB1371" s="175" t="s">
        <v>24</v>
      </c>
      <c r="BC1371" s="175" t="s">
        <v>114</v>
      </c>
      <c r="BD1371" s="210"/>
      <c r="BE1371" s="176" t="s">
        <v>206</v>
      </c>
      <c r="BF1371" s="230" t="s">
        <v>204</v>
      </c>
      <c r="BG1371" s="176" t="s">
        <v>290</v>
      </c>
      <c r="BH1371" s="230" t="s">
        <v>204</v>
      </c>
      <c r="BI1371" s="210"/>
      <c r="BJ1371" s="185"/>
      <c r="BN1371" s="269"/>
      <c r="BO1371" s="210"/>
      <c r="BV1371" s="184"/>
      <c r="BW1371" s="210"/>
      <c r="CD1371" s="184"/>
      <c r="CF1371" s="185"/>
      <c r="CI1371" s="184"/>
      <c r="CJ1371" s="210"/>
      <c r="CK1371" s="563"/>
      <c r="CM1371" s="559"/>
      <c r="CN1371" s="559"/>
      <c r="CO1371" s="567"/>
      <c r="CP1371" s="567"/>
      <c r="CQ1371" s="567"/>
      <c r="CR1371" s="567"/>
      <c r="CS1371" s="567"/>
      <c r="CT1371" s="567"/>
      <c r="CU1371" s="563"/>
      <c r="CV1371" s="561"/>
      <c r="CW1371" s="563"/>
      <c r="CX1371" s="561"/>
      <c r="CY1371" s="563"/>
      <c r="CZ1371" s="561"/>
      <c r="DA1371" s="563"/>
      <c r="DB1371" s="561"/>
      <c r="DC1371" s="563"/>
      <c r="DD1371" s="561"/>
      <c r="DG1371" s="576"/>
      <c r="DH1371" s="576"/>
      <c r="DI1371" s="570"/>
      <c r="DJ1371" s="570"/>
      <c r="DK1371" s="570"/>
      <c r="DL1371" s="570"/>
      <c r="DM1371" s="573"/>
      <c r="DN1371" s="570"/>
      <c r="DO1371" s="570"/>
      <c r="DP1371" s="570"/>
      <c r="DQ1371" s="570"/>
      <c r="DR1371" s="570"/>
      <c r="DS1371" s="570"/>
      <c r="DT1371" s="570"/>
      <c r="DU1371" s="570"/>
      <c r="DV1371" s="576"/>
      <c r="DW1371" s="576"/>
      <c r="DX1371" s="570"/>
      <c r="DY1371" s="570"/>
    </row>
    <row r="1372" spans="1:194" s="175" customFormat="1" ht="54.95" customHeight="1" x14ac:dyDescent="0.3">
      <c r="A1372" s="366"/>
      <c r="B1372" s="367"/>
      <c r="C1372" s="393" t="s">
        <v>30</v>
      </c>
      <c r="D1372" s="599"/>
      <c r="E1372" s="599"/>
      <c r="F1372" s="599"/>
      <c r="G1372" s="599"/>
      <c r="H1372" s="599"/>
      <c r="I1372" s="599"/>
      <c r="J1372" s="604"/>
      <c r="K1372" s="604"/>
      <c r="L1372" s="607"/>
      <c r="M1372" s="559"/>
      <c r="N1372" s="610"/>
      <c r="O1372" s="613"/>
      <c r="P1372" s="192"/>
      <c r="Q1372" s="176" t="s">
        <v>205</v>
      </c>
      <c r="R1372" s="233" t="s">
        <v>204</v>
      </c>
      <c r="S1372" s="234"/>
      <c r="T1372" s="235">
        <f>IFERROR(($R$353-8000)*T1371,"")</f>
        <v>0</v>
      </c>
      <c r="U1372" s="206"/>
      <c r="V1372" s="220"/>
      <c r="W1372" s="221" t="s">
        <v>258</v>
      </c>
      <c r="X1372" s="222" t="s">
        <v>204</v>
      </c>
      <c r="Y1372" s="236"/>
      <c r="Z1372" s="237"/>
      <c r="AA1372" s="225"/>
      <c r="AB1372" s="226"/>
      <c r="AC1372" s="206"/>
      <c r="AD1372" s="206"/>
      <c r="AE1372" s="206"/>
      <c r="AF1372" s="227"/>
      <c r="AG1372" s="206"/>
      <c r="AH1372" s="206"/>
      <c r="AI1372" s="206"/>
      <c r="AJ1372" s="206"/>
      <c r="AK1372" s="227"/>
      <c r="AL1372" s="238"/>
      <c r="AM1372" s="206"/>
      <c r="AN1372" s="206"/>
      <c r="AO1372" s="228"/>
      <c r="AP1372" s="229"/>
      <c r="AQ1372" s="206"/>
      <c r="AR1372" s="206"/>
      <c r="AS1372" s="228"/>
      <c r="AT1372" s="229"/>
      <c r="AU1372" s="228"/>
      <c r="AV1372" s="229"/>
      <c r="AW1372" s="228"/>
      <c r="AX1372" s="229"/>
      <c r="AY1372" s="206"/>
      <c r="AZ1372" s="229"/>
      <c r="BA1372" s="210"/>
      <c r="BB1372" s="175" t="s">
        <v>26</v>
      </c>
      <c r="BC1372" s="211" t="s">
        <v>115</v>
      </c>
      <c r="BD1372" s="210"/>
      <c r="BE1372" s="177" t="str">
        <f>IFERROR(VLOOKUP(D1370,'BD M.O'!C:H,4,FALSE),"")</f>
        <v/>
      </c>
      <c r="BF1372" s="177" t="s">
        <v>259</v>
      </c>
      <c r="BH1372" s="184"/>
      <c r="BI1372" s="210"/>
      <c r="BJ1372" s="185"/>
      <c r="BN1372" s="184"/>
      <c r="BO1372" s="210"/>
      <c r="BV1372" s="184"/>
      <c r="BW1372" s="210"/>
      <c r="CD1372" s="184"/>
      <c r="CF1372" s="185"/>
      <c r="CI1372" s="184"/>
      <c r="CJ1372" s="210"/>
      <c r="CK1372" s="563"/>
      <c r="CM1372" s="559"/>
      <c r="CN1372" s="559"/>
      <c r="CO1372" s="567"/>
      <c r="CP1372" s="567"/>
      <c r="CQ1372" s="567"/>
      <c r="CR1372" s="567"/>
      <c r="CS1372" s="567"/>
      <c r="CT1372" s="567"/>
      <c r="CU1372" s="563"/>
      <c r="CV1372" s="561"/>
      <c r="CW1372" s="563"/>
      <c r="CX1372" s="561"/>
      <c r="CY1372" s="563"/>
      <c r="CZ1372" s="561"/>
      <c r="DA1372" s="563"/>
      <c r="DB1372" s="561"/>
      <c r="DC1372" s="563"/>
      <c r="DD1372" s="561"/>
      <c r="DG1372" s="577"/>
      <c r="DH1372" s="577"/>
      <c r="DI1372" s="571"/>
      <c r="DJ1372" s="571"/>
      <c r="DK1372" s="571"/>
      <c r="DL1372" s="571"/>
      <c r="DM1372" s="574"/>
      <c r="DN1372" s="571"/>
      <c r="DO1372" s="571"/>
      <c r="DP1372" s="571"/>
      <c r="DQ1372" s="571"/>
      <c r="DR1372" s="571"/>
      <c r="DS1372" s="571"/>
      <c r="DT1372" s="571"/>
      <c r="DU1372" s="571"/>
      <c r="DV1372" s="577"/>
      <c r="DW1372" s="577"/>
      <c r="DX1372" s="571"/>
      <c r="DY1372" s="571"/>
    </row>
    <row r="1373" spans="1:194" s="175" customFormat="1" ht="54.95" customHeight="1" x14ac:dyDescent="0.25">
      <c r="A1373" s="366"/>
      <c r="B1373" s="367"/>
      <c r="C1373" s="395" t="s">
        <v>180</v>
      </c>
      <c r="D1373" s="599" t="s">
        <v>31</v>
      </c>
      <c r="E1373" s="599"/>
      <c r="F1373" s="394" t="s">
        <v>9</v>
      </c>
      <c r="G1373" s="599" t="s">
        <v>33</v>
      </c>
      <c r="H1373" s="599"/>
      <c r="I1373" s="394" t="str">
        <f>+IF($BG$9="SI","","X")</f>
        <v>X</v>
      </c>
      <c r="J1373" s="604"/>
      <c r="K1373" s="604"/>
      <c r="L1373" s="607"/>
      <c r="M1373" s="559"/>
      <c r="N1373" s="610"/>
      <c r="O1373" s="613"/>
      <c r="P1373" s="192"/>
      <c r="Q1373" s="239"/>
      <c r="R1373" s="221" t="s">
        <v>209</v>
      </c>
      <c r="S1373" s="234" t="str">
        <f>IF(S1371="","",S1371/(J1370*K1370))</f>
        <v/>
      </c>
      <c r="T1373" s="226"/>
      <c r="U1373" s="206"/>
      <c r="V1373" s="220"/>
      <c r="W1373" s="239" t="str">
        <f>IFERROR(IF(X1372="SI",VLOOKUP(D1370,'BD M.O'!C:F,4,FALSE),""),"")</f>
        <v/>
      </c>
      <c r="X1373" s="221" t="s">
        <v>258</v>
      </c>
      <c r="Y1373" s="221" t="s">
        <v>507</v>
      </c>
      <c r="Z1373" s="221" t="s">
        <v>508</v>
      </c>
      <c r="AA1373" s="225"/>
      <c r="AB1373" s="226"/>
      <c r="AC1373" s="206"/>
      <c r="AD1373" s="206"/>
      <c r="AE1373" s="206"/>
      <c r="AF1373" s="227"/>
      <c r="AG1373" s="206"/>
      <c r="AH1373" s="206"/>
      <c r="AI1373" s="206"/>
      <c r="AJ1373" s="206"/>
      <c r="AK1373" s="227"/>
      <c r="AL1373" s="240"/>
      <c r="AM1373" s="206"/>
      <c r="AN1373" s="206"/>
      <c r="AO1373" s="228"/>
      <c r="AP1373" s="229"/>
      <c r="AQ1373" s="206"/>
      <c r="AR1373" s="206"/>
      <c r="AS1373" s="228"/>
      <c r="AT1373" s="229"/>
      <c r="AU1373" s="228"/>
      <c r="AV1373" s="229"/>
      <c r="AW1373" s="228"/>
      <c r="AX1373" s="229"/>
      <c r="AY1373" s="206"/>
      <c r="AZ1373" s="229"/>
      <c r="BA1373" s="210"/>
      <c r="BC1373" s="175" t="s">
        <v>116</v>
      </c>
      <c r="BD1373" s="210"/>
      <c r="BE1373" s="177" t="str">
        <f>IFERROR(VLOOKUP(COTIZACIÓN!D1370,'BD M.O'!C:I,5,FALSE),"")</f>
        <v/>
      </c>
      <c r="BF1373" s="177" t="s">
        <v>260</v>
      </c>
      <c r="BH1373" s="184"/>
      <c r="BI1373" s="210"/>
      <c r="BJ1373" s="185"/>
      <c r="BN1373" s="184"/>
      <c r="BO1373" s="210"/>
      <c r="BP1373" s="183"/>
      <c r="BQ1373" s="183"/>
      <c r="BR1373" s="183"/>
      <c r="BS1373" s="183"/>
      <c r="BT1373" s="183"/>
      <c r="BU1373" s="183"/>
      <c r="BV1373" s="182"/>
      <c r="BW1373" s="210"/>
      <c r="BX1373" s="183"/>
      <c r="BY1373" s="183"/>
      <c r="BZ1373" s="183"/>
      <c r="CA1373" s="183"/>
      <c r="CB1373" s="183"/>
      <c r="CC1373" s="183"/>
      <c r="CD1373" s="182"/>
      <c r="CE1373" s="183"/>
      <c r="CF1373" s="241"/>
      <c r="CG1373" s="183"/>
      <c r="CH1373" s="183"/>
      <c r="CI1373" s="182"/>
      <c r="CJ1373" s="210"/>
      <c r="CK1373" s="563"/>
      <c r="CM1373" s="559"/>
      <c r="CN1373" s="559"/>
      <c r="CO1373" s="567"/>
      <c r="CP1373" s="567"/>
      <c r="CQ1373" s="567"/>
      <c r="CR1373" s="567"/>
      <c r="CS1373" s="567"/>
      <c r="CT1373" s="567"/>
      <c r="CU1373" s="563"/>
      <c r="CV1373" s="561"/>
      <c r="CW1373" s="563"/>
      <c r="CX1373" s="561"/>
      <c r="CY1373" s="563"/>
      <c r="CZ1373" s="561"/>
      <c r="DA1373" s="563"/>
      <c r="DB1373" s="561"/>
      <c r="DC1373" s="563"/>
      <c r="DD1373" s="561"/>
      <c r="DG1373" s="575"/>
      <c r="DH1373" s="575"/>
      <c r="DI1373" s="569">
        <f t="shared" ref="DI1373" si="1409">IFERROR(IF(DG1373&gt;0,(((N1370)/(1+10%+19%*5%)+((N1370)/(1+10%+19%*5%))*10%)*DH1373),0),0)</f>
        <v>0</v>
      </c>
      <c r="DJ1373" s="569">
        <f t="shared" ref="DJ1373" si="1410">IFERROR(IF(DG1373&gt;0,(N1370*DH1373),0),0)</f>
        <v>0</v>
      </c>
      <c r="DK1373" s="569">
        <f t="shared" ref="DK1373" si="1411">IF(DG1373&gt;0,((R1370+T1370)*DH1373),0)</f>
        <v>0</v>
      </c>
      <c r="DL1373" s="569">
        <f t="shared" ref="DL1373" si="1412">IF(DG1373&gt;0,(Q1370*DH1373),0)</f>
        <v>0</v>
      </c>
      <c r="DM1373" s="572">
        <f t="shared" ref="DM1373" si="1413">IF(DG1373&gt;0,(S1370*DH1373),0)</f>
        <v>0</v>
      </c>
      <c r="DN1373" s="569">
        <f t="shared" ref="DN1373" si="1414">IF(DG1373&gt;0,(BN1370*DH1373),0)</f>
        <v>0</v>
      </c>
      <c r="DO1373" s="569">
        <f t="shared" ref="DO1373" si="1415">IF(DG1373&gt;0,(AF1370*DH1373),0)</f>
        <v>0</v>
      </c>
      <c r="DP1373" s="569">
        <f>IF(DG1373&gt;0,((DI1373)*('BD P&amp;G'!$E$16+'BD P&amp;G'!$E$17+'BD P&amp;G'!$E$18+'BD P&amp;G'!$E$19+'BD P&amp;G'!$E$20+'BD P&amp;G'!$E$21+'BD P&amp;G'!$E$22+'BD P&amp;G'!$E$23)*DH1373),0)</f>
        <v>0</v>
      </c>
      <c r="DQ1373" s="569">
        <f>IFERROR(IF(DG1373&gt;0,((DI1373*'BD P&amp;G'!$E$7)+(DI1373*'BD P&amp;G'!$E$9)+AI1370),0),0)</f>
        <v>0</v>
      </c>
      <c r="DR1373" s="569">
        <f t="shared" ref="DR1373" si="1416">IFERROR(IF(DG1373&gt;0,((DI1373*1%)),0),0)</f>
        <v>0</v>
      </c>
      <c r="DS1373" s="569">
        <f>IFERROR(IF(DG1373&gt;0,(((DI1373*'BD P&amp;G'!$E$32+DI1373*'BD P&amp;G'!$E$33+DI1373*'BD P&amp;G'!$E$35+DI1373*'BD P&amp;G'!$E$36+DI1373*'BD P&amp;G'!$E$37))),0),0)</f>
        <v>0</v>
      </c>
      <c r="DT1373" s="569">
        <f t="shared" ref="DT1373" si="1417">IF(DG1373&gt;0,(Y1370*DH1373),0)</f>
        <v>0</v>
      </c>
      <c r="DU1373" s="569">
        <f t="shared" ref="DU1373" si="1418">IF(DG1373&gt;0,(Z1370*DH1373),0)</f>
        <v>0</v>
      </c>
      <c r="DV1373" s="575">
        <f t="shared" ref="DV1373" si="1419">IF(DG1373&gt;0,(Y1374*DH1373),0)</f>
        <v>0</v>
      </c>
      <c r="DW1373" s="575">
        <f t="shared" ref="DW1373" si="1420">IF(DG1373&gt;0,(Z1374*DH1373),0)</f>
        <v>0</v>
      </c>
      <c r="DX1373" s="569">
        <f t="shared" ref="DX1373" si="1421">IF(DV1373&gt;0,DJ1373,0)</f>
        <v>0</v>
      </c>
      <c r="DY1373" s="569">
        <f t="shared" ref="DY1373" si="1422">IF(DW1373&gt;0,DJ1373,0)</f>
        <v>0</v>
      </c>
    </row>
    <row r="1374" spans="1:194" s="175" customFormat="1" ht="54.95" customHeight="1" x14ac:dyDescent="0.3">
      <c r="A1374" s="366"/>
      <c r="B1374" s="367"/>
      <c r="C1374" s="393" t="s">
        <v>35</v>
      </c>
      <c r="D1374" s="599" t="str">
        <f>IFERROR(VLOOKUP(D1370,'BD GN'!C:E,3,),"")</f>
        <v/>
      </c>
      <c r="E1374" s="599"/>
      <c r="F1374" s="599"/>
      <c r="G1374" s="599"/>
      <c r="H1374" s="599"/>
      <c r="I1374" s="599"/>
      <c r="J1374" s="604"/>
      <c r="K1374" s="604"/>
      <c r="L1374" s="607"/>
      <c r="M1374" s="559"/>
      <c r="N1374" s="610"/>
      <c r="O1374" s="613"/>
      <c r="P1374" s="192"/>
      <c r="Q1374" s="239"/>
      <c r="R1374" s="221" t="s">
        <v>210</v>
      </c>
      <c r="S1374" s="234" t="str">
        <f>IFERROR(IF(N1370="","",N1370/W1374),"")</f>
        <v/>
      </c>
      <c r="T1374" s="226"/>
      <c r="U1374" s="206"/>
      <c r="V1374" s="220"/>
      <c r="W1374" s="242" t="str">
        <f>+IF(J1370*K1370&gt;=1,J1370*K1370,IF(AND(J1370*K1370&gt;0,J1370*K1370&lt;1),1,""))</f>
        <v/>
      </c>
      <c r="X1374" s="221" t="s">
        <v>298</v>
      </c>
      <c r="Y1374" s="461">
        <f>IFERROR(IF(D1370='BD GN'!$C$25,COTIZACIÓN!W1374,IF(D1370='BD GN'!$C$26,COTIZACIÓN!W1374,IF(D1370='BD GN'!$C$27,COTIZACIÓN!W1374,IF(COTIZACIÓN!D1370='BD GN'!$C$28,COTIZACIÓN!W1374,IF(COTIZACIÓN!D1370='BD GN'!$C$29,COTIZACIÓN!W1374,IF(COTIZACIÓN!D1370='BD GN'!$C$35,COTIZACIÓN!W1374,IF(COTIZACIÓN!D1370='BD GN'!$C$36,COTIZACIÓN!W1374,IF(COTIZACIÓN!D1370='BD GN'!$C$37,COTIZACIÓN!W1374,IF(COTIZACIÓN!D1370='BD GN'!$C$38,COTIZACIÓN!W1374,IF(COTIZACIÓN!D1370='BD GN'!$C$39,COTIZACIÓN!W1374,IF(COTIZACIÓN!D1370='BD GN'!$C$40,COTIZACIÓN!W1374,IF(COTIZACIÓN!D1370='BD GN'!$C$41,COTIZACIÓN!W1374,IF(COTIZACIÓN!D1370='BD GN'!$C$42,COTIZACIÓN!W1374,IF(COTIZACIÓN!D1370='BD GN'!$C$49,COTIZACIÓN!W1374,IF(COTIZACIÓN!D1370='BD GN'!$C$50,COTIZACIÓN!W1374,IF(COTIZACIÓN!D1370='BD GN'!$C$51,COTIZACIÓN!W1374,IF(COTIZACIÓN!D1370='BD GN'!$C$67,COTIZACIÓN!W1374,0))))))))))))))))),0)</f>
        <v>0</v>
      </c>
      <c r="Z1374" s="461">
        <f>IFERROR(W1374-Y1374,0)</f>
        <v>0</v>
      </c>
      <c r="AA1374" s="225"/>
      <c r="AB1374" s="226"/>
      <c r="AC1374" s="206"/>
      <c r="AD1374" s="206"/>
      <c r="AE1374" s="206"/>
      <c r="AF1374" s="227"/>
      <c r="AG1374" s="206"/>
      <c r="AH1374" s="206"/>
      <c r="AI1374" s="206"/>
      <c r="AJ1374" s="206"/>
      <c r="AK1374" s="227"/>
      <c r="AL1374" s="210"/>
      <c r="AM1374" s="206"/>
      <c r="AN1374" s="206"/>
      <c r="AO1374" s="228"/>
      <c r="AP1374" s="229"/>
      <c r="AQ1374" s="206"/>
      <c r="AR1374" s="206"/>
      <c r="AS1374" s="228"/>
      <c r="AT1374" s="229"/>
      <c r="AU1374" s="228"/>
      <c r="AV1374" s="229"/>
      <c r="AW1374" s="228"/>
      <c r="AX1374" s="229"/>
      <c r="AY1374" s="206"/>
      <c r="AZ1374" s="229"/>
      <c r="BA1374" s="210"/>
      <c r="BC1374" s="211" t="s">
        <v>117</v>
      </c>
      <c r="BD1374" s="210"/>
      <c r="BE1374" s="177" t="str">
        <f>IFERROR(VLOOKUP(D1370,'BD M.O'!C:I,6,FALSE),"")</f>
        <v/>
      </c>
      <c r="BF1374" s="177" t="s">
        <v>261</v>
      </c>
      <c r="BH1374" s="184"/>
      <c r="BI1374" s="210"/>
      <c r="BJ1374" s="185"/>
      <c r="BN1374" s="184"/>
      <c r="BO1374" s="210"/>
      <c r="BP1374" s="183"/>
      <c r="BQ1374" s="183"/>
      <c r="BR1374" s="183"/>
      <c r="BW1374" s="210"/>
      <c r="CD1374" s="184"/>
      <c r="CF1374" s="185"/>
      <c r="CI1374" s="184"/>
      <c r="CJ1374" s="210"/>
      <c r="CK1374" s="563"/>
      <c r="CM1374" s="559"/>
      <c r="CN1374" s="559"/>
      <c r="CO1374" s="567"/>
      <c r="CP1374" s="567"/>
      <c r="CQ1374" s="567"/>
      <c r="CR1374" s="567"/>
      <c r="CS1374" s="567"/>
      <c r="CT1374" s="567"/>
      <c r="CU1374" s="563"/>
      <c r="CV1374" s="561"/>
      <c r="CW1374" s="563"/>
      <c r="CX1374" s="561"/>
      <c r="CY1374" s="563"/>
      <c r="CZ1374" s="561"/>
      <c r="DA1374" s="563"/>
      <c r="DB1374" s="561"/>
      <c r="DC1374" s="563"/>
      <c r="DD1374" s="561"/>
      <c r="DG1374" s="576"/>
      <c r="DH1374" s="576"/>
      <c r="DI1374" s="570"/>
      <c r="DJ1374" s="570"/>
      <c r="DK1374" s="570"/>
      <c r="DL1374" s="570"/>
      <c r="DM1374" s="573"/>
      <c r="DN1374" s="570"/>
      <c r="DO1374" s="570"/>
      <c r="DP1374" s="570"/>
      <c r="DQ1374" s="570"/>
      <c r="DR1374" s="570"/>
      <c r="DS1374" s="570"/>
      <c r="DT1374" s="570"/>
      <c r="DU1374" s="570"/>
      <c r="DV1374" s="576"/>
      <c r="DW1374" s="576"/>
      <c r="DX1374" s="570"/>
      <c r="DY1374" s="570"/>
    </row>
    <row r="1375" spans="1:194" s="252" customFormat="1" ht="54.95" customHeight="1" x14ac:dyDescent="0.25">
      <c r="A1375" s="368"/>
      <c r="B1375" s="369"/>
      <c r="C1375" s="396" t="s">
        <v>10</v>
      </c>
      <c r="D1375" s="600" t="s">
        <v>32</v>
      </c>
      <c r="E1375" s="600"/>
      <c r="F1375" s="600"/>
      <c r="G1375" s="600"/>
      <c r="H1375" s="600"/>
      <c r="I1375" s="600"/>
      <c r="J1375" s="605"/>
      <c r="K1375" s="605"/>
      <c r="L1375" s="608"/>
      <c r="M1375" s="597"/>
      <c r="N1375" s="611"/>
      <c r="O1375" s="614"/>
      <c r="P1375" s="192"/>
      <c r="Q1375" s="239"/>
      <c r="R1375" s="239"/>
      <c r="S1375" s="234"/>
      <c r="T1375" s="243"/>
      <c r="U1375" s="244"/>
      <c r="V1375" s="245"/>
      <c r="W1375" s="177" t="s">
        <v>394</v>
      </c>
      <c r="X1375" s="246">
        <f>IFERROR(SUM(W1370:X1370),"")</f>
        <v>0</v>
      </c>
      <c r="Y1375" s="166" t="s">
        <v>404</v>
      </c>
      <c r="Z1375" s="199">
        <f>IFERROR(Y1370+Z1370,"")</f>
        <v>4.7901128266487999E-2</v>
      </c>
      <c r="AA1375" s="247"/>
      <c r="AB1375" s="243"/>
      <c r="AC1375" s="244"/>
      <c r="AD1375" s="244"/>
      <c r="AE1375" s="244"/>
      <c r="AF1375" s="270"/>
      <c r="AG1375" s="244"/>
      <c r="AH1375" s="244"/>
      <c r="AI1375" s="244"/>
      <c r="AJ1375" s="244"/>
      <c r="AK1375" s="270"/>
      <c r="AL1375" s="270"/>
      <c r="AM1375" s="248"/>
      <c r="AN1375" s="248"/>
      <c r="AO1375" s="249"/>
      <c r="AP1375" s="250"/>
      <c r="AQ1375" s="248"/>
      <c r="AR1375" s="248"/>
      <c r="AS1375" s="249"/>
      <c r="AT1375" s="250"/>
      <c r="AU1375" s="249"/>
      <c r="AV1375" s="250"/>
      <c r="AW1375" s="249"/>
      <c r="AX1375" s="250"/>
      <c r="AY1375" s="248"/>
      <c r="AZ1375" s="250"/>
      <c r="BA1375" s="210"/>
      <c r="BB1375" s="175"/>
      <c r="BC1375" s="175" t="s">
        <v>118</v>
      </c>
      <c r="BD1375" s="210"/>
      <c r="BE1375" s="177" t="str">
        <f>IFERROR(VLOOKUP(D1370,'BD M.O'!C:I,7,FALSE),"")</f>
        <v/>
      </c>
      <c r="BF1375" s="177" t="s">
        <v>262</v>
      </c>
      <c r="BG1375" s="257"/>
      <c r="BH1375" s="271"/>
      <c r="BI1375" s="210"/>
      <c r="BJ1375" s="272"/>
      <c r="BK1375" s="257"/>
      <c r="BL1375" s="257"/>
      <c r="BM1375" s="257"/>
      <c r="BN1375" s="271"/>
      <c r="BO1375" s="210"/>
      <c r="BP1375" s="175"/>
      <c r="BQ1375" s="175"/>
      <c r="BR1375" s="175"/>
      <c r="BS1375" s="183"/>
      <c r="BT1375" s="183"/>
      <c r="BU1375" s="183"/>
      <c r="BV1375" s="183"/>
      <c r="BW1375" s="210"/>
      <c r="BX1375" s="175"/>
      <c r="BY1375" s="175"/>
      <c r="BZ1375" s="175"/>
      <c r="CA1375" s="175"/>
      <c r="CB1375" s="175"/>
      <c r="CC1375" s="175"/>
      <c r="CD1375" s="184"/>
      <c r="CE1375" s="175"/>
      <c r="CF1375" s="185"/>
      <c r="CG1375" s="175"/>
      <c r="CH1375" s="175"/>
      <c r="CI1375" s="184"/>
      <c r="CJ1375" s="210"/>
      <c r="CK1375" s="564"/>
      <c r="CL1375" s="257"/>
      <c r="CM1375" s="597"/>
      <c r="CN1375" s="597"/>
      <c r="CO1375" s="567"/>
      <c r="CP1375" s="567"/>
      <c r="CQ1375" s="567"/>
      <c r="CR1375" s="567"/>
      <c r="CS1375" s="567"/>
      <c r="CT1375" s="567"/>
      <c r="CU1375" s="564"/>
      <c r="CV1375" s="562"/>
      <c r="CW1375" s="564"/>
      <c r="CX1375" s="562"/>
      <c r="CY1375" s="564"/>
      <c r="CZ1375" s="562"/>
      <c r="DA1375" s="564"/>
      <c r="DB1375" s="562"/>
      <c r="DC1375" s="564"/>
      <c r="DD1375" s="562"/>
      <c r="DE1375" s="175"/>
      <c r="DF1375" s="175"/>
      <c r="DG1375" s="577"/>
      <c r="DH1375" s="577"/>
      <c r="DI1375" s="571"/>
      <c r="DJ1375" s="571"/>
      <c r="DK1375" s="571"/>
      <c r="DL1375" s="571"/>
      <c r="DM1375" s="574"/>
      <c r="DN1375" s="571"/>
      <c r="DO1375" s="571"/>
      <c r="DP1375" s="571"/>
      <c r="DQ1375" s="571"/>
      <c r="DR1375" s="571"/>
      <c r="DS1375" s="571"/>
      <c r="DT1375" s="571"/>
      <c r="DU1375" s="571"/>
      <c r="DV1375" s="577"/>
      <c r="DW1375" s="577"/>
      <c r="DX1375" s="571"/>
      <c r="DY1375" s="571"/>
      <c r="DZ1375" s="175"/>
      <c r="EA1375" s="175"/>
      <c r="EB1375" s="175"/>
      <c r="EC1375" s="175"/>
      <c r="ED1375" s="175"/>
      <c r="EE1375" s="175"/>
      <c r="EF1375" s="175"/>
      <c r="EG1375" s="175"/>
      <c r="EH1375" s="175"/>
      <c r="EI1375" s="175"/>
      <c r="EJ1375" s="175"/>
      <c r="EK1375" s="175"/>
      <c r="EL1375" s="175"/>
      <c r="EM1375" s="175"/>
      <c r="EN1375" s="175"/>
      <c r="EO1375" s="175"/>
      <c r="EP1375" s="175"/>
      <c r="EQ1375" s="175"/>
      <c r="ER1375" s="175"/>
      <c r="ES1375" s="175"/>
      <c r="ET1375" s="175"/>
      <c r="EU1375" s="175"/>
      <c r="EV1375" s="175"/>
      <c r="EW1375" s="175"/>
      <c r="EX1375" s="175"/>
      <c r="EY1375" s="175"/>
      <c r="EZ1375" s="175"/>
      <c r="FA1375" s="175"/>
      <c r="FB1375" s="175"/>
      <c r="FC1375" s="175"/>
      <c r="FD1375" s="175"/>
      <c r="FE1375" s="175"/>
      <c r="FF1375" s="175"/>
      <c r="FG1375" s="175"/>
      <c r="FH1375" s="175"/>
      <c r="FI1375" s="175"/>
      <c r="FJ1375" s="175"/>
      <c r="FK1375" s="175"/>
      <c r="FL1375" s="175"/>
      <c r="FM1375" s="175"/>
      <c r="FN1375" s="175"/>
      <c r="FO1375" s="175"/>
      <c r="FP1375" s="175"/>
      <c r="FQ1375" s="175"/>
      <c r="FR1375" s="175"/>
      <c r="FS1375" s="175"/>
      <c r="FT1375" s="175"/>
      <c r="FU1375" s="175"/>
      <c r="FV1375" s="175"/>
      <c r="FW1375" s="175"/>
      <c r="FX1375" s="175"/>
      <c r="FY1375" s="175"/>
      <c r="FZ1375" s="175"/>
      <c r="GA1375" s="175"/>
      <c r="GB1375" s="175"/>
      <c r="GC1375" s="175"/>
      <c r="GD1375" s="175"/>
      <c r="GE1375" s="175"/>
      <c r="GF1375" s="175"/>
      <c r="GG1375" s="175"/>
      <c r="GH1375" s="175"/>
      <c r="GI1375" s="175"/>
      <c r="GJ1375" s="175"/>
      <c r="GK1375" s="175"/>
      <c r="GL1375" s="175"/>
    </row>
    <row r="1376" spans="1:194" s="255" customFormat="1" ht="54.95" customHeight="1" x14ac:dyDescent="0.3">
      <c r="A1376" s="380" t="s">
        <v>193</v>
      </c>
      <c r="B1376" s="381" t="s">
        <v>25</v>
      </c>
      <c r="C1376" s="409" t="s">
        <v>174</v>
      </c>
      <c r="D1376" s="601" t="s">
        <v>173</v>
      </c>
      <c r="E1376" s="601"/>
      <c r="F1376" s="601"/>
      <c r="G1376" s="601"/>
      <c r="H1376" s="601"/>
      <c r="I1376" s="601"/>
      <c r="J1376" s="437" t="s">
        <v>406</v>
      </c>
      <c r="K1376" s="437" t="s">
        <v>405</v>
      </c>
      <c r="L1376" s="438" t="s">
        <v>171</v>
      </c>
      <c r="M1376" s="381" t="s">
        <v>2</v>
      </c>
      <c r="N1376" s="439" t="s">
        <v>7</v>
      </c>
      <c r="O1376" s="440" t="s">
        <v>8</v>
      </c>
      <c r="P1376" s="159"/>
      <c r="Q1376" s="164" t="s">
        <v>93</v>
      </c>
      <c r="R1376" s="164" t="s">
        <v>34</v>
      </c>
      <c r="S1376" s="164" t="s">
        <v>28</v>
      </c>
      <c r="T1376" s="164" t="s">
        <v>95</v>
      </c>
      <c r="U1376" s="164" t="s">
        <v>96</v>
      </c>
      <c r="V1376" s="164" t="s">
        <v>97</v>
      </c>
      <c r="W1376" s="164" t="s">
        <v>4</v>
      </c>
      <c r="X1376" s="164" t="s">
        <v>103</v>
      </c>
      <c r="Y1376" s="160" t="s">
        <v>402</v>
      </c>
      <c r="Z1376" s="165" t="s">
        <v>403</v>
      </c>
      <c r="AA1376" s="166" t="s">
        <v>404</v>
      </c>
      <c r="AB1376" s="164" t="s">
        <v>99</v>
      </c>
      <c r="AC1376" s="164" t="s">
        <v>395</v>
      </c>
      <c r="AD1376" s="253" t="s">
        <v>36</v>
      </c>
      <c r="AE1376" s="164" t="s">
        <v>389</v>
      </c>
      <c r="AF1376" s="164" t="s">
        <v>390</v>
      </c>
      <c r="AG1376" s="164" t="s">
        <v>164</v>
      </c>
      <c r="AH1376" s="253" t="s">
        <v>396</v>
      </c>
      <c r="AI1376" s="164" t="s">
        <v>190</v>
      </c>
      <c r="AJ1376" s="164" t="s">
        <v>339</v>
      </c>
      <c r="AK1376" s="253" t="s">
        <v>391</v>
      </c>
      <c r="AL1376" s="253" t="s">
        <v>393</v>
      </c>
      <c r="AM1376" s="167" t="s">
        <v>93</v>
      </c>
      <c r="AN1376" s="168" t="s">
        <v>34</v>
      </c>
      <c r="AO1376" s="169" t="s">
        <v>28</v>
      </c>
      <c r="AP1376" s="170" t="s">
        <v>95</v>
      </c>
      <c r="AQ1376" s="167" t="s">
        <v>3</v>
      </c>
      <c r="AR1376" s="167" t="s">
        <v>96</v>
      </c>
      <c r="AS1376" s="169" t="s">
        <v>97</v>
      </c>
      <c r="AT1376" s="170" t="s">
        <v>4</v>
      </c>
      <c r="AU1376" s="169" t="s">
        <v>103</v>
      </c>
      <c r="AV1376" s="170" t="s">
        <v>99</v>
      </c>
      <c r="AW1376" s="169" t="s">
        <v>36</v>
      </c>
      <c r="AX1376" s="171" t="s">
        <v>29</v>
      </c>
      <c r="AY1376" s="172" t="s">
        <v>190</v>
      </c>
      <c r="AZ1376" s="173" t="s">
        <v>102</v>
      </c>
      <c r="BA1376" s="174"/>
      <c r="BB1376" s="183"/>
      <c r="BC1376" s="211" t="s">
        <v>119</v>
      </c>
      <c r="BD1376" s="174"/>
      <c r="BE1376" s="176" t="s">
        <v>189</v>
      </c>
      <c r="BF1376" s="177" t="str">
        <f>$BF$13</f>
        <v xml:space="preserve">VR SILICONA </v>
      </c>
      <c r="BG1376" s="177" t="str">
        <f>$BG$13</f>
        <v xml:space="preserve">VR PELÍCULA </v>
      </c>
      <c r="BH1376" s="177" t="str">
        <f>$BH$13</f>
        <v>VR EMBALAJE</v>
      </c>
      <c r="BI1376" s="174"/>
      <c r="BJ1376" s="176" t="str">
        <f>$BJ$13</f>
        <v>ESP. CRISTAL</v>
      </c>
      <c r="BK1376" s="176" t="s">
        <v>130</v>
      </c>
      <c r="BL1376" s="177" t="s">
        <v>28</v>
      </c>
      <c r="BM1376" s="177">
        <f>BM1369</f>
        <v>0</v>
      </c>
      <c r="BN1376" s="177" t="s">
        <v>133</v>
      </c>
      <c r="BO1376" s="174"/>
      <c r="BP1376" s="175"/>
      <c r="BQ1376" s="175"/>
      <c r="BR1376" s="175"/>
      <c r="BS1376" s="175"/>
      <c r="BT1376" s="175"/>
      <c r="BU1376" s="175"/>
      <c r="BV1376" s="175"/>
      <c r="BW1376" s="174"/>
      <c r="BX1376" s="175"/>
      <c r="BY1376" s="175"/>
      <c r="BZ1376" s="175"/>
      <c r="CA1376" s="175"/>
      <c r="CB1376" s="175"/>
      <c r="CC1376" s="175"/>
      <c r="CD1376" s="184"/>
      <c r="CE1376" s="175"/>
      <c r="CF1376" s="185"/>
      <c r="CG1376" s="175"/>
      <c r="CH1376" s="175"/>
      <c r="CI1376" s="184"/>
      <c r="CJ1376" s="174"/>
      <c r="CK1376" s="254" t="s">
        <v>415</v>
      </c>
      <c r="CL1376" s="265" t="s">
        <v>417</v>
      </c>
      <c r="CM1376" s="265" t="s">
        <v>416</v>
      </c>
      <c r="CN1376" s="266" t="s">
        <v>418</v>
      </c>
      <c r="CO1376" s="265" t="s">
        <v>417</v>
      </c>
      <c r="CP1376" s="265" t="s">
        <v>409</v>
      </c>
      <c r="CQ1376" s="265" t="s">
        <v>410</v>
      </c>
      <c r="CR1376" s="265" t="s">
        <v>411</v>
      </c>
      <c r="CS1376" s="265" t="s">
        <v>412</v>
      </c>
      <c r="CT1376" s="265" t="s">
        <v>413</v>
      </c>
      <c r="CU1376" s="189" t="s">
        <v>2</v>
      </c>
      <c r="CV1376" s="190" t="s">
        <v>159</v>
      </c>
      <c r="CW1376" s="189" t="s">
        <v>2</v>
      </c>
      <c r="CX1376" s="190" t="s">
        <v>159</v>
      </c>
      <c r="CY1376" s="189" t="s">
        <v>2</v>
      </c>
      <c r="CZ1376" s="190" t="s">
        <v>159</v>
      </c>
      <c r="DA1376" s="189" t="s">
        <v>2</v>
      </c>
      <c r="DB1376" s="190" t="s">
        <v>159</v>
      </c>
      <c r="DC1376" s="189" t="s">
        <v>2</v>
      </c>
      <c r="DD1376" s="190" t="s">
        <v>159</v>
      </c>
      <c r="DE1376" s="183"/>
      <c r="DF1376" s="183"/>
      <c r="DG1376" s="177" t="s">
        <v>505</v>
      </c>
      <c r="DH1376" s="472" t="s">
        <v>509</v>
      </c>
      <c r="DI1376" s="457" t="s">
        <v>506</v>
      </c>
      <c r="DJ1376" s="457" t="s">
        <v>134</v>
      </c>
      <c r="DK1376" s="457" t="s">
        <v>498</v>
      </c>
      <c r="DL1376" s="457" t="s">
        <v>499</v>
      </c>
      <c r="DM1376" s="457" t="s">
        <v>500</v>
      </c>
      <c r="DN1376" s="457" t="s">
        <v>131</v>
      </c>
      <c r="DO1376" s="457" t="s">
        <v>390</v>
      </c>
      <c r="DP1376" s="457" t="s">
        <v>36</v>
      </c>
      <c r="DQ1376" s="457" t="s">
        <v>501</v>
      </c>
      <c r="DR1376" s="457" t="s">
        <v>502</v>
      </c>
      <c r="DS1376" s="457" t="s">
        <v>503</v>
      </c>
      <c r="DT1376" s="457" t="s">
        <v>4</v>
      </c>
      <c r="DU1376" s="457" t="s">
        <v>504</v>
      </c>
      <c r="DV1376" s="466" t="s">
        <v>507</v>
      </c>
      <c r="DW1376" s="466" t="s">
        <v>508</v>
      </c>
      <c r="DX1376" s="457" t="s">
        <v>510</v>
      </c>
      <c r="DY1376" s="457" t="s">
        <v>511</v>
      </c>
      <c r="DZ1376" s="183"/>
      <c r="EA1376" s="183"/>
      <c r="EB1376" s="183"/>
      <c r="EC1376" s="183"/>
      <c r="ED1376" s="183"/>
      <c r="EE1376" s="183"/>
      <c r="EF1376" s="183"/>
      <c r="EG1376" s="183"/>
      <c r="EH1376" s="183"/>
      <c r="EI1376" s="183"/>
      <c r="EJ1376" s="183"/>
      <c r="EK1376" s="183"/>
      <c r="EL1376" s="183"/>
      <c r="EM1376" s="183"/>
      <c r="EN1376" s="183"/>
      <c r="EO1376" s="183"/>
      <c r="EP1376" s="183"/>
      <c r="EQ1376" s="183"/>
      <c r="ER1376" s="183"/>
      <c r="ES1376" s="183"/>
      <c r="ET1376" s="183"/>
      <c r="EU1376" s="183"/>
      <c r="EV1376" s="183"/>
      <c r="EW1376" s="183"/>
      <c r="EX1376" s="183"/>
      <c r="EY1376" s="183"/>
      <c r="EZ1376" s="183"/>
      <c r="FA1376" s="183"/>
      <c r="FB1376" s="183"/>
      <c r="FC1376" s="183"/>
      <c r="FD1376" s="183"/>
      <c r="FE1376" s="183"/>
      <c r="FF1376" s="183"/>
      <c r="FG1376" s="183"/>
      <c r="FH1376" s="183"/>
      <c r="FI1376" s="183"/>
      <c r="FJ1376" s="183"/>
      <c r="FK1376" s="183"/>
      <c r="FL1376" s="183"/>
      <c r="FM1376" s="183"/>
      <c r="FN1376" s="183"/>
      <c r="FO1376" s="183"/>
      <c r="FP1376" s="183"/>
      <c r="FQ1376" s="183"/>
      <c r="FR1376" s="183"/>
      <c r="FS1376" s="183"/>
      <c r="FT1376" s="183"/>
      <c r="FU1376" s="183"/>
      <c r="FV1376" s="183"/>
      <c r="FW1376" s="183"/>
      <c r="FX1376" s="183"/>
      <c r="FY1376" s="183"/>
      <c r="FZ1376" s="183"/>
      <c r="GA1376" s="183"/>
      <c r="GB1376" s="183"/>
      <c r="GC1376" s="183"/>
      <c r="GD1376" s="183"/>
      <c r="GE1376" s="183"/>
      <c r="GF1376" s="183"/>
      <c r="GG1376" s="183"/>
      <c r="GH1376" s="183"/>
      <c r="GI1376" s="183"/>
      <c r="GJ1376" s="183"/>
      <c r="GK1376" s="183"/>
      <c r="GL1376" s="183"/>
    </row>
    <row r="1377" spans="1:194" s="175" customFormat="1" ht="54.95" customHeight="1" x14ac:dyDescent="0.3">
      <c r="A1377" s="364"/>
      <c r="B1377" s="365"/>
      <c r="C1377" s="392" t="s">
        <v>27</v>
      </c>
      <c r="D1377" s="602"/>
      <c r="E1377" s="602"/>
      <c r="F1377" s="602"/>
      <c r="G1377" s="602"/>
      <c r="H1377" s="602"/>
      <c r="I1377" s="602"/>
      <c r="J1377" s="603"/>
      <c r="K1377" s="603"/>
      <c r="L1377" s="606">
        <f>J1377*K1377*M1377</f>
        <v>0</v>
      </c>
      <c r="M1377" s="596"/>
      <c r="N1377" s="609">
        <f>IFERROR(AL1377,"")</f>
        <v>1.1502546360919998</v>
      </c>
      <c r="O1377" s="612">
        <f>IFERROR(N1377*M1377,"")</f>
        <v>0</v>
      </c>
      <c r="P1377" s="192"/>
      <c r="Q1377" s="193">
        <f>Q1378+BF1377+($R$350*Q1378)</f>
        <v>0</v>
      </c>
      <c r="R1377" s="193">
        <f>IFERROR(R1378+($R$348*R1378),"")</f>
        <v>0</v>
      </c>
      <c r="S1377" s="194">
        <f>+IF(R1379="SI",((W1381*'BD GN'!$AB$2)+S1378)*1,COTIZACIÓN!S1378*1)+($R$352*S1378)</f>
        <v>0</v>
      </c>
      <c r="T1377" s="195">
        <f>IFERROR(R1377*IF(K1377&lt;=3,$T$13,15%),"")</f>
        <v>0</v>
      </c>
      <c r="U1377" s="196">
        <f>BH1377+BG1377</f>
        <v>0</v>
      </c>
      <c r="V1377" s="197" t="str">
        <f>IFERROR(BN1377,0)</f>
        <v/>
      </c>
      <c r="W1377" s="198" t="str">
        <f>IFERROR(IF(X1379="SI",W1380*J1377*K1377,IF(BE1377=3,BE1379,IF(BE1377=4,BE1380,IF(BE1377=5,BE1381,IF(BE1377&gt;5,BE1381+(BE1382*(BE1377-5)),"")))))*0,"")</f>
        <v/>
      </c>
      <c r="X1377" s="198" t="str">
        <f>IFERROR(IF(X1378="NO",(VLOOKUP(D1377,'BD M.O'!C:E,3,FALSE))*W1381,((VLOOKUP(D1377,'BD M.O'!C:E,3,FALSE))+7500)*W1381),"")</f>
        <v/>
      </c>
      <c r="Y1377" s="198">
        <f>IFERROR($Y$13*AK1377,"")</f>
        <v>4.2084457416288003E-2</v>
      </c>
      <c r="Z1377" s="198">
        <f>IFERROR($Z$13*AK1377,"")</f>
        <v>5.8166708502000002E-3</v>
      </c>
      <c r="AA1377" s="199">
        <f>IFERROR(Y1377+Z1377,"")</f>
        <v>4.7901128266487999E-2</v>
      </c>
      <c r="AB1377" s="200">
        <f>IFERROR((SUM(Q1377:X1377)-T1377+T1379)*$AB$13,"")</f>
        <v>0</v>
      </c>
      <c r="AC1377" s="201">
        <f>IFERROR(((SUM(Q1377:V1377,IF(X1382&gt;AA1377,AVERAGE(X1382,AA1377),AA1377))-T1377+T1379))*$AB$13,"")</f>
        <v>9.5802256532976E-4</v>
      </c>
      <c r="AD1377" s="202" t="str">
        <f>IFERROR((J1377*K1377*$BV$14),"")</f>
        <v/>
      </c>
      <c r="AE1377" s="202">
        <f>IFERROR($AE$13*AK1377,"")</f>
        <v>6.4010592649919984E-2</v>
      </c>
      <c r="AF1377" s="203" t="str">
        <f>IFERROR(($CI$11+$CI$13)*W1381,"")</f>
        <v/>
      </c>
      <c r="AG1377" s="267">
        <f>IFERROR((SUM(Q1377:X1377,AB1377,AD1377,AF1377)-T1377+T1379)*$AG$13,"")</f>
        <v>0</v>
      </c>
      <c r="AH1377" s="202">
        <f>IFERROR((SUM(Q1377:V1377,(IF(X1382&gt;AA1377,AVERAGE(X1382,AA1377),AA1377)),AC1377,AE1377,AF1377)-T1377+T1379)*$AG$13,"")</f>
        <v>5.6434871740868871E-2</v>
      </c>
      <c r="AI1377" s="268">
        <f>IFERROR(AL1377*$AI$13,"")</f>
        <v>2.3005092721839999E-2</v>
      </c>
      <c r="AJ1377" s="268">
        <f>IFERROR($AJ$13*AL1377,"")</f>
        <v>6.4184208693933587E-3</v>
      </c>
      <c r="AK1377" s="205">
        <f>IFERROR(SUM(Q1377:X1377,AB1377,AD1377,AG1377,AF1377)/(1-$AI$13)+(1-$AJ$13)-T1377+T1379,"")</f>
        <v>0.99441999999999997</v>
      </c>
      <c r="AL1377" s="205">
        <f>IFERROR(SUM(Q1377:V1377,AC1377,(IF(AD1377&gt;AE1377,AVERAGE(AD1377,AE1377),AE1377)),AF1377,,AH1377,(IF(SUM(X1382)&gt;AA1377,AVERAGE(AA1377,X1382),AA1377)))/(1-$AJ$13)+(1-$AI$13)-T1377+T1379,"")</f>
        <v>1.1502546360919998</v>
      </c>
      <c r="AM1377" s="206">
        <f>$M$15*Q1377</f>
        <v>0</v>
      </c>
      <c r="AN1377" s="207">
        <f>$M$15*R1377</f>
        <v>0</v>
      </c>
      <c r="AO1377" s="208">
        <f>$M$15*S1377</f>
        <v>0</v>
      </c>
      <c r="AP1377" s="207">
        <f>$M$15*T1377</f>
        <v>0</v>
      </c>
      <c r="AQ1377" s="207" t="e">
        <f>$M$15*#REF!</f>
        <v>#REF!</v>
      </c>
      <c r="AR1377" s="207">
        <f>$M$15*U1377</f>
        <v>0</v>
      </c>
      <c r="AS1377" s="208" t="e">
        <f>$M$15*V1377</f>
        <v>#VALUE!</v>
      </c>
      <c r="AT1377" s="207" t="e">
        <f>$M$15*W1377</f>
        <v>#VALUE!</v>
      </c>
      <c r="AU1377" s="208" t="e">
        <f>$M$15*X1377</f>
        <v>#VALUE!</v>
      </c>
      <c r="AV1377" s="207">
        <f>$M$15*AB1377</f>
        <v>0</v>
      </c>
      <c r="AW1377" s="208">
        <f>$M$15*AE1377</f>
        <v>0</v>
      </c>
      <c r="AX1377" s="207">
        <f>$M$15*AG1377</f>
        <v>0</v>
      </c>
      <c r="AY1377" s="209">
        <f>$M$15*AI1377</f>
        <v>0</v>
      </c>
      <c r="AZ1377" s="207">
        <f>$M$15*AK1377</f>
        <v>0</v>
      </c>
      <c r="BA1377" s="210"/>
      <c r="BB1377" s="175" t="s">
        <v>23</v>
      </c>
      <c r="BC1377" s="211" t="s">
        <v>113</v>
      </c>
      <c r="BD1377" s="210"/>
      <c r="BE1377" s="212"/>
      <c r="BF1377" s="213">
        <f>IF(BH1378="NO",((2*J1377)+(2*K1377))*'BD GN'!$AU$3,((3*J1377)+(2*K1377))*'BD GN'!$AU$3)</f>
        <v>0</v>
      </c>
      <c r="BG1377" s="213">
        <f>'BD GN'!$BB$3*J1377*K1377</f>
        <v>0</v>
      </c>
      <c r="BH1377" s="214">
        <f>((J1377*2*BE1377)+(K1377*2*BE1377))*'BD GN'!$AN$4</f>
        <v>0</v>
      </c>
      <c r="BI1377" s="210"/>
      <c r="BJ1377" s="212"/>
      <c r="BK1377" s="212"/>
      <c r="BL1377" s="215">
        <f>J1377*K1377*2.5*BJ1377</f>
        <v>0</v>
      </c>
      <c r="BM1377" s="215">
        <f>BK1377+BL1377</f>
        <v>0</v>
      </c>
      <c r="BN1377" s="216" t="str">
        <f>IFERROR((VLOOKUP($C$12,'BD GN'!BD:BM,10,FALSE)*BM1377)+0,"")</f>
        <v/>
      </c>
      <c r="BO1377" s="210"/>
      <c r="BW1377" s="210"/>
      <c r="CD1377" s="184"/>
      <c r="CF1377" s="185"/>
      <c r="CI1377" s="184"/>
      <c r="CJ1377" s="210"/>
      <c r="CK1377" s="565"/>
      <c r="CL1377" s="256"/>
      <c r="CM1377" s="596"/>
      <c r="CN1377" s="596"/>
      <c r="CO1377" s="567"/>
      <c r="CP1377" s="567"/>
      <c r="CQ1377" s="567"/>
      <c r="CR1377" s="567"/>
      <c r="CS1377" s="567"/>
      <c r="CT1377" s="567"/>
      <c r="CU1377" s="565"/>
      <c r="CV1377" s="560">
        <f>IFERROR(N1377*CU1377,"")</f>
        <v>0</v>
      </c>
      <c r="CW1377" s="565"/>
      <c r="CX1377" s="560">
        <f>IFERROR(P1377*CW1377,"")</f>
        <v>0</v>
      </c>
      <c r="CY1377" s="565"/>
      <c r="CZ1377" s="560">
        <f>IFERROR(R1377*CY1377,"")</f>
        <v>0</v>
      </c>
      <c r="DA1377" s="565">
        <f t="shared" ref="DA1377" si="1423">CU1377+CW1377+CY1377</f>
        <v>0</v>
      </c>
      <c r="DB1377" s="560">
        <f t="shared" ref="DB1377" si="1424">IFERROR(CV1377+CX1377+CZ1377,"")</f>
        <v>0</v>
      </c>
      <c r="DC1377" s="565">
        <f>M1377-(CU1377+CW1377+CY1377)</f>
        <v>0</v>
      </c>
      <c r="DD1377" s="560">
        <f>IFERROR(O1377-(CV1377+CX1377+CZ1377),"")</f>
        <v>0</v>
      </c>
      <c r="DG1377" s="575"/>
      <c r="DH1377" s="575"/>
      <c r="DI1377" s="569">
        <f t="shared" ref="DI1377" si="1425">IFERROR(IF(DG1377&gt;0,(((N1377)/(1+10%+19%*5%)+((N1377)/(1+10%+19%*5%))*10%)*DH1377),0),0)</f>
        <v>0</v>
      </c>
      <c r="DJ1377" s="569">
        <f t="shared" ref="DJ1377" si="1426">IFERROR(IF(DG1377&gt;0,(N1377*DH1377),0),0)</f>
        <v>0</v>
      </c>
      <c r="DK1377" s="569">
        <f t="shared" ref="DK1377" si="1427">IF(DG1377&gt;0,((R1377+T1377)*DH1377),0)</f>
        <v>0</v>
      </c>
      <c r="DL1377" s="569">
        <f t="shared" ref="DL1377" si="1428">IF(DG1377&gt;0,(Q1377*DH1377),0)</f>
        <v>0</v>
      </c>
      <c r="DM1377" s="572">
        <f t="shared" ref="DM1377" si="1429">IF(DG1377&gt;0,(S1377*DH1377),0)</f>
        <v>0</v>
      </c>
      <c r="DN1377" s="569">
        <f t="shared" ref="DN1377" si="1430">IF(DG1377&gt;0,(BN1377*DH1377),0)</f>
        <v>0</v>
      </c>
      <c r="DO1377" s="569">
        <f t="shared" ref="DO1377" si="1431">IF(DG1377&gt;0,(AF1377*DH1377),0)</f>
        <v>0</v>
      </c>
      <c r="DP1377" s="569">
        <f>IF(DG1377&gt;0,((DI1377)*('BD P&amp;G'!$E$16+'BD P&amp;G'!$E$17+'BD P&amp;G'!$E$18+'BD P&amp;G'!$E$19+'BD P&amp;G'!$E$20+'BD P&amp;G'!$E$21+'BD P&amp;G'!$E$22+'BD P&amp;G'!$E$23)*DH1377),0)</f>
        <v>0</v>
      </c>
      <c r="DQ1377" s="569">
        <f>IFERROR(IF(DG1377&gt;0,((DI1377*'BD P&amp;G'!$E$7)+(DI1377*'BD P&amp;G'!$E$9)+AI1377),0),0)</f>
        <v>0</v>
      </c>
      <c r="DR1377" s="569">
        <f t="shared" ref="DR1377" si="1432">IFERROR(IF(DG1377&gt;0,((DI1377*1%)),0),0)</f>
        <v>0</v>
      </c>
      <c r="DS1377" s="569">
        <f>IFERROR(IF(DG1377&gt;0,(((DI1377*'BD P&amp;G'!$E$32+DI1377*'BD P&amp;G'!$E$33+DI1377*'BD P&amp;G'!$E$35+DI1377*'BD P&amp;G'!$E$36+DI1377*'BD P&amp;G'!$E$37))),0),0)</f>
        <v>0</v>
      </c>
      <c r="DT1377" s="569">
        <f t="shared" ref="DT1377" si="1433">IF(DG1377&gt;0,(Y1377*DH1377),0)</f>
        <v>0</v>
      </c>
      <c r="DU1377" s="569">
        <f t="shared" ref="DU1377" si="1434">IF(DG1377&gt;0,(Z1377*DH1377),0)</f>
        <v>0</v>
      </c>
      <c r="DV1377" s="575">
        <f t="shared" ref="DV1377" si="1435">IF(DG1377&gt;0,(Y1381*DH1377),0)</f>
        <v>0</v>
      </c>
      <c r="DW1377" s="575">
        <f t="shared" ref="DW1377" si="1436">IF(DG1377&gt;0,(Z1381*DH1377),0)</f>
        <v>0</v>
      </c>
      <c r="DX1377" s="569">
        <f t="shared" ref="DX1377" si="1437">IF(DV1377&gt;0,DJ1377,0)</f>
        <v>0</v>
      </c>
      <c r="DY1377" s="569">
        <f t="shared" ref="DY1377" si="1438">IF(DW1377&gt;0,DJ1377,0)</f>
        <v>0</v>
      </c>
    </row>
    <row r="1378" spans="1:194" s="175" customFormat="1" ht="54.95" customHeight="1" x14ac:dyDescent="0.25">
      <c r="A1378" s="366"/>
      <c r="B1378" s="367"/>
      <c r="C1378" s="393" t="s">
        <v>28</v>
      </c>
      <c r="D1378" s="598"/>
      <c r="E1378" s="598"/>
      <c r="F1378" s="598"/>
      <c r="G1378" s="598"/>
      <c r="H1378" s="598"/>
      <c r="I1378" s="598"/>
      <c r="J1378" s="604"/>
      <c r="K1378" s="604"/>
      <c r="L1378" s="607"/>
      <c r="M1378" s="559"/>
      <c r="N1378" s="610"/>
      <c r="O1378" s="613"/>
      <c r="P1378" s="192"/>
      <c r="Q1378" s="217"/>
      <c r="R1378" s="217"/>
      <c r="S1378" s="218"/>
      <c r="T1378" s="219">
        <f>IFERROR(T1377/$R$353,"")</f>
        <v>0</v>
      </c>
      <c r="U1378" s="206"/>
      <c r="V1378" s="220"/>
      <c r="W1378" s="221" t="s">
        <v>239</v>
      </c>
      <c r="X1378" s="222" t="s">
        <v>204</v>
      </c>
      <c r="Y1378" s="223"/>
      <c r="Z1378" s="224"/>
      <c r="AA1378" s="225"/>
      <c r="AB1378" s="226"/>
      <c r="AC1378" s="206"/>
      <c r="AD1378" s="206"/>
      <c r="AE1378" s="206"/>
      <c r="AF1378" s="227"/>
      <c r="AG1378" s="206"/>
      <c r="AH1378" s="206"/>
      <c r="AI1378" s="206"/>
      <c r="AJ1378" s="206"/>
      <c r="AK1378" s="227"/>
      <c r="AL1378" s="210"/>
      <c r="AM1378" s="206"/>
      <c r="AN1378" s="206"/>
      <c r="AO1378" s="228"/>
      <c r="AP1378" s="229"/>
      <c r="AQ1378" s="206"/>
      <c r="AR1378" s="206"/>
      <c r="AS1378" s="228"/>
      <c r="AT1378" s="229"/>
      <c r="AU1378" s="228"/>
      <c r="AV1378" s="229"/>
      <c r="AW1378" s="228"/>
      <c r="AX1378" s="229"/>
      <c r="AY1378" s="206"/>
      <c r="AZ1378" s="229"/>
      <c r="BA1378" s="210"/>
      <c r="BB1378" s="175" t="s">
        <v>24</v>
      </c>
      <c r="BC1378" s="175" t="s">
        <v>114</v>
      </c>
      <c r="BD1378" s="210"/>
      <c r="BE1378" s="176" t="s">
        <v>206</v>
      </c>
      <c r="BF1378" s="230" t="s">
        <v>204</v>
      </c>
      <c r="BG1378" s="176" t="s">
        <v>290</v>
      </c>
      <c r="BH1378" s="230" t="s">
        <v>204</v>
      </c>
      <c r="BI1378" s="210"/>
      <c r="BJ1378" s="185"/>
      <c r="BN1378" s="269"/>
      <c r="BO1378" s="210"/>
      <c r="BV1378" s="184"/>
      <c r="BW1378" s="210"/>
      <c r="CD1378" s="184"/>
      <c r="CF1378" s="185"/>
      <c r="CI1378" s="184"/>
      <c r="CJ1378" s="210"/>
      <c r="CK1378" s="563"/>
      <c r="CM1378" s="559"/>
      <c r="CN1378" s="559"/>
      <c r="CO1378" s="567"/>
      <c r="CP1378" s="567"/>
      <c r="CQ1378" s="567"/>
      <c r="CR1378" s="567"/>
      <c r="CS1378" s="567"/>
      <c r="CT1378" s="567"/>
      <c r="CU1378" s="563"/>
      <c r="CV1378" s="561"/>
      <c r="CW1378" s="563"/>
      <c r="CX1378" s="561"/>
      <c r="CY1378" s="563"/>
      <c r="CZ1378" s="561"/>
      <c r="DA1378" s="563"/>
      <c r="DB1378" s="561"/>
      <c r="DC1378" s="563"/>
      <c r="DD1378" s="561"/>
      <c r="DG1378" s="576"/>
      <c r="DH1378" s="576"/>
      <c r="DI1378" s="570"/>
      <c r="DJ1378" s="570"/>
      <c r="DK1378" s="570"/>
      <c r="DL1378" s="570"/>
      <c r="DM1378" s="573"/>
      <c r="DN1378" s="570"/>
      <c r="DO1378" s="570"/>
      <c r="DP1378" s="570"/>
      <c r="DQ1378" s="570"/>
      <c r="DR1378" s="570"/>
      <c r="DS1378" s="570"/>
      <c r="DT1378" s="570"/>
      <c r="DU1378" s="570"/>
      <c r="DV1378" s="576"/>
      <c r="DW1378" s="576"/>
      <c r="DX1378" s="570"/>
      <c r="DY1378" s="570"/>
    </row>
    <row r="1379" spans="1:194" s="175" customFormat="1" ht="54.95" customHeight="1" x14ac:dyDescent="0.3">
      <c r="A1379" s="366"/>
      <c r="B1379" s="367"/>
      <c r="C1379" s="393" t="s">
        <v>30</v>
      </c>
      <c r="D1379" s="599"/>
      <c r="E1379" s="599"/>
      <c r="F1379" s="599"/>
      <c r="G1379" s="599"/>
      <c r="H1379" s="599"/>
      <c r="I1379" s="599"/>
      <c r="J1379" s="604"/>
      <c r="K1379" s="604"/>
      <c r="L1379" s="607"/>
      <c r="M1379" s="559"/>
      <c r="N1379" s="610"/>
      <c r="O1379" s="613"/>
      <c r="P1379" s="192"/>
      <c r="Q1379" s="176" t="s">
        <v>205</v>
      </c>
      <c r="R1379" s="233" t="s">
        <v>204</v>
      </c>
      <c r="S1379" s="234"/>
      <c r="T1379" s="235">
        <f>IFERROR(($R$353-8000)*T1378,"")</f>
        <v>0</v>
      </c>
      <c r="U1379" s="206"/>
      <c r="V1379" s="220"/>
      <c r="W1379" s="221" t="s">
        <v>258</v>
      </c>
      <c r="X1379" s="222" t="s">
        <v>204</v>
      </c>
      <c r="Y1379" s="236"/>
      <c r="Z1379" s="237"/>
      <c r="AA1379" s="225"/>
      <c r="AB1379" s="226"/>
      <c r="AC1379" s="206"/>
      <c r="AD1379" s="206"/>
      <c r="AE1379" s="206"/>
      <c r="AF1379" s="227"/>
      <c r="AG1379" s="206"/>
      <c r="AH1379" s="206"/>
      <c r="AI1379" s="206"/>
      <c r="AJ1379" s="206"/>
      <c r="AK1379" s="227"/>
      <c r="AL1379" s="238"/>
      <c r="AM1379" s="206"/>
      <c r="AN1379" s="206"/>
      <c r="AO1379" s="228"/>
      <c r="AP1379" s="229"/>
      <c r="AQ1379" s="206"/>
      <c r="AR1379" s="206"/>
      <c r="AS1379" s="228"/>
      <c r="AT1379" s="229"/>
      <c r="AU1379" s="228"/>
      <c r="AV1379" s="229"/>
      <c r="AW1379" s="228"/>
      <c r="AX1379" s="229"/>
      <c r="AY1379" s="206"/>
      <c r="AZ1379" s="229"/>
      <c r="BA1379" s="210"/>
      <c r="BB1379" s="175" t="s">
        <v>26</v>
      </c>
      <c r="BC1379" s="211" t="s">
        <v>115</v>
      </c>
      <c r="BD1379" s="210"/>
      <c r="BE1379" s="177" t="str">
        <f>IFERROR(VLOOKUP(D1377,'BD M.O'!C:H,4,FALSE),"")</f>
        <v/>
      </c>
      <c r="BF1379" s="177" t="s">
        <v>259</v>
      </c>
      <c r="BH1379" s="184"/>
      <c r="BI1379" s="210"/>
      <c r="BJ1379" s="185"/>
      <c r="BN1379" s="184"/>
      <c r="BO1379" s="210"/>
      <c r="BV1379" s="184"/>
      <c r="BW1379" s="210"/>
      <c r="CD1379" s="184"/>
      <c r="CF1379" s="185"/>
      <c r="CI1379" s="184"/>
      <c r="CJ1379" s="210"/>
      <c r="CK1379" s="563"/>
      <c r="CM1379" s="559"/>
      <c r="CN1379" s="559"/>
      <c r="CO1379" s="567"/>
      <c r="CP1379" s="567"/>
      <c r="CQ1379" s="567"/>
      <c r="CR1379" s="567"/>
      <c r="CS1379" s="567"/>
      <c r="CT1379" s="567"/>
      <c r="CU1379" s="563"/>
      <c r="CV1379" s="561"/>
      <c r="CW1379" s="563"/>
      <c r="CX1379" s="561"/>
      <c r="CY1379" s="563"/>
      <c r="CZ1379" s="561"/>
      <c r="DA1379" s="563"/>
      <c r="DB1379" s="561"/>
      <c r="DC1379" s="563"/>
      <c r="DD1379" s="561"/>
      <c r="DG1379" s="577"/>
      <c r="DH1379" s="577"/>
      <c r="DI1379" s="571"/>
      <c r="DJ1379" s="571"/>
      <c r="DK1379" s="571"/>
      <c r="DL1379" s="571"/>
      <c r="DM1379" s="574"/>
      <c r="DN1379" s="571"/>
      <c r="DO1379" s="571"/>
      <c r="DP1379" s="571"/>
      <c r="DQ1379" s="571"/>
      <c r="DR1379" s="571"/>
      <c r="DS1379" s="571"/>
      <c r="DT1379" s="571"/>
      <c r="DU1379" s="571"/>
      <c r="DV1379" s="577"/>
      <c r="DW1379" s="577"/>
      <c r="DX1379" s="571"/>
      <c r="DY1379" s="571"/>
    </row>
    <row r="1380" spans="1:194" s="175" customFormat="1" ht="54.95" customHeight="1" x14ac:dyDescent="0.25">
      <c r="A1380" s="366"/>
      <c r="B1380" s="367"/>
      <c r="C1380" s="395" t="s">
        <v>180</v>
      </c>
      <c r="D1380" s="599" t="s">
        <v>31</v>
      </c>
      <c r="E1380" s="599"/>
      <c r="F1380" s="394" t="s">
        <v>9</v>
      </c>
      <c r="G1380" s="599" t="s">
        <v>33</v>
      </c>
      <c r="H1380" s="599"/>
      <c r="I1380" s="394" t="str">
        <f>+IF($BG$9="SI","","X")</f>
        <v>X</v>
      </c>
      <c r="J1380" s="604"/>
      <c r="K1380" s="604"/>
      <c r="L1380" s="607"/>
      <c r="M1380" s="559"/>
      <c r="N1380" s="610"/>
      <c r="O1380" s="613"/>
      <c r="P1380" s="192"/>
      <c r="Q1380" s="239"/>
      <c r="R1380" s="221" t="s">
        <v>209</v>
      </c>
      <c r="S1380" s="234" t="str">
        <f>IF(S1378="","",S1378/(J1377*K1377))</f>
        <v/>
      </c>
      <c r="T1380" s="226"/>
      <c r="U1380" s="206"/>
      <c r="V1380" s="220"/>
      <c r="W1380" s="239" t="str">
        <f>IFERROR(IF(X1379="SI",VLOOKUP(D1377,'BD M.O'!C:F,4,FALSE),""),"")</f>
        <v/>
      </c>
      <c r="X1380" s="221" t="s">
        <v>258</v>
      </c>
      <c r="Y1380" s="221" t="s">
        <v>507</v>
      </c>
      <c r="Z1380" s="221" t="s">
        <v>508</v>
      </c>
      <c r="AA1380" s="225"/>
      <c r="AB1380" s="226"/>
      <c r="AC1380" s="206"/>
      <c r="AD1380" s="206"/>
      <c r="AE1380" s="206"/>
      <c r="AF1380" s="227"/>
      <c r="AG1380" s="206"/>
      <c r="AH1380" s="206"/>
      <c r="AI1380" s="206"/>
      <c r="AJ1380" s="206"/>
      <c r="AK1380" s="227"/>
      <c r="AL1380" s="240"/>
      <c r="AM1380" s="206"/>
      <c r="AN1380" s="206"/>
      <c r="AO1380" s="228"/>
      <c r="AP1380" s="229"/>
      <c r="AQ1380" s="206"/>
      <c r="AR1380" s="206"/>
      <c r="AS1380" s="228"/>
      <c r="AT1380" s="229"/>
      <c r="AU1380" s="228"/>
      <c r="AV1380" s="229"/>
      <c r="AW1380" s="228"/>
      <c r="AX1380" s="229"/>
      <c r="AY1380" s="206"/>
      <c r="AZ1380" s="229"/>
      <c r="BA1380" s="210"/>
      <c r="BC1380" s="175" t="s">
        <v>116</v>
      </c>
      <c r="BD1380" s="210"/>
      <c r="BE1380" s="177" t="str">
        <f>IFERROR(VLOOKUP(COTIZACIÓN!D1377,'BD M.O'!C:I,5,FALSE),"")</f>
        <v/>
      </c>
      <c r="BF1380" s="177" t="s">
        <v>260</v>
      </c>
      <c r="BH1380" s="184"/>
      <c r="BI1380" s="210"/>
      <c r="BJ1380" s="185"/>
      <c r="BN1380" s="184"/>
      <c r="BO1380" s="210"/>
      <c r="BP1380" s="183"/>
      <c r="BQ1380" s="183"/>
      <c r="BR1380" s="183"/>
      <c r="BS1380" s="183"/>
      <c r="BT1380" s="183"/>
      <c r="BU1380" s="183"/>
      <c r="BV1380" s="182"/>
      <c r="BW1380" s="210"/>
      <c r="BX1380" s="183"/>
      <c r="BY1380" s="183"/>
      <c r="BZ1380" s="183"/>
      <c r="CA1380" s="183"/>
      <c r="CB1380" s="183"/>
      <c r="CC1380" s="183"/>
      <c r="CD1380" s="182"/>
      <c r="CE1380" s="183"/>
      <c r="CF1380" s="241"/>
      <c r="CG1380" s="183"/>
      <c r="CH1380" s="183"/>
      <c r="CI1380" s="182"/>
      <c r="CJ1380" s="210"/>
      <c r="CK1380" s="563"/>
      <c r="CM1380" s="559"/>
      <c r="CN1380" s="559"/>
      <c r="CO1380" s="567"/>
      <c r="CP1380" s="567"/>
      <c r="CQ1380" s="567"/>
      <c r="CR1380" s="567"/>
      <c r="CS1380" s="567"/>
      <c r="CT1380" s="567"/>
      <c r="CU1380" s="563"/>
      <c r="CV1380" s="561"/>
      <c r="CW1380" s="563"/>
      <c r="CX1380" s="561"/>
      <c r="CY1380" s="563"/>
      <c r="CZ1380" s="561"/>
      <c r="DA1380" s="563"/>
      <c r="DB1380" s="561"/>
      <c r="DC1380" s="563"/>
      <c r="DD1380" s="561"/>
      <c r="DG1380" s="575"/>
      <c r="DH1380" s="575"/>
      <c r="DI1380" s="569">
        <f t="shared" ref="DI1380" si="1439">IFERROR(IF(DG1380&gt;0,(((N1377)/(1+10%+19%*5%)+((N1377)/(1+10%+19%*5%))*10%)*DH1380),0),0)</f>
        <v>0</v>
      </c>
      <c r="DJ1380" s="569">
        <f t="shared" ref="DJ1380" si="1440">IFERROR(IF(DG1380&gt;0,(N1377*DH1380),0),0)</f>
        <v>0</v>
      </c>
      <c r="DK1380" s="569">
        <f t="shared" ref="DK1380" si="1441">IF(DG1380&gt;0,((R1377+T1377)*DH1380),0)</f>
        <v>0</v>
      </c>
      <c r="DL1380" s="569">
        <f t="shared" ref="DL1380" si="1442">IF(DG1380&gt;0,(Q1377*DH1380),0)</f>
        <v>0</v>
      </c>
      <c r="DM1380" s="572">
        <f t="shared" ref="DM1380" si="1443">IF(DG1380&gt;0,(S1377*DH1380),0)</f>
        <v>0</v>
      </c>
      <c r="DN1380" s="569">
        <f t="shared" ref="DN1380" si="1444">IF(DG1380&gt;0,(BN1377*DH1380),0)</f>
        <v>0</v>
      </c>
      <c r="DO1380" s="569">
        <f t="shared" ref="DO1380" si="1445">IF(DG1380&gt;0,(AF1377*DH1380),0)</f>
        <v>0</v>
      </c>
      <c r="DP1380" s="569">
        <f>IF(DG1380&gt;0,((DI1380)*('BD P&amp;G'!$E$16+'BD P&amp;G'!$E$17+'BD P&amp;G'!$E$18+'BD P&amp;G'!$E$19+'BD P&amp;G'!$E$20+'BD P&amp;G'!$E$21+'BD P&amp;G'!$E$22+'BD P&amp;G'!$E$23)*DH1380),0)</f>
        <v>0</v>
      </c>
      <c r="DQ1380" s="569">
        <f>IFERROR(IF(DG1380&gt;0,((DI1380*'BD P&amp;G'!$E$7)+(DI1380*'BD P&amp;G'!$E$9)+AI1377),0),0)</f>
        <v>0</v>
      </c>
      <c r="DR1380" s="569">
        <f t="shared" ref="DR1380" si="1446">IFERROR(IF(DG1380&gt;0,((DI1380*1%)),0),0)</f>
        <v>0</v>
      </c>
      <c r="DS1380" s="569">
        <f>IFERROR(IF(DG1380&gt;0,(((DI1380*'BD P&amp;G'!$E$32+DI1380*'BD P&amp;G'!$E$33+DI1380*'BD P&amp;G'!$E$35+DI1380*'BD P&amp;G'!$E$36+DI1380*'BD P&amp;G'!$E$37))),0),0)</f>
        <v>0</v>
      </c>
      <c r="DT1380" s="569">
        <f t="shared" ref="DT1380" si="1447">IF(DG1380&gt;0,(Y1377*DH1380),0)</f>
        <v>0</v>
      </c>
      <c r="DU1380" s="569">
        <f t="shared" ref="DU1380" si="1448">IF(DG1380&gt;0,(Z1377*DH1380),0)</f>
        <v>0</v>
      </c>
      <c r="DV1380" s="575">
        <f t="shared" ref="DV1380" si="1449">IF(DG1380&gt;0,(Y1381*DH1380),0)</f>
        <v>0</v>
      </c>
      <c r="DW1380" s="575">
        <f t="shared" ref="DW1380" si="1450">IF(DG1380&gt;0,(Z1381*DH1380),0)</f>
        <v>0</v>
      </c>
      <c r="DX1380" s="569">
        <f t="shared" ref="DX1380" si="1451">IF(DV1380&gt;0,DJ1380,0)</f>
        <v>0</v>
      </c>
      <c r="DY1380" s="569">
        <f t="shared" ref="DY1380" si="1452">IF(DW1380&gt;0,DJ1380,0)</f>
        <v>0</v>
      </c>
    </row>
    <row r="1381" spans="1:194" s="175" customFormat="1" ht="54.95" customHeight="1" x14ac:dyDescent="0.3">
      <c r="A1381" s="366"/>
      <c r="B1381" s="367"/>
      <c r="C1381" s="393" t="s">
        <v>35</v>
      </c>
      <c r="D1381" s="599" t="str">
        <f>IFERROR(VLOOKUP(D1377,'BD GN'!C:E,3,),"")</f>
        <v/>
      </c>
      <c r="E1381" s="599"/>
      <c r="F1381" s="599"/>
      <c r="G1381" s="599"/>
      <c r="H1381" s="599"/>
      <c r="I1381" s="599"/>
      <c r="J1381" s="604"/>
      <c r="K1381" s="604"/>
      <c r="L1381" s="607"/>
      <c r="M1381" s="559"/>
      <c r="N1381" s="610"/>
      <c r="O1381" s="613"/>
      <c r="P1381" s="192"/>
      <c r="Q1381" s="239"/>
      <c r="R1381" s="221" t="s">
        <v>210</v>
      </c>
      <c r="S1381" s="234" t="str">
        <f>IFERROR(IF(N1377="","",N1377/W1381),"")</f>
        <v/>
      </c>
      <c r="T1381" s="226"/>
      <c r="U1381" s="206"/>
      <c r="V1381" s="220"/>
      <c r="W1381" s="242" t="str">
        <f>+IF(J1377*K1377&gt;=1,J1377*K1377,IF(AND(J1377*K1377&gt;0,J1377*K1377&lt;1),1,""))</f>
        <v/>
      </c>
      <c r="X1381" s="221" t="s">
        <v>298</v>
      </c>
      <c r="Y1381" s="461">
        <f>IFERROR(IF(D1377='BD GN'!$C$25,COTIZACIÓN!W1381,IF(D1377='BD GN'!$C$26,COTIZACIÓN!W1381,IF(D1377='BD GN'!$C$27,COTIZACIÓN!W1381,IF(COTIZACIÓN!D1377='BD GN'!$C$28,COTIZACIÓN!W1381,IF(COTIZACIÓN!D1377='BD GN'!$C$29,COTIZACIÓN!W1381,IF(COTIZACIÓN!D1377='BD GN'!$C$35,COTIZACIÓN!W1381,IF(COTIZACIÓN!D1377='BD GN'!$C$36,COTIZACIÓN!W1381,IF(COTIZACIÓN!D1377='BD GN'!$C$37,COTIZACIÓN!W1381,IF(COTIZACIÓN!D1377='BD GN'!$C$38,COTIZACIÓN!W1381,IF(COTIZACIÓN!D1377='BD GN'!$C$39,COTIZACIÓN!W1381,IF(COTIZACIÓN!D1377='BD GN'!$C$40,COTIZACIÓN!W1381,IF(COTIZACIÓN!D1377='BD GN'!$C$41,COTIZACIÓN!W1381,IF(COTIZACIÓN!D1377='BD GN'!$C$42,COTIZACIÓN!W1381,IF(COTIZACIÓN!D1377='BD GN'!$C$49,COTIZACIÓN!W1381,IF(COTIZACIÓN!D1377='BD GN'!$C$50,COTIZACIÓN!W1381,IF(COTIZACIÓN!D1377='BD GN'!$C$51,COTIZACIÓN!W1381,IF(COTIZACIÓN!D1377='BD GN'!$C$67,COTIZACIÓN!W1381,0))))))))))))))))),0)</f>
        <v>0</v>
      </c>
      <c r="Z1381" s="461">
        <f>IFERROR(W1381-Y1381,0)</f>
        <v>0</v>
      </c>
      <c r="AA1381" s="225"/>
      <c r="AB1381" s="226"/>
      <c r="AC1381" s="206"/>
      <c r="AD1381" s="206"/>
      <c r="AE1381" s="206"/>
      <c r="AF1381" s="227"/>
      <c r="AG1381" s="206"/>
      <c r="AH1381" s="206"/>
      <c r="AI1381" s="206"/>
      <c r="AJ1381" s="206"/>
      <c r="AK1381" s="227"/>
      <c r="AL1381" s="210"/>
      <c r="AM1381" s="206"/>
      <c r="AN1381" s="206"/>
      <c r="AO1381" s="228"/>
      <c r="AP1381" s="229"/>
      <c r="AQ1381" s="206"/>
      <c r="AR1381" s="206"/>
      <c r="AS1381" s="228"/>
      <c r="AT1381" s="229"/>
      <c r="AU1381" s="228"/>
      <c r="AV1381" s="229"/>
      <c r="AW1381" s="228"/>
      <c r="AX1381" s="229"/>
      <c r="AY1381" s="206"/>
      <c r="AZ1381" s="229"/>
      <c r="BA1381" s="210"/>
      <c r="BC1381" s="211" t="s">
        <v>117</v>
      </c>
      <c r="BD1381" s="210"/>
      <c r="BE1381" s="177" t="str">
        <f>IFERROR(VLOOKUP(D1377,'BD M.O'!C:I,6,FALSE),"")</f>
        <v/>
      </c>
      <c r="BF1381" s="177" t="s">
        <v>261</v>
      </c>
      <c r="BH1381" s="184"/>
      <c r="BI1381" s="210"/>
      <c r="BJ1381" s="185"/>
      <c r="BN1381" s="184"/>
      <c r="BO1381" s="210"/>
      <c r="BP1381" s="183"/>
      <c r="BQ1381" s="183"/>
      <c r="BR1381" s="183"/>
      <c r="BW1381" s="210"/>
      <c r="CD1381" s="184"/>
      <c r="CF1381" s="185"/>
      <c r="CI1381" s="184"/>
      <c r="CJ1381" s="210"/>
      <c r="CK1381" s="563"/>
      <c r="CM1381" s="559"/>
      <c r="CN1381" s="559"/>
      <c r="CO1381" s="567"/>
      <c r="CP1381" s="567"/>
      <c r="CQ1381" s="567"/>
      <c r="CR1381" s="567"/>
      <c r="CS1381" s="567"/>
      <c r="CT1381" s="567"/>
      <c r="CU1381" s="563"/>
      <c r="CV1381" s="561"/>
      <c r="CW1381" s="563"/>
      <c r="CX1381" s="561"/>
      <c r="CY1381" s="563"/>
      <c r="CZ1381" s="561"/>
      <c r="DA1381" s="563"/>
      <c r="DB1381" s="561"/>
      <c r="DC1381" s="563"/>
      <c r="DD1381" s="561"/>
      <c r="DG1381" s="576"/>
      <c r="DH1381" s="576"/>
      <c r="DI1381" s="570"/>
      <c r="DJ1381" s="570"/>
      <c r="DK1381" s="570"/>
      <c r="DL1381" s="570"/>
      <c r="DM1381" s="573"/>
      <c r="DN1381" s="570"/>
      <c r="DO1381" s="570"/>
      <c r="DP1381" s="570"/>
      <c r="DQ1381" s="570"/>
      <c r="DR1381" s="570"/>
      <c r="DS1381" s="570"/>
      <c r="DT1381" s="570"/>
      <c r="DU1381" s="570"/>
      <c r="DV1381" s="576"/>
      <c r="DW1381" s="576"/>
      <c r="DX1381" s="570"/>
      <c r="DY1381" s="570"/>
    </row>
    <row r="1382" spans="1:194" s="252" customFormat="1" ht="54.95" customHeight="1" x14ac:dyDescent="0.25">
      <c r="A1382" s="368"/>
      <c r="B1382" s="369"/>
      <c r="C1382" s="396" t="s">
        <v>10</v>
      </c>
      <c r="D1382" s="600" t="s">
        <v>32</v>
      </c>
      <c r="E1382" s="600"/>
      <c r="F1382" s="600"/>
      <c r="G1382" s="600"/>
      <c r="H1382" s="600"/>
      <c r="I1382" s="600"/>
      <c r="J1382" s="605"/>
      <c r="K1382" s="605"/>
      <c r="L1382" s="608"/>
      <c r="M1382" s="597"/>
      <c r="N1382" s="611"/>
      <c r="O1382" s="614"/>
      <c r="P1382" s="192"/>
      <c r="Q1382" s="239"/>
      <c r="R1382" s="239"/>
      <c r="S1382" s="234"/>
      <c r="T1382" s="243"/>
      <c r="U1382" s="244"/>
      <c r="V1382" s="245"/>
      <c r="W1382" s="177" t="s">
        <v>394</v>
      </c>
      <c r="X1382" s="246">
        <f>IFERROR(SUM(W1377:X1377),"")</f>
        <v>0</v>
      </c>
      <c r="Y1382" s="166" t="s">
        <v>404</v>
      </c>
      <c r="Z1382" s="199">
        <f>IFERROR(Y1377+Z1377,"")</f>
        <v>4.7901128266487999E-2</v>
      </c>
      <c r="AA1382" s="247"/>
      <c r="AB1382" s="243"/>
      <c r="AC1382" s="244"/>
      <c r="AD1382" s="244"/>
      <c r="AE1382" s="244"/>
      <c r="AF1382" s="270"/>
      <c r="AG1382" s="244"/>
      <c r="AH1382" s="244"/>
      <c r="AI1382" s="244"/>
      <c r="AJ1382" s="244"/>
      <c r="AK1382" s="270"/>
      <c r="AL1382" s="270"/>
      <c r="AM1382" s="248"/>
      <c r="AN1382" s="248"/>
      <c r="AO1382" s="249"/>
      <c r="AP1382" s="250"/>
      <c r="AQ1382" s="248"/>
      <c r="AR1382" s="248"/>
      <c r="AS1382" s="249"/>
      <c r="AT1382" s="250"/>
      <c r="AU1382" s="249"/>
      <c r="AV1382" s="250"/>
      <c r="AW1382" s="249"/>
      <c r="AX1382" s="250"/>
      <c r="AY1382" s="248"/>
      <c r="AZ1382" s="250"/>
      <c r="BA1382" s="210"/>
      <c r="BB1382" s="175"/>
      <c r="BC1382" s="175" t="s">
        <v>118</v>
      </c>
      <c r="BD1382" s="210"/>
      <c r="BE1382" s="177" t="str">
        <f>IFERROR(VLOOKUP(D1377,'BD M.O'!C:I,7,FALSE),"")</f>
        <v/>
      </c>
      <c r="BF1382" s="177" t="s">
        <v>262</v>
      </c>
      <c r="BG1382" s="257"/>
      <c r="BH1382" s="271"/>
      <c r="BI1382" s="210"/>
      <c r="BJ1382" s="272"/>
      <c r="BK1382" s="257"/>
      <c r="BL1382" s="257"/>
      <c r="BM1382" s="257"/>
      <c r="BN1382" s="271"/>
      <c r="BO1382" s="210"/>
      <c r="BP1382" s="175"/>
      <c r="BQ1382" s="175"/>
      <c r="BR1382" s="175"/>
      <c r="BS1382" s="183"/>
      <c r="BT1382" s="183"/>
      <c r="BU1382" s="183"/>
      <c r="BV1382" s="183"/>
      <c r="BW1382" s="210"/>
      <c r="BX1382" s="175"/>
      <c r="BY1382" s="175"/>
      <c r="BZ1382" s="175"/>
      <c r="CA1382" s="175"/>
      <c r="CB1382" s="175"/>
      <c r="CC1382" s="175"/>
      <c r="CD1382" s="184"/>
      <c r="CE1382" s="175"/>
      <c r="CF1382" s="185"/>
      <c r="CG1382" s="175"/>
      <c r="CH1382" s="175"/>
      <c r="CI1382" s="184"/>
      <c r="CJ1382" s="210"/>
      <c r="CK1382" s="564"/>
      <c r="CL1382" s="257"/>
      <c r="CM1382" s="597"/>
      <c r="CN1382" s="597"/>
      <c r="CO1382" s="567"/>
      <c r="CP1382" s="567"/>
      <c r="CQ1382" s="567"/>
      <c r="CR1382" s="567"/>
      <c r="CS1382" s="567"/>
      <c r="CT1382" s="567"/>
      <c r="CU1382" s="564"/>
      <c r="CV1382" s="562"/>
      <c r="CW1382" s="564"/>
      <c r="CX1382" s="562"/>
      <c r="CY1382" s="564"/>
      <c r="CZ1382" s="562"/>
      <c r="DA1382" s="564"/>
      <c r="DB1382" s="562"/>
      <c r="DC1382" s="564"/>
      <c r="DD1382" s="562"/>
      <c r="DE1382" s="175"/>
      <c r="DF1382" s="175"/>
      <c r="DG1382" s="577"/>
      <c r="DH1382" s="577"/>
      <c r="DI1382" s="571"/>
      <c r="DJ1382" s="571"/>
      <c r="DK1382" s="571"/>
      <c r="DL1382" s="571"/>
      <c r="DM1382" s="574"/>
      <c r="DN1382" s="571"/>
      <c r="DO1382" s="571"/>
      <c r="DP1382" s="571"/>
      <c r="DQ1382" s="571"/>
      <c r="DR1382" s="571"/>
      <c r="DS1382" s="571"/>
      <c r="DT1382" s="571"/>
      <c r="DU1382" s="571"/>
      <c r="DV1382" s="577"/>
      <c r="DW1382" s="577"/>
      <c r="DX1382" s="571"/>
      <c r="DY1382" s="571"/>
      <c r="DZ1382" s="175"/>
      <c r="EA1382" s="175"/>
      <c r="EB1382" s="175"/>
      <c r="EC1382" s="175"/>
      <c r="ED1382" s="175"/>
      <c r="EE1382" s="175"/>
      <c r="EF1382" s="175"/>
      <c r="EG1382" s="175"/>
      <c r="EH1382" s="175"/>
      <c r="EI1382" s="175"/>
      <c r="EJ1382" s="175"/>
      <c r="EK1382" s="175"/>
      <c r="EL1382" s="175"/>
      <c r="EM1382" s="175"/>
      <c r="EN1382" s="175"/>
      <c r="EO1382" s="175"/>
      <c r="EP1382" s="175"/>
      <c r="EQ1382" s="175"/>
      <c r="ER1382" s="175"/>
      <c r="ES1382" s="175"/>
      <c r="ET1382" s="175"/>
      <c r="EU1382" s="175"/>
      <c r="EV1382" s="175"/>
      <c r="EW1382" s="175"/>
      <c r="EX1382" s="175"/>
      <c r="EY1382" s="175"/>
      <c r="EZ1382" s="175"/>
      <c r="FA1382" s="175"/>
      <c r="FB1382" s="175"/>
      <c r="FC1382" s="175"/>
      <c r="FD1382" s="175"/>
      <c r="FE1382" s="175"/>
      <c r="FF1382" s="175"/>
      <c r="FG1382" s="175"/>
      <c r="FH1382" s="175"/>
      <c r="FI1382" s="175"/>
      <c r="FJ1382" s="175"/>
      <c r="FK1382" s="175"/>
      <c r="FL1382" s="175"/>
      <c r="FM1382" s="175"/>
      <c r="FN1382" s="175"/>
      <c r="FO1382" s="175"/>
      <c r="FP1382" s="175"/>
      <c r="FQ1382" s="175"/>
      <c r="FR1382" s="175"/>
      <c r="FS1382" s="175"/>
      <c r="FT1382" s="175"/>
      <c r="FU1382" s="175"/>
      <c r="FV1382" s="175"/>
      <c r="FW1382" s="175"/>
      <c r="FX1382" s="175"/>
      <c r="FY1382" s="175"/>
      <c r="FZ1382" s="175"/>
      <c r="GA1382" s="175"/>
      <c r="GB1382" s="175"/>
      <c r="GC1382" s="175"/>
      <c r="GD1382" s="175"/>
      <c r="GE1382" s="175"/>
      <c r="GF1382" s="175"/>
      <c r="GG1382" s="175"/>
      <c r="GH1382" s="175"/>
      <c r="GI1382" s="175"/>
      <c r="GJ1382" s="175"/>
      <c r="GK1382" s="175"/>
      <c r="GL1382" s="175"/>
    </row>
    <row r="1383" spans="1:194" s="255" customFormat="1" ht="54.95" customHeight="1" x14ac:dyDescent="0.3">
      <c r="A1383" s="380" t="s">
        <v>193</v>
      </c>
      <c r="B1383" s="381" t="s">
        <v>25</v>
      </c>
      <c r="C1383" s="409" t="s">
        <v>174</v>
      </c>
      <c r="D1383" s="601" t="s">
        <v>173</v>
      </c>
      <c r="E1383" s="601"/>
      <c r="F1383" s="601"/>
      <c r="G1383" s="601"/>
      <c r="H1383" s="601"/>
      <c r="I1383" s="601"/>
      <c r="J1383" s="437" t="s">
        <v>406</v>
      </c>
      <c r="K1383" s="437" t="s">
        <v>405</v>
      </c>
      <c r="L1383" s="438" t="s">
        <v>171</v>
      </c>
      <c r="M1383" s="381" t="s">
        <v>2</v>
      </c>
      <c r="N1383" s="439" t="s">
        <v>7</v>
      </c>
      <c r="O1383" s="440" t="s">
        <v>8</v>
      </c>
      <c r="P1383" s="159"/>
      <c r="Q1383" s="164" t="s">
        <v>93</v>
      </c>
      <c r="R1383" s="164" t="s">
        <v>34</v>
      </c>
      <c r="S1383" s="164" t="s">
        <v>28</v>
      </c>
      <c r="T1383" s="164" t="s">
        <v>95</v>
      </c>
      <c r="U1383" s="164" t="s">
        <v>96</v>
      </c>
      <c r="V1383" s="164" t="s">
        <v>97</v>
      </c>
      <c r="W1383" s="164" t="s">
        <v>4</v>
      </c>
      <c r="X1383" s="164" t="s">
        <v>103</v>
      </c>
      <c r="Y1383" s="160" t="s">
        <v>402</v>
      </c>
      <c r="Z1383" s="165" t="s">
        <v>403</v>
      </c>
      <c r="AA1383" s="166" t="s">
        <v>404</v>
      </c>
      <c r="AB1383" s="164" t="s">
        <v>99</v>
      </c>
      <c r="AC1383" s="164" t="s">
        <v>395</v>
      </c>
      <c r="AD1383" s="253" t="s">
        <v>36</v>
      </c>
      <c r="AE1383" s="164" t="s">
        <v>389</v>
      </c>
      <c r="AF1383" s="164" t="s">
        <v>390</v>
      </c>
      <c r="AG1383" s="164" t="s">
        <v>164</v>
      </c>
      <c r="AH1383" s="253" t="s">
        <v>396</v>
      </c>
      <c r="AI1383" s="164" t="s">
        <v>190</v>
      </c>
      <c r="AJ1383" s="164" t="s">
        <v>339</v>
      </c>
      <c r="AK1383" s="253" t="s">
        <v>391</v>
      </c>
      <c r="AL1383" s="253" t="s">
        <v>393</v>
      </c>
      <c r="AM1383" s="167" t="s">
        <v>93</v>
      </c>
      <c r="AN1383" s="168" t="s">
        <v>34</v>
      </c>
      <c r="AO1383" s="169" t="s">
        <v>28</v>
      </c>
      <c r="AP1383" s="170" t="s">
        <v>95</v>
      </c>
      <c r="AQ1383" s="167" t="s">
        <v>3</v>
      </c>
      <c r="AR1383" s="167" t="s">
        <v>96</v>
      </c>
      <c r="AS1383" s="169" t="s">
        <v>97</v>
      </c>
      <c r="AT1383" s="170" t="s">
        <v>4</v>
      </c>
      <c r="AU1383" s="169" t="s">
        <v>103</v>
      </c>
      <c r="AV1383" s="170" t="s">
        <v>99</v>
      </c>
      <c r="AW1383" s="169" t="s">
        <v>36</v>
      </c>
      <c r="AX1383" s="171" t="s">
        <v>29</v>
      </c>
      <c r="AY1383" s="172" t="s">
        <v>190</v>
      </c>
      <c r="AZ1383" s="173" t="s">
        <v>102</v>
      </c>
      <c r="BA1383" s="174"/>
      <c r="BB1383" s="183"/>
      <c r="BC1383" s="211" t="s">
        <v>119</v>
      </c>
      <c r="BD1383" s="174"/>
      <c r="BE1383" s="176" t="s">
        <v>189</v>
      </c>
      <c r="BF1383" s="177" t="str">
        <f>$BF$13</f>
        <v xml:space="preserve">VR SILICONA </v>
      </c>
      <c r="BG1383" s="177" t="str">
        <f>$BG$13</f>
        <v xml:space="preserve">VR PELÍCULA </v>
      </c>
      <c r="BH1383" s="177" t="str">
        <f>$BH$13</f>
        <v>VR EMBALAJE</v>
      </c>
      <c r="BI1383" s="174"/>
      <c r="BJ1383" s="176" t="str">
        <f>$BJ$13</f>
        <v>ESP. CRISTAL</v>
      </c>
      <c r="BK1383" s="176" t="s">
        <v>130</v>
      </c>
      <c r="BL1383" s="177" t="s">
        <v>28</v>
      </c>
      <c r="BM1383" s="177">
        <f>BM1376</f>
        <v>0</v>
      </c>
      <c r="BN1383" s="177" t="s">
        <v>133</v>
      </c>
      <c r="BO1383" s="174"/>
      <c r="BP1383" s="175"/>
      <c r="BQ1383" s="175"/>
      <c r="BR1383" s="175"/>
      <c r="BS1383" s="175"/>
      <c r="BT1383" s="175"/>
      <c r="BU1383" s="175"/>
      <c r="BV1383" s="175"/>
      <c r="BW1383" s="174"/>
      <c r="BX1383" s="175"/>
      <c r="BY1383" s="175"/>
      <c r="BZ1383" s="175"/>
      <c r="CA1383" s="175"/>
      <c r="CB1383" s="175"/>
      <c r="CC1383" s="175"/>
      <c r="CD1383" s="184"/>
      <c r="CE1383" s="175"/>
      <c r="CF1383" s="185"/>
      <c r="CG1383" s="175"/>
      <c r="CH1383" s="175"/>
      <c r="CI1383" s="184"/>
      <c r="CJ1383" s="174"/>
      <c r="CK1383" s="254" t="s">
        <v>415</v>
      </c>
      <c r="CL1383" s="265" t="s">
        <v>417</v>
      </c>
      <c r="CM1383" s="265" t="s">
        <v>416</v>
      </c>
      <c r="CN1383" s="266" t="s">
        <v>418</v>
      </c>
      <c r="CO1383" s="265" t="s">
        <v>417</v>
      </c>
      <c r="CP1383" s="265" t="s">
        <v>409</v>
      </c>
      <c r="CQ1383" s="265" t="s">
        <v>410</v>
      </c>
      <c r="CR1383" s="265" t="s">
        <v>411</v>
      </c>
      <c r="CS1383" s="265" t="s">
        <v>412</v>
      </c>
      <c r="CT1383" s="265" t="s">
        <v>413</v>
      </c>
      <c r="CU1383" s="189" t="s">
        <v>2</v>
      </c>
      <c r="CV1383" s="190" t="s">
        <v>159</v>
      </c>
      <c r="CW1383" s="189" t="s">
        <v>2</v>
      </c>
      <c r="CX1383" s="190" t="s">
        <v>159</v>
      </c>
      <c r="CY1383" s="189" t="s">
        <v>2</v>
      </c>
      <c r="CZ1383" s="190" t="s">
        <v>159</v>
      </c>
      <c r="DA1383" s="189" t="s">
        <v>2</v>
      </c>
      <c r="DB1383" s="190" t="s">
        <v>159</v>
      </c>
      <c r="DC1383" s="189" t="s">
        <v>2</v>
      </c>
      <c r="DD1383" s="190" t="s">
        <v>159</v>
      </c>
      <c r="DE1383" s="183"/>
      <c r="DF1383" s="183"/>
      <c r="DG1383" s="177" t="s">
        <v>505</v>
      </c>
      <c r="DH1383" s="472" t="s">
        <v>509</v>
      </c>
      <c r="DI1383" s="457" t="s">
        <v>506</v>
      </c>
      <c r="DJ1383" s="457" t="s">
        <v>134</v>
      </c>
      <c r="DK1383" s="457" t="s">
        <v>498</v>
      </c>
      <c r="DL1383" s="457" t="s">
        <v>499</v>
      </c>
      <c r="DM1383" s="457" t="s">
        <v>500</v>
      </c>
      <c r="DN1383" s="457" t="s">
        <v>131</v>
      </c>
      <c r="DO1383" s="457" t="s">
        <v>390</v>
      </c>
      <c r="DP1383" s="457" t="s">
        <v>36</v>
      </c>
      <c r="DQ1383" s="457" t="s">
        <v>501</v>
      </c>
      <c r="DR1383" s="457" t="s">
        <v>502</v>
      </c>
      <c r="DS1383" s="457" t="s">
        <v>503</v>
      </c>
      <c r="DT1383" s="457" t="s">
        <v>4</v>
      </c>
      <c r="DU1383" s="457" t="s">
        <v>504</v>
      </c>
      <c r="DV1383" s="466" t="s">
        <v>507</v>
      </c>
      <c r="DW1383" s="466" t="s">
        <v>508</v>
      </c>
      <c r="DX1383" s="457" t="s">
        <v>510</v>
      </c>
      <c r="DY1383" s="457" t="s">
        <v>511</v>
      </c>
      <c r="DZ1383" s="183"/>
      <c r="EA1383" s="183"/>
      <c r="EB1383" s="183"/>
      <c r="EC1383" s="183"/>
      <c r="ED1383" s="183"/>
      <c r="EE1383" s="183"/>
      <c r="EF1383" s="183"/>
      <c r="EG1383" s="183"/>
      <c r="EH1383" s="183"/>
      <c r="EI1383" s="183"/>
      <c r="EJ1383" s="183"/>
      <c r="EK1383" s="183"/>
      <c r="EL1383" s="183"/>
      <c r="EM1383" s="183"/>
      <c r="EN1383" s="183"/>
      <c r="EO1383" s="183"/>
      <c r="EP1383" s="183"/>
      <c r="EQ1383" s="183"/>
      <c r="ER1383" s="183"/>
      <c r="ES1383" s="183"/>
      <c r="ET1383" s="183"/>
      <c r="EU1383" s="183"/>
      <c r="EV1383" s="183"/>
      <c r="EW1383" s="183"/>
      <c r="EX1383" s="183"/>
      <c r="EY1383" s="183"/>
      <c r="EZ1383" s="183"/>
      <c r="FA1383" s="183"/>
      <c r="FB1383" s="183"/>
      <c r="FC1383" s="183"/>
      <c r="FD1383" s="183"/>
      <c r="FE1383" s="183"/>
      <c r="FF1383" s="183"/>
      <c r="FG1383" s="183"/>
      <c r="FH1383" s="183"/>
      <c r="FI1383" s="183"/>
      <c r="FJ1383" s="183"/>
      <c r="FK1383" s="183"/>
      <c r="FL1383" s="183"/>
      <c r="FM1383" s="183"/>
      <c r="FN1383" s="183"/>
      <c r="FO1383" s="183"/>
      <c r="FP1383" s="183"/>
      <c r="FQ1383" s="183"/>
      <c r="FR1383" s="183"/>
      <c r="FS1383" s="183"/>
      <c r="FT1383" s="183"/>
      <c r="FU1383" s="183"/>
      <c r="FV1383" s="183"/>
      <c r="FW1383" s="183"/>
      <c r="FX1383" s="183"/>
      <c r="FY1383" s="183"/>
      <c r="FZ1383" s="183"/>
      <c r="GA1383" s="183"/>
      <c r="GB1383" s="183"/>
      <c r="GC1383" s="183"/>
      <c r="GD1383" s="183"/>
      <c r="GE1383" s="183"/>
      <c r="GF1383" s="183"/>
      <c r="GG1383" s="183"/>
      <c r="GH1383" s="183"/>
      <c r="GI1383" s="183"/>
      <c r="GJ1383" s="183"/>
      <c r="GK1383" s="183"/>
      <c r="GL1383" s="183"/>
    </row>
    <row r="1384" spans="1:194" s="175" customFormat="1" ht="54.95" customHeight="1" x14ac:dyDescent="0.3">
      <c r="A1384" s="364"/>
      <c r="B1384" s="365"/>
      <c r="C1384" s="392" t="s">
        <v>27</v>
      </c>
      <c r="D1384" s="602"/>
      <c r="E1384" s="602"/>
      <c r="F1384" s="602"/>
      <c r="G1384" s="602"/>
      <c r="H1384" s="602"/>
      <c r="I1384" s="602"/>
      <c r="J1384" s="603"/>
      <c r="K1384" s="603"/>
      <c r="L1384" s="606">
        <f>J1384*K1384*M1384</f>
        <v>0</v>
      </c>
      <c r="M1384" s="596"/>
      <c r="N1384" s="609">
        <f>IFERROR(AL1384,"")</f>
        <v>1.1502546360919998</v>
      </c>
      <c r="O1384" s="612">
        <f>IFERROR(N1384*M1384,"")</f>
        <v>0</v>
      </c>
      <c r="P1384" s="192"/>
      <c r="Q1384" s="193">
        <f>Q1385+BF1384+($R$350*Q1385)</f>
        <v>0</v>
      </c>
      <c r="R1384" s="193">
        <f>IFERROR(R1385+($R$348*R1385),"")</f>
        <v>0</v>
      </c>
      <c r="S1384" s="194">
        <f>+IF(R1386="SI",((W1388*'BD GN'!$AB$2)+S1385)*1,COTIZACIÓN!S1385*1)+($R$352*S1385)</f>
        <v>0</v>
      </c>
      <c r="T1384" s="195">
        <f>IFERROR(R1384*IF(K1384&lt;=3,$T$13,15%),"")</f>
        <v>0</v>
      </c>
      <c r="U1384" s="196">
        <f>BH1384+BG1384</f>
        <v>0</v>
      </c>
      <c r="V1384" s="197" t="str">
        <f>IFERROR(BN1384,0)</f>
        <v/>
      </c>
      <c r="W1384" s="198" t="str">
        <f>IFERROR(IF(X1386="SI",W1387*J1384*K1384,IF(BE1384=3,BE1386,IF(BE1384=4,BE1387,IF(BE1384=5,BE1388,IF(BE1384&gt;5,BE1388+(BE1389*(BE1384-5)),"")))))*0,"")</f>
        <v/>
      </c>
      <c r="X1384" s="198" t="str">
        <f>IFERROR(IF(X1385="NO",(VLOOKUP(D1384,'BD M.O'!C:E,3,FALSE))*W1388,((VLOOKUP(D1384,'BD M.O'!C:E,3,FALSE))+7500)*W1388),"")</f>
        <v/>
      </c>
      <c r="Y1384" s="198">
        <f>IFERROR($Y$13*AK1384,"")</f>
        <v>4.2084457416288003E-2</v>
      </c>
      <c r="Z1384" s="198">
        <f>IFERROR($Z$13*AK1384,"")</f>
        <v>5.8166708502000002E-3</v>
      </c>
      <c r="AA1384" s="199">
        <f>IFERROR(Y1384+Z1384,"")</f>
        <v>4.7901128266487999E-2</v>
      </c>
      <c r="AB1384" s="200">
        <f>IFERROR((SUM(Q1384:X1384)-T1384+T1386)*$AB$13,"")</f>
        <v>0</v>
      </c>
      <c r="AC1384" s="201">
        <f>IFERROR(((SUM(Q1384:V1384,IF(X1389&gt;AA1384,AVERAGE(X1389,AA1384),AA1384))-T1384+T1386))*$AB$13,"")</f>
        <v>9.5802256532976E-4</v>
      </c>
      <c r="AD1384" s="202" t="str">
        <f>IFERROR((J1384*K1384*$BV$14),"")</f>
        <v/>
      </c>
      <c r="AE1384" s="202">
        <f>IFERROR($AE$13*AK1384,"")</f>
        <v>6.4010592649919984E-2</v>
      </c>
      <c r="AF1384" s="203" t="str">
        <f>IFERROR(($CI$11+$CI$13)*W1388,"")</f>
        <v/>
      </c>
      <c r="AG1384" s="267">
        <f>IFERROR((SUM(Q1384:X1384,AB1384,AD1384,AF1384)-T1384+T1386)*$AG$13,"")</f>
        <v>0</v>
      </c>
      <c r="AH1384" s="202">
        <f>IFERROR((SUM(Q1384:V1384,(IF(X1389&gt;AA1384,AVERAGE(X1389,AA1384),AA1384)),AC1384,AE1384,AF1384)-T1384+T1386)*$AG$13,"")</f>
        <v>5.6434871740868871E-2</v>
      </c>
      <c r="AI1384" s="268">
        <f>IFERROR(AL1384*$AI$13,"")</f>
        <v>2.3005092721839999E-2</v>
      </c>
      <c r="AJ1384" s="268">
        <f>IFERROR($AJ$13*AL1384,"")</f>
        <v>6.4184208693933587E-3</v>
      </c>
      <c r="AK1384" s="205">
        <f>IFERROR(SUM(Q1384:X1384,AB1384,AD1384,AG1384,AF1384)/(1-$AI$13)+(1-$AJ$13)-T1384+T1386,"")</f>
        <v>0.99441999999999997</v>
      </c>
      <c r="AL1384" s="205">
        <f>IFERROR(SUM(Q1384:V1384,AC1384,(IF(AD1384&gt;AE1384,AVERAGE(AD1384,AE1384),AE1384)),AF1384,,AH1384,(IF(SUM(X1389)&gt;AA1384,AVERAGE(AA1384,X1389),AA1384)))/(1-$AJ$13)+(1-$AI$13)-T1384+T1386,"")</f>
        <v>1.1502546360919998</v>
      </c>
      <c r="AM1384" s="206">
        <f>$M$15*Q1384</f>
        <v>0</v>
      </c>
      <c r="AN1384" s="207">
        <f>$M$15*R1384</f>
        <v>0</v>
      </c>
      <c r="AO1384" s="208">
        <f>$M$15*S1384</f>
        <v>0</v>
      </c>
      <c r="AP1384" s="207">
        <f>$M$15*T1384</f>
        <v>0</v>
      </c>
      <c r="AQ1384" s="207" t="e">
        <f>$M$15*#REF!</f>
        <v>#REF!</v>
      </c>
      <c r="AR1384" s="207">
        <f>$M$15*U1384</f>
        <v>0</v>
      </c>
      <c r="AS1384" s="208" t="e">
        <f>$M$15*V1384</f>
        <v>#VALUE!</v>
      </c>
      <c r="AT1384" s="207" t="e">
        <f>$M$15*W1384</f>
        <v>#VALUE!</v>
      </c>
      <c r="AU1384" s="208" t="e">
        <f>$M$15*X1384</f>
        <v>#VALUE!</v>
      </c>
      <c r="AV1384" s="207">
        <f>$M$15*AB1384</f>
        <v>0</v>
      </c>
      <c r="AW1384" s="208">
        <f>$M$15*AE1384</f>
        <v>0</v>
      </c>
      <c r="AX1384" s="207">
        <f>$M$15*AG1384</f>
        <v>0</v>
      </c>
      <c r="AY1384" s="209">
        <f>$M$15*AI1384</f>
        <v>0</v>
      </c>
      <c r="AZ1384" s="207">
        <f>$M$15*AK1384</f>
        <v>0</v>
      </c>
      <c r="BA1384" s="210"/>
      <c r="BB1384" s="175" t="s">
        <v>23</v>
      </c>
      <c r="BC1384" s="211" t="s">
        <v>113</v>
      </c>
      <c r="BD1384" s="210"/>
      <c r="BE1384" s="212"/>
      <c r="BF1384" s="213">
        <f>IF(BH1385="NO",((2*J1384)+(2*K1384))*'BD GN'!$AU$3,((3*J1384)+(2*K1384))*'BD GN'!$AU$3)</f>
        <v>0</v>
      </c>
      <c r="BG1384" s="213">
        <f>'BD GN'!$BB$3*J1384*K1384</f>
        <v>0</v>
      </c>
      <c r="BH1384" s="214">
        <f>((J1384*2*BE1384)+(K1384*2*BE1384))*'BD GN'!$AN$4</f>
        <v>0</v>
      </c>
      <c r="BI1384" s="210"/>
      <c r="BJ1384" s="212"/>
      <c r="BK1384" s="212"/>
      <c r="BL1384" s="215">
        <f>J1384*K1384*2.5*BJ1384</f>
        <v>0</v>
      </c>
      <c r="BM1384" s="215">
        <f>BK1384+BL1384</f>
        <v>0</v>
      </c>
      <c r="BN1384" s="216" t="str">
        <f>IFERROR((VLOOKUP($C$12,'BD GN'!BD:BM,10,FALSE)*BM1384)+0,"")</f>
        <v/>
      </c>
      <c r="BO1384" s="210"/>
      <c r="BW1384" s="210"/>
      <c r="CD1384" s="184"/>
      <c r="CF1384" s="185"/>
      <c r="CI1384" s="184"/>
      <c r="CJ1384" s="210"/>
      <c r="CK1384" s="565"/>
      <c r="CL1384" s="256"/>
      <c r="CM1384" s="596"/>
      <c r="CN1384" s="596"/>
      <c r="CO1384" s="567"/>
      <c r="CP1384" s="567"/>
      <c r="CQ1384" s="567"/>
      <c r="CR1384" s="567"/>
      <c r="CS1384" s="567"/>
      <c r="CT1384" s="567"/>
      <c r="CU1384" s="565"/>
      <c r="CV1384" s="560">
        <f>IFERROR(N1384*CU1384,"")</f>
        <v>0</v>
      </c>
      <c r="CW1384" s="565"/>
      <c r="CX1384" s="560">
        <f>IFERROR(P1384*CW1384,"")</f>
        <v>0</v>
      </c>
      <c r="CY1384" s="565"/>
      <c r="CZ1384" s="560">
        <f>IFERROR(R1384*CY1384,"")</f>
        <v>0</v>
      </c>
      <c r="DA1384" s="565">
        <f t="shared" ref="DA1384" si="1453">CU1384+CW1384+CY1384</f>
        <v>0</v>
      </c>
      <c r="DB1384" s="560">
        <f t="shared" ref="DB1384" si="1454">IFERROR(CV1384+CX1384+CZ1384,"")</f>
        <v>0</v>
      </c>
      <c r="DC1384" s="565">
        <f>M1384-(CU1384+CW1384+CY1384)</f>
        <v>0</v>
      </c>
      <c r="DD1384" s="560">
        <f>IFERROR(O1384-(CV1384+CX1384+CZ1384),"")</f>
        <v>0</v>
      </c>
      <c r="DG1384" s="575"/>
      <c r="DH1384" s="575"/>
      <c r="DI1384" s="569">
        <f t="shared" ref="DI1384" si="1455">IFERROR(IF(DG1384&gt;0,(((N1384)/(1+10%+19%*5%)+((N1384)/(1+10%+19%*5%))*10%)*DH1384),0),0)</f>
        <v>0</v>
      </c>
      <c r="DJ1384" s="569">
        <f t="shared" ref="DJ1384" si="1456">IFERROR(IF(DG1384&gt;0,(N1384*DH1384),0),0)</f>
        <v>0</v>
      </c>
      <c r="DK1384" s="569">
        <f t="shared" ref="DK1384" si="1457">IF(DG1384&gt;0,((R1384+T1384)*DH1384),0)</f>
        <v>0</v>
      </c>
      <c r="DL1384" s="569">
        <f t="shared" ref="DL1384" si="1458">IF(DG1384&gt;0,(Q1384*DH1384),0)</f>
        <v>0</v>
      </c>
      <c r="DM1384" s="572">
        <f t="shared" ref="DM1384" si="1459">IF(DG1384&gt;0,(S1384*DH1384),0)</f>
        <v>0</v>
      </c>
      <c r="DN1384" s="569">
        <f t="shared" ref="DN1384" si="1460">IF(DG1384&gt;0,(BN1384*DH1384),0)</f>
        <v>0</v>
      </c>
      <c r="DO1384" s="569">
        <f t="shared" ref="DO1384" si="1461">IF(DG1384&gt;0,(AF1384*DH1384),0)</f>
        <v>0</v>
      </c>
      <c r="DP1384" s="569">
        <f>IF(DG1384&gt;0,((DI1384)*('BD P&amp;G'!$E$16+'BD P&amp;G'!$E$17+'BD P&amp;G'!$E$18+'BD P&amp;G'!$E$19+'BD P&amp;G'!$E$20+'BD P&amp;G'!$E$21+'BD P&amp;G'!$E$22+'BD P&amp;G'!$E$23)*DH1384),0)</f>
        <v>0</v>
      </c>
      <c r="DQ1384" s="569">
        <f>IFERROR(IF(DG1384&gt;0,((DI1384*'BD P&amp;G'!$E$7)+(DI1384*'BD P&amp;G'!$E$9)+AI1384),0),0)</f>
        <v>0</v>
      </c>
      <c r="DR1384" s="569">
        <f t="shared" ref="DR1384" si="1462">IFERROR(IF(DG1384&gt;0,((DI1384*1%)),0),0)</f>
        <v>0</v>
      </c>
      <c r="DS1384" s="569">
        <f>IFERROR(IF(DG1384&gt;0,(((DI1384*'BD P&amp;G'!$E$32+DI1384*'BD P&amp;G'!$E$33+DI1384*'BD P&amp;G'!$E$35+DI1384*'BD P&amp;G'!$E$36+DI1384*'BD P&amp;G'!$E$37))),0),0)</f>
        <v>0</v>
      </c>
      <c r="DT1384" s="569">
        <f t="shared" ref="DT1384" si="1463">IF(DG1384&gt;0,(Y1384*DH1384),0)</f>
        <v>0</v>
      </c>
      <c r="DU1384" s="569">
        <f t="shared" ref="DU1384" si="1464">IF(DG1384&gt;0,(Z1384*DH1384),0)</f>
        <v>0</v>
      </c>
      <c r="DV1384" s="575">
        <f t="shared" ref="DV1384" si="1465">IF(DG1384&gt;0,(Y1388*DH1384),0)</f>
        <v>0</v>
      </c>
      <c r="DW1384" s="575">
        <f t="shared" ref="DW1384" si="1466">IF(DG1384&gt;0,(Z1388*DH1384),0)</f>
        <v>0</v>
      </c>
      <c r="DX1384" s="569">
        <f t="shared" ref="DX1384" si="1467">IF(DV1384&gt;0,DJ1384,0)</f>
        <v>0</v>
      </c>
      <c r="DY1384" s="569">
        <f t="shared" ref="DY1384" si="1468">IF(DW1384&gt;0,DJ1384,0)</f>
        <v>0</v>
      </c>
    </row>
    <row r="1385" spans="1:194" s="175" customFormat="1" ht="54.95" customHeight="1" x14ac:dyDescent="0.25">
      <c r="A1385" s="366"/>
      <c r="B1385" s="367"/>
      <c r="C1385" s="393" t="s">
        <v>28</v>
      </c>
      <c r="D1385" s="598"/>
      <c r="E1385" s="598"/>
      <c r="F1385" s="598"/>
      <c r="G1385" s="598"/>
      <c r="H1385" s="598"/>
      <c r="I1385" s="598"/>
      <c r="J1385" s="604"/>
      <c r="K1385" s="604"/>
      <c r="L1385" s="607"/>
      <c r="M1385" s="559"/>
      <c r="N1385" s="610"/>
      <c r="O1385" s="613"/>
      <c r="P1385" s="192"/>
      <c r="Q1385" s="217"/>
      <c r="R1385" s="217"/>
      <c r="S1385" s="218"/>
      <c r="T1385" s="219">
        <f>IFERROR(T1384/$R$353,"")</f>
        <v>0</v>
      </c>
      <c r="U1385" s="206"/>
      <c r="V1385" s="220"/>
      <c r="W1385" s="221" t="s">
        <v>239</v>
      </c>
      <c r="X1385" s="222" t="s">
        <v>204</v>
      </c>
      <c r="Y1385" s="223"/>
      <c r="Z1385" s="224"/>
      <c r="AA1385" s="225"/>
      <c r="AB1385" s="226"/>
      <c r="AC1385" s="206"/>
      <c r="AD1385" s="206"/>
      <c r="AE1385" s="206"/>
      <c r="AF1385" s="227"/>
      <c r="AG1385" s="206"/>
      <c r="AH1385" s="206"/>
      <c r="AI1385" s="206"/>
      <c r="AJ1385" s="206"/>
      <c r="AK1385" s="227"/>
      <c r="AL1385" s="210"/>
      <c r="AM1385" s="206"/>
      <c r="AN1385" s="206"/>
      <c r="AO1385" s="228"/>
      <c r="AP1385" s="229"/>
      <c r="AQ1385" s="206"/>
      <c r="AR1385" s="206"/>
      <c r="AS1385" s="228"/>
      <c r="AT1385" s="229"/>
      <c r="AU1385" s="228"/>
      <c r="AV1385" s="229"/>
      <c r="AW1385" s="228"/>
      <c r="AX1385" s="229"/>
      <c r="AY1385" s="206"/>
      <c r="AZ1385" s="229"/>
      <c r="BA1385" s="210"/>
      <c r="BB1385" s="175" t="s">
        <v>24</v>
      </c>
      <c r="BC1385" s="175" t="s">
        <v>114</v>
      </c>
      <c r="BD1385" s="210"/>
      <c r="BE1385" s="176" t="s">
        <v>206</v>
      </c>
      <c r="BF1385" s="230" t="s">
        <v>204</v>
      </c>
      <c r="BG1385" s="176" t="s">
        <v>290</v>
      </c>
      <c r="BH1385" s="230" t="s">
        <v>204</v>
      </c>
      <c r="BI1385" s="210"/>
      <c r="BJ1385" s="185"/>
      <c r="BN1385" s="269"/>
      <c r="BO1385" s="210"/>
      <c r="BV1385" s="184"/>
      <c r="BW1385" s="210"/>
      <c r="CD1385" s="184"/>
      <c r="CF1385" s="185"/>
      <c r="CI1385" s="184"/>
      <c r="CJ1385" s="210"/>
      <c r="CK1385" s="563"/>
      <c r="CM1385" s="559"/>
      <c r="CN1385" s="559"/>
      <c r="CO1385" s="567"/>
      <c r="CP1385" s="567"/>
      <c r="CQ1385" s="567"/>
      <c r="CR1385" s="567"/>
      <c r="CS1385" s="567"/>
      <c r="CT1385" s="567"/>
      <c r="CU1385" s="563"/>
      <c r="CV1385" s="561"/>
      <c r="CW1385" s="563"/>
      <c r="CX1385" s="561"/>
      <c r="CY1385" s="563"/>
      <c r="CZ1385" s="561"/>
      <c r="DA1385" s="563"/>
      <c r="DB1385" s="561"/>
      <c r="DC1385" s="563"/>
      <c r="DD1385" s="561"/>
      <c r="DG1385" s="576"/>
      <c r="DH1385" s="576"/>
      <c r="DI1385" s="570"/>
      <c r="DJ1385" s="570"/>
      <c r="DK1385" s="570"/>
      <c r="DL1385" s="570"/>
      <c r="DM1385" s="573"/>
      <c r="DN1385" s="570"/>
      <c r="DO1385" s="570"/>
      <c r="DP1385" s="570"/>
      <c r="DQ1385" s="570"/>
      <c r="DR1385" s="570"/>
      <c r="DS1385" s="570"/>
      <c r="DT1385" s="570"/>
      <c r="DU1385" s="570"/>
      <c r="DV1385" s="576"/>
      <c r="DW1385" s="576"/>
      <c r="DX1385" s="570"/>
      <c r="DY1385" s="570"/>
    </row>
    <row r="1386" spans="1:194" s="175" customFormat="1" ht="54.95" customHeight="1" x14ac:dyDescent="0.3">
      <c r="A1386" s="366"/>
      <c r="B1386" s="367"/>
      <c r="C1386" s="393" t="s">
        <v>30</v>
      </c>
      <c r="D1386" s="599"/>
      <c r="E1386" s="599"/>
      <c r="F1386" s="599"/>
      <c r="G1386" s="599"/>
      <c r="H1386" s="599"/>
      <c r="I1386" s="599"/>
      <c r="J1386" s="604"/>
      <c r="K1386" s="604"/>
      <c r="L1386" s="607"/>
      <c r="M1386" s="559"/>
      <c r="N1386" s="610"/>
      <c r="O1386" s="613"/>
      <c r="P1386" s="192"/>
      <c r="Q1386" s="176" t="s">
        <v>205</v>
      </c>
      <c r="R1386" s="233" t="s">
        <v>204</v>
      </c>
      <c r="S1386" s="234"/>
      <c r="T1386" s="235">
        <f>IFERROR(($R$353-8000)*T1385,"")</f>
        <v>0</v>
      </c>
      <c r="U1386" s="206"/>
      <c r="V1386" s="220"/>
      <c r="W1386" s="221" t="s">
        <v>258</v>
      </c>
      <c r="X1386" s="222" t="s">
        <v>204</v>
      </c>
      <c r="Y1386" s="236"/>
      <c r="Z1386" s="237"/>
      <c r="AA1386" s="225"/>
      <c r="AB1386" s="226"/>
      <c r="AC1386" s="206"/>
      <c r="AD1386" s="206"/>
      <c r="AE1386" s="206"/>
      <c r="AF1386" s="227"/>
      <c r="AG1386" s="206"/>
      <c r="AH1386" s="206"/>
      <c r="AI1386" s="206"/>
      <c r="AJ1386" s="206"/>
      <c r="AK1386" s="227"/>
      <c r="AL1386" s="238"/>
      <c r="AM1386" s="206"/>
      <c r="AN1386" s="206"/>
      <c r="AO1386" s="228"/>
      <c r="AP1386" s="229"/>
      <c r="AQ1386" s="206"/>
      <c r="AR1386" s="206"/>
      <c r="AS1386" s="228"/>
      <c r="AT1386" s="229"/>
      <c r="AU1386" s="228"/>
      <c r="AV1386" s="229"/>
      <c r="AW1386" s="228"/>
      <c r="AX1386" s="229"/>
      <c r="AY1386" s="206"/>
      <c r="AZ1386" s="229"/>
      <c r="BA1386" s="210"/>
      <c r="BB1386" s="175" t="s">
        <v>26</v>
      </c>
      <c r="BC1386" s="211" t="s">
        <v>115</v>
      </c>
      <c r="BD1386" s="210"/>
      <c r="BE1386" s="177" t="str">
        <f>IFERROR(VLOOKUP(D1384,'BD M.O'!C:H,4,FALSE),"")</f>
        <v/>
      </c>
      <c r="BF1386" s="177" t="s">
        <v>259</v>
      </c>
      <c r="BH1386" s="184"/>
      <c r="BI1386" s="210"/>
      <c r="BJ1386" s="185"/>
      <c r="BN1386" s="184"/>
      <c r="BO1386" s="210"/>
      <c r="BV1386" s="184"/>
      <c r="BW1386" s="210"/>
      <c r="CD1386" s="184"/>
      <c r="CF1386" s="185"/>
      <c r="CI1386" s="184"/>
      <c r="CJ1386" s="210"/>
      <c r="CK1386" s="563"/>
      <c r="CM1386" s="559"/>
      <c r="CN1386" s="559"/>
      <c r="CO1386" s="567"/>
      <c r="CP1386" s="567"/>
      <c r="CQ1386" s="567"/>
      <c r="CR1386" s="567"/>
      <c r="CS1386" s="567"/>
      <c r="CT1386" s="567"/>
      <c r="CU1386" s="563"/>
      <c r="CV1386" s="561"/>
      <c r="CW1386" s="563"/>
      <c r="CX1386" s="561"/>
      <c r="CY1386" s="563"/>
      <c r="CZ1386" s="561"/>
      <c r="DA1386" s="563"/>
      <c r="DB1386" s="561"/>
      <c r="DC1386" s="563"/>
      <c r="DD1386" s="561"/>
      <c r="DG1386" s="577"/>
      <c r="DH1386" s="577"/>
      <c r="DI1386" s="571"/>
      <c r="DJ1386" s="571"/>
      <c r="DK1386" s="571"/>
      <c r="DL1386" s="571"/>
      <c r="DM1386" s="574"/>
      <c r="DN1386" s="571"/>
      <c r="DO1386" s="571"/>
      <c r="DP1386" s="571"/>
      <c r="DQ1386" s="571"/>
      <c r="DR1386" s="571"/>
      <c r="DS1386" s="571"/>
      <c r="DT1386" s="571"/>
      <c r="DU1386" s="571"/>
      <c r="DV1386" s="577"/>
      <c r="DW1386" s="577"/>
      <c r="DX1386" s="571"/>
      <c r="DY1386" s="571"/>
    </row>
    <row r="1387" spans="1:194" s="175" customFormat="1" ht="54.95" customHeight="1" x14ac:dyDescent="0.25">
      <c r="A1387" s="366"/>
      <c r="B1387" s="367"/>
      <c r="C1387" s="395" t="s">
        <v>180</v>
      </c>
      <c r="D1387" s="599" t="s">
        <v>31</v>
      </c>
      <c r="E1387" s="599"/>
      <c r="F1387" s="394" t="s">
        <v>9</v>
      </c>
      <c r="G1387" s="599" t="s">
        <v>33</v>
      </c>
      <c r="H1387" s="599"/>
      <c r="I1387" s="394" t="str">
        <f>+IF($BG$9="SI","","X")</f>
        <v>X</v>
      </c>
      <c r="J1387" s="604"/>
      <c r="K1387" s="604"/>
      <c r="L1387" s="607"/>
      <c r="M1387" s="559"/>
      <c r="N1387" s="610"/>
      <c r="O1387" s="613"/>
      <c r="P1387" s="192"/>
      <c r="Q1387" s="239"/>
      <c r="R1387" s="221" t="s">
        <v>209</v>
      </c>
      <c r="S1387" s="234" t="str">
        <f>IF(S1385="","",S1385/(J1384*K1384))</f>
        <v/>
      </c>
      <c r="T1387" s="226"/>
      <c r="U1387" s="206"/>
      <c r="V1387" s="220"/>
      <c r="W1387" s="239" t="str">
        <f>IFERROR(IF(X1386="SI",VLOOKUP(D1384,'BD M.O'!C:F,4,FALSE),""),"")</f>
        <v/>
      </c>
      <c r="X1387" s="221" t="s">
        <v>258</v>
      </c>
      <c r="Y1387" s="221" t="s">
        <v>507</v>
      </c>
      <c r="Z1387" s="221" t="s">
        <v>508</v>
      </c>
      <c r="AA1387" s="225"/>
      <c r="AB1387" s="226"/>
      <c r="AC1387" s="206"/>
      <c r="AD1387" s="206"/>
      <c r="AE1387" s="206"/>
      <c r="AF1387" s="227"/>
      <c r="AG1387" s="206"/>
      <c r="AH1387" s="206"/>
      <c r="AI1387" s="206"/>
      <c r="AJ1387" s="206"/>
      <c r="AK1387" s="227"/>
      <c r="AL1387" s="240"/>
      <c r="AM1387" s="206"/>
      <c r="AN1387" s="206"/>
      <c r="AO1387" s="228"/>
      <c r="AP1387" s="229"/>
      <c r="AQ1387" s="206"/>
      <c r="AR1387" s="206"/>
      <c r="AS1387" s="228"/>
      <c r="AT1387" s="229"/>
      <c r="AU1387" s="228"/>
      <c r="AV1387" s="229"/>
      <c r="AW1387" s="228"/>
      <c r="AX1387" s="229"/>
      <c r="AY1387" s="206"/>
      <c r="AZ1387" s="229"/>
      <c r="BA1387" s="210"/>
      <c r="BC1387" s="175" t="s">
        <v>116</v>
      </c>
      <c r="BD1387" s="210"/>
      <c r="BE1387" s="177" t="str">
        <f>IFERROR(VLOOKUP(COTIZACIÓN!D1384,'BD M.O'!C:I,5,FALSE),"")</f>
        <v/>
      </c>
      <c r="BF1387" s="177" t="s">
        <v>260</v>
      </c>
      <c r="BH1387" s="184"/>
      <c r="BI1387" s="210"/>
      <c r="BJ1387" s="185"/>
      <c r="BN1387" s="184"/>
      <c r="BO1387" s="210"/>
      <c r="BP1387" s="183"/>
      <c r="BQ1387" s="183"/>
      <c r="BR1387" s="183"/>
      <c r="BS1387" s="183"/>
      <c r="BT1387" s="183"/>
      <c r="BU1387" s="183"/>
      <c r="BV1387" s="182"/>
      <c r="BW1387" s="210"/>
      <c r="BX1387" s="183"/>
      <c r="BY1387" s="183"/>
      <c r="BZ1387" s="183"/>
      <c r="CA1387" s="183"/>
      <c r="CB1387" s="183"/>
      <c r="CC1387" s="183"/>
      <c r="CD1387" s="182"/>
      <c r="CE1387" s="183"/>
      <c r="CF1387" s="241"/>
      <c r="CG1387" s="183"/>
      <c r="CH1387" s="183"/>
      <c r="CI1387" s="182"/>
      <c r="CJ1387" s="210"/>
      <c r="CK1387" s="563"/>
      <c r="CM1387" s="559"/>
      <c r="CN1387" s="559"/>
      <c r="CO1387" s="567"/>
      <c r="CP1387" s="567"/>
      <c r="CQ1387" s="567"/>
      <c r="CR1387" s="567"/>
      <c r="CS1387" s="567"/>
      <c r="CT1387" s="567"/>
      <c r="CU1387" s="563"/>
      <c r="CV1387" s="561"/>
      <c r="CW1387" s="563"/>
      <c r="CX1387" s="561"/>
      <c r="CY1387" s="563"/>
      <c r="CZ1387" s="561"/>
      <c r="DA1387" s="563"/>
      <c r="DB1387" s="561"/>
      <c r="DC1387" s="563"/>
      <c r="DD1387" s="561"/>
      <c r="DG1387" s="575"/>
      <c r="DH1387" s="575"/>
      <c r="DI1387" s="569">
        <f t="shared" ref="DI1387" si="1469">IFERROR(IF(DG1387&gt;0,(((N1384)/(1+10%+19%*5%)+((N1384)/(1+10%+19%*5%))*10%)*DH1387),0),0)</f>
        <v>0</v>
      </c>
      <c r="DJ1387" s="569">
        <f t="shared" ref="DJ1387" si="1470">IFERROR(IF(DG1387&gt;0,(N1384*DH1387),0),0)</f>
        <v>0</v>
      </c>
      <c r="DK1387" s="569">
        <f t="shared" ref="DK1387" si="1471">IF(DG1387&gt;0,((R1384+T1384)*DH1387),0)</f>
        <v>0</v>
      </c>
      <c r="DL1387" s="569">
        <f t="shared" ref="DL1387" si="1472">IF(DG1387&gt;0,(Q1384*DH1387),0)</f>
        <v>0</v>
      </c>
      <c r="DM1387" s="572">
        <f t="shared" ref="DM1387" si="1473">IF(DG1387&gt;0,(S1384*DH1387),0)</f>
        <v>0</v>
      </c>
      <c r="DN1387" s="569">
        <f t="shared" ref="DN1387" si="1474">IF(DG1387&gt;0,(BN1384*DH1387),0)</f>
        <v>0</v>
      </c>
      <c r="DO1387" s="569">
        <f t="shared" ref="DO1387" si="1475">IF(DG1387&gt;0,(AF1384*DH1387),0)</f>
        <v>0</v>
      </c>
      <c r="DP1387" s="569">
        <f>IF(DG1387&gt;0,((DI1387)*('BD P&amp;G'!$E$16+'BD P&amp;G'!$E$17+'BD P&amp;G'!$E$18+'BD P&amp;G'!$E$19+'BD P&amp;G'!$E$20+'BD P&amp;G'!$E$21+'BD P&amp;G'!$E$22+'BD P&amp;G'!$E$23)*DH1387),0)</f>
        <v>0</v>
      </c>
      <c r="DQ1387" s="569">
        <f>IFERROR(IF(DG1387&gt;0,((DI1387*'BD P&amp;G'!$E$7)+(DI1387*'BD P&amp;G'!$E$9)+AI1384),0),0)</f>
        <v>0</v>
      </c>
      <c r="DR1387" s="569">
        <f t="shared" ref="DR1387" si="1476">IFERROR(IF(DG1387&gt;0,((DI1387*1%)),0),0)</f>
        <v>0</v>
      </c>
      <c r="DS1387" s="569">
        <f>IFERROR(IF(DG1387&gt;0,(((DI1387*'BD P&amp;G'!$E$32+DI1387*'BD P&amp;G'!$E$33+DI1387*'BD P&amp;G'!$E$35+DI1387*'BD P&amp;G'!$E$36+DI1387*'BD P&amp;G'!$E$37))),0),0)</f>
        <v>0</v>
      </c>
      <c r="DT1387" s="569">
        <f t="shared" ref="DT1387" si="1477">IF(DG1387&gt;0,(Y1384*DH1387),0)</f>
        <v>0</v>
      </c>
      <c r="DU1387" s="569">
        <f t="shared" ref="DU1387" si="1478">IF(DG1387&gt;0,(Z1384*DH1387),0)</f>
        <v>0</v>
      </c>
      <c r="DV1387" s="575">
        <f t="shared" ref="DV1387" si="1479">IF(DG1387&gt;0,(Y1388*DH1387),0)</f>
        <v>0</v>
      </c>
      <c r="DW1387" s="575">
        <f t="shared" ref="DW1387" si="1480">IF(DG1387&gt;0,(Z1388*DH1387),0)</f>
        <v>0</v>
      </c>
      <c r="DX1387" s="569">
        <f t="shared" ref="DX1387" si="1481">IF(DV1387&gt;0,DJ1387,0)</f>
        <v>0</v>
      </c>
      <c r="DY1387" s="569">
        <f t="shared" ref="DY1387" si="1482">IF(DW1387&gt;0,DJ1387,0)</f>
        <v>0</v>
      </c>
    </row>
    <row r="1388" spans="1:194" s="175" customFormat="1" ht="54.95" customHeight="1" x14ac:dyDescent="0.3">
      <c r="A1388" s="366"/>
      <c r="B1388" s="367"/>
      <c r="C1388" s="393" t="s">
        <v>35</v>
      </c>
      <c r="D1388" s="599" t="str">
        <f>IFERROR(VLOOKUP(D1384,'BD GN'!C:E,3,),"")</f>
        <v/>
      </c>
      <c r="E1388" s="599"/>
      <c r="F1388" s="599"/>
      <c r="G1388" s="599"/>
      <c r="H1388" s="599"/>
      <c r="I1388" s="599"/>
      <c r="J1388" s="604"/>
      <c r="K1388" s="604"/>
      <c r="L1388" s="607"/>
      <c r="M1388" s="559"/>
      <c r="N1388" s="610"/>
      <c r="O1388" s="613"/>
      <c r="P1388" s="192"/>
      <c r="Q1388" s="239"/>
      <c r="R1388" s="221" t="s">
        <v>210</v>
      </c>
      <c r="S1388" s="234" t="str">
        <f>IFERROR(IF(N1384="","",N1384/W1388),"")</f>
        <v/>
      </c>
      <c r="T1388" s="226"/>
      <c r="U1388" s="206"/>
      <c r="V1388" s="220"/>
      <c r="W1388" s="242" t="str">
        <f>+IF(J1384*K1384&gt;=1,J1384*K1384,IF(AND(J1384*K1384&gt;0,J1384*K1384&lt;1),1,""))</f>
        <v/>
      </c>
      <c r="X1388" s="221" t="s">
        <v>298</v>
      </c>
      <c r="Y1388" s="461">
        <f>IFERROR(IF(D1384='BD GN'!$C$25,COTIZACIÓN!W1388,IF(D1384='BD GN'!$C$26,COTIZACIÓN!W1388,IF(D1384='BD GN'!$C$27,COTIZACIÓN!W1388,IF(COTIZACIÓN!D1384='BD GN'!$C$28,COTIZACIÓN!W1388,IF(COTIZACIÓN!D1384='BD GN'!$C$29,COTIZACIÓN!W1388,IF(COTIZACIÓN!D1384='BD GN'!$C$35,COTIZACIÓN!W1388,IF(COTIZACIÓN!D1384='BD GN'!$C$36,COTIZACIÓN!W1388,IF(COTIZACIÓN!D1384='BD GN'!$C$37,COTIZACIÓN!W1388,IF(COTIZACIÓN!D1384='BD GN'!$C$38,COTIZACIÓN!W1388,IF(COTIZACIÓN!D1384='BD GN'!$C$39,COTIZACIÓN!W1388,IF(COTIZACIÓN!D1384='BD GN'!$C$40,COTIZACIÓN!W1388,IF(COTIZACIÓN!D1384='BD GN'!$C$41,COTIZACIÓN!W1388,IF(COTIZACIÓN!D1384='BD GN'!$C$42,COTIZACIÓN!W1388,IF(COTIZACIÓN!D1384='BD GN'!$C$49,COTIZACIÓN!W1388,IF(COTIZACIÓN!D1384='BD GN'!$C$50,COTIZACIÓN!W1388,IF(COTIZACIÓN!D1384='BD GN'!$C$51,COTIZACIÓN!W1388,IF(COTIZACIÓN!D1384='BD GN'!$C$67,COTIZACIÓN!W1388,0))))))))))))))))),0)</f>
        <v>0</v>
      </c>
      <c r="Z1388" s="461">
        <f>IFERROR(W1388-Y1388,0)</f>
        <v>0</v>
      </c>
      <c r="AA1388" s="225"/>
      <c r="AB1388" s="226"/>
      <c r="AC1388" s="206"/>
      <c r="AD1388" s="206"/>
      <c r="AE1388" s="206"/>
      <c r="AF1388" s="227"/>
      <c r="AG1388" s="206"/>
      <c r="AH1388" s="206"/>
      <c r="AI1388" s="206"/>
      <c r="AJ1388" s="206"/>
      <c r="AK1388" s="227"/>
      <c r="AL1388" s="210"/>
      <c r="AM1388" s="206"/>
      <c r="AN1388" s="206"/>
      <c r="AO1388" s="228"/>
      <c r="AP1388" s="229"/>
      <c r="AQ1388" s="206"/>
      <c r="AR1388" s="206"/>
      <c r="AS1388" s="228"/>
      <c r="AT1388" s="229"/>
      <c r="AU1388" s="228"/>
      <c r="AV1388" s="229"/>
      <c r="AW1388" s="228"/>
      <c r="AX1388" s="229"/>
      <c r="AY1388" s="206"/>
      <c r="AZ1388" s="229"/>
      <c r="BA1388" s="210"/>
      <c r="BC1388" s="211" t="s">
        <v>117</v>
      </c>
      <c r="BD1388" s="210"/>
      <c r="BE1388" s="177" t="str">
        <f>IFERROR(VLOOKUP(D1384,'BD M.O'!C:I,6,FALSE),"")</f>
        <v/>
      </c>
      <c r="BF1388" s="177" t="s">
        <v>261</v>
      </c>
      <c r="BH1388" s="184"/>
      <c r="BI1388" s="210"/>
      <c r="BJ1388" s="185"/>
      <c r="BN1388" s="184"/>
      <c r="BO1388" s="210"/>
      <c r="BP1388" s="183"/>
      <c r="BQ1388" s="183"/>
      <c r="BR1388" s="183"/>
      <c r="BW1388" s="210"/>
      <c r="CD1388" s="184"/>
      <c r="CF1388" s="185"/>
      <c r="CI1388" s="184"/>
      <c r="CJ1388" s="210"/>
      <c r="CK1388" s="563"/>
      <c r="CM1388" s="559"/>
      <c r="CN1388" s="559"/>
      <c r="CO1388" s="567"/>
      <c r="CP1388" s="567"/>
      <c r="CQ1388" s="567"/>
      <c r="CR1388" s="567"/>
      <c r="CS1388" s="567"/>
      <c r="CT1388" s="567"/>
      <c r="CU1388" s="563"/>
      <c r="CV1388" s="561"/>
      <c r="CW1388" s="563"/>
      <c r="CX1388" s="561"/>
      <c r="CY1388" s="563"/>
      <c r="CZ1388" s="561"/>
      <c r="DA1388" s="563"/>
      <c r="DB1388" s="561"/>
      <c r="DC1388" s="563"/>
      <c r="DD1388" s="561"/>
      <c r="DG1388" s="576"/>
      <c r="DH1388" s="576"/>
      <c r="DI1388" s="570"/>
      <c r="DJ1388" s="570"/>
      <c r="DK1388" s="570"/>
      <c r="DL1388" s="570"/>
      <c r="DM1388" s="573"/>
      <c r="DN1388" s="570"/>
      <c r="DO1388" s="570"/>
      <c r="DP1388" s="570"/>
      <c r="DQ1388" s="570"/>
      <c r="DR1388" s="570"/>
      <c r="DS1388" s="570"/>
      <c r="DT1388" s="570"/>
      <c r="DU1388" s="570"/>
      <c r="DV1388" s="576"/>
      <c r="DW1388" s="576"/>
      <c r="DX1388" s="570"/>
      <c r="DY1388" s="570"/>
    </row>
    <row r="1389" spans="1:194" s="252" customFormat="1" ht="54.95" customHeight="1" x14ac:dyDescent="0.25">
      <c r="A1389" s="368"/>
      <c r="B1389" s="369"/>
      <c r="C1389" s="396" t="s">
        <v>10</v>
      </c>
      <c r="D1389" s="600" t="s">
        <v>32</v>
      </c>
      <c r="E1389" s="600"/>
      <c r="F1389" s="600"/>
      <c r="G1389" s="600"/>
      <c r="H1389" s="600"/>
      <c r="I1389" s="600"/>
      <c r="J1389" s="605"/>
      <c r="K1389" s="605"/>
      <c r="L1389" s="608"/>
      <c r="M1389" s="597"/>
      <c r="N1389" s="611"/>
      <c r="O1389" s="614"/>
      <c r="P1389" s="192"/>
      <c r="Q1389" s="239"/>
      <c r="R1389" s="239"/>
      <c r="S1389" s="234"/>
      <c r="T1389" s="243"/>
      <c r="U1389" s="244"/>
      <c r="V1389" s="245"/>
      <c r="W1389" s="177" t="s">
        <v>394</v>
      </c>
      <c r="X1389" s="246">
        <f>IFERROR(SUM(W1384:X1384),"")</f>
        <v>0</v>
      </c>
      <c r="Y1389" s="166" t="s">
        <v>404</v>
      </c>
      <c r="Z1389" s="199">
        <f>IFERROR(Y1384+Z1384,"")</f>
        <v>4.7901128266487999E-2</v>
      </c>
      <c r="AA1389" s="247"/>
      <c r="AB1389" s="243"/>
      <c r="AC1389" s="244"/>
      <c r="AD1389" s="244"/>
      <c r="AE1389" s="244"/>
      <c r="AF1389" s="270"/>
      <c r="AG1389" s="244"/>
      <c r="AH1389" s="244"/>
      <c r="AI1389" s="244"/>
      <c r="AJ1389" s="244"/>
      <c r="AK1389" s="270"/>
      <c r="AL1389" s="270"/>
      <c r="AM1389" s="248"/>
      <c r="AN1389" s="248"/>
      <c r="AO1389" s="249"/>
      <c r="AP1389" s="250"/>
      <c r="AQ1389" s="248"/>
      <c r="AR1389" s="248"/>
      <c r="AS1389" s="249"/>
      <c r="AT1389" s="250"/>
      <c r="AU1389" s="249"/>
      <c r="AV1389" s="250"/>
      <c r="AW1389" s="249"/>
      <c r="AX1389" s="250"/>
      <c r="AY1389" s="248"/>
      <c r="AZ1389" s="250"/>
      <c r="BA1389" s="210"/>
      <c r="BB1389" s="175"/>
      <c r="BC1389" s="175" t="s">
        <v>118</v>
      </c>
      <c r="BD1389" s="210"/>
      <c r="BE1389" s="177" t="str">
        <f>IFERROR(VLOOKUP(D1384,'BD M.O'!C:I,7,FALSE),"")</f>
        <v/>
      </c>
      <c r="BF1389" s="177" t="s">
        <v>262</v>
      </c>
      <c r="BG1389" s="257"/>
      <c r="BH1389" s="271"/>
      <c r="BI1389" s="210"/>
      <c r="BJ1389" s="272"/>
      <c r="BK1389" s="257"/>
      <c r="BL1389" s="257"/>
      <c r="BM1389" s="257"/>
      <c r="BN1389" s="271"/>
      <c r="BO1389" s="210"/>
      <c r="BP1389" s="175"/>
      <c r="BQ1389" s="175"/>
      <c r="BR1389" s="175"/>
      <c r="BS1389" s="183"/>
      <c r="BT1389" s="183"/>
      <c r="BU1389" s="183"/>
      <c r="BV1389" s="183"/>
      <c r="BW1389" s="210"/>
      <c r="BX1389" s="175"/>
      <c r="BY1389" s="175"/>
      <c r="BZ1389" s="175"/>
      <c r="CA1389" s="175"/>
      <c r="CB1389" s="175"/>
      <c r="CC1389" s="175"/>
      <c r="CD1389" s="184"/>
      <c r="CE1389" s="175"/>
      <c r="CF1389" s="185"/>
      <c r="CG1389" s="175"/>
      <c r="CH1389" s="175"/>
      <c r="CI1389" s="184"/>
      <c r="CJ1389" s="210"/>
      <c r="CK1389" s="564"/>
      <c r="CL1389" s="257"/>
      <c r="CM1389" s="597"/>
      <c r="CN1389" s="597"/>
      <c r="CO1389" s="567"/>
      <c r="CP1389" s="567"/>
      <c r="CQ1389" s="567"/>
      <c r="CR1389" s="567"/>
      <c r="CS1389" s="567"/>
      <c r="CT1389" s="567"/>
      <c r="CU1389" s="564"/>
      <c r="CV1389" s="562"/>
      <c r="CW1389" s="564"/>
      <c r="CX1389" s="562"/>
      <c r="CY1389" s="564"/>
      <c r="CZ1389" s="562"/>
      <c r="DA1389" s="564"/>
      <c r="DB1389" s="562"/>
      <c r="DC1389" s="564"/>
      <c r="DD1389" s="562"/>
      <c r="DE1389" s="175"/>
      <c r="DF1389" s="175"/>
      <c r="DG1389" s="577"/>
      <c r="DH1389" s="577"/>
      <c r="DI1389" s="571"/>
      <c r="DJ1389" s="571"/>
      <c r="DK1389" s="571"/>
      <c r="DL1389" s="571"/>
      <c r="DM1389" s="574"/>
      <c r="DN1389" s="571"/>
      <c r="DO1389" s="571"/>
      <c r="DP1389" s="571"/>
      <c r="DQ1389" s="571"/>
      <c r="DR1389" s="571"/>
      <c r="DS1389" s="571"/>
      <c r="DT1389" s="571"/>
      <c r="DU1389" s="571"/>
      <c r="DV1389" s="577"/>
      <c r="DW1389" s="577"/>
      <c r="DX1389" s="571"/>
      <c r="DY1389" s="571"/>
      <c r="DZ1389" s="175"/>
      <c r="EA1389" s="175"/>
      <c r="EB1389" s="175"/>
      <c r="EC1389" s="175"/>
      <c r="ED1389" s="175"/>
      <c r="EE1389" s="175"/>
      <c r="EF1389" s="175"/>
      <c r="EG1389" s="175"/>
      <c r="EH1389" s="175"/>
      <c r="EI1389" s="175"/>
      <c r="EJ1389" s="175"/>
      <c r="EK1389" s="175"/>
      <c r="EL1389" s="175"/>
      <c r="EM1389" s="175"/>
      <c r="EN1389" s="175"/>
      <c r="EO1389" s="175"/>
      <c r="EP1389" s="175"/>
      <c r="EQ1389" s="175"/>
      <c r="ER1389" s="175"/>
      <c r="ES1389" s="175"/>
      <c r="ET1389" s="175"/>
      <c r="EU1389" s="175"/>
      <c r="EV1389" s="175"/>
      <c r="EW1389" s="175"/>
      <c r="EX1389" s="175"/>
      <c r="EY1389" s="175"/>
      <c r="EZ1389" s="175"/>
      <c r="FA1389" s="175"/>
      <c r="FB1389" s="175"/>
      <c r="FC1389" s="175"/>
      <c r="FD1389" s="175"/>
      <c r="FE1389" s="175"/>
      <c r="FF1389" s="175"/>
      <c r="FG1389" s="175"/>
      <c r="FH1389" s="175"/>
      <c r="FI1389" s="175"/>
      <c r="FJ1389" s="175"/>
      <c r="FK1389" s="175"/>
      <c r="FL1389" s="175"/>
      <c r="FM1389" s="175"/>
      <c r="FN1389" s="175"/>
      <c r="FO1389" s="175"/>
      <c r="FP1389" s="175"/>
      <c r="FQ1389" s="175"/>
      <c r="FR1389" s="175"/>
      <c r="FS1389" s="175"/>
      <c r="FT1389" s="175"/>
      <c r="FU1389" s="175"/>
      <c r="FV1389" s="175"/>
      <c r="FW1389" s="175"/>
      <c r="FX1389" s="175"/>
      <c r="FY1389" s="175"/>
      <c r="FZ1389" s="175"/>
      <c r="GA1389" s="175"/>
      <c r="GB1389" s="175"/>
      <c r="GC1389" s="175"/>
      <c r="GD1389" s="175"/>
      <c r="GE1389" s="175"/>
      <c r="GF1389" s="175"/>
      <c r="GG1389" s="175"/>
      <c r="GH1389" s="175"/>
      <c r="GI1389" s="175"/>
      <c r="GJ1389" s="175"/>
      <c r="GK1389" s="175"/>
      <c r="GL1389" s="175"/>
    </row>
    <row r="1390" spans="1:194" s="255" customFormat="1" ht="54.95" customHeight="1" x14ac:dyDescent="0.3">
      <c r="A1390" s="380" t="s">
        <v>193</v>
      </c>
      <c r="B1390" s="381" t="s">
        <v>25</v>
      </c>
      <c r="C1390" s="409" t="s">
        <v>174</v>
      </c>
      <c r="D1390" s="601" t="s">
        <v>173</v>
      </c>
      <c r="E1390" s="601"/>
      <c r="F1390" s="601"/>
      <c r="G1390" s="601"/>
      <c r="H1390" s="601"/>
      <c r="I1390" s="601"/>
      <c r="J1390" s="437" t="s">
        <v>406</v>
      </c>
      <c r="K1390" s="437" t="s">
        <v>405</v>
      </c>
      <c r="L1390" s="438" t="s">
        <v>171</v>
      </c>
      <c r="M1390" s="381" t="s">
        <v>2</v>
      </c>
      <c r="N1390" s="439" t="s">
        <v>7</v>
      </c>
      <c r="O1390" s="440" t="s">
        <v>8</v>
      </c>
      <c r="P1390" s="159"/>
      <c r="Q1390" s="164" t="s">
        <v>93</v>
      </c>
      <c r="R1390" s="164" t="s">
        <v>34</v>
      </c>
      <c r="S1390" s="164" t="s">
        <v>28</v>
      </c>
      <c r="T1390" s="164" t="s">
        <v>95</v>
      </c>
      <c r="U1390" s="164" t="s">
        <v>96</v>
      </c>
      <c r="V1390" s="164" t="s">
        <v>97</v>
      </c>
      <c r="W1390" s="164" t="s">
        <v>4</v>
      </c>
      <c r="X1390" s="164" t="s">
        <v>103</v>
      </c>
      <c r="Y1390" s="160" t="s">
        <v>402</v>
      </c>
      <c r="Z1390" s="165" t="s">
        <v>403</v>
      </c>
      <c r="AA1390" s="166" t="s">
        <v>404</v>
      </c>
      <c r="AB1390" s="164" t="s">
        <v>99</v>
      </c>
      <c r="AC1390" s="164" t="s">
        <v>395</v>
      </c>
      <c r="AD1390" s="253" t="s">
        <v>36</v>
      </c>
      <c r="AE1390" s="164" t="s">
        <v>389</v>
      </c>
      <c r="AF1390" s="164" t="s">
        <v>390</v>
      </c>
      <c r="AG1390" s="164" t="s">
        <v>164</v>
      </c>
      <c r="AH1390" s="253" t="s">
        <v>396</v>
      </c>
      <c r="AI1390" s="164" t="s">
        <v>190</v>
      </c>
      <c r="AJ1390" s="164" t="s">
        <v>339</v>
      </c>
      <c r="AK1390" s="253" t="s">
        <v>391</v>
      </c>
      <c r="AL1390" s="253" t="s">
        <v>393</v>
      </c>
      <c r="AM1390" s="167" t="s">
        <v>93</v>
      </c>
      <c r="AN1390" s="168" t="s">
        <v>34</v>
      </c>
      <c r="AO1390" s="169" t="s">
        <v>28</v>
      </c>
      <c r="AP1390" s="170" t="s">
        <v>95</v>
      </c>
      <c r="AQ1390" s="167" t="s">
        <v>3</v>
      </c>
      <c r="AR1390" s="167" t="s">
        <v>96</v>
      </c>
      <c r="AS1390" s="169" t="s">
        <v>97</v>
      </c>
      <c r="AT1390" s="170" t="s">
        <v>4</v>
      </c>
      <c r="AU1390" s="169" t="s">
        <v>103</v>
      </c>
      <c r="AV1390" s="170" t="s">
        <v>99</v>
      </c>
      <c r="AW1390" s="169" t="s">
        <v>36</v>
      </c>
      <c r="AX1390" s="171" t="s">
        <v>29</v>
      </c>
      <c r="AY1390" s="172" t="s">
        <v>190</v>
      </c>
      <c r="AZ1390" s="173" t="s">
        <v>102</v>
      </c>
      <c r="BA1390" s="174"/>
      <c r="BB1390" s="183"/>
      <c r="BC1390" s="211" t="s">
        <v>119</v>
      </c>
      <c r="BD1390" s="174"/>
      <c r="BE1390" s="176" t="s">
        <v>189</v>
      </c>
      <c r="BF1390" s="177" t="str">
        <f>$BF$13</f>
        <v xml:space="preserve">VR SILICONA </v>
      </c>
      <c r="BG1390" s="177" t="str">
        <f>$BG$13</f>
        <v xml:space="preserve">VR PELÍCULA </v>
      </c>
      <c r="BH1390" s="177" t="str">
        <f>$BH$13</f>
        <v>VR EMBALAJE</v>
      </c>
      <c r="BI1390" s="174"/>
      <c r="BJ1390" s="176" t="str">
        <f>$BJ$13</f>
        <v>ESP. CRISTAL</v>
      </c>
      <c r="BK1390" s="176" t="s">
        <v>130</v>
      </c>
      <c r="BL1390" s="177" t="s">
        <v>28</v>
      </c>
      <c r="BM1390" s="177">
        <f>BM1383</f>
        <v>0</v>
      </c>
      <c r="BN1390" s="177" t="s">
        <v>133</v>
      </c>
      <c r="BO1390" s="174"/>
      <c r="BP1390" s="175"/>
      <c r="BQ1390" s="175"/>
      <c r="BR1390" s="175"/>
      <c r="BS1390" s="175"/>
      <c r="BT1390" s="175"/>
      <c r="BU1390" s="175"/>
      <c r="BV1390" s="175"/>
      <c r="BW1390" s="174"/>
      <c r="BX1390" s="175"/>
      <c r="BY1390" s="175"/>
      <c r="BZ1390" s="175"/>
      <c r="CA1390" s="175"/>
      <c r="CB1390" s="175"/>
      <c r="CC1390" s="175"/>
      <c r="CD1390" s="184"/>
      <c r="CE1390" s="175"/>
      <c r="CF1390" s="185"/>
      <c r="CG1390" s="175"/>
      <c r="CH1390" s="175"/>
      <c r="CI1390" s="184"/>
      <c r="CJ1390" s="174"/>
      <c r="CK1390" s="254" t="s">
        <v>415</v>
      </c>
      <c r="CL1390" s="265" t="s">
        <v>417</v>
      </c>
      <c r="CM1390" s="265" t="s">
        <v>416</v>
      </c>
      <c r="CN1390" s="266" t="s">
        <v>418</v>
      </c>
      <c r="CO1390" s="265" t="s">
        <v>417</v>
      </c>
      <c r="CP1390" s="265" t="s">
        <v>409</v>
      </c>
      <c r="CQ1390" s="265" t="s">
        <v>410</v>
      </c>
      <c r="CR1390" s="265" t="s">
        <v>411</v>
      </c>
      <c r="CS1390" s="265" t="s">
        <v>412</v>
      </c>
      <c r="CT1390" s="265" t="s">
        <v>413</v>
      </c>
      <c r="CU1390" s="189" t="s">
        <v>2</v>
      </c>
      <c r="CV1390" s="190" t="s">
        <v>159</v>
      </c>
      <c r="CW1390" s="189" t="s">
        <v>2</v>
      </c>
      <c r="CX1390" s="190" t="s">
        <v>159</v>
      </c>
      <c r="CY1390" s="189" t="s">
        <v>2</v>
      </c>
      <c r="CZ1390" s="190" t="s">
        <v>159</v>
      </c>
      <c r="DA1390" s="189" t="s">
        <v>2</v>
      </c>
      <c r="DB1390" s="190" t="s">
        <v>159</v>
      </c>
      <c r="DC1390" s="189" t="s">
        <v>2</v>
      </c>
      <c r="DD1390" s="190" t="s">
        <v>159</v>
      </c>
      <c r="DE1390" s="183"/>
      <c r="DF1390" s="183"/>
      <c r="DG1390" s="177" t="s">
        <v>505</v>
      </c>
      <c r="DH1390" s="472" t="s">
        <v>509</v>
      </c>
      <c r="DI1390" s="457" t="s">
        <v>506</v>
      </c>
      <c r="DJ1390" s="457" t="s">
        <v>134</v>
      </c>
      <c r="DK1390" s="457" t="s">
        <v>498</v>
      </c>
      <c r="DL1390" s="457" t="s">
        <v>499</v>
      </c>
      <c r="DM1390" s="457" t="s">
        <v>500</v>
      </c>
      <c r="DN1390" s="457" t="s">
        <v>131</v>
      </c>
      <c r="DO1390" s="457" t="s">
        <v>390</v>
      </c>
      <c r="DP1390" s="457" t="s">
        <v>36</v>
      </c>
      <c r="DQ1390" s="457" t="s">
        <v>501</v>
      </c>
      <c r="DR1390" s="457" t="s">
        <v>502</v>
      </c>
      <c r="DS1390" s="457" t="s">
        <v>503</v>
      </c>
      <c r="DT1390" s="457" t="s">
        <v>4</v>
      </c>
      <c r="DU1390" s="457" t="s">
        <v>504</v>
      </c>
      <c r="DV1390" s="466" t="s">
        <v>507</v>
      </c>
      <c r="DW1390" s="466" t="s">
        <v>508</v>
      </c>
      <c r="DX1390" s="457" t="s">
        <v>510</v>
      </c>
      <c r="DY1390" s="457" t="s">
        <v>511</v>
      </c>
      <c r="DZ1390" s="183"/>
      <c r="EA1390" s="183"/>
      <c r="EB1390" s="183"/>
      <c r="EC1390" s="183"/>
      <c r="ED1390" s="183"/>
      <c r="EE1390" s="183"/>
      <c r="EF1390" s="183"/>
      <c r="EG1390" s="183"/>
      <c r="EH1390" s="183"/>
      <c r="EI1390" s="183"/>
      <c r="EJ1390" s="183"/>
      <c r="EK1390" s="183"/>
      <c r="EL1390" s="183"/>
      <c r="EM1390" s="183"/>
      <c r="EN1390" s="183"/>
      <c r="EO1390" s="183"/>
      <c r="EP1390" s="183"/>
      <c r="EQ1390" s="183"/>
      <c r="ER1390" s="183"/>
      <c r="ES1390" s="183"/>
      <c r="ET1390" s="183"/>
      <c r="EU1390" s="183"/>
      <c r="EV1390" s="183"/>
      <c r="EW1390" s="183"/>
      <c r="EX1390" s="183"/>
      <c r="EY1390" s="183"/>
      <c r="EZ1390" s="183"/>
      <c r="FA1390" s="183"/>
      <c r="FB1390" s="183"/>
      <c r="FC1390" s="183"/>
      <c r="FD1390" s="183"/>
      <c r="FE1390" s="183"/>
      <c r="FF1390" s="183"/>
      <c r="FG1390" s="183"/>
      <c r="FH1390" s="183"/>
      <c r="FI1390" s="183"/>
      <c r="FJ1390" s="183"/>
      <c r="FK1390" s="183"/>
      <c r="FL1390" s="183"/>
      <c r="FM1390" s="183"/>
      <c r="FN1390" s="183"/>
      <c r="FO1390" s="183"/>
      <c r="FP1390" s="183"/>
      <c r="FQ1390" s="183"/>
      <c r="FR1390" s="183"/>
      <c r="FS1390" s="183"/>
      <c r="FT1390" s="183"/>
      <c r="FU1390" s="183"/>
      <c r="FV1390" s="183"/>
      <c r="FW1390" s="183"/>
      <c r="FX1390" s="183"/>
      <c r="FY1390" s="183"/>
      <c r="FZ1390" s="183"/>
      <c r="GA1390" s="183"/>
      <c r="GB1390" s="183"/>
      <c r="GC1390" s="183"/>
      <c r="GD1390" s="183"/>
      <c r="GE1390" s="183"/>
      <c r="GF1390" s="183"/>
      <c r="GG1390" s="183"/>
      <c r="GH1390" s="183"/>
      <c r="GI1390" s="183"/>
      <c r="GJ1390" s="183"/>
      <c r="GK1390" s="183"/>
      <c r="GL1390" s="183"/>
    </row>
    <row r="1391" spans="1:194" s="175" customFormat="1" ht="54.95" customHeight="1" x14ac:dyDescent="0.3">
      <c r="A1391" s="364"/>
      <c r="B1391" s="365"/>
      <c r="C1391" s="392" t="s">
        <v>27</v>
      </c>
      <c r="D1391" s="602"/>
      <c r="E1391" s="602"/>
      <c r="F1391" s="602"/>
      <c r="G1391" s="602"/>
      <c r="H1391" s="602"/>
      <c r="I1391" s="602"/>
      <c r="J1391" s="603"/>
      <c r="K1391" s="603"/>
      <c r="L1391" s="606">
        <f>J1391*K1391*M1391</f>
        <v>0</v>
      </c>
      <c r="M1391" s="596"/>
      <c r="N1391" s="609">
        <f>IFERROR(AL1391,"")</f>
        <v>1.1502546360919998</v>
      </c>
      <c r="O1391" s="612">
        <f>IFERROR(N1391*M1391,"")</f>
        <v>0</v>
      </c>
      <c r="P1391" s="192"/>
      <c r="Q1391" s="193">
        <f>Q1392+BF1391+($R$350*Q1392)</f>
        <v>0</v>
      </c>
      <c r="R1391" s="193">
        <f>IFERROR(R1392+($R$348*R1392),"")</f>
        <v>0</v>
      </c>
      <c r="S1391" s="194">
        <f>+IF(R1393="SI",((W1395*'BD GN'!$AB$2)+S1392)*1,COTIZACIÓN!S1392*1)+($R$352*S1392)</f>
        <v>0</v>
      </c>
      <c r="T1391" s="195">
        <f>IFERROR(R1391*IF(K1391&lt;=3,$T$13,15%),"")</f>
        <v>0</v>
      </c>
      <c r="U1391" s="196">
        <f>BH1391+BG1391</f>
        <v>0</v>
      </c>
      <c r="V1391" s="197" t="str">
        <f>IFERROR(BN1391,0)</f>
        <v/>
      </c>
      <c r="W1391" s="198" t="str">
        <f>IFERROR(IF(X1393="SI",W1394*J1391*K1391,IF(BE1391=3,BE1393,IF(BE1391=4,BE1394,IF(BE1391=5,BE1395,IF(BE1391&gt;5,BE1395+(BE1396*(BE1391-5)),"")))))*0,"")</f>
        <v/>
      </c>
      <c r="X1391" s="198" t="str">
        <f>IFERROR(IF(X1392="NO",(VLOOKUP(D1391,'BD M.O'!C:E,3,FALSE))*W1395,((VLOOKUP(D1391,'BD M.O'!C:E,3,FALSE))+7500)*W1395),"")</f>
        <v/>
      </c>
      <c r="Y1391" s="198">
        <f>IFERROR($Y$13*AK1391,"")</f>
        <v>4.2084457416288003E-2</v>
      </c>
      <c r="Z1391" s="198">
        <f>IFERROR($Z$13*AK1391,"")</f>
        <v>5.8166708502000002E-3</v>
      </c>
      <c r="AA1391" s="199">
        <f>IFERROR(Y1391+Z1391,"")</f>
        <v>4.7901128266487999E-2</v>
      </c>
      <c r="AB1391" s="200">
        <f>IFERROR((SUM(Q1391:X1391)-T1391+T1393)*$AB$13,"")</f>
        <v>0</v>
      </c>
      <c r="AC1391" s="201">
        <f>IFERROR(((SUM(Q1391:V1391,IF(X1396&gt;AA1391,AVERAGE(X1396,AA1391),AA1391))-T1391+T1393))*$AB$13,"")</f>
        <v>9.5802256532976E-4</v>
      </c>
      <c r="AD1391" s="202" t="str">
        <f>IFERROR((J1391*K1391*$BV$14),"")</f>
        <v/>
      </c>
      <c r="AE1391" s="202">
        <f>IFERROR($AE$13*AK1391,"")</f>
        <v>6.4010592649919984E-2</v>
      </c>
      <c r="AF1391" s="203" t="str">
        <f>IFERROR(($CI$11+$CI$13)*W1395,"")</f>
        <v/>
      </c>
      <c r="AG1391" s="267">
        <f>IFERROR((SUM(Q1391:X1391,AB1391,AD1391,AF1391)-T1391+T1393)*$AG$13,"")</f>
        <v>0</v>
      </c>
      <c r="AH1391" s="202">
        <f>IFERROR((SUM(Q1391:V1391,(IF(X1396&gt;AA1391,AVERAGE(X1396,AA1391),AA1391)),AC1391,AE1391,AF1391)-T1391+T1393)*$AG$13,"")</f>
        <v>5.6434871740868871E-2</v>
      </c>
      <c r="AI1391" s="268">
        <f>IFERROR(AL1391*$AI$13,"")</f>
        <v>2.3005092721839999E-2</v>
      </c>
      <c r="AJ1391" s="268">
        <f>IFERROR($AJ$13*AL1391,"")</f>
        <v>6.4184208693933587E-3</v>
      </c>
      <c r="AK1391" s="205">
        <f>IFERROR(SUM(Q1391:X1391,AB1391,AD1391,AG1391,AF1391)/(1-$AI$13)+(1-$AJ$13)-T1391+T1393,"")</f>
        <v>0.99441999999999997</v>
      </c>
      <c r="AL1391" s="205">
        <f>IFERROR(SUM(Q1391:V1391,AC1391,(IF(AD1391&gt;AE1391,AVERAGE(AD1391,AE1391),AE1391)),AF1391,,AH1391,(IF(SUM(X1396)&gt;AA1391,AVERAGE(AA1391,X1396),AA1391)))/(1-$AJ$13)+(1-$AI$13)-T1391+T1393,"")</f>
        <v>1.1502546360919998</v>
      </c>
      <c r="AM1391" s="206">
        <f>$M$15*Q1391</f>
        <v>0</v>
      </c>
      <c r="AN1391" s="207">
        <f>$M$15*R1391</f>
        <v>0</v>
      </c>
      <c r="AO1391" s="208">
        <f>$M$15*S1391</f>
        <v>0</v>
      </c>
      <c r="AP1391" s="207">
        <f>$M$15*T1391</f>
        <v>0</v>
      </c>
      <c r="AQ1391" s="207" t="e">
        <f>$M$15*#REF!</f>
        <v>#REF!</v>
      </c>
      <c r="AR1391" s="207">
        <f>$M$15*U1391</f>
        <v>0</v>
      </c>
      <c r="AS1391" s="208" t="e">
        <f>$M$15*V1391</f>
        <v>#VALUE!</v>
      </c>
      <c r="AT1391" s="207" t="e">
        <f>$M$15*W1391</f>
        <v>#VALUE!</v>
      </c>
      <c r="AU1391" s="208" t="e">
        <f>$M$15*X1391</f>
        <v>#VALUE!</v>
      </c>
      <c r="AV1391" s="207">
        <f>$M$15*AB1391</f>
        <v>0</v>
      </c>
      <c r="AW1391" s="208">
        <f>$M$15*AE1391</f>
        <v>0</v>
      </c>
      <c r="AX1391" s="207">
        <f>$M$15*AG1391</f>
        <v>0</v>
      </c>
      <c r="AY1391" s="209">
        <f>$M$15*AI1391</f>
        <v>0</v>
      </c>
      <c r="AZ1391" s="207">
        <f>$M$15*AK1391</f>
        <v>0</v>
      </c>
      <c r="BA1391" s="210"/>
      <c r="BB1391" s="175" t="s">
        <v>23</v>
      </c>
      <c r="BC1391" s="211" t="s">
        <v>113</v>
      </c>
      <c r="BD1391" s="210"/>
      <c r="BE1391" s="212"/>
      <c r="BF1391" s="213">
        <f>IF(BH1392="NO",((2*J1391)+(2*K1391))*'BD GN'!$AU$3,((3*J1391)+(2*K1391))*'BD GN'!$AU$3)</f>
        <v>0</v>
      </c>
      <c r="BG1391" s="213">
        <f>'BD GN'!$BB$3*J1391*K1391</f>
        <v>0</v>
      </c>
      <c r="BH1391" s="214">
        <f>((J1391*2*BE1391)+(K1391*2*BE1391))*'BD GN'!$AN$4</f>
        <v>0</v>
      </c>
      <c r="BI1391" s="210"/>
      <c r="BJ1391" s="212"/>
      <c r="BK1391" s="212"/>
      <c r="BL1391" s="215">
        <f>J1391*K1391*2.5*BJ1391</f>
        <v>0</v>
      </c>
      <c r="BM1391" s="215">
        <f>BK1391+BL1391</f>
        <v>0</v>
      </c>
      <c r="BN1391" s="216" t="str">
        <f>IFERROR((VLOOKUP($C$12,'BD GN'!BD:BM,10,FALSE)*BM1391)+0,"")</f>
        <v/>
      </c>
      <c r="BO1391" s="210"/>
      <c r="BW1391" s="210"/>
      <c r="CD1391" s="184"/>
      <c r="CF1391" s="185"/>
      <c r="CI1391" s="184"/>
      <c r="CJ1391" s="210"/>
      <c r="CK1391" s="565"/>
      <c r="CL1391" s="256"/>
      <c r="CM1391" s="596"/>
      <c r="CN1391" s="596"/>
      <c r="CO1391" s="567"/>
      <c r="CP1391" s="567"/>
      <c r="CQ1391" s="567"/>
      <c r="CR1391" s="567"/>
      <c r="CS1391" s="567"/>
      <c r="CT1391" s="567"/>
      <c r="CU1391" s="565"/>
      <c r="CV1391" s="560">
        <f>IFERROR(N1391*CU1391,"")</f>
        <v>0</v>
      </c>
      <c r="CW1391" s="565"/>
      <c r="CX1391" s="560">
        <f>IFERROR(P1391*CW1391,"")</f>
        <v>0</v>
      </c>
      <c r="CY1391" s="565"/>
      <c r="CZ1391" s="560">
        <f>IFERROR(R1391*CY1391,"")</f>
        <v>0</v>
      </c>
      <c r="DA1391" s="565">
        <f t="shared" ref="DA1391" si="1483">CU1391+CW1391+CY1391</f>
        <v>0</v>
      </c>
      <c r="DB1391" s="560">
        <f t="shared" ref="DB1391" si="1484">IFERROR(CV1391+CX1391+CZ1391,"")</f>
        <v>0</v>
      </c>
      <c r="DC1391" s="565">
        <f>M1391-(CU1391+CW1391+CY1391)</f>
        <v>0</v>
      </c>
      <c r="DD1391" s="560">
        <f>IFERROR(O1391-(CV1391+CX1391+CZ1391),"")</f>
        <v>0</v>
      </c>
      <c r="DG1391" s="575"/>
      <c r="DH1391" s="575"/>
      <c r="DI1391" s="569">
        <f t="shared" ref="DI1391" si="1485">IFERROR(IF(DG1391&gt;0,(((N1391)/(1+10%+19%*5%)+((N1391)/(1+10%+19%*5%))*10%)*DH1391),0),0)</f>
        <v>0</v>
      </c>
      <c r="DJ1391" s="569">
        <f t="shared" ref="DJ1391" si="1486">IFERROR(IF(DG1391&gt;0,(N1391*DH1391),0),0)</f>
        <v>0</v>
      </c>
      <c r="DK1391" s="569">
        <f t="shared" ref="DK1391" si="1487">IF(DG1391&gt;0,((R1391+T1391)*DH1391),0)</f>
        <v>0</v>
      </c>
      <c r="DL1391" s="569">
        <f t="shared" ref="DL1391" si="1488">IF(DG1391&gt;0,(Q1391*DH1391),0)</f>
        <v>0</v>
      </c>
      <c r="DM1391" s="572">
        <f t="shared" ref="DM1391" si="1489">IF(DG1391&gt;0,(S1391*DH1391),0)</f>
        <v>0</v>
      </c>
      <c r="DN1391" s="569">
        <f t="shared" ref="DN1391" si="1490">IF(DG1391&gt;0,(BN1391*DH1391),0)</f>
        <v>0</v>
      </c>
      <c r="DO1391" s="569">
        <f t="shared" ref="DO1391" si="1491">IF(DG1391&gt;0,(AF1391*DH1391),0)</f>
        <v>0</v>
      </c>
      <c r="DP1391" s="569">
        <f>IF(DG1391&gt;0,((DI1391)*('BD P&amp;G'!$E$16+'BD P&amp;G'!$E$17+'BD P&amp;G'!$E$18+'BD P&amp;G'!$E$19+'BD P&amp;G'!$E$20+'BD P&amp;G'!$E$21+'BD P&amp;G'!$E$22+'BD P&amp;G'!$E$23)*DH1391),0)</f>
        <v>0</v>
      </c>
      <c r="DQ1391" s="569">
        <f>IFERROR(IF(DG1391&gt;0,((DI1391*'BD P&amp;G'!$E$7)+(DI1391*'BD P&amp;G'!$E$9)+AI1391),0),0)</f>
        <v>0</v>
      </c>
      <c r="DR1391" s="569">
        <f t="shared" ref="DR1391" si="1492">IFERROR(IF(DG1391&gt;0,((DI1391*1%)),0),0)</f>
        <v>0</v>
      </c>
      <c r="DS1391" s="569">
        <f>IFERROR(IF(DG1391&gt;0,(((DI1391*'BD P&amp;G'!$E$32+DI1391*'BD P&amp;G'!$E$33+DI1391*'BD P&amp;G'!$E$35+DI1391*'BD P&amp;G'!$E$36+DI1391*'BD P&amp;G'!$E$37))),0),0)</f>
        <v>0</v>
      </c>
      <c r="DT1391" s="569">
        <f t="shared" ref="DT1391" si="1493">IF(DG1391&gt;0,(Y1391*DH1391),0)</f>
        <v>0</v>
      </c>
      <c r="DU1391" s="569">
        <f t="shared" ref="DU1391" si="1494">IF(DG1391&gt;0,(Z1391*DH1391),0)</f>
        <v>0</v>
      </c>
      <c r="DV1391" s="575">
        <f t="shared" ref="DV1391" si="1495">IF(DG1391&gt;0,(Y1395*DH1391),0)</f>
        <v>0</v>
      </c>
      <c r="DW1391" s="575">
        <f t="shared" ref="DW1391" si="1496">IF(DG1391&gt;0,(Z1395*DH1391),0)</f>
        <v>0</v>
      </c>
      <c r="DX1391" s="569">
        <f t="shared" ref="DX1391" si="1497">IF(DV1391&gt;0,DJ1391,0)</f>
        <v>0</v>
      </c>
      <c r="DY1391" s="569">
        <f t="shared" ref="DY1391" si="1498">IF(DW1391&gt;0,DJ1391,0)</f>
        <v>0</v>
      </c>
    </row>
    <row r="1392" spans="1:194" s="175" customFormat="1" ht="54.95" customHeight="1" x14ac:dyDescent="0.25">
      <c r="A1392" s="366"/>
      <c r="B1392" s="367"/>
      <c r="C1392" s="393" t="s">
        <v>28</v>
      </c>
      <c r="D1392" s="598"/>
      <c r="E1392" s="598"/>
      <c r="F1392" s="598"/>
      <c r="G1392" s="598"/>
      <c r="H1392" s="598"/>
      <c r="I1392" s="598"/>
      <c r="J1392" s="604"/>
      <c r="K1392" s="604"/>
      <c r="L1392" s="607"/>
      <c r="M1392" s="559"/>
      <c r="N1392" s="610"/>
      <c r="O1392" s="613"/>
      <c r="P1392" s="192"/>
      <c r="Q1392" s="217"/>
      <c r="R1392" s="217"/>
      <c r="S1392" s="218"/>
      <c r="T1392" s="219">
        <f>IFERROR(T1391/$R$353,"")</f>
        <v>0</v>
      </c>
      <c r="U1392" s="206"/>
      <c r="V1392" s="220"/>
      <c r="W1392" s="221" t="s">
        <v>239</v>
      </c>
      <c r="X1392" s="222" t="s">
        <v>204</v>
      </c>
      <c r="Y1392" s="223"/>
      <c r="Z1392" s="224"/>
      <c r="AA1392" s="225"/>
      <c r="AB1392" s="226"/>
      <c r="AC1392" s="206"/>
      <c r="AD1392" s="206"/>
      <c r="AE1392" s="206"/>
      <c r="AF1392" s="227"/>
      <c r="AG1392" s="206"/>
      <c r="AH1392" s="206"/>
      <c r="AI1392" s="206"/>
      <c r="AJ1392" s="206"/>
      <c r="AK1392" s="227"/>
      <c r="AL1392" s="210"/>
      <c r="AM1392" s="206"/>
      <c r="AN1392" s="206"/>
      <c r="AO1392" s="228"/>
      <c r="AP1392" s="229"/>
      <c r="AQ1392" s="206"/>
      <c r="AR1392" s="206"/>
      <c r="AS1392" s="228"/>
      <c r="AT1392" s="229"/>
      <c r="AU1392" s="228"/>
      <c r="AV1392" s="229"/>
      <c r="AW1392" s="228"/>
      <c r="AX1392" s="229"/>
      <c r="AY1392" s="206"/>
      <c r="AZ1392" s="229"/>
      <c r="BA1392" s="210"/>
      <c r="BB1392" s="175" t="s">
        <v>24</v>
      </c>
      <c r="BC1392" s="175" t="s">
        <v>114</v>
      </c>
      <c r="BD1392" s="210"/>
      <c r="BE1392" s="176" t="s">
        <v>206</v>
      </c>
      <c r="BF1392" s="230" t="s">
        <v>204</v>
      </c>
      <c r="BG1392" s="176" t="s">
        <v>290</v>
      </c>
      <c r="BH1392" s="230" t="s">
        <v>204</v>
      </c>
      <c r="BI1392" s="210"/>
      <c r="BJ1392" s="185"/>
      <c r="BN1392" s="269"/>
      <c r="BO1392" s="210"/>
      <c r="BV1392" s="184"/>
      <c r="BW1392" s="210"/>
      <c r="CD1392" s="184"/>
      <c r="CF1392" s="185"/>
      <c r="CI1392" s="184"/>
      <c r="CJ1392" s="210"/>
      <c r="CK1392" s="563"/>
      <c r="CM1392" s="559"/>
      <c r="CN1392" s="559"/>
      <c r="CO1392" s="567"/>
      <c r="CP1392" s="567"/>
      <c r="CQ1392" s="567"/>
      <c r="CR1392" s="567"/>
      <c r="CS1392" s="567"/>
      <c r="CT1392" s="567"/>
      <c r="CU1392" s="563"/>
      <c r="CV1392" s="561"/>
      <c r="CW1392" s="563"/>
      <c r="CX1392" s="561"/>
      <c r="CY1392" s="563"/>
      <c r="CZ1392" s="561"/>
      <c r="DA1392" s="563"/>
      <c r="DB1392" s="561"/>
      <c r="DC1392" s="563"/>
      <c r="DD1392" s="561"/>
      <c r="DG1392" s="576"/>
      <c r="DH1392" s="576"/>
      <c r="DI1392" s="570"/>
      <c r="DJ1392" s="570"/>
      <c r="DK1392" s="570"/>
      <c r="DL1392" s="570"/>
      <c r="DM1392" s="573"/>
      <c r="DN1392" s="570"/>
      <c r="DO1392" s="570"/>
      <c r="DP1392" s="570"/>
      <c r="DQ1392" s="570"/>
      <c r="DR1392" s="570"/>
      <c r="DS1392" s="570"/>
      <c r="DT1392" s="570"/>
      <c r="DU1392" s="570"/>
      <c r="DV1392" s="576"/>
      <c r="DW1392" s="576"/>
      <c r="DX1392" s="570"/>
      <c r="DY1392" s="570"/>
    </row>
    <row r="1393" spans="1:194" s="175" customFormat="1" ht="54.95" customHeight="1" x14ac:dyDescent="0.3">
      <c r="A1393" s="366"/>
      <c r="B1393" s="367"/>
      <c r="C1393" s="393" t="s">
        <v>30</v>
      </c>
      <c r="D1393" s="599"/>
      <c r="E1393" s="599"/>
      <c r="F1393" s="599"/>
      <c r="G1393" s="599"/>
      <c r="H1393" s="599"/>
      <c r="I1393" s="599"/>
      <c r="J1393" s="604"/>
      <c r="K1393" s="604"/>
      <c r="L1393" s="607"/>
      <c r="M1393" s="559"/>
      <c r="N1393" s="610"/>
      <c r="O1393" s="613"/>
      <c r="P1393" s="192"/>
      <c r="Q1393" s="176" t="s">
        <v>205</v>
      </c>
      <c r="R1393" s="233" t="s">
        <v>204</v>
      </c>
      <c r="S1393" s="234"/>
      <c r="T1393" s="235">
        <f>IFERROR(($R$353-8000)*T1392,"")</f>
        <v>0</v>
      </c>
      <c r="U1393" s="206"/>
      <c r="V1393" s="220"/>
      <c r="W1393" s="221" t="s">
        <v>258</v>
      </c>
      <c r="X1393" s="222" t="s">
        <v>204</v>
      </c>
      <c r="Y1393" s="236"/>
      <c r="Z1393" s="237"/>
      <c r="AA1393" s="225"/>
      <c r="AB1393" s="226"/>
      <c r="AC1393" s="206"/>
      <c r="AD1393" s="206"/>
      <c r="AE1393" s="206"/>
      <c r="AF1393" s="227"/>
      <c r="AG1393" s="206"/>
      <c r="AH1393" s="206"/>
      <c r="AI1393" s="206"/>
      <c r="AJ1393" s="206"/>
      <c r="AK1393" s="227"/>
      <c r="AL1393" s="238"/>
      <c r="AM1393" s="206"/>
      <c r="AN1393" s="206"/>
      <c r="AO1393" s="228"/>
      <c r="AP1393" s="229"/>
      <c r="AQ1393" s="206"/>
      <c r="AR1393" s="206"/>
      <c r="AS1393" s="228"/>
      <c r="AT1393" s="229"/>
      <c r="AU1393" s="228"/>
      <c r="AV1393" s="229"/>
      <c r="AW1393" s="228"/>
      <c r="AX1393" s="229"/>
      <c r="AY1393" s="206"/>
      <c r="AZ1393" s="229"/>
      <c r="BA1393" s="210"/>
      <c r="BB1393" s="175" t="s">
        <v>26</v>
      </c>
      <c r="BC1393" s="211" t="s">
        <v>115</v>
      </c>
      <c r="BD1393" s="210"/>
      <c r="BE1393" s="177" t="str">
        <f>IFERROR(VLOOKUP(D1391,'BD M.O'!C:H,4,FALSE),"")</f>
        <v/>
      </c>
      <c r="BF1393" s="177" t="s">
        <v>259</v>
      </c>
      <c r="BH1393" s="184"/>
      <c r="BI1393" s="210"/>
      <c r="BJ1393" s="185"/>
      <c r="BN1393" s="184"/>
      <c r="BO1393" s="210"/>
      <c r="BV1393" s="184"/>
      <c r="BW1393" s="210"/>
      <c r="CD1393" s="184"/>
      <c r="CF1393" s="185"/>
      <c r="CI1393" s="184"/>
      <c r="CJ1393" s="210"/>
      <c r="CK1393" s="563"/>
      <c r="CM1393" s="559"/>
      <c r="CN1393" s="559"/>
      <c r="CO1393" s="567"/>
      <c r="CP1393" s="567"/>
      <c r="CQ1393" s="567"/>
      <c r="CR1393" s="567"/>
      <c r="CS1393" s="567"/>
      <c r="CT1393" s="567"/>
      <c r="CU1393" s="563"/>
      <c r="CV1393" s="561"/>
      <c r="CW1393" s="563"/>
      <c r="CX1393" s="561"/>
      <c r="CY1393" s="563"/>
      <c r="CZ1393" s="561"/>
      <c r="DA1393" s="563"/>
      <c r="DB1393" s="561"/>
      <c r="DC1393" s="563"/>
      <c r="DD1393" s="561"/>
      <c r="DG1393" s="577"/>
      <c r="DH1393" s="577"/>
      <c r="DI1393" s="571"/>
      <c r="DJ1393" s="571"/>
      <c r="DK1393" s="571"/>
      <c r="DL1393" s="571"/>
      <c r="DM1393" s="574"/>
      <c r="DN1393" s="571"/>
      <c r="DO1393" s="571"/>
      <c r="DP1393" s="571"/>
      <c r="DQ1393" s="571"/>
      <c r="DR1393" s="571"/>
      <c r="DS1393" s="571"/>
      <c r="DT1393" s="571"/>
      <c r="DU1393" s="571"/>
      <c r="DV1393" s="577"/>
      <c r="DW1393" s="577"/>
      <c r="DX1393" s="571"/>
      <c r="DY1393" s="571"/>
    </row>
    <row r="1394" spans="1:194" s="175" customFormat="1" ht="54.95" customHeight="1" x14ac:dyDescent="0.25">
      <c r="A1394" s="366"/>
      <c r="B1394" s="367"/>
      <c r="C1394" s="395" t="s">
        <v>180</v>
      </c>
      <c r="D1394" s="599" t="s">
        <v>31</v>
      </c>
      <c r="E1394" s="599"/>
      <c r="F1394" s="394" t="s">
        <v>9</v>
      </c>
      <c r="G1394" s="599" t="s">
        <v>33</v>
      </c>
      <c r="H1394" s="599"/>
      <c r="I1394" s="394" t="str">
        <f>+IF($BG$9="SI","","X")</f>
        <v>X</v>
      </c>
      <c r="J1394" s="604"/>
      <c r="K1394" s="604"/>
      <c r="L1394" s="607"/>
      <c r="M1394" s="559"/>
      <c r="N1394" s="610"/>
      <c r="O1394" s="613"/>
      <c r="P1394" s="192"/>
      <c r="Q1394" s="239"/>
      <c r="R1394" s="221" t="s">
        <v>209</v>
      </c>
      <c r="S1394" s="234" t="str">
        <f>IF(S1392="","",S1392/(J1391*K1391))</f>
        <v/>
      </c>
      <c r="T1394" s="226"/>
      <c r="U1394" s="206"/>
      <c r="V1394" s="220"/>
      <c r="W1394" s="239" t="str">
        <f>IFERROR(IF(X1393="SI",VLOOKUP(D1391,'BD M.O'!C:F,4,FALSE),""),"")</f>
        <v/>
      </c>
      <c r="X1394" s="221" t="s">
        <v>258</v>
      </c>
      <c r="Y1394" s="221" t="s">
        <v>507</v>
      </c>
      <c r="Z1394" s="221" t="s">
        <v>508</v>
      </c>
      <c r="AA1394" s="225"/>
      <c r="AB1394" s="226"/>
      <c r="AC1394" s="206"/>
      <c r="AD1394" s="206"/>
      <c r="AE1394" s="206"/>
      <c r="AF1394" s="227"/>
      <c r="AG1394" s="206"/>
      <c r="AH1394" s="206"/>
      <c r="AI1394" s="206"/>
      <c r="AJ1394" s="206"/>
      <c r="AK1394" s="227"/>
      <c r="AL1394" s="240"/>
      <c r="AM1394" s="206"/>
      <c r="AN1394" s="206"/>
      <c r="AO1394" s="228"/>
      <c r="AP1394" s="229"/>
      <c r="AQ1394" s="206"/>
      <c r="AR1394" s="206"/>
      <c r="AS1394" s="228"/>
      <c r="AT1394" s="229"/>
      <c r="AU1394" s="228"/>
      <c r="AV1394" s="229"/>
      <c r="AW1394" s="228"/>
      <c r="AX1394" s="229"/>
      <c r="AY1394" s="206"/>
      <c r="AZ1394" s="229"/>
      <c r="BA1394" s="210"/>
      <c r="BC1394" s="175" t="s">
        <v>116</v>
      </c>
      <c r="BD1394" s="210"/>
      <c r="BE1394" s="177" t="str">
        <f>IFERROR(VLOOKUP(COTIZACIÓN!D1391,'BD M.O'!C:I,5,FALSE),"")</f>
        <v/>
      </c>
      <c r="BF1394" s="177" t="s">
        <v>260</v>
      </c>
      <c r="BH1394" s="184"/>
      <c r="BI1394" s="210"/>
      <c r="BJ1394" s="185"/>
      <c r="BN1394" s="184"/>
      <c r="BO1394" s="210"/>
      <c r="BP1394" s="183"/>
      <c r="BQ1394" s="183"/>
      <c r="BR1394" s="183"/>
      <c r="BS1394" s="183"/>
      <c r="BT1394" s="183"/>
      <c r="BU1394" s="183"/>
      <c r="BV1394" s="182"/>
      <c r="BW1394" s="210"/>
      <c r="BX1394" s="183"/>
      <c r="BY1394" s="183"/>
      <c r="BZ1394" s="183"/>
      <c r="CA1394" s="183"/>
      <c r="CB1394" s="183"/>
      <c r="CC1394" s="183"/>
      <c r="CD1394" s="182"/>
      <c r="CE1394" s="183"/>
      <c r="CF1394" s="241"/>
      <c r="CG1394" s="183"/>
      <c r="CH1394" s="183"/>
      <c r="CI1394" s="182"/>
      <c r="CJ1394" s="210"/>
      <c r="CK1394" s="563"/>
      <c r="CM1394" s="559"/>
      <c r="CN1394" s="559"/>
      <c r="CO1394" s="567"/>
      <c r="CP1394" s="567"/>
      <c r="CQ1394" s="567"/>
      <c r="CR1394" s="567"/>
      <c r="CS1394" s="567"/>
      <c r="CT1394" s="567"/>
      <c r="CU1394" s="563"/>
      <c r="CV1394" s="561"/>
      <c r="CW1394" s="563"/>
      <c r="CX1394" s="561"/>
      <c r="CY1394" s="563"/>
      <c r="CZ1394" s="561"/>
      <c r="DA1394" s="563"/>
      <c r="DB1394" s="561"/>
      <c r="DC1394" s="563"/>
      <c r="DD1394" s="561"/>
      <c r="DG1394" s="575"/>
      <c r="DH1394" s="575"/>
      <c r="DI1394" s="569">
        <f t="shared" ref="DI1394" si="1499">IFERROR(IF(DG1394&gt;0,(((N1391)/(1+10%+19%*5%)+((N1391)/(1+10%+19%*5%))*10%)*DH1394),0),0)</f>
        <v>0</v>
      </c>
      <c r="DJ1394" s="569">
        <f t="shared" ref="DJ1394" si="1500">IFERROR(IF(DG1394&gt;0,(N1391*DH1394),0),0)</f>
        <v>0</v>
      </c>
      <c r="DK1394" s="569">
        <f t="shared" ref="DK1394" si="1501">IF(DG1394&gt;0,((R1391+T1391)*DH1394),0)</f>
        <v>0</v>
      </c>
      <c r="DL1394" s="569">
        <f t="shared" ref="DL1394" si="1502">IF(DG1394&gt;0,(Q1391*DH1394),0)</f>
        <v>0</v>
      </c>
      <c r="DM1394" s="572">
        <f t="shared" ref="DM1394" si="1503">IF(DG1394&gt;0,(S1391*DH1394),0)</f>
        <v>0</v>
      </c>
      <c r="DN1394" s="569">
        <f t="shared" ref="DN1394" si="1504">IF(DG1394&gt;0,(BN1391*DH1394),0)</f>
        <v>0</v>
      </c>
      <c r="DO1394" s="569">
        <f t="shared" ref="DO1394" si="1505">IF(DG1394&gt;0,(AF1391*DH1394),0)</f>
        <v>0</v>
      </c>
      <c r="DP1394" s="569">
        <f>IF(DG1394&gt;0,((DI1394)*('BD P&amp;G'!$E$16+'BD P&amp;G'!$E$17+'BD P&amp;G'!$E$18+'BD P&amp;G'!$E$19+'BD P&amp;G'!$E$20+'BD P&amp;G'!$E$21+'BD P&amp;G'!$E$22+'BD P&amp;G'!$E$23)*DH1394),0)</f>
        <v>0</v>
      </c>
      <c r="DQ1394" s="569">
        <f>IFERROR(IF(DG1394&gt;0,((DI1394*'BD P&amp;G'!$E$7)+(DI1394*'BD P&amp;G'!$E$9)+AI1391),0),0)</f>
        <v>0</v>
      </c>
      <c r="DR1394" s="569">
        <f t="shared" ref="DR1394" si="1506">IFERROR(IF(DG1394&gt;0,((DI1394*1%)),0),0)</f>
        <v>0</v>
      </c>
      <c r="DS1394" s="569">
        <f>IFERROR(IF(DG1394&gt;0,(((DI1394*'BD P&amp;G'!$E$32+DI1394*'BD P&amp;G'!$E$33+DI1394*'BD P&amp;G'!$E$35+DI1394*'BD P&amp;G'!$E$36+DI1394*'BD P&amp;G'!$E$37))),0),0)</f>
        <v>0</v>
      </c>
      <c r="DT1394" s="569">
        <f t="shared" ref="DT1394" si="1507">IF(DG1394&gt;0,(Y1391*DH1394),0)</f>
        <v>0</v>
      </c>
      <c r="DU1394" s="569">
        <f t="shared" ref="DU1394" si="1508">IF(DG1394&gt;0,(Z1391*DH1394),0)</f>
        <v>0</v>
      </c>
      <c r="DV1394" s="575">
        <f t="shared" ref="DV1394" si="1509">IF(DG1394&gt;0,(Y1395*DH1394),0)</f>
        <v>0</v>
      </c>
      <c r="DW1394" s="575">
        <f t="shared" ref="DW1394" si="1510">IF(DG1394&gt;0,(Z1395*DH1394),0)</f>
        <v>0</v>
      </c>
      <c r="DX1394" s="569">
        <f t="shared" ref="DX1394" si="1511">IF(DV1394&gt;0,DJ1394,0)</f>
        <v>0</v>
      </c>
      <c r="DY1394" s="569">
        <f t="shared" ref="DY1394" si="1512">IF(DW1394&gt;0,DJ1394,0)</f>
        <v>0</v>
      </c>
    </row>
    <row r="1395" spans="1:194" s="175" customFormat="1" ht="54.95" customHeight="1" x14ac:dyDescent="0.3">
      <c r="A1395" s="366"/>
      <c r="B1395" s="367"/>
      <c r="C1395" s="393" t="s">
        <v>35</v>
      </c>
      <c r="D1395" s="599" t="str">
        <f>IFERROR(VLOOKUP(D1391,'BD GN'!C:E,3,),"")</f>
        <v/>
      </c>
      <c r="E1395" s="599"/>
      <c r="F1395" s="599"/>
      <c r="G1395" s="599"/>
      <c r="H1395" s="599"/>
      <c r="I1395" s="599"/>
      <c r="J1395" s="604"/>
      <c r="K1395" s="604"/>
      <c r="L1395" s="607"/>
      <c r="M1395" s="559"/>
      <c r="N1395" s="610"/>
      <c r="O1395" s="613"/>
      <c r="P1395" s="192"/>
      <c r="Q1395" s="239"/>
      <c r="R1395" s="221" t="s">
        <v>210</v>
      </c>
      <c r="S1395" s="234" t="str">
        <f>IFERROR(IF(N1391="","",N1391/W1395),"")</f>
        <v/>
      </c>
      <c r="T1395" s="226"/>
      <c r="U1395" s="206"/>
      <c r="V1395" s="220"/>
      <c r="W1395" s="242" t="str">
        <f>+IF(J1391*K1391&gt;=1,J1391*K1391,IF(AND(J1391*K1391&gt;0,J1391*K1391&lt;1),1,""))</f>
        <v/>
      </c>
      <c r="X1395" s="221" t="s">
        <v>298</v>
      </c>
      <c r="Y1395" s="461">
        <f>IFERROR(IF(D1391='BD GN'!$C$25,COTIZACIÓN!W1395,IF(D1391='BD GN'!$C$26,COTIZACIÓN!W1395,IF(D1391='BD GN'!$C$27,COTIZACIÓN!W1395,IF(COTIZACIÓN!D1391='BD GN'!$C$28,COTIZACIÓN!W1395,IF(COTIZACIÓN!D1391='BD GN'!$C$29,COTIZACIÓN!W1395,IF(COTIZACIÓN!D1391='BD GN'!$C$35,COTIZACIÓN!W1395,IF(COTIZACIÓN!D1391='BD GN'!$C$36,COTIZACIÓN!W1395,IF(COTIZACIÓN!D1391='BD GN'!$C$37,COTIZACIÓN!W1395,IF(COTIZACIÓN!D1391='BD GN'!$C$38,COTIZACIÓN!W1395,IF(COTIZACIÓN!D1391='BD GN'!$C$39,COTIZACIÓN!W1395,IF(COTIZACIÓN!D1391='BD GN'!$C$40,COTIZACIÓN!W1395,IF(COTIZACIÓN!D1391='BD GN'!$C$41,COTIZACIÓN!W1395,IF(COTIZACIÓN!D1391='BD GN'!$C$42,COTIZACIÓN!W1395,IF(COTIZACIÓN!D1391='BD GN'!$C$49,COTIZACIÓN!W1395,IF(COTIZACIÓN!D1391='BD GN'!$C$50,COTIZACIÓN!W1395,IF(COTIZACIÓN!D1391='BD GN'!$C$51,COTIZACIÓN!W1395,IF(COTIZACIÓN!D1391='BD GN'!$C$67,COTIZACIÓN!W1395,0))))))))))))))))),0)</f>
        <v>0</v>
      </c>
      <c r="Z1395" s="461">
        <f>IFERROR(W1395-Y1395,0)</f>
        <v>0</v>
      </c>
      <c r="AA1395" s="225"/>
      <c r="AB1395" s="226"/>
      <c r="AC1395" s="206"/>
      <c r="AD1395" s="206"/>
      <c r="AE1395" s="206"/>
      <c r="AF1395" s="227"/>
      <c r="AG1395" s="206"/>
      <c r="AH1395" s="206"/>
      <c r="AI1395" s="206"/>
      <c r="AJ1395" s="206"/>
      <c r="AK1395" s="227"/>
      <c r="AL1395" s="210"/>
      <c r="AM1395" s="206"/>
      <c r="AN1395" s="206"/>
      <c r="AO1395" s="228"/>
      <c r="AP1395" s="229"/>
      <c r="AQ1395" s="206"/>
      <c r="AR1395" s="206"/>
      <c r="AS1395" s="228"/>
      <c r="AT1395" s="229"/>
      <c r="AU1395" s="228"/>
      <c r="AV1395" s="229"/>
      <c r="AW1395" s="228"/>
      <c r="AX1395" s="229"/>
      <c r="AY1395" s="206"/>
      <c r="AZ1395" s="229"/>
      <c r="BA1395" s="210"/>
      <c r="BC1395" s="211" t="s">
        <v>117</v>
      </c>
      <c r="BD1395" s="210"/>
      <c r="BE1395" s="177" t="str">
        <f>IFERROR(VLOOKUP(D1391,'BD M.O'!C:I,6,FALSE),"")</f>
        <v/>
      </c>
      <c r="BF1395" s="177" t="s">
        <v>261</v>
      </c>
      <c r="BH1395" s="184"/>
      <c r="BI1395" s="210"/>
      <c r="BJ1395" s="185"/>
      <c r="BN1395" s="184"/>
      <c r="BO1395" s="210"/>
      <c r="BP1395" s="183"/>
      <c r="BQ1395" s="183"/>
      <c r="BR1395" s="183"/>
      <c r="BW1395" s="210"/>
      <c r="CD1395" s="184"/>
      <c r="CF1395" s="185"/>
      <c r="CI1395" s="184"/>
      <c r="CJ1395" s="210"/>
      <c r="CK1395" s="563"/>
      <c r="CM1395" s="559"/>
      <c r="CN1395" s="559"/>
      <c r="CO1395" s="567"/>
      <c r="CP1395" s="567"/>
      <c r="CQ1395" s="567"/>
      <c r="CR1395" s="567"/>
      <c r="CS1395" s="567"/>
      <c r="CT1395" s="567"/>
      <c r="CU1395" s="563"/>
      <c r="CV1395" s="561"/>
      <c r="CW1395" s="563"/>
      <c r="CX1395" s="561"/>
      <c r="CY1395" s="563"/>
      <c r="CZ1395" s="561"/>
      <c r="DA1395" s="563"/>
      <c r="DB1395" s="561"/>
      <c r="DC1395" s="563"/>
      <c r="DD1395" s="561"/>
      <c r="DG1395" s="576"/>
      <c r="DH1395" s="576"/>
      <c r="DI1395" s="570"/>
      <c r="DJ1395" s="570"/>
      <c r="DK1395" s="570"/>
      <c r="DL1395" s="570"/>
      <c r="DM1395" s="573"/>
      <c r="DN1395" s="570"/>
      <c r="DO1395" s="570"/>
      <c r="DP1395" s="570"/>
      <c r="DQ1395" s="570"/>
      <c r="DR1395" s="570"/>
      <c r="DS1395" s="570"/>
      <c r="DT1395" s="570"/>
      <c r="DU1395" s="570"/>
      <c r="DV1395" s="576"/>
      <c r="DW1395" s="576"/>
      <c r="DX1395" s="570"/>
      <c r="DY1395" s="570"/>
    </row>
    <row r="1396" spans="1:194" s="252" customFormat="1" ht="54.95" customHeight="1" x14ac:dyDescent="0.25">
      <c r="A1396" s="368"/>
      <c r="B1396" s="369"/>
      <c r="C1396" s="396" t="s">
        <v>10</v>
      </c>
      <c r="D1396" s="600" t="s">
        <v>32</v>
      </c>
      <c r="E1396" s="600"/>
      <c r="F1396" s="600"/>
      <c r="G1396" s="600"/>
      <c r="H1396" s="600"/>
      <c r="I1396" s="600"/>
      <c r="J1396" s="605"/>
      <c r="K1396" s="605"/>
      <c r="L1396" s="608"/>
      <c r="M1396" s="597"/>
      <c r="N1396" s="611"/>
      <c r="O1396" s="614"/>
      <c r="P1396" s="192"/>
      <c r="Q1396" s="239"/>
      <c r="R1396" s="239"/>
      <c r="S1396" s="234"/>
      <c r="T1396" s="243"/>
      <c r="U1396" s="244"/>
      <c r="V1396" s="245"/>
      <c r="W1396" s="177" t="s">
        <v>394</v>
      </c>
      <c r="X1396" s="246">
        <f>IFERROR(SUM(W1391:X1391),"")</f>
        <v>0</v>
      </c>
      <c r="Y1396" s="166" t="s">
        <v>404</v>
      </c>
      <c r="Z1396" s="199">
        <f>IFERROR(Y1391+Z1391,"")</f>
        <v>4.7901128266487999E-2</v>
      </c>
      <c r="AA1396" s="247"/>
      <c r="AB1396" s="243"/>
      <c r="AC1396" s="244"/>
      <c r="AD1396" s="244"/>
      <c r="AE1396" s="244"/>
      <c r="AF1396" s="270"/>
      <c r="AG1396" s="244"/>
      <c r="AH1396" s="244"/>
      <c r="AI1396" s="244"/>
      <c r="AJ1396" s="244"/>
      <c r="AK1396" s="270"/>
      <c r="AL1396" s="270"/>
      <c r="AM1396" s="248"/>
      <c r="AN1396" s="248"/>
      <c r="AO1396" s="249"/>
      <c r="AP1396" s="250"/>
      <c r="AQ1396" s="248"/>
      <c r="AR1396" s="248"/>
      <c r="AS1396" s="249"/>
      <c r="AT1396" s="250"/>
      <c r="AU1396" s="249"/>
      <c r="AV1396" s="250"/>
      <c r="AW1396" s="249"/>
      <c r="AX1396" s="250"/>
      <c r="AY1396" s="248"/>
      <c r="AZ1396" s="250"/>
      <c r="BA1396" s="210"/>
      <c r="BB1396" s="175"/>
      <c r="BC1396" s="175" t="s">
        <v>118</v>
      </c>
      <c r="BD1396" s="210"/>
      <c r="BE1396" s="177" t="str">
        <f>IFERROR(VLOOKUP(D1391,'BD M.O'!C:I,7,FALSE),"")</f>
        <v/>
      </c>
      <c r="BF1396" s="177" t="s">
        <v>262</v>
      </c>
      <c r="BG1396" s="257"/>
      <c r="BH1396" s="271"/>
      <c r="BI1396" s="210"/>
      <c r="BJ1396" s="272"/>
      <c r="BK1396" s="257"/>
      <c r="BL1396" s="257"/>
      <c r="BM1396" s="257"/>
      <c r="BN1396" s="271"/>
      <c r="BO1396" s="210"/>
      <c r="BP1396" s="175"/>
      <c r="BQ1396" s="175"/>
      <c r="BR1396" s="175"/>
      <c r="BS1396" s="183"/>
      <c r="BT1396" s="183"/>
      <c r="BU1396" s="183"/>
      <c r="BV1396" s="183"/>
      <c r="BW1396" s="210"/>
      <c r="BX1396" s="175"/>
      <c r="BY1396" s="175"/>
      <c r="BZ1396" s="175"/>
      <c r="CA1396" s="175"/>
      <c r="CB1396" s="175"/>
      <c r="CC1396" s="175"/>
      <c r="CD1396" s="184"/>
      <c r="CE1396" s="175"/>
      <c r="CF1396" s="185"/>
      <c r="CG1396" s="175"/>
      <c r="CH1396" s="175"/>
      <c r="CI1396" s="184"/>
      <c r="CJ1396" s="210"/>
      <c r="CK1396" s="564"/>
      <c r="CL1396" s="257"/>
      <c r="CM1396" s="597"/>
      <c r="CN1396" s="597"/>
      <c r="CO1396" s="567"/>
      <c r="CP1396" s="567"/>
      <c r="CQ1396" s="567"/>
      <c r="CR1396" s="567"/>
      <c r="CS1396" s="567"/>
      <c r="CT1396" s="567"/>
      <c r="CU1396" s="564"/>
      <c r="CV1396" s="562"/>
      <c r="CW1396" s="564"/>
      <c r="CX1396" s="562"/>
      <c r="CY1396" s="564"/>
      <c r="CZ1396" s="562"/>
      <c r="DA1396" s="564"/>
      <c r="DB1396" s="562"/>
      <c r="DC1396" s="564"/>
      <c r="DD1396" s="562"/>
      <c r="DE1396" s="175"/>
      <c r="DF1396" s="175"/>
      <c r="DG1396" s="577"/>
      <c r="DH1396" s="577"/>
      <c r="DI1396" s="571"/>
      <c r="DJ1396" s="571"/>
      <c r="DK1396" s="571"/>
      <c r="DL1396" s="571"/>
      <c r="DM1396" s="574"/>
      <c r="DN1396" s="571"/>
      <c r="DO1396" s="571"/>
      <c r="DP1396" s="571"/>
      <c r="DQ1396" s="571"/>
      <c r="DR1396" s="571"/>
      <c r="DS1396" s="571"/>
      <c r="DT1396" s="571"/>
      <c r="DU1396" s="571"/>
      <c r="DV1396" s="577"/>
      <c r="DW1396" s="577"/>
      <c r="DX1396" s="571"/>
      <c r="DY1396" s="571"/>
      <c r="DZ1396" s="175"/>
      <c r="EA1396" s="175"/>
      <c r="EB1396" s="175"/>
      <c r="EC1396" s="175"/>
      <c r="ED1396" s="175"/>
      <c r="EE1396" s="175"/>
      <c r="EF1396" s="175"/>
      <c r="EG1396" s="175"/>
      <c r="EH1396" s="175"/>
      <c r="EI1396" s="175"/>
      <c r="EJ1396" s="175"/>
      <c r="EK1396" s="175"/>
      <c r="EL1396" s="175"/>
      <c r="EM1396" s="175"/>
      <c r="EN1396" s="175"/>
      <c r="EO1396" s="175"/>
      <c r="EP1396" s="175"/>
      <c r="EQ1396" s="175"/>
      <c r="ER1396" s="175"/>
      <c r="ES1396" s="175"/>
      <c r="ET1396" s="175"/>
      <c r="EU1396" s="175"/>
      <c r="EV1396" s="175"/>
      <c r="EW1396" s="175"/>
      <c r="EX1396" s="175"/>
      <c r="EY1396" s="175"/>
      <c r="EZ1396" s="175"/>
      <c r="FA1396" s="175"/>
      <c r="FB1396" s="175"/>
      <c r="FC1396" s="175"/>
      <c r="FD1396" s="175"/>
      <c r="FE1396" s="175"/>
      <c r="FF1396" s="175"/>
      <c r="FG1396" s="175"/>
      <c r="FH1396" s="175"/>
      <c r="FI1396" s="175"/>
      <c r="FJ1396" s="175"/>
      <c r="FK1396" s="175"/>
      <c r="FL1396" s="175"/>
      <c r="FM1396" s="175"/>
      <c r="FN1396" s="175"/>
      <c r="FO1396" s="175"/>
      <c r="FP1396" s="175"/>
      <c r="FQ1396" s="175"/>
      <c r="FR1396" s="175"/>
      <c r="FS1396" s="175"/>
      <c r="FT1396" s="175"/>
      <c r="FU1396" s="175"/>
      <c r="FV1396" s="175"/>
      <c r="FW1396" s="175"/>
      <c r="FX1396" s="175"/>
      <c r="FY1396" s="175"/>
      <c r="FZ1396" s="175"/>
      <c r="GA1396" s="175"/>
      <c r="GB1396" s="175"/>
      <c r="GC1396" s="175"/>
      <c r="GD1396" s="175"/>
      <c r="GE1396" s="175"/>
      <c r="GF1396" s="175"/>
      <c r="GG1396" s="175"/>
      <c r="GH1396" s="175"/>
      <c r="GI1396" s="175"/>
      <c r="GJ1396" s="175"/>
      <c r="GK1396" s="175"/>
      <c r="GL1396" s="175"/>
    </row>
    <row r="1397" spans="1:194" s="255" customFormat="1" ht="54.95" customHeight="1" x14ac:dyDescent="0.3">
      <c r="A1397" s="380" t="s">
        <v>193</v>
      </c>
      <c r="B1397" s="381" t="s">
        <v>25</v>
      </c>
      <c r="C1397" s="409" t="s">
        <v>174</v>
      </c>
      <c r="D1397" s="601" t="s">
        <v>173</v>
      </c>
      <c r="E1397" s="601"/>
      <c r="F1397" s="601"/>
      <c r="G1397" s="601"/>
      <c r="H1397" s="601"/>
      <c r="I1397" s="601"/>
      <c r="J1397" s="437" t="s">
        <v>406</v>
      </c>
      <c r="K1397" s="437" t="s">
        <v>405</v>
      </c>
      <c r="L1397" s="438" t="s">
        <v>171</v>
      </c>
      <c r="M1397" s="381" t="s">
        <v>2</v>
      </c>
      <c r="N1397" s="439" t="s">
        <v>7</v>
      </c>
      <c r="O1397" s="440" t="s">
        <v>8</v>
      </c>
      <c r="P1397" s="159"/>
      <c r="Q1397" s="164" t="s">
        <v>93</v>
      </c>
      <c r="R1397" s="164" t="s">
        <v>34</v>
      </c>
      <c r="S1397" s="164" t="s">
        <v>28</v>
      </c>
      <c r="T1397" s="164" t="s">
        <v>95</v>
      </c>
      <c r="U1397" s="164" t="s">
        <v>96</v>
      </c>
      <c r="V1397" s="164" t="s">
        <v>97</v>
      </c>
      <c r="W1397" s="164" t="s">
        <v>4</v>
      </c>
      <c r="X1397" s="164" t="s">
        <v>103</v>
      </c>
      <c r="Y1397" s="160" t="s">
        <v>402</v>
      </c>
      <c r="Z1397" s="165" t="s">
        <v>403</v>
      </c>
      <c r="AA1397" s="166" t="s">
        <v>404</v>
      </c>
      <c r="AB1397" s="164" t="s">
        <v>99</v>
      </c>
      <c r="AC1397" s="164" t="s">
        <v>395</v>
      </c>
      <c r="AD1397" s="253" t="s">
        <v>36</v>
      </c>
      <c r="AE1397" s="164" t="s">
        <v>389</v>
      </c>
      <c r="AF1397" s="164" t="s">
        <v>390</v>
      </c>
      <c r="AG1397" s="164" t="s">
        <v>164</v>
      </c>
      <c r="AH1397" s="253" t="s">
        <v>396</v>
      </c>
      <c r="AI1397" s="164" t="s">
        <v>190</v>
      </c>
      <c r="AJ1397" s="164" t="s">
        <v>339</v>
      </c>
      <c r="AK1397" s="253" t="s">
        <v>391</v>
      </c>
      <c r="AL1397" s="253" t="s">
        <v>393</v>
      </c>
      <c r="AM1397" s="167" t="s">
        <v>93</v>
      </c>
      <c r="AN1397" s="168" t="s">
        <v>34</v>
      </c>
      <c r="AO1397" s="169" t="s">
        <v>28</v>
      </c>
      <c r="AP1397" s="170" t="s">
        <v>95</v>
      </c>
      <c r="AQ1397" s="167" t="s">
        <v>3</v>
      </c>
      <c r="AR1397" s="167" t="s">
        <v>96</v>
      </c>
      <c r="AS1397" s="169" t="s">
        <v>97</v>
      </c>
      <c r="AT1397" s="170" t="s">
        <v>4</v>
      </c>
      <c r="AU1397" s="169" t="s">
        <v>103</v>
      </c>
      <c r="AV1397" s="170" t="s">
        <v>99</v>
      </c>
      <c r="AW1397" s="169" t="s">
        <v>36</v>
      </c>
      <c r="AX1397" s="171" t="s">
        <v>29</v>
      </c>
      <c r="AY1397" s="172" t="s">
        <v>190</v>
      </c>
      <c r="AZ1397" s="173" t="s">
        <v>102</v>
      </c>
      <c r="BA1397" s="174"/>
      <c r="BB1397" s="183"/>
      <c r="BC1397" s="211" t="s">
        <v>119</v>
      </c>
      <c r="BD1397" s="174"/>
      <c r="BE1397" s="176" t="s">
        <v>189</v>
      </c>
      <c r="BF1397" s="177" t="str">
        <f>$BF$13</f>
        <v xml:space="preserve">VR SILICONA </v>
      </c>
      <c r="BG1397" s="177" t="str">
        <f>$BG$13</f>
        <v xml:space="preserve">VR PELÍCULA </v>
      </c>
      <c r="BH1397" s="177" t="str">
        <f>$BH$13</f>
        <v>VR EMBALAJE</v>
      </c>
      <c r="BI1397" s="174"/>
      <c r="BJ1397" s="176" t="str">
        <f>$BJ$13</f>
        <v>ESP. CRISTAL</v>
      </c>
      <c r="BK1397" s="176" t="s">
        <v>130</v>
      </c>
      <c r="BL1397" s="177" t="s">
        <v>28</v>
      </c>
      <c r="BM1397" s="177">
        <f>BM1390</f>
        <v>0</v>
      </c>
      <c r="BN1397" s="177" t="s">
        <v>133</v>
      </c>
      <c r="BO1397" s="174"/>
      <c r="BP1397" s="175"/>
      <c r="BQ1397" s="175"/>
      <c r="BR1397" s="175"/>
      <c r="BS1397" s="175"/>
      <c r="BT1397" s="175"/>
      <c r="BU1397" s="175"/>
      <c r="BV1397" s="175"/>
      <c r="BW1397" s="174"/>
      <c r="BX1397" s="175"/>
      <c r="BY1397" s="175"/>
      <c r="BZ1397" s="175"/>
      <c r="CA1397" s="175"/>
      <c r="CB1397" s="175"/>
      <c r="CC1397" s="175"/>
      <c r="CD1397" s="184"/>
      <c r="CE1397" s="175"/>
      <c r="CF1397" s="185"/>
      <c r="CG1397" s="175"/>
      <c r="CH1397" s="175"/>
      <c r="CI1397" s="184"/>
      <c r="CJ1397" s="174"/>
      <c r="CK1397" s="254" t="s">
        <v>415</v>
      </c>
      <c r="CL1397" s="265" t="s">
        <v>417</v>
      </c>
      <c r="CM1397" s="265" t="s">
        <v>416</v>
      </c>
      <c r="CN1397" s="266" t="s">
        <v>418</v>
      </c>
      <c r="CO1397" s="265" t="s">
        <v>417</v>
      </c>
      <c r="CP1397" s="265" t="s">
        <v>409</v>
      </c>
      <c r="CQ1397" s="265" t="s">
        <v>410</v>
      </c>
      <c r="CR1397" s="265" t="s">
        <v>411</v>
      </c>
      <c r="CS1397" s="265" t="s">
        <v>412</v>
      </c>
      <c r="CT1397" s="265" t="s">
        <v>413</v>
      </c>
      <c r="CU1397" s="189" t="s">
        <v>2</v>
      </c>
      <c r="CV1397" s="190" t="s">
        <v>159</v>
      </c>
      <c r="CW1397" s="189" t="s">
        <v>2</v>
      </c>
      <c r="CX1397" s="190" t="s">
        <v>159</v>
      </c>
      <c r="CY1397" s="189" t="s">
        <v>2</v>
      </c>
      <c r="CZ1397" s="190" t="s">
        <v>159</v>
      </c>
      <c r="DA1397" s="189" t="s">
        <v>2</v>
      </c>
      <c r="DB1397" s="190" t="s">
        <v>159</v>
      </c>
      <c r="DC1397" s="189" t="s">
        <v>2</v>
      </c>
      <c r="DD1397" s="190" t="s">
        <v>159</v>
      </c>
      <c r="DE1397" s="183"/>
      <c r="DF1397" s="183"/>
      <c r="DG1397" s="177" t="s">
        <v>505</v>
      </c>
      <c r="DH1397" s="472" t="s">
        <v>509</v>
      </c>
      <c r="DI1397" s="457" t="s">
        <v>506</v>
      </c>
      <c r="DJ1397" s="457" t="s">
        <v>134</v>
      </c>
      <c r="DK1397" s="457" t="s">
        <v>498</v>
      </c>
      <c r="DL1397" s="457" t="s">
        <v>499</v>
      </c>
      <c r="DM1397" s="457" t="s">
        <v>500</v>
      </c>
      <c r="DN1397" s="457" t="s">
        <v>131</v>
      </c>
      <c r="DO1397" s="457" t="s">
        <v>390</v>
      </c>
      <c r="DP1397" s="457" t="s">
        <v>36</v>
      </c>
      <c r="DQ1397" s="457" t="s">
        <v>501</v>
      </c>
      <c r="DR1397" s="457" t="s">
        <v>502</v>
      </c>
      <c r="DS1397" s="457" t="s">
        <v>503</v>
      </c>
      <c r="DT1397" s="457" t="s">
        <v>4</v>
      </c>
      <c r="DU1397" s="457" t="s">
        <v>504</v>
      </c>
      <c r="DV1397" s="466" t="s">
        <v>507</v>
      </c>
      <c r="DW1397" s="466" t="s">
        <v>508</v>
      </c>
      <c r="DX1397" s="457" t="s">
        <v>510</v>
      </c>
      <c r="DY1397" s="457" t="s">
        <v>511</v>
      </c>
      <c r="DZ1397" s="183"/>
      <c r="EA1397" s="183"/>
      <c r="EB1397" s="183"/>
      <c r="EC1397" s="183"/>
      <c r="ED1397" s="183"/>
      <c r="EE1397" s="183"/>
      <c r="EF1397" s="183"/>
      <c r="EG1397" s="183"/>
      <c r="EH1397" s="183"/>
      <c r="EI1397" s="183"/>
      <c r="EJ1397" s="183"/>
      <c r="EK1397" s="183"/>
      <c r="EL1397" s="183"/>
      <c r="EM1397" s="183"/>
      <c r="EN1397" s="183"/>
      <c r="EO1397" s="183"/>
      <c r="EP1397" s="183"/>
      <c r="EQ1397" s="183"/>
      <c r="ER1397" s="183"/>
      <c r="ES1397" s="183"/>
      <c r="ET1397" s="183"/>
      <c r="EU1397" s="183"/>
      <c r="EV1397" s="183"/>
      <c r="EW1397" s="183"/>
      <c r="EX1397" s="183"/>
      <c r="EY1397" s="183"/>
      <c r="EZ1397" s="183"/>
      <c r="FA1397" s="183"/>
      <c r="FB1397" s="183"/>
      <c r="FC1397" s="183"/>
      <c r="FD1397" s="183"/>
      <c r="FE1397" s="183"/>
      <c r="FF1397" s="183"/>
      <c r="FG1397" s="183"/>
      <c r="FH1397" s="183"/>
      <c r="FI1397" s="183"/>
      <c r="FJ1397" s="183"/>
      <c r="FK1397" s="183"/>
      <c r="FL1397" s="183"/>
      <c r="FM1397" s="183"/>
      <c r="FN1397" s="183"/>
      <c r="FO1397" s="183"/>
      <c r="FP1397" s="183"/>
      <c r="FQ1397" s="183"/>
      <c r="FR1397" s="183"/>
      <c r="FS1397" s="183"/>
      <c r="FT1397" s="183"/>
      <c r="FU1397" s="183"/>
      <c r="FV1397" s="183"/>
      <c r="FW1397" s="183"/>
      <c r="FX1397" s="183"/>
      <c r="FY1397" s="183"/>
      <c r="FZ1397" s="183"/>
      <c r="GA1397" s="183"/>
      <c r="GB1397" s="183"/>
      <c r="GC1397" s="183"/>
      <c r="GD1397" s="183"/>
      <c r="GE1397" s="183"/>
      <c r="GF1397" s="183"/>
      <c r="GG1397" s="183"/>
      <c r="GH1397" s="183"/>
      <c r="GI1397" s="183"/>
      <c r="GJ1397" s="183"/>
      <c r="GK1397" s="183"/>
      <c r="GL1397" s="183"/>
    </row>
    <row r="1398" spans="1:194" s="175" customFormat="1" ht="54.95" customHeight="1" x14ac:dyDescent="0.3">
      <c r="A1398" s="364"/>
      <c r="B1398" s="365"/>
      <c r="C1398" s="392" t="s">
        <v>27</v>
      </c>
      <c r="D1398" s="602"/>
      <c r="E1398" s="602"/>
      <c r="F1398" s="602"/>
      <c r="G1398" s="602"/>
      <c r="H1398" s="602"/>
      <c r="I1398" s="602"/>
      <c r="J1398" s="603"/>
      <c r="K1398" s="603"/>
      <c r="L1398" s="606">
        <f>J1398*K1398*M1398</f>
        <v>0</v>
      </c>
      <c r="M1398" s="596"/>
      <c r="N1398" s="609">
        <f>IFERROR(AL1398,"")</f>
        <v>1.1502546360919998</v>
      </c>
      <c r="O1398" s="612">
        <f>IFERROR(N1398*M1398,"")</f>
        <v>0</v>
      </c>
      <c r="P1398" s="192"/>
      <c r="Q1398" s="193">
        <f>Q1399+BF1398+($R$350*Q1399)</f>
        <v>0</v>
      </c>
      <c r="R1398" s="193">
        <f>IFERROR(R1399+($R$348*R1399),"")</f>
        <v>0</v>
      </c>
      <c r="S1398" s="194">
        <f>+IF(R1400="SI",((W1402*'BD GN'!$AB$2)+S1399)*1,COTIZACIÓN!S1399*1)+($R$352*S1399)</f>
        <v>0</v>
      </c>
      <c r="T1398" s="195">
        <f>IFERROR(R1398*IF(K1398&lt;=3,$T$13,15%),"")</f>
        <v>0</v>
      </c>
      <c r="U1398" s="196">
        <f>BH1398+BG1398</f>
        <v>0</v>
      </c>
      <c r="V1398" s="197" t="str">
        <f>IFERROR(BN1398,0)</f>
        <v/>
      </c>
      <c r="W1398" s="198" t="str">
        <f>IFERROR(IF(X1400="SI",W1401*J1398*K1398,IF(BE1398=3,BE1400,IF(BE1398=4,BE1401,IF(BE1398=5,BE1402,IF(BE1398&gt;5,BE1402+(BE1403*(BE1398-5)),"")))))*0,"")</f>
        <v/>
      </c>
      <c r="X1398" s="198" t="str">
        <f>IFERROR(IF(X1399="NO",(VLOOKUP(D1398,'BD M.O'!C:E,3,FALSE))*W1402,((VLOOKUP(D1398,'BD M.O'!C:E,3,FALSE))+7500)*W1402),"")</f>
        <v/>
      </c>
      <c r="Y1398" s="198">
        <f>IFERROR($Y$13*AK1398,"")</f>
        <v>4.2084457416288003E-2</v>
      </c>
      <c r="Z1398" s="198">
        <f>IFERROR($Z$13*AK1398,"")</f>
        <v>5.8166708502000002E-3</v>
      </c>
      <c r="AA1398" s="199">
        <f>IFERROR(Y1398+Z1398,"")</f>
        <v>4.7901128266487999E-2</v>
      </c>
      <c r="AB1398" s="200">
        <f>IFERROR((SUM(Q1398:X1398)-T1398+T1400)*$AB$13,"")</f>
        <v>0</v>
      </c>
      <c r="AC1398" s="201">
        <f>IFERROR(((SUM(Q1398:V1398,IF(X1403&gt;AA1398,AVERAGE(X1403,AA1398),AA1398))-T1398+T1400))*$AB$13,"")</f>
        <v>9.5802256532976E-4</v>
      </c>
      <c r="AD1398" s="202" t="str">
        <f>IFERROR((J1398*K1398*$BV$14),"")</f>
        <v/>
      </c>
      <c r="AE1398" s="202">
        <f>IFERROR($AE$13*AK1398,"")</f>
        <v>6.4010592649919984E-2</v>
      </c>
      <c r="AF1398" s="203" t="str">
        <f>IFERROR(($CI$11+$CI$13)*W1402,"")</f>
        <v/>
      </c>
      <c r="AG1398" s="267">
        <f>IFERROR((SUM(Q1398:X1398,AB1398,AD1398,AF1398)-T1398+T1400)*$AG$13,"")</f>
        <v>0</v>
      </c>
      <c r="AH1398" s="202">
        <f>IFERROR((SUM(Q1398:V1398,(IF(X1403&gt;AA1398,AVERAGE(X1403,AA1398),AA1398)),AC1398,AE1398,AF1398)-T1398+T1400)*$AG$13,"")</f>
        <v>5.6434871740868871E-2</v>
      </c>
      <c r="AI1398" s="268">
        <f>IFERROR(AL1398*$AI$13,"")</f>
        <v>2.3005092721839999E-2</v>
      </c>
      <c r="AJ1398" s="268">
        <f>IFERROR($AJ$13*AL1398,"")</f>
        <v>6.4184208693933587E-3</v>
      </c>
      <c r="AK1398" s="205">
        <f>IFERROR(SUM(Q1398:X1398,AB1398,AD1398,AG1398,AF1398)/(1-$AI$13)+(1-$AJ$13)-T1398+T1400,"")</f>
        <v>0.99441999999999997</v>
      </c>
      <c r="AL1398" s="205">
        <f>IFERROR(SUM(Q1398:V1398,AC1398,(IF(AD1398&gt;AE1398,AVERAGE(AD1398,AE1398),AE1398)),AF1398,,AH1398,(IF(SUM(X1403)&gt;AA1398,AVERAGE(AA1398,X1403),AA1398)))/(1-$AJ$13)+(1-$AI$13)-T1398+T1400,"")</f>
        <v>1.1502546360919998</v>
      </c>
      <c r="AM1398" s="206">
        <f>$M$15*Q1398</f>
        <v>0</v>
      </c>
      <c r="AN1398" s="207">
        <f>$M$15*R1398</f>
        <v>0</v>
      </c>
      <c r="AO1398" s="208">
        <f>$M$15*S1398</f>
        <v>0</v>
      </c>
      <c r="AP1398" s="207">
        <f>$M$15*T1398</f>
        <v>0</v>
      </c>
      <c r="AQ1398" s="207" t="e">
        <f>$M$15*#REF!</f>
        <v>#REF!</v>
      </c>
      <c r="AR1398" s="207">
        <f>$M$15*U1398</f>
        <v>0</v>
      </c>
      <c r="AS1398" s="208" t="e">
        <f>$M$15*V1398</f>
        <v>#VALUE!</v>
      </c>
      <c r="AT1398" s="207" t="e">
        <f>$M$15*W1398</f>
        <v>#VALUE!</v>
      </c>
      <c r="AU1398" s="208" t="e">
        <f>$M$15*X1398</f>
        <v>#VALUE!</v>
      </c>
      <c r="AV1398" s="207">
        <f>$M$15*AB1398</f>
        <v>0</v>
      </c>
      <c r="AW1398" s="208">
        <f>$M$15*AE1398</f>
        <v>0</v>
      </c>
      <c r="AX1398" s="207">
        <f>$M$15*AG1398</f>
        <v>0</v>
      </c>
      <c r="AY1398" s="209">
        <f>$M$15*AI1398</f>
        <v>0</v>
      </c>
      <c r="AZ1398" s="207">
        <f>$M$15*AK1398</f>
        <v>0</v>
      </c>
      <c r="BA1398" s="210"/>
      <c r="BB1398" s="175" t="s">
        <v>23</v>
      </c>
      <c r="BC1398" s="211" t="s">
        <v>113</v>
      </c>
      <c r="BD1398" s="210"/>
      <c r="BE1398" s="212"/>
      <c r="BF1398" s="213">
        <f>IF(BH1399="NO",((2*J1398)+(2*K1398))*'BD GN'!$AU$3,((3*J1398)+(2*K1398))*'BD GN'!$AU$3)</f>
        <v>0</v>
      </c>
      <c r="BG1398" s="213">
        <f>'BD GN'!$BB$3*J1398*K1398</f>
        <v>0</v>
      </c>
      <c r="BH1398" s="214">
        <f>((J1398*2*BE1398)+(K1398*2*BE1398))*'BD GN'!$AN$4</f>
        <v>0</v>
      </c>
      <c r="BI1398" s="210"/>
      <c r="BJ1398" s="212"/>
      <c r="BK1398" s="212"/>
      <c r="BL1398" s="215">
        <f>J1398*K1398*2.5*BJ1398</f>
        <v>0</v>
      </c>
      <c r="BM1398" s="215">
        <f>BK1398+BL1398</f>
        <v>0</v>
      </c>
      <c r="BN1398" s="216" t="str">
        <f>IFERROR((VLOOKUP($C$12,'BD GN'!BD:BM,10,FALSE)*BM1398)+0,"")</f>
        <v/>
      </c>
      <c r="BO1398" s="210"/>
      <c r="BW1398" s="210"/>
      <c r="CD1398" s="184"/>
      <c r="CF1398" s="185"/>
      <c r="CI1398" s="184"/>
      <c r="CJ1398" s="210"/>
      <c r="CK1398" s="565"/>
      <c r="CL1398" s="256"/>
      <c r="CM1398" s="596"/>
      <c r="CN1398" s="596"/>
      <c r="CO1398" s="567"/>
      <c r="CP1398" s="567"/>
      <c r="CQ1398" s="567"/>
      <c r="CR1398" s="567"/>
      <c r="CS1398" s="567"/>
      <c r="CT1398" s="567"/>
      <c r="CU1398" s="565"/>
      <c r="CV1398" s="560">
        <f>IFERROR(N1398*CU1398,"")</f>
        <v>0</v>
      </c>
      <c r="CW1398" s="565"/>
      <c r="CX1398" s="560">
        <f>IFERROR(P1398*CW1398,"")</f>
        <v>0</v>
      </c>
      <c r="CY1398" s="565"/>
      <c r="CZ1398" s="560">
        <f>IFERROR(R1398*CY1398,"")</f>
        <v>0</v>
      </c>
      <c r="DA1398" s="565">
        <f t="shared" ref="DA1398" si="1513">CU1398+CW1398+CY1398</f>
        <v>0</v>
      </c>
      <c r="DB1398" s="560">
        <f t="shared" ref="DB1398" si="1514">IFERROR(CV1398+CX1398+CZ1398,"")</f>
        <v>0</v>
      </c>
      <c r="DC1398" s="565">
        <f>M1398-(CU1398+CW1398+CY1398)</f>
        <v>0</v>
      </c>
      <c r="DD1398" s="560">
        <f>IFERROR(O1398-(CV1398+CX1398+CZ1398),"")</f>
        <v>0</v>
      </c>
      <c r="DG1398" s="575"/>
      <c r="DH1398" s="575"/>
      <c r="DI1398" s="569">
        <f t="shared" ref="DI1398" si="1515">IFERROR(IF(DG1398&gt;0,(((N1398)/(1+10%+19%*5%)+((N1398)/(1+10%+19%*5%))*10%)*DH1398),0),0)</f>
        <v>0</v>
      </c>
      <c r="DJ1398" s="569">
        <f t="shared" ref="DJ1398" si="1516">IFERROR(IF(DG1398&gt;0,(N1398*DH1398),0),0)</f>
        <v>0</v>
      </c>
      <c r="DK1398" s="569">
        <f t="shared" ref="DK1398" si="1517">IF(DG1398&gt;0,((R1398+T1398)*DH1398),0)</f>
        <v>0</v>
      </c>
      <c r="DL1398" s="569">
        <f t="shared" ref="DL1398" si="1518">IF(DG1398&gt;0,(Q1398*DH1398),0)</f>
        <v>0</v>
      </c>
      <c r="DM1398" s="572">
        <f t="shared" ref="DM1398" si="1519">IF(DG1398&gt;0,(S1398*DH1398),0)</f>
        <v>0</v>
      </c>
      <c r="DN1398" s="569">
        <f t="shared" ref="DN1398" si="1520">IF(DG1398&gt;0,(BN1398*DH1398),0)</f>
        <v>0</v>
      </c>
      <c r="DO1398" s="569">
        <f t="shared" ref="DO1398" si="1521">IF(DG1398&gt;0,(AF1398*DH1398),0)</f>
        <v>0</v>
      </c>
      <c r="DP1398" s="569">
        <f>IF(DG1398&gt;0,((DI1398)*('BD P&amp;G'!$E$16+'BD P&amp;G'!$E$17+'BD P&amp;G'!$E$18+'BD P&amp;G'!$E$19+'BD P&amp;G'!$E$20+'BD P&amp;G'!$E$21+'BD P&amp;G'!$E$22+'BD P&amp;G'!$E$23)*DH1398),0)</f>
        <v>0</v>
      </c>
      <c r="DQ1398" s="569">
        <f>IFERROR(IF(DG1398&gt;0,((DI1398*'BD P&amp;G'!$E$7)+(DI1398*'BD P&amp;G'!$E$9)+AI1398),0),0)</f>
        <v>0</v>
      </c>
      <c r="DR1398" s="569">
        <f t="shared" ref="DR1398" si="1522">IFERROR(IF(DG1398&gt;0,((DI1398*1%)),0),0)</f>
        <v>0</v>
      </c>
      <c r="DS1398" s="569">
        <f>IFERROR(IF(DG1398&gt;0,(((DI1398*'BD P&amp;G'!$E$32+DI1398*'BD P&amp;G'!$E$33+DI1398*'BD P&amp;G'!$E$35+DI1398*'BD P&amp;G'!$E$36+DI1398*'BD P&amp;G'!$E$37))),0),0)</f>
        <v>0</v>
      </c>
      <c r="DT1398" s="569">
        <f t="shared" ref="DT1398" si="1523">IF(DG1398&gt;0,(Y1398*DH1398),0)</f>
        <v>0</v>
      </c>
      <c r="DU1398" s="569">
        <f t="shared" ref="DU1398" si="1524">IF(DG1398&gt;0,(Z1398*DH1398),0)</f>
        <v>0</v>
      </c>
      <c r="DV1398" s="575">
        <f t="shared" ref="DV1398" si="1525">IF(DG1398&gt;0,(Y1402*DH1398),0)</f>
        <v>0</v>
      </c>
      <c r="DW1398" s="575">
        <f t="shared" ref="DW1398" si="1526">IF(DG1398&gt;0,(Z1402*DH1398),0)</f>
        <v>0</v>
      </c>
      <c r="DX1398" s="569">
        <f t="shared" ref="DX1398" si="1527">IF(DV1398&gt;0,DJ1398,0)</f>
        <v>0</v>
      </c>
      <c r="DY1398" s="569">
        <f t="shared" ref="DY1398" si="1528">IF(DW1398&gt;0,DJ1398,0)</f>
        <v>0</v>
      </c>
    </row>
    <row r="1399" spans="1:194" s="175" customFormat="1" ht="54.95" customHeight="1" x14ac:dyDescent="0.25">
      <c r="A1399" s="366"/>
      <c r="B1399" s="367"/>
      <c r="C1399" s="393" t="s">
        <v>28</v>
      </c>
      <c r="D1399" s="598"/>
      <c r="E1399" s="598"/>
      <c r="F1399" s="598"/>
      <c r="G1399" s="598"/>
      <c r="H1399" s="598"/>
      <c r="I1399" s="598"/>
      <c r="J1399" s="604"/>
      <c r="K1399" s="604"/>
      <c r="L1399" s="607"/>
      <c r="M1399" s="559"/>
      <c r="N1399" s="610"/>
      <c r="O1399" s="613"/>
      <c r="P1399" s="192"/>
      <c r="Q1399" s="217"/>
      <c r="R1399" s="217"/>
      <c r="S1399" s="218"/>
      <c r="T1399" s="219">
        <f>IFERROR(T1398/$R$353,"")</f>
        <v>0</v>
      </c>
      <c r="U1399" s="206"/>
      <c r="V1399" s="220"/>
      <c r="W1399" s="221" t="s">
        <v>239</v>
      </c>
      <c r="X1399" s="222" t="s">
        <v>204</v>
      </c>
      <c r="Y1399" s="223"/>
      <c r="Z1399" s="224"/>
      <c r="AA1399" s="225"/>
      <c r="AB1399" s="226"/>
      <c r="AC1399" s="206"/>
      <c r="AD1399" s="206"/>
      <c r="AE1399" s="206"/>
      <c r="AF1399" s="227"/>
      <c r="AG1399" s="206"/>
      <c r="AH1399" s="206"/>
      <c r="AI1399" s="206"/>
      <c r="AJ1399" s="206"/>
      <c r="AK1399" s="227"/>
      <c r="AL1399" s="210"/>
      <c r="AM1399" s="206"/>
      <c r="AN1399" s="206"/>
      <c r="AO1399" s="228"/>
      <c r="AP1399" s="229"/>
      <c r="AQ1399" s="206"/>
      <c r="AR1399" s="206"/>
      <c r="AS1399" s="228"/>
      <c r="AT1399" s="229"/>
      <c r="AU1399" s="228"/>
      <c r="AV1399" s="229"/>
      <c r="AW1399" s="228"/>
      <c r="AX1399" s="229"/>
      <c r="AY1399" s="206"/>
      <c r="AZ1399" s="229"/>
      <c r="BA1399" s="210"/>
      <c r="BB1399" s="175" t="s">
        <v>24</v>
      </c>
      <c r="BC1399" s="175" t="s">
        <v>114</v>
      </c>
      <c r="BD1399" s="210"/>
      <c r="BE1399" s="176" t="s">
        <v>206</v>
      </c>
      <c r="BF1399" s="230" t="s">
        <v>204</v>
      </c>
      <c r="BG1399" s="176" t="s">
        <v>290</v>
      </c>
      <c r="BH1399" s="230" t="s">
        <v>204</v>
      </c>
      <c r="BI1399" s="210"/>
      <c r="BJ1399" s="185"/>
      <c r="BN1399" s="269"/>
      <c r="BO1399" s="210"/>
      <c r="BV1399" s="184"/>
      <c r="BW1399" s="210"/>
      <c r="CD1399" s="184"/>
      <c r="CF1399" s="185"/>
      <c r="CI1399" s="184"/>
      <c r="CJ1399" s="210"/>
      <c r="CK1399" s="563"/>
      <c r="CM1399" s="559"/>
      <c r="CN1399" s="559"/>
      <c r="CO1399" s="567"/>
      <c r="CP1399" s="567"/>
      <c r="CQ1399" s="567"/>
      <c r="CR1399" s="567"/>
      <c r="CS1399" s="567"/>
      <c r="CT1399" s="567"/>
      <c r="CU1399" s="563"/>
      <c r="CV1399" s="561"/>
      <c r="CW1399" s="563"/>
      <c r="CX1399" s="561"/>
      <c r="CY1399" s="563"/>
      <c r="CZ1399" s="561"/>
      <c r="DA1399" s="563"/>
      <c r="DB1399" s="561"/>
      <c r="DC1399" s="563"/>
      <c r="DD1399" s="561"/>
      <c r="DG1399" s="576"/>
      <c r="DH1399" s="576"/>
      <c r="DI1399" s="570"/>
      <c r="DJ1399" s="570"/>
      <c r="DK1399" s="570"/>
      <c r="DL1399" s="570"/>
      <c r="DM1399" s="573"/>
      <c r="DN1399" s="570"/>
      <c r="DO1399" s="570"/>
      <c r="DP1399" s="570"/>
      <c r="DQ1399" s="570"/>
      <c r="DR1399" s="570"/>
      <c r="DS1399" s="570"/>
      <c r="DT1399" s="570"/>
      <c r="DU1399" s="570"/>
      <c r="DV1399" s="576"/>
      <c r="DW1399" s="576"/>
      <c r="DX1399" s="570"/>
      <c r="DY1399" s="570"/>
    </row>
    <row r="1400" spans="1:194" s="175" customFormat="1" ht="54.95" customHeight="1" x14ac:dyDescent="0.3">
      <c r="A1400" s="366"/>
      <c r="B1400" s="367"/>
      <c r="C1400" s="393" t="s">
        <v>30</v>
      </c>
      <c r="D1400" s="599"/>
      <c r="E1400" s="599"/>
      <c r="F1400" s="599"/>
      <c r="G1400" s="599"/>
      <c r="H1400" s="599"/>
      <c r="I1400" s="599"/>
      <c r="J1400" s="604"/>
      <c r="K1400" s="604"/>
      <c r="L1400" s="607"/>
      <c r="M1400" s="559"/>
      <c r="N1400" s="610"/>
      <c r="O1400" s="613"/>
      <c r="P1400" s="192"/>
      <c r="Q1400" s="176" t="s">
        <v>205</v>
      </c>
      <c r="R1400" s="233" t="s">
        <v>204</v>
      </c>
      <c r="S1400" s="234"/>
      <c r="T1400" s="235">
        <f>IFERROR(($R$353-8000)*T1399,"")</f>
        <v>0</v>
      </c>
      <c r="U1400" s="206"/>
      <c r="V1400" s="220"/>
      <c r="W1400" s="221" t="s">
        <v>258</v>
      </c>
      <c r="X1400" s="222" t="s">
        <v>204</v>
      </c>
      <c r="Y1400" s="236"/>
      <c r="Z1400" s="237"/>
      <c r="AA1400" s="225"/>
      <c r="AB1400" s="226"/>
      <c r="AC1400" s="206"/>
      <c r="AD1400" s="206"/>
      <c r="AE1400" s="206"/>
      <c r="AF1400" s="227"/>
      <c r="AG1400" s="206"/>
      <c r="AH1400" s="206"/>
      <c r="AI1400" s="206"/>
      <c r="AJ1400" s="206"/>
      <c r="AK1400" s="227"/>
      <c r="AL1400" s="238"/>
      <c r="AM1400" s="206"/>
      <c r="AN1400" s="206"/>
      <c r="AO1400" s="228"/>
      <c r="AP1400" s="229"/>
      <c r="AQ1400" s="206"/>
      <c r="AR1400" s="206"/>
      <c r="AS1400" s="228"/>
      <c r="AT1400" s="229"/>
      <c r="AU1400" s="228"/>
      <c r="AV1400" s="229"/>
      <c r="AW1400" s="228"/>
      <c r="AX1400" s="229"/>
      <c r="AY1400" s="206"/>
      <c r="AZ1400" s="229"/>
      <c r="BA1400" s="210"/>
      <c r="BB1400" s="175" t="s">
        <v>26</v>
      </c>
      <c r="BC1400" s="211" t="s">
        <v>115</v>
      </c>
      <c r="BD1400" s="210"/>
      <c r="BE1400" s="177" t="str">
        <f>IFERROR(VLOOKUP(D1398,'BD M.O'!C:H,4,FALSE),"")</f>
        <v/>
      </c>
      <c r="BF1400" s="177" t="s">
        <v>259</v>
      </c>
      <c r="BH1400" s="184"/>
      <c r="BI1400" s="210"/>
      <c r="BJ1400" s="185"/>
      <c r="BN1400" s="184"/>
      <c r="BO1400" s="210"/>
      <c r="BV1400" s="184"/>
      <c r="BW1400" s="210"/>
      <c r="CD1400" s="184"/>
      <c r="CF1400" s="185"/>
      <c r="CI1400" s="184"/>
      <c r="CJ1400" s="210"/>
      <c r="CK1400" s="563"/>
      <c r="CM1400" s="559"/>
      <c r="CN1400" s="559"/>
      <c r="CO1400" s="567"/>
      <c r="CP1400" s="567"/>
      <c r="CQ1400" s="567"/>
      <c r="CR1400" s="567"/>
      <c r="CS1400" s="567"/>
      <c r="CT1400" s="567"/>
      <c r="CU1400" s="563"/>
      <c r="CV1400" s="561"/>
      <c r="CW1400" s="563"/>
      <c r="CX1400" s="561"/>
      <c r="CY1400" s="563"/>
      <c r="CZ1400" s="561"/>
      <c r="DA1400" s="563"/>
      <c r="DB1400" s="561"/>
      <c r="DC1400" s="563"/>
      <c r="DD1400" s="561"/>
      <c r="DG1400" s="577"/>
      <c r="DH1400" s="577"/>
      <c r="DI1400" s="571"/>
      <c r="DJ1400" s="571"/>
      <c r="DK1400" s="571"/>
      <c r="DL1400" s="571"/>
      <c r="DM1400" s="574"/>
      <c r="DN1400" s="571"/>
      <c r="DO1400" s="571"/>
      <c r="DP1400" s="571"/>
      <c r="DQ1400" s="571"/>
      <c r="DR1400" s="571"/>
      <c r="DS1400" s="571"/>
      <c r="DT1400" s="571"/>
      <c r="DU1400" s="571"/>
      <c r="DV1400" s="577"/>
      <c r="DW1400" s="577"/>
      <c r="DX1400" s="571"/>
      <c r="DY1400" s="571"/>
    </row>
    <row r="1401" spans="1:194" s="175" customFormat="1" ht="54.95" customHeight="1" x14ac:dyDescent="0.25">
      <c r="A1401" s="366"/>
      <c r="B1401" s="367"/>
      <c r="C1401" s="395" t="s">
        <v>180</v>
      </c>
      <c r="D1401" s="599" t="s">
        <v>31</v>
      </c>
      <c r="E1401" s="599"/>
      <c r="F1401" s="394" t="s">
        <v>9</v>
      </c>
      <c r="G1401" s="599" t="s">
        <v>33</v>
      </c>
      <c r="H1401" s="599"/>
      <c r="I1401" s="394" t="str">
        <f>+IF($BG$9="SI","","X")</f>
        <v>X</v>
      </c>
      <c r="J1401" s="604"/>
      <c r="K1401" s="604"/>
      <c r="L1401" s="607"/>
      <c r="M1401" s="559"/>
      <c r="N1401" s="610"/>
      <c r="O1401" s="613"/>
      <c r="P1401" s="192"/>
      <c r="Q1401" s="239"/>
      <c r="R1401" s="221" t="s">
        <v>209</v>
      </c>
      <c r="S1401" s="234" t="str">
        <f>IF(S1399="","",S1399/(J1398*K1398))</f>
        <v/>
      </c>
      <c r="T1401" s="226"/>
      <c r="U1401" s="206"/>
      <c r="V1401" s="220"/>
      <c r="W1401" s="239" t="str">
        <f>IFERROR(IF(X1400="SI",VLOOKUP(D1398,'BD M.O'!C:F,4,FALSE),""),"")</f>
        <v/>
      </c>
      <c r="X1401" s="221" t="s">
        <v>258</v>
      </c>
      <c r="Y1401" s="221" t="s">
        <v>507</v>
      </c>
      <c r="Z1401" s="221" t="s">
        <v>508</v>
      </c>
      <c r="AA1401" s="225"/>
      <c r="AB1401" s="226"/>
      <c r="AC1401" s="206"/>
      <c r="AD1401" s="206"/>
      <c r="AE1401" s="206"/>
      <c r="AF1401" s="227"/>
      <c r="AG1401" s="206"/>
      <c r="AH1401" s="206"/>
      <c r="AI1401" s="206"/>
      <c r="AJ1401" s="206"/>
      <c r="AK1401" s="227"/>
      <c r="AL1401" s="240"/>
      <c r="AM1401" s="206"/>
      <c r="AN1401" s="206"/>
      <c r="AO1401" s="228"/>
      <c r="AP1401" s="229"/>
      <c r="AQ1401" s="206"/>
      <c r="AR1401" s="206"/>
      <c r="AS1401" s="228"/>
      <c r="AT1401" s="229"/>
      <c r="AU1401" s="228"/>
      <c r="AV1401" s="229"/>
      <c r="AW1401" s="228"/>
      <c r="AX1401" s="229"/>
      <c r="AY1401" s="206"/>
      <c r="AZ1401" s="229"/>
      <c r="BA1401" s="210"/>
      <c r="BC1401" s="175" t="s">
        <v>116</v>
      </c>
      <c r="BD1401" s="210"/>
      <c r="BE1401" s="177" t="str">
        <f>IFERROR(VLOOKUP(COTIZACIÓN!D1398,'BD M.O'!C:I,5,FALSE),"")</f>
        <v/>
      </c>
      <c r="BF1401" s="177" t="s">
        <v>260</v>
      </c>
      <c r="BH1401" s="184"/>
      <c r="BI1401" s="210"/>
      <c r="BJ1401" s="185"/>
      <c r="BN1401" s="184"/>
      <c r="BO1401" s="210"/>
      <c r="BP1401" s="183"/>
      <c r="BQ1401" s="183"/>
      <c r="BR1401" s="183"/>
      <c r="BS1401" s="183"/>
      <c r="BT1401" s="183"/>
      <c r="BU1401" s="183"/>
      <c r="BV1401" s="182"/>
      <c r="BW1401" s="210"/>
      <c r="BX1401" s="183"/>
      <c r="BY1401" s="183"/>
      <c r="BZ1401" s="183"/>
      <c r="CA1401" s="183"/>
      <c r="CB1401" s="183"/>
      <c r="CC1401" s="183"/>
      <c r="CD1401" s="182"/>
      <c r="CE1401" s="183"/>
      <c r="CF1401" s="241"/>
      <c r="CG1401" s="183"/>
      <c r="CH1401" s="183"/>
      <c r="CI1401" s="182"/>
      <c r="CJ1401" s="210"/>
      <c r="CK1401" s="563"/>
      <c r="CM1401" s="559"/>
      <c r="CN1401" s="559"/>
      <c r="CO1401" s="567"/>
      <c r="CP1401" s="567"/>
      <c r="CQ1401" s="567"/>
      <c r="CR1401" s="567"/>
      <c r="CS1401" s="567"/>
      <c r="CT1401" s="567"/>
      <c r="CU1401" s="563"/>
      <c r="CV1401" s="561"/>
      <c r="CW1401" s="563"/>
      <c r="CX1401" s="561"/>
      <c r="CY1401" s="563"/>
      <c r="CZ1401" s="561"/>
      <c r="DA1401" s="563"/>
      <c r="DB1401" s="561"/>
      <c r="DC1401" s="563"/>
      <c r="DD1401" s="561"/>
      <c r="DG1401" s="575"/>
      <c r="DH1401" s="575"/>
      <c r="DI1401" s="569">
        <f t="shared" ref="DI1401" si="1529">IFERROR(IF(DG1401&gt;0,(((N1398)/(1+10%+19%*5%)+((N1398)/(1+10%+19%*5%))*10%)*DH1401),0),0)</f>
        <v>0</v>
      </c>
      <c r="DJ1401" s="569">
        <f t="shared" ref="DJ1401" si="1530">IFERROR(IF(DG1401&gt;0,(N1398*DH1401),0),0)</f>
        <v>0</v>
      </c>
      <c r="DK1401" s="569">
        <f t="shared" ref="DK1401" si="1531">IF(DG1401&gt;0,((R1398+T1398)*DH1401),0)</f>
        <v>0</v>
      </c>
      <c r="DL1401" s="569">
        <f t="shared" ref="DL1401" si="1532">IF(DG1401&gt;0,(Q1398*DH1401),0)</f>
        <v>0</v>
      </c>
      <c r="DM1401" s="572">
        <f t="shared" ref="DM1401" si="1533">IF(DG1401&gt;0,(S1398*DH1401),0)</f>
        <v>0</v>
      </c>
      <c r="DN1401" s="569">
        <f t="shared" ref="DN1401" si="1534">IF(DG1401&gt;0,(BN1398*DH1401),0)</f>
        <v>0</v>
      </c>
      <c r="DO1401" s="569">
        <f t="shared" ref="DO1401" si="1535">IF(DG1401&gt;0,(AF1398*DH1401),0)</f>
        <v>0</v>
      </c>
      <c r="DP1401" s="569">
        <f>IF(DG1401&gt;0,((DI1401)*('BD P&amp;G'!$E$16+'BD P&amp;G'!$E$17+'BD P&amp;G'!$E$18+'BD P&amp;G'!$E$19+'BD P&amp;G'!$E$20+'BD P&amp;G'!$E$21+'BD P&amp;G'!$E$22+'BD P&amp;G'!$E$23)*DH1401),0)</f>
        <v>0</v>
      </c>
      <c r="DQ1401" s="569">
        <f>IFERROR(IF(DG1401&gt;0,((DI1401*'BD P&amp;G'!$E$7)+(DI1401*'BD P&amp;G'!$E$9)+AI1398),0),0)</f>
        <v>0</v>
      </c>
      <c r="DR1401" s="569">
        <f t="shared" ref="DR1401" si="1536">IFERROR(IF(DG1401&gt;0,((DI1401*1%)),0),0)</f>
        <v>0</v>
      </c>
      <c r="DS1401" s="569">
        <f>IFERROR(IF(DG1401&gt;0,(((DI1401*'BD P&amp;G'!$E$32+DI1401*'BD P&amp;G'!$E$33+DI1401*'BD P&amp;G'!$E$35+DI1401*'BD P&amp;G'!$E$36+DI1401*'BD P&amp;G'!$E$37))),0),0)</f>
        <v>0</v>
      </c>
      <c r="DT1401" s="569">
        <f t="shared" ref="DT1401" si="1537">IF(DG1401&gt;0,(Y1398*DH1401),0)</f>
        <v>0</v>
      </c>
      <c r="DU1401" s="569">
        <f t="shared" ref="DU1401" si="1538">IF(DG1401&gt;0,(Z1398*DH1401),0)</f>
        <v>0</v>
      </c>
      <c r="DV1401" s="575">
        <f t="shared" ref="DV1401" si="1539">IF(DG1401&gt;0,(Y1402*DH1401),0)</f>
        <v>0</v>
      </c>
      <c r="DW1401" s="575">
        <f t="shared" ref="DW1401" si="1540">IF(DG1401&gt;0,(Z1402*DH1401),0)</f>
        <v>0</v>
      </c>
      <c r="DX1401" s="569">
        <f t="shared" ref="DX1401" si="1541">IF(DV1401&gt;0,DJ1401,0)</f>
        <v>0</v>
      </c>
      <c r="DY1401" s="569">
        <f t="shared" ref="DY1401" si="1542">IF(DW1401&gt;0,DJ1401,0)</f>
        <v>0</v>
      </c>
    </row>
    <row r="1402" spans="1:194" s="175" customFormat="1" ht="54.95" customHeight="1" x14ac:dyDescent="0.3">
      <c r="A1402" s="366"/>
      <c r="B1402" s="367"/>
      <c r="C1402" s="393" t="s">
        <v>35</v>
      </c>
      <c r="D1402" s="599" t="str">
        <f>IFERROR(VLOOKUP(D1398,'BD GN'!C:E,3,),"")</f>
        <v/>
      </c>
      <c r="E1402" s="599"/>
      <c r="F1402" s="599"/>
      <c r="G1402" s="599"/>
      <c r="H1402" s="599"/>
      <c r="I1402" s="599"/>
      <c r="J1402" s="604"/>
      <c r="K1402" s="604"/>
      <c r="L1402" s="607"/>
      <c r="M1402" s="559"/>
      <c r="N1402" s="610"/>
      <c r="O1402" s="613"/>
      <c r="P1402" s="192"/>
      <c r="Q1402" s="239"/>
      <c r="R1402" s="221" t="s">
        <v>210</v>
      </c>
      <c r="S1402" s="234" t="str">
        <f>IFERROR(IF(N1398="","",N1398/W1402),"")</f>
        <v/>
      </c>
      <c r="T1402" s="226"/>
      <c r="U1402" s="206"/>
      <c r="V1402" s="220"/>
      <c r="W1402" s="242" t="str">
        <f>+IF(J1398*K1398&gt;=1,J1398*K1398,IF(AND(J1398*K1398&gt;0,J1398*K1398&lt;1),1,""))</f>
        <v/>
      </c>
      <c r="X1402" s="221" t="s">
        <v>298</v>
      </c>
      <c r="Y1402" s="461">
        <f>IFERROR(IF(D1398='BD GN'!$C$25,COTIZACIÓN!W1402,IF(D1398='BD GN'!$C$26,COTIZACIÓN!W1402,IF(D1398='BD GN'!$C$27,COTIZACIÓN!W1402,IF(COTIZACIÓN!D1398='BD GN'!$C$28,COTIZACIÓN!W1402,IF(COTIZACIÓN!D1398='BD GN'!$C$29,COTIZACIÓN!W1402,IF(COTIZACIÓN!D1398='BD GN'!$C$35,COTIZACIÓN!W1402,IF(COTIZACIÓN!D1398='BD GN'!$C$36,COTIZACIÓN!W1402,IF(COTIZACIÓN!D1398='BD GN'!$C$37,COTIZACIÓN!W1402,IF(COTIZACIÓN!D1398='BD GN'!$C$38,COTIZACIÓN!W1402,IF(COTIZACIÓN!D1398='BD GN'!$C$39,COTIZACIÓN!W1402,IF(COTIZACIÓN!D1398='BD GN'!$C$40,COTIZACIÓN!W1402,IF(COTIZACIÓN!D1398='BD GN'!$C$41,COTIZACIÓN!W1402,IF(COTIZACIÓN!D1398='BD GN'!$C$42,COTIZACIÓN!W1402,IF(COTIZACIÓN!D1398='BD GN'!$C$49,COTIZACIÓN!W1402,IF(COTIZACIÓN!D1398='BD GN'!$C$50,COTIZACIÓN!W1402,IF(COTIZACIÓN!D1398='BD GN'!$C$51,COTIZACIÓN!W1402,IF(COTIZACIÓN!D1398='BD GN'!$C$67,COTIZACIÓN!W1402,0))))))))))))))))),0)</f>
        <v>0</v>
      </c>
      <c r="Z1402" s="461">
        <f>IFERROR(W1402-Y1402,0)</f>
        <v>0</v>
      </c>
      <c r="AA1402" s="225"/>
      <c r="AB1402" s="226"/>
      <c r="AC1402" s="206"/>
      <c r="AD1402" s="206"/>
      <c r="AE1402" s="206"/>
      <c r="AF1402" s="227"/>
      <c r="AG1402" s="206"/>
      <c r="AH1402" s="206"/>
      <c r="AI1402" s="206"/>
      <c r="AJ1402" s="206"/>
      <c r="AK1402" s="227"/>
      <c r="AL1402" s="210"/>
      <c r="AM1402" s="206"/>
      <c r="AN1402" s="206"/>
      <c r="AO1402" s="228"/>
      <c r="AP1402" s="229"/>
      <c r="AQ1402" s="206"/>
      <c r="AR1402" s="206"/>
      <c r="AS1402" s="228"/>
      <c r="AT1402" s="229"/>
      <c r="AU1402" s="228"/>
      <c r="AV1402" s="229"/>
      <c r="AW1402" s="228"/>
      <c r="AX1402" s="229"/>
      <c r="AY1402" s="206"/>
      <c r="AZ1402" s="229"/>
      <c r="BA1402" s="210"/>
      <c r="BC1402" s="211" t="s">
        <v>117</v>
      </c>
      <c r="BD1402" s="210"/>
      <c r="BE1402" s="177" t="str">
        <f>IFERROR(VLOOKUP(D1398,'BD M.O'!C:I,6,FALSE),"")</f>
        <v/>
      </c>
      <c r="BF1402" s="177" t="s">
        <v>261</v>
      </c>
      <c r="BH1402" s="184"/>
      <c r="BI1402" s="210"/>
      <c r="BJ1402" s="185"/>
      <c r="BN1402" s="184"/>
      <c r="BO1402" s="210"/>
      <c r="BP1402" s="183"/>
      <c r="BQ1402" s="183"/>
      <c r="BR1402" s="183"/>
      <c r="BW1402" s="210"/>
      <c r="CD1402" s="184"/>
      <c r="CF1402" s="185"/>
      <c r="CI1402" s="184"/>
      <c r="CJ1402" s="210"/>
      <c r="CK1402" s="563"/>
      <c r="CM1402" s="559"/>
      <c r="CN1402" s="559"/>
      <c r="CO1402" s="567"/>
      <c r="CP1402" s="567"/>
      <c r="CQ1402" s="567"/>
      <c r="CR1402" s="567"/>
      <c r="CS1402" s="567"/>
      <c r="CT1402" s="567"/>
      <c r="CU1402" s="563"/>
      <c r="CV1402" s="561"/>
      <c r="CW1402" s="563"/>
      <c r="CX1402" s="561"/>
      <c r="CY1402" s="563"/>
      <c r="CZ1402" s="561"/>
      <c r="DA1402" s="563"/>
      <c r="DB1402" s="561"/>
      <c r="DC1402" s="563"/>
      <c r="DD1402" s="561"/>
      <c r="DG1402" s="576"/>
      <c r="DH1402" s="576"/>
      <c r="DI1402" s="570"/>
      <c r="DJ1402" s="570"/>
      <c r="DK1402" s="570"/>
      <c r="DL1402" s="570"/>
      <c r="DM1402" s="573"/>
      <c r="DN1402" s="570"/>
      <c r="DO1402" s="570"/>
      <c r="DP1402" s="570"/>
      <c r="DQ1402" s="570"/>
      <c r="DR1402" s="570"/>
      <c r="DS1402" s="570"/>
      <c r="DT1402" s="570"/>
      <c r="DU1402" s="570"/>
      <c r="DV1402" s="576"/>
      <c r="DW1402" s="576"/>
      <c r="DX1402" s="570"/>
      <c r="DY1402" s="570"/>
    </row>
    <row r="1403" spans="1:194" s="252" customFormat="1" ht="54.95" customHeight="1" x14ac:dyDescent="0.25">
      <c r="A1403" s="368"/>
      <c r="B1403" s="369"/>
      <c r="C1403" s="396" t="s">
        <v>10</v>
      </c>
      <c r="D1403" s="600" t="s">
        <v>32</v>
      </c>
      <c r="E1403" s="600"/>
      <c r="F1403" s="600"/>
      <c r="G1403" s="600"/>
      <c r="H1403" s="600"/>
      <c r="I1403" s="600"/>
      <c r="J1403" s="605"/>
      <c r="K1403" s="605"/>
      <c r="L1403" s="608"/>
      <c r="M1403" s="597"/>
      <c r="N1403" s="611"/>
      <c r="O1403" s="614"/>
      <c r="P1403" s="192"/>
      <c r="Q1403" s="239"/>
      <c r="R1403" s="239"/>
      <c r="S1403" s="234"/>
      <c r="T1403" s="243"/>
      <c r="U1403" s="244"/>
      <c r="V1403" s="245"/>
      <c r="W1403" s="177" t="s">
        <v>394</v>
      </c>
      <c r="X1403" s="246">
        <f>IFERROR(SUM(W1398:X1398),"")</f>
        <v>0</v>
      </c>
      <c r="Y1403" s="166" t="s">
        <v>404</v>
      </c>
      <c r="Z1403" s="199">
        <f>IFERROR(Y1398+Z1398,"")</f>
        <v>4.7901128266487999E-2</v>
      </c>
      <c r="AA1403" s="247"/>
      <c r="AB1403" s="243"/>
      <c r="AC1403" s="244"/>
      <c r="AD1403" s="244"/>
      <c r="AE1403" s="244"/>
      <c r="AF1403" s="270"/>
      <c r="AG1403" s="244"/>
      <c r="AH1403" s="244"/>
      <c r="AI1403" s="244"/>
      <c r="AJ1403" s="244"/>
      <c r="AK1403" s="270"/>
      <c r="AL1403" s="270"/>
      <c r="AM1403" s="248"/>
      <c r="AN1403" s="248"/>
      <c r="AO1403" s="249"/>
      <c r="AP1403" s="250"/>
      <c r="AQ1403" s="248"/>
      <c r="AR1403" s="248"/>
      <c r="AS1403" s="249"/>
      <c r="AT1403" s="250"/>
      <c r="AU1403" s="249"/>
      <c r="AV1403" s="250"/>
      <c r="AW1403" s="249"/>
      <c r="AX1403" s="250"/>
      <c r="AY1403" s="248"/>
      <c r="AZ1403" s="250"/>
      <c r="BA1403" s="210"/>
      <c r="BB1403" s="175"/>
      <c r="BC1403" s="175" t="s">
        <v>118</v>
      </c>
      <c r="BD1403" s="210"/>
      <c r="BE1403" s="177" t="str">
        <f>IFERROR(VLOOKUP(D1398,'BD M.O'!C:I,7,FALSE),"")</f>
        <v/>
      </c>
      <c r="BF1403" s="177" t="s">
        <v>262</v>
      </c>
      <c r="BG1403" s="257"/>
      <c r="BH1403" s="271"/>
      <c r="BI1403" s="210"/>
      <c r="BJ1403" s="272"/>
      <c r="BK1403" s="257"/>
      <c r="BL1403" s="257"/>
      <c r="BM1403" s="257"/>
      <c r="BN1403" s="271"/>
      <c r="BO1403" s="210"/>
      <c r="BP1403" s="175"/>
      <c r="BQ1403" s="175"/>
      <c r="BR1403" s="175"/>
      <c r="BS1403" s="183"/>
      <c r="BT1403" s="183"/>
      <c r="BU1403" s="183"/>
      <c r="BV1403" s="183"/>
      <c r="BW1403" s="210"/>
      <c r="BX1403" s="175"/>
      <c r="BY1403" s="175"/>
      <c r="BZ1403" s="175"/>
      <c r="CA1403" s="175"/>
      <c r="CB1403" s="175"/>
      <c r="CC1403" s="175"/>
      <c r="CD1403" s="184"/>
      <c r="CE1403" s="175"/>
      <c r="CF1403" s="185"/>
      <c r="CG1403" s="175"/>
      <c r="CH1403" s="175"/>
      <c r="CI1403" s="184"/>
      <c r="CJ1403" s="210"/>
      <c r="CK1403" s="564"/>
      <c r="CL1403" s="257"/>
      <c r="CM1403" s="597"/>
      <c r="CN1403" s="597"/>
      <c r="CO1403" s="567"/>
      <c r="CP1403" s="567"/>
      <c r="CQ1403" s="567"/>
      <c r="CR1403" s="567"/>
      <c r="CS1403" s="567"/>
      <c r="CT1403" s="567"/>
      <c r="CU1403" s="564"/>
      <c r="CV1403" s="562"/>
      <c r="CW1403" s="564"/>
      <c r="CX1403" s="562"/>
      <c r="CY1403" s="564"/>
      <c r="CZ1403" s="562"/>
      <c r="DA1403" s="564"/>
      <c r="DB1403" s="562"/>
      <c r="DC1403" s="564"/>
      <c r="DD1403" s="562"/>
      <c r="DE1403" s="175"/>
      <c r="DF1403" s="175"/>
      <c r="DG1403" s="577"/>
      <c r="DH1403" s="577"/>
      <c r="DI1403" s="571"/>
      <c r="DJ1403" s="571"/>
      <c r="DK1403" s="571"/>
      <c r="DL1403" s="571"/>
      <c r="DM1403" s="574"/>
      <c r="DN1403" s="571"/>
      <c r="DO1403" s="571"/>
      <c r="DP1403" s="571"/>
      <c r="DQ1403" s="571"/>
      <c r="DR1403" s="571"/>
      <c r="DS1403" s="571"/>
      <c r="DT1403" s="571"/>
      <c r="DU1403" s="571"/>
      <c r="DV1403" s="577"/>
      <c r="DW1403" s="577"/>
      <c r="DX1403" s="571"/>
      <c r="DY1403" s="571"/>
      <c r="DZ1403" s="175"/>
      <c r="EA1403" s="175"/>
      <c r="EB1403" s="175"/>
      <c r="EC1403" s="175"/>
      <c r="ED1403" s="175"/>
      <c r="EE1403" s="175"/>
      <c r="EF1403" s="175"/>
      <c r="EG1403" s="175"/>
      <c r="EH1403" s="175"/>
      <c r="EI1403" s="175"/>
      <c r="EJ1403" s="175"/>
      <c r="EK1403" s="175"/>
      <c r="EL1403" s="175"/>
      <c r="EM1403" s="175"/>
      <c r="EN1403" s="175"/>
      <c r="EO1403" s="175"/>
      <c r="EP1403" s="175"/>
      <c r="EQ1403" s="175"/>
      <c r="ER1403" s="175"/>
      <c r="ES1403" s="175"/>
      <c r="ET1403" s="175"/>
      <c r="EU1403" s="175"/>
      <c r="EV1403" s="175"/>
      <c r="EW1403" s="175"/>
      <c r="EX1403" s="175"/>
      <c r="EY1403" s="175"/>
      <c r="EZ1403" s="175"/>
      <c r="FA1403" s="175"/>
      <c r="FB1403" s="175"/>
      <c r="FC1403" s="175"/>
      <c r="FD1403" s="175"/>
      <c r="FE1403" s="175"/>
      <c r="FF1403" s="175"/>
      <c r="FG1403" s="175"/>
      <c r="FH1403" s="175"/>
      <c r="FI1403" s="175"/>
      <c r="FJ1403" s="175"/>
      <c r="FK1403" s="175"/>
      <c r="FL1403" s="175"/>
      <c r="FM1403" s="175"/>
      <c r="FN1403" s="175"/>
      <c r="FO1403" s="175"/>
      <c r="FP1403" s="175"/>
      <c r="FQ1403" s="175"/>
      <c r="FR1403" s="175"/>
      <c r="FS1403" s="175"/>
      <c r="FT1403" s="175"/>
      <c r="FU1403" s="175"/>
      <c r="FV1403" s="175"/>
      <c r="FW1403" s="175"/>
      <c r="FX1403" s="175"/>
      <c r="FY1403" s="175"/>
      <c r="FZ1403" s="175"/>
      <c r="GA1403" s="175"/>
      <c r="GB1403" s="175"/>
      <c r="GC1403" s="175"/>
      <c r="GD1403" s="175"/>
      <c r="GE1403" s="175"/>
      <c r="GF1403" s="175"/>
      <c r="GG1403" s="175"/>
      <c r="GH1403" s="175"/>
      <c r="GI1403" s="175"/>
      <c r="GJ1403" s="175"/>
      <c r="GK1403" s="175"/>
      <c r="GL1403" s="175"/>
    </row>
    <row r="1404" spans="1:194" s="255" customFormat="1" ht="54.95" customHeight="1" x14ac:dyDescent="0.3">
      <c r="A1404" s="380" t="s">
        <v>193</v>
      </c>
      <c r="B1404" s="381" t="s">
        <v>25</v>
      </c>
      <c r="C1404" s="409" t="s">
        <v>174</v>
      </c>
      <c r="D1404" s="601" t="s">
        <v>173</v>
      </c>
      <c r="E1404" s="601"/>
      <c r="F1404" s="601"/>
      <c r="G1404" s="601"/>
      <c r="H1404" s="601"/>
      <c r="I1404" s="601"/>
      <c r="J1404" s="437" t="s">
        <v>406</v>
      </c>
      <c r="K1404" s="437" t="s">
        <v>405</v>
      </c>
      <c r="L1404" s="438" t="s">
        <v>171</v>
      </c>
      <c r="M1404" s="381" t="s">
        <v>2</v>
      </c>
      <c r="N1404" s="439" t="s">
        <v>7</v>
      </c>
      <c r="O1404" s="440" t="s">
        <v>8</v>
      </c>
      <c r="P1404" s="159"/>
      <c r="Q1404" s="164" t="s">
        <v>93</v>
      </c>
      <c r="R1404" s="164" t="s">
        <v>34</v>
      </c>
      <c r="S1404" s="164" t="s">
        <v>28</v>
      </c>
      <c r="T1404" s="164" t="s">
        <v>95</v>
      </c>
      <c r="U1404" s="164" t="s">
        <v>96</v>
      </c>
      <c r="V1404" s="164" t="s">
        <v>97</v>
      </c>
      <c r="W1404" s="164" t="s">
        <v>4</v>
      </c>
      <c r="X1404" s="164" t="s">
        <v>103</v>
      </c>
      <c r="Y1404" s="160" t="s">
        <v>402</v>
      </c>
      <c r="Z1404" s="165" t="s">
        <v>403</v>
      </c>
      <c r="AA1404" s="166" t="s">
        <v>404</v>
      </c>
      <c r="AB1404" s="164" t="s">
        <v>99</v>
      </c>
      <c r="AC1404" s="164" t="s">
        <v>395</v>
      </c>
      <c r="AD1404" s="253" t="s">
        <v>36</v>
      </c>
      <c r="AE1404" s="164" t="s">
        <v>389</v>
      </c>
      <c r="AF1404" s="164" t="s">
        <v>390</v>
      </c>
      <c r="AG1404" s="164" t="s">
        <v>164</v>
      </c>
      <c r="AH1404" s="253" t="s">
        <v>396</v>
      </c>
      <c r="AI1404" s="164" t="s">
        <v>190</v>
      </c>
      <c r="AJ1404" s="164" t="s">
        <v>339</v>
      </c>
      <c r="AK1404" s="253" t="s">
        <v>391</v>
      </c>
      <c r="AL1404" s="253" t="s">
        <v>393</v>
      </c>
      <c r="AM1404" s="167" t="s">
        <v>93</v>
      </c>
      <c r="AN1404" s="168" t="s">
        <v>34</v>
      </c>
      <c r="AO1404" s="169" t="s">
        <v>28</v>
      </c>
      <c r="AP1404" s="170" t="s">
        <v>95</v>
      </c>
      <c r="AQ1404" s="167" t="s">
        <v>3</v>
      </c>
      <c r="AR1404" s="167" t="s">
        <v>96</v>
      </c>
      <c r="AS1404" s="169" t="s">
        <v>97</v>
      </c>
      <c r="AT1404" s="170" t="s">
        <v>4</v>
      </c>
      <c r="AU1404" s="169" t="s">
        <v>103</v>
      </c>
      <c r="AV1404" s="170" t="s">
        <v>99</v>
      </c>
      <c r="AW1404" s="169" t="s">
        <v>36</v>
      </c>
      <c r="AX1404" s="171" t="s">
        <v>29</v>
      </c>
      <c r="AY1404" s="172" t="s">
        <v>190</v>
      </c>
      <c r="AZ1404" s="173" t="s">
        <v>102</v>
      </c>
      <c r="BA1404" s="174"/>
      <c r="BB1404" s="183"/>
      <c r="BC1404" s="211" t="s">
        <v>119</v>
      </c>
      <c r="BD1404" s="174"/>
      <c r="BE1404" s="176" t="s">
        <v>189</v>
      </c>
      <c r="BF1404" s="177" t="str">
        <f>$BF$13</f>
        <v xml:space="preserve">VR SILICONA </v>
      </c>
      <c r="BG1404" s="177" t="str">
        <f>$BG$13</f>
        <v xml:space="preserve">VR PELÍCULA </v>
      </c>
      <c r="BH1404" s="177" t="str">
        <f>$BH$13</f>
        <v>VR EMBALAJE</v>
      </c>
      <c r="BI1404" s="174"/>
      <c r="BJ1404" s="176" t="str">
        <f>$BJ$13</f>
        <v>ESP. CRISTAL</v>
      </c>
      <c r="BK1404" s="176" t="s">
        <v>130</v>
      </c>
      <c r="BL1404" s="177" t="s">
        <v>28</v>
      </c>
      <c r="BM1404" s="177">
        <f>BM1397</f>
        <v>0</v>
      </c>
      <c r="BN1404" s="177" t="s">
        <v>133</v>
      </c>
      <c r="BO1404" s="174"/>
      <c r="BP1404" s="175"/>
      <c r="BQ1404" s="175"/>
      <c r="BR1404" s="175"/>
      <c r="BS1404" s="175"/>
      <c r="BT1404" s="175"/>
      <c r="BU1404" s="175"/>
      <c r="BV1404" s="175"/>
      <c r="BW1404" s="174"/>
      <c r="BX1404" s="175"/>
      <c r="BY1404" s="175"/>
      <c r="BZ1404" s="175"/>
      <c r="CA1404" s="175"/>
      <c r="CB1404" s="175"/>
      <c r="CC1404" s="175"/>
      <c r="CD1404" s="184"/>
      <c r="CE1404" s="175"/>
      <c r="CF1404" s="185"/>
      <c r="CG1404" s="175"/>
      <c r="CH1404" s="175"/>
      <c r="CI1404" s="184"/>
      <c r="CJ1404" s="174"/>
      <c r="CK1404" s="254" t="s">
        <v>415</v>
      </c>
      <c r="CL1404" s="265" t="s">
        <v>417</v>
      </c>
      <c r="CM1404" s="265" t="s">
        <v>416</v>
      </c>
      <c r="CN1404" s="266" t="s">
        <v>418</v>
      </c>
      <c r="CO1404" s="265" t="s">
        <v>417</v>
      </c>
      <c r="CP1404" s="265" t="s">
        <v>409</v>
      </c>
      <c r="CQ1404" s="265" t="s">
        <v>410</v>
      </c>
      <c r="CR1404" s="265" t="s">
        <v>411</v>
      </c>
      <c r="CS1404" s="265" t="s">
        <v>412</v>
      </c>
      <c r="CT1404" s="265" t="s">
        <v>413</v>
      </c>
      <c r="CU1404" s="189" t="s">
        <v>2</v>
      </c>
      <c r="CV1404" s="190" t="s">
        <v>159</v>
      </c>
      <c r="CW1404" s="189" t="s">
        <v>2</v>
      </c>
      <c r="CX1404" s="190" t="s">
        <v>159</v>
      </c>
      <c r="CY1404" s="189" t="s">
        <v>2</v>
      </c>
      <c r="CZ1404" s="190" t="s">
        <v>159</v>
      </c>
      <c r="DA1404" s="189" t="s">
        <v>2</v>
      </c>
      <c r="DB1404" s="190" t="s">
        <v>159</v>
      </c>
      <c r="DC1404" s="189" t="s">
        <v>2</v>
      </c>
      <c r="DD1404" s="190" t="s">
        <v>159</v>
      </c>
      <c r="DE1404" s="183"/>
      <c r="DF1404" s="183"/>
      <c r="DG1404" s="177" t="s">
        <v>505</v>
      </c>
      <c r="DH1404" s="472" t="s">
        <v>509</v>
      </c>
      <c r="DI1404" s="457" t="s">
        <v>506</v>
      </c>
      <c r="DJ1404" s="457" t="s">
        <v>134</v>
      </c>
      <c r="DK1404" s="457" t="s">
        <v>498</v>
      </c>
      <c r="DL1404" s="457" t="s">
        <v>499</v>
      </c>
      <c r="DM1404" s="457" t="s">
        <v>500</v>
      </c>
      <c r="DN1404" s="457" t="s">
        <v>131</v>
      </c>
      <c r="DO1404" s="457" t="s">
        <v>390</v>
      </c>
      <c r="DP1404" s="457" t="s">
        <v>36</v>
      </c>
      <c r="DQ1404" s="457" t="s">
        <v>501</v>
      </c>
      <c r="DR1404" s="457" t="s">
        <v>502</v>
      </c>
      <c r="DS1404" s="457" t="s">
        <v>503</v>
      </c>
      <c r="DT1404" s="457" t="s">
        <v>4</v>
      </c>
      <c r="DU1404" s="457" t="s">
        <v>504</v>
      </c>
      <c r="DV1404" s="466" t="s">
        <v>507</v>
      </c>
      <c r="DW1404" s="466" t="s">
        <v>508</v>
      </c>
      <c r="DX1404" s="457" t="s">
        <v>510</v>
      </c>
      <c r="DY1404" s="457" t="s">
        <v>511</v>
      </c>
      <c r="DZ1404" s="183"/>
      <c r="EA1404" s="183"/>
      <c r="EB1404" s="183"/>
      <c r="EC1404" s="183"/>
      <c r="ED1404" s="183"/>
      <c r="EE1404" s="183"/>
      <c r="EF1404" s="183"/>
      <c r="EG1404" s="183"/>
      <c r="EH1404" s="183"/>
      <c r="EI1404" s="183"/>
      <c r="EJ1404" s="183"/>
      <c r="EK1404" s="183"/>
      <c r="EL1404" s="183"/>
      <c r="EM1404" s="183"/>
      <c r="EN1404" s="183"/>
      <c r="EO1404" s="183"/>
      <c r="EP1404" s="183"/>
      <c r="EQ1404" s="183"/>
      <c r="ER1404" s="183"/>
      <c r="ES1404" s="183"/>
      <c r="ET1404" s="183"/>
      <c r="EU1404" s="183"/>
      <c r="EV1404" s="183"/>
      <c r="EW1404" s="183"/>
      <c r="EX1404" s="183"/>
      <c r="EY1404" s="183"/>
      <c r="EZ1404" s="183"/>
      <c r="FA1404" s="183"/>
      <c r="FB1404" s="183"/>
      <c r="FC1404" s="183"/>
      <c r="FD1404" s="183"/>
      <c r="FE1404" s="183"/>
      <c r="FF1404" s="183"/>
      <c r="FG1404" s="183"/>
      <c r="FH1404" s="183"/>
      <c r="FI1404" s="183"/>
      <c r="FJ1404" s="183"/>
      <c r="FK1404" s="183"/>
      <c r="FL1404" s="183"/>
      <c r="FM1404" s="183"/>
      <c r="FN1404" s="183"/>
      <c r="FO1404" s="183"/>
      <c r="FP1404" s="183"/>
      <c r="FQ1404" s="183"/>
      <c r="FR1404" s="183"/>
      <c r="FS1404" s="183"/>
      <c r="FT1404" s="183"/>
      <c r="FU1404" s="183"/>
      <c r="FV1404" s="183"/>
      <c r="FW1404" s="183"/>
      <c r="FX1404" s="183"/>
      <c r="FY1404" s="183"/>
      <c r="FZ1404" s="183"/>
      <c r="GA1404" s="183"/>
      <c r="GB1404" s="183"/>
      <c r="GC1404" s="183"/>
      <c r="GD1404" s="183"/>
      <c r="GE1404" s="183"/>
      <c r="GF1404" s="183"/>
      <c r="GG1404" s="183"/>
      <c r="GH1404" s="183"/>
      <c r="GI1404" s="183"/>
      <c r="GJ1404" s="183"/>
      <c r="GK1404" s="183"/>
      <c r="GL1404" s="183"/>
    </row>
    <row r="1405" spans="1:194" s="175" customFormat="1" ht="54.95" customHeight="1" x14ac:dyDescent="0.3">
      <c r="A1405" s="364"/>
      <c r="B1405" s="365"/>
      <c r="C1405" s="392" t="s">
        <v>27</v>
      </c>
      <c r="D1405" s="602"/>
      <c r="E1405" s="602"/>
      <c r="F1405" s="602"/>
      <c r="G1405" s="602"/>
      <c r="H1405" s="602"/>
      <c r="I1405" s="602"/>
      <c r="J1405" s="603"/>
      <c r="K1405" s="603"/>
      <c r="L1405" s="606">
        <f>J1405*K1405*M1405</f>
        <v>0</v>
      </c>
      <c r="M1405" s="596"/>
      <c r="N1405" s="609">
        <f>IFERROR(AL1405,"")</f>
        <v>1.1502546360919998</v>
      </c>
      <c r="O1405" s="612">
        <f>IFERROR(N1405*M1405,"")</f>
        <v>0</v>
      </c>
      <c r="P1405" s="192"/>
      <c r="Q1405" s="193">
        <f>Q1406+BF1405+($R$350*Q1406)</f>
        <v>0</v>
      </c>
      <c r="R1405" s="193">
        <f>IFERROR(R1406+($R$348*R1406),"")</f>
        <v>0</v>
      </c>
      <c r="S1405" s="194">
        <f>+IF(R1407="SI",((W1409*'BD GN'!$AB$2)+S1406)*1,COTIZACIÓN!S1406*1)+($R$352*S1406)</f>
        <v>0</v>
      </c>
      <c r="T1405" s="195">
        <f>IFERROR(R1405*IF(K1405&lt;=3,$T$13,15%),"")</f>
        <v>0</v>
      </c>
      <c r="U1405" s="196">
        <f>BH1405+BG1405</f>
        <v>0</v>
      </c>
      <c r="V1405" s="197" t="str">
        <f>IFERROR(BN1405,0)</f>
        <v/>
      </c>
      <c r="W1405" s="198" t="str">
        <f>IFERROR(IF(X1407="SI",W1408*J1405*K1405,IF(BE1405=3,BE1407,IF(BE1405=4,BE1408,IF(BE1405=5,BE1409,IF(BE1405&gt;5,BE1409+(BE1410*(BE1405-5)),"")))))*0,"")</f>
        <v/>
      </c>
      <c r="X1405" s="198" t="str">
        <f>IFERROR(IF(X1406="NO",(VLOOKUP(D1405,'BD M.O'!C:E,3,FALSE))*W1409,((VLOOKUP(D1405,'BD M.O'!C:E,3,FALSE))+7500)*W1409),"")</f>
        <v/>
      </c>
      <c r="Y1405" s="198">
        <f>IFERROR($Y$13*AK1405,"")</f>
        <v>4.2084457416288003E-2</v>
      </c>
      <c r="Z1405" s="198">
        <f>IFERROR($Z$13*AK1405,"")</f>
        <v>5.8166708502000002E-3</v>
      </c>
      <c r="AA1405" s="199">
        <f>IFERROR(Y1405+Z1405,"")</f>
        <v>4.7901128266487999E-2</v>
      </c>
      <c r="AB1405" s="200">
        <f>IFERROR((SUM(Q1405:X1405)-T1405+T1407)*$AB$13,"")</f>
        <v>0</v>
      </c>
      <c r="AC1405" s="201">
        <f>IFERROR(((SUM(Q1405:V1405,IF(X1410&gt;AA1405,AVERAGE(X1410,AA1405),AA1405))-T1405+T1407))*$AB$13,"")</f>
        <v>9.5802256532976E-4</v>
      </c>
      <c r="AD1405" s="202" t="str">
        <f>IFERROR((J1405*K1405*$BV$14),"")</f>
        <v/>
      </c>
      <c r="AE1405" s="202">
        <f>IFERROR($AE$13*AK1405,"")</f>
        <v>6.4010592649919984E-2</v>
      </c>
      <c r="AF1405" s="203" t="str">
        <f>IFERROR(($CI$11+$CI$13)*W1409,"")</f>
        <v/>
      </c>
      <c r="AG1405" s="267">
        <f>IFERROR((SUM(Q1405:X1405,AB1405,AD1405,AF1405)-T1405+T1407)*$AG$13,"")</f>
        <v>0</v>
      </c>
      <c r="AH1405" s="202">
        <f>IFERROR((SUM(Q1405:V1405,(IF(X1410&gt;AA1405,AVERAGE(X1410,AA1405),AA1405)),AC1405,AE1405,AF1405)-T1405+T1407)*$AG$13,"")</f>
        <v>5.6434871740868871E-2</v>
      </c>
      <c r="AI1405" s="268">
        <f>IFERROR(AL1405*$AI$13,"")</f>
        <v>2.3005092721839999E-2</v>
      </c>
      <c r="AJ1405" s="268">
        <f>IFERROR($AJ$13*AL1405,"")</f>
        <v>6.4184208693933587E-3</v>
      </c>
      <c r="AK1405" s="205">
        <f>IFERROR(SUM(Q1405:X1405,AB1405,AD1405,AG1405,AF1405)/(1-$AI$13)+(1-$AJ$13)-T1405+T1407,"")</f>
        <v>0.99441999999999997</v>
      </c>
      <c r="AL1405" s="205">
        <f>IFERROR(SUM(Q1405:V1405,AC1405,(IF(AD1405&gt;AE1405,AVERAGE(AD1405,AE1405),AE1405)),AF1405,,AH1405,(IF(SUM(X1410)&gt;AA1405,AVERAGE(AA1405,X1410),AA1405)))/(1-$AJ$13)+(1-$AI$13)-T1405+T1407,"")</f>
        <v>1.1502546360919998</v>
      </c>
      <c r="AM1405" s="206">
        <f>$M$15*Q1405</f>
        <v>0</v>
      </c>
      <c r="AN1405" s="207">
        <f>$M$15*R1405</f>
        <v>0</v>
      </c>
      <c r="AO1405" s="208">
        <f>$M$15*S1405</f>
        <v>0</v>
      </c>
      <c r="AP1405" s="207">
        <f>$M$15*T1405</f>
        <v>0</v>
      </c>
      <c r="AQ1405" s="207" t="e">
        <f>$M$15*#REF!</f>
        <v>#REF!</v>
      </c>
      <c r="AR1405" s="207">
        <f>$M$15*U1405</f>
        <v>0</v>
      </c>
      <c r="AS1405" s="208" t="e">
        <f>$M$15*V1405</f>
        <v>#VALUE!</v>
      </c>
      <c r="AT1405" s="207" t="e">
        <f>$M$15*W1405</f>
        <v>#VALUE!</v>
      </c>
      <c r="AU1405" s="208" t="e">
        <f>$M$15*X1405</f>
        <v>#VALUE!</v>
      </c>
      <c r="AV1405" s="207">
        <f>$M$15*AB1405</f>
        <v>0</v>
      </c>
      <c r="AW1405" s="208">
        <f>$M$15*AE1405</f>
        <v>0</v>
      </c>
      <c r="AX1405" s="207">
        <f>$M$15*AG1405</f>
        <v>0</v>
      </c>
      <c r="AY1405" s="209">
        <f>$M$15*AI1405</f>
        <v>0</v>
      </c>
      <c r="AZ1405" s="207">
        <f>$M$15*AK1405</f>
        <v>0</v>
      </c>
      <c r="BA1405" s="210"/>
      <c r="BB1405" s="175" t="s">
        <v>23</v>
      </c>
      <c r="BC1405" s="211" t="s">
        <v>113</v>
      </c>
      <c r="BD1405" s="210"/>
      <c r="BE1405" s="212"/>
      <c r="BF1405" s="213">
        <f>IF(BH1406="NO",((2*J1405)+(2*K1405))*'BD GN'!$AU$3,((3*J1405)+(2*K1405))*'BD GN'!$AU$3)</f>
        <v>0</v>
      </c>
      <c r="BG1405" s="213">
        <f>'BD GN'!$BB$3*J1405*K1405</f>
        <v>0</v>
      </c>
      <c r="BH1405" s="214">
        <f>((J1405*2*BE1405)+(K1405*2*BE1405))*'BD GN'!$AN$4</f>
        <v>0</v>
      </c>
      <c r="BI1405" s="210"/>
      <c r="BJ1405" s="212"/>
      <c r="BK1405" s="212"/>
      <c r="BL1405" s="215">
        <f>J1405*K1405*2.5*BJ1405</f>
        <v>0</v>
      </c>
      <c r="BM1405" s="215">
        <f>BK1405+BL1405</f>
        <v>0</v>
      </c>
      <c r="BN1405" s="216" t="str">
        <f>IFERROR((VLOOKUP($C$12,'BD GN'!BD:BM,10,FALSE)*BM1405)+0,"")</f>
        <v/>
      </c>
      <c r="BO1405" s="210"/>
      <c r="BW1405" s="210"/>
      <c r="CD1405" s="184"/>
      <c r="CF1405" s="185"/>
      <c r="CI1405" s="184"/>
      <c r="CJ1405" s="210"/>
      <c r="CK1405" s="565"/>
      <c r="CL1405" s="256"/>
      <c r="CM1405" s="596"/>
      <c r="CN1405" s="596"/>
      <c r="CO1405" s="567"/>
      <c r="CP1405" s="567"/>
      <c r="CQ1405" s="567"/>
      <c r="CR1405" s="567"/>
      <c r="CS1405" s="567"/>
      <c r="CT1405" s="567"/>
      <c r="CU1405" s="565"/>
      <c r="CV1405" s="560">
        <f>IFERROR(N1405*CU1405,"")</f>
        <v>0</v>
      </c>
      <c r="CW1405" s="565"/>
      <c r="CX1405" s="560">
        <f>IFERROR(P1405*CW1405,"")</f>
        <v>0</v>
      </c>
      <c r="CY1405" s="565"/>
      <c r="CZ1405" s="560">
        <f>IFERROR(R1405*CY1405,"")</f>
        <v>0</v>
      </c>
      <c r="DA1405" s="565">
        <f t="shared" ref="DA1405" si="1543">CU1405+CW1405+CY1405</f>
        <v>0</v>
      </c>
      <c r="DB1405" s="560">
        <f t="shared" ref="DB1405" si="1544">IFERROR(CV1405+CX1405+CZ1405,"")</f>
        <v>0</v>
      </c>
      <c r="DC1405" s="565">
        <f>M1405-(CU1405+CW1405+CY1405)</f>
        <v>0</v>
      </c>
      <c r="DD1405" s="560">
        <f>IFERROR(O1405-(CV1405+CX1405+CZ1405),"")</f>
        <v>0</v>
      </c>
      <c r="DG1405" s="575"/>
      <c r="DH1405" s="575"/>
      <c r="DI1405" s="569">
        <f t="shared" ref="DI1405" si="1545">IFERROR(IF(DG1405&gt;0,(((N1405)/(1+10%+19%*5%)+((N1405)/(1+10%+19%*5%))*10%)*DH1405),0),0)</f>
        <v>0</v>
      </c>
      <c r="DJ1405" s="569">
        <f t="shared" ref="DJ1405" si="1546">IFERROR(IF(DG1405&gt;0,(N1405*DH1405),0),0)</f>
        <v>0</v>
      </c>
      <c r="DK1405" s="569">
        <f t="shared" ref="DK1405" si="1547">IF(DG1405&gt;0,((R1405+T1405)*DH1405),0)</f>
        <v>0</v>
      </c>
      <c r="DL1405" s="569">
        <f t="shared" ref="DL1405" si="1548">IF(DG1405&gt;0,(Q1405*DH1405),0)</f>
        <v>0</v>
      </c>
      <c r="DM1405" s="572">
        <f t="shared" ref="DM1405" si="1549">IF(DG1405&gt;0,(S1405*DH1405),0)</f>
        <v>0</v>
      </c>
      <c r="DN1405" s="569">
        <f t="shared" ref="DN1405" si="1550">IF(DG1405&gt;0,(BN1405*DH1405),0)</f>
        <v>0</v>
      </c>
      <c r="DO1405" s="569">
        <f t="shared" ref="DO1405" si="1551">IF(DG1405&gt;0,(AF1405*DH1405),0)</f>
        <v>0</v>
      </c>
      <c r="DP1405" s="569">
        <f>IF(DG1405&gt;0,((DI1405)*('BD P&amp;G'!$E$16+'BD P&amp;G'!$E$17+'BD P&amp;G'!$E$18+'BD P&amp;G'!$E$19+'BD P&amp;G'!$E$20+'BD P&amp;G'!$E$21+'BD P&amp;G'!$E$22+'BD P&amp;G'!$E$23)*DH1405),0)</f>
        <v>0</v>
      </c>
      <c r="DQ1405" s="569">
        <f>IFERROR(IF(DG1405&gt;0,((DI1405*'BD P&amp;G'!$E$7)+(DI1405*'BD P&amp;G'!$E$9)+AI1405),0),0)</f>
        <v>0</v>
      </c>
      <c r="DR1405" s="569">
        <f t="shared" ref="DR1405" si="1552">IFERROR(IF(DG1405&gt;0,((DI1405*1%)),0),0)</f>
        <v>0</v>
      </c>
      <c r="DS1405" s="569">
        <f>IFERROR(IF(DG1405&gt;0,(((DI1405*'BD P&amp;G'!$E$32+DI1405*'BD P&amp;G'!$E$33+DI1405*'BD P&amp;G'!$E$35+DI1405*'BD P&amp;G'!$E$36+DI1405*'BD P&amp;G'!$E$37))),0),0)</f>
        <v>0</v>
      </c>
      <c r="DT1405" s="569">
        <f t="shared" ref="DT1405" si="1553">IF(DG1405&gt;0,(Y1405*DH1405),0)</f>
        <v>0</v>
      </c>
      <c r="DU1405" s="569">
        <f t="shared" ref="DU1405" si="1554">IF(DG1405&gt;0,(Z1405*DH1405),0)</f>
        <v>0</v>
      </c>
      <c r="DV1405" s="575">
        <f t="shared" ref="DV1405" si="1555">IF(DG1405&gt;0,(Y1409*DH1405),0)</f>
        <v>0</v>
      </c>
      <c r="DW1405" s="575">
        <f t="shared" ref="DW1405" si="1556">IF(DG1405&gt;0,(Z1409*DH1405),0)</f>
        <v>0</v>
      </c>
      <c r="DX1405" s="569">
        <f t="shared" ref="DX1405" si="1557">IF(DV1405&gt;0,DJ1405,0)</f>
        <v>0</v>
      </c>
      <c r="DY1405" s="569">
        <f t="shared" ref="DY1405" si="1558">IF(DW1405&gt;0,DJ1405,0)</f>
        <v>0</v>
      </c>
    </row>
    <row r="1406" spans="1:194" s="175" customFormat="1" ht="54.95" customHeight="1" x14ac:dyDescent="0.25">
      <c r="A1406" s="366"/>
      <c r="B1406" s="367"/>
      <c r="C1406" s="393" t="s">
        <v>28</v>
      </c>
      <c r="D1406" s="598"/>
      <c r="E1406" s="598"/>
      <c r="F1406" s="598"/>
      <c r="G1406" s="598"/>
      <c r="H1406" s="598"/>
      <c r="I1406" s="598"/>
      <c r="J1406" s="604"/>
      <c r="K1406" s="604"/>
      <c r="L1406" s="607"/>
      <c r="M1406" s="559"/>
      <c r="N1406" s="610"/>
      <c r="O1406" s="613"/>
      <c r="P1406" s="192"/>
      <c r="Q1406" s="217"/>
      <c r="R1406" s="217"/>
      <c r="S1406" s="218"/>
      <c r="T1406" s="219">
        <f>IFERROR(T1405/$R$353,"")</f>
        <v>0</v>
      </c>
      <c r="U1406" s="206"/>
      <c r="V1406" s="220"/>
      <c r="W1406" s="221" t="s">
        <v>239</v>
      </c>
      <c r="X1406" s="222" t="s">
        <v>204</v>
      </c>
      <c r="Y1406" s="223"/>
      <c r="Z1406" s="224"/>
      <c r="AA1406" s="225"/>
      <c r="AB1406" s="226"/>
      <c r="AC1406" s="206"/>
      <c r="AD1406" s="206"/>
      <c r="AE1406" s="206"/>
      <c r="AF1406" s="227"/>
      <c r="AG1406" s="206"/>
      <c r="AH1406" s="206"/>
      <c r="AI1406" s="206"/>
      <c r="AJ1406" s="206"/>
      <c r="AK1406" s="227"/>
      <c r="AL1406" s="210"/>
      <c r="AM1406" s="206"/>
      <c r="AN1406" s="206"/>
      <c r="AO1406" s="228"/>
      <c r="AP1406" s="229"/>
      <c r="AQ1406" s="206"/>
      <c r="AR1406" s="206"/>
      <c r="AS1406" s="228"/>
      <c r="AT1406" s="229"/>
      <c r="AU1406" s="228"/>
      <c r="AV1406" s="229"/>
      <c r="AW1406" s="228"/>
      <c r="AX1406" s="229"/>
      <c r="AY1406" s="206"/>
      <c r="AZ1406" s="229"/>
      <c r="BA1406" s="210"/>
      <c r="BB1406" s="175" t="s">
        <v>24</v>
      </c>
      <c r="BC1406" s="175" t="s">
        <v>114</v>
      </c>
      <c r="BD1406" s="210"/>
      <c r="BE1406" s="176" t="s">
        <v>206</v>
      </c>
      <c r="BF1406" s="230" t="s">
        <v>204</v>
      </c>
      <c r="BG1406" s="176" t="s">
        <v>290</v>
      </c>
      <c r="BH1406" s="230" t="s">
        <v>204</v>
      </c>
      <c r="BI1406" s="210"/>
      <c r="BJ1406" s="185"/>
      <c r="BN1406" s="269"/>
      <c r="BO1406" s="210"/>
      <c r="BV1406" s="184"/>
      <c r="BW1406" s="210"/>
      <c r="CD1406" s="184"/>
      <c r="CF1406" s="185"/>
      <c r="CI1406" s="184"/>
      <c r="CJ1406" s="210"/>
      <c r="CK1406" s="563"/>
      <c r="CM1406" s="559"/>
      <c r="CN1406" s="559"/>
      <c r="CO1406" s="567"/>
      <c r="CP1406" s="567"/>
      <c r="CQ1406" s="567"/>
      <c r="CR1406" s="567"/>
      <c r="CS1406" s="567"/>
      <c r="CT1406" s="567"/>
      <c r="CU1406" s="563"/>
      <c r="CV1406" s="561"/>
      <c r="CW1406" s="563"/>
      <c r="CX1406" s="561"/>
      <c r="CY1406" s="563"/>
      <c r="CZ1406" s="561"/>
      <c r="DA1406" s="563"/>
      <c r="DB1406" s="561"/>
      <c r="DC1406" s="563"/>
      <c r="DD1406" s="561"/>
      <c r="DG1406" s="576"/>
      <c r="DH1406" s="576"/>
      <c r="DI1406" s="570"/>
      <c r="DJ1406" s="570"/>
      <c r="DK1406" s="570"/>
      <c r="DL1406" s="570"/>
      <c r="DM1406" s="573"/>
      <c r="DN1406" s="570"/>
      <c r="DO1406" s="570"/>
      <c r="DP1406" s="570"/>
      <c r="DQ1406" s="570"/>
      <c r="DR1406" s="570"/>
      <c r="DS1406" s="570"/>
      <c r="DT1406" s="570"/>
      <c r="DU1406" s="570"/>
      <c r="DV1406" s="576"/>
      <c r="DW1406" s="576"/>
      <c r="DX1406" s="570"/>
      <c r="DY1406" s="570"/>
    </row>
    <row r="1407" spans="1:194" s="175" customFormat="1" ht="54.95" customHeight="1" x14ac:dyDescent="0.3">
      <c r="A1407" s="366"/>
      <c r="B1407" s="367"/>
      <c r="C1407" s="393" t="s">
        <v>30</v>
      </c>
      <c r="D1407" s="599"/>
      <c r="E1407" s="599"/>
      <c r="F1407" s="599"/>
      <c r="G1407" s="599"/>
      <c r="H1407" s="599"/>
      <c r="I1407" s="599"/>
      <c r="J1407" s="604"/>
      <c r="K1407" s="604"/>
      <c r="L1407" s="607"/>
      <c r="M1407" s="559"/>
      <c r="N1407" s="610"/>
      <c r="O1407" s="613"/>
      <c r="P1407" s="192"/>
      <c r="Q1407" s="176" t="s">
        <v>205</v>
      </c>
      <c r="R1407" s="233" t="s">
        <v>204</v>
      </c>
      <c r="S1407" s="234"/>
      <c r="T1407" s="235">
        <f>IFERROR(($R$353-8000)*T1406,"")</f>
        <v>0</v>
      </c>
      <c r="U1407" s="206"/>
      <c r="V1407" s="220"/>
      <c r="W1407" s="221" t="s">
        <v>258</v>
      </c>
      <c r="X1407" s="222" t="s">
        <v>204</v>
      </c>
      <c r="Y1407" s="236"/>
      <c r="Z1407" s="237"/>
      <c r="AA1407" s="225"/>
      <c r="AB1407" s="226"/>
      <c r="AC1407" s="206"/>
      <c r="AD1407" s="206"/>
      <c r="AE1407" s="206"/>
      <c r="AF1407" s="227"/>
      <c r="AG1407" s="206"/>
      <c r="AH1407" s="206"/>
      <c r="AI1407" s="206"/>
      <c r="AJ1407" s="206"/>
      <c r="AK1407" s="227"/>
      <c r="AL1407" s="238"/>
      <c r="AM1407" s="206"/>
      <c r="AN1407" s="206"/>
      <c r="AO1407" s="228"/>
      <c r="AP1407" s="229"/>
      <c r="AQ1407" s="206"/>
      <c r="AR1407" s="206"/>
      <c r="AS1407" s="228"/>
      <c r="AT1407" s="229"/>
      <c r="AU1407" s="228"/>
      <c r="AV1407" s="229"/>
      <c r="AW1407" s="228"/>
      <c r="AX1407" s="229"/>
      <c r="AY1407" s="206"/>
      <c r="AZ1407" s="229"/>
      <c r="BA1407" s="210"/>
      <c r="BB1407" s="175" t="s">
        <v>26</v>
      </c>
      <c r="BC1407" s="211" t="s">
        <v>115</v>
      </c>
      <c r="BD1407" s="210"/>
      <c r="BE1407" s="177" t="str">
        <f>IFERROR(VLOOKUP(D1405,'BD M.O'!C:H,4,FALSE),"")</f>
        <v/>
      </c>
      <c r="BF1407" s="177" t="s">
        <v>259</v>
      </c>
      <c r="BH1407" s="184"/>
      <c r="BI1407" s="210"/>
      <c r="BJ1407" s="185"/>
      <c r="BN1407" s="184"/>
      <c r="BO1407" s="210"/>
      <c r="BV1407" s="184"/>
      <c r="BW1407" s="210"/>
      <c r="CD1407" s="184"/>
      <c r="CF1407" s="185"/>
      <c r="CI1407" s="184"/>
      <c r="CJ1407" s="210"/>
      <c r="CK1407" s="563"/>
      <c r="CM1407" s="559"/>
      <c r="CN1407" s="559"/>
      <c r="CO1407" s="567"/>
      <c r="CP1407" s="567"/>
      <c r="CQ1407" s="567"/>
      <c r="CR1407" s="567"/>
      <c r="CS1407" s="567"/>
      <c r="CT1407" s="567"/>
      <c r="CU1407" s="563"/>
      <c r="CV1407" s="561"/>
      <c r="CW1407" s="563"/>
      <c r="CX1407" s="561"/>
      <c r="CY1407" s="563"/>
      <c r="CZ1407" s="561"/>
      <c r="DA1407" s="563"/>
      <c r="DB1407" s="561"/>
      <c r="DC1407" s="563"/>
      <c r="DD1407" s="561"/>
      <c r="DG1407" s="577"/>
      <c r="DH1407" s="577"/>
      <c r="DI1407" s="571"/>
      <c r="DJ1407" s="571"/>
      <c r="DK1407" s="571"/>
      <c r="DL1407" s="571"/>
      <c r="DM1407" s="574"/>
      <c r="DN1407" s="571"/>
      <c r="DO1407" s="571"/>
      <c r="DP1407" s="571"/>
      <c r="DQ1407" s="571"/>
      <c r="DR1407" s="571"/>
      <c r="DS1407" s="571"/>
      <c r="DT1407" s="571"/>
      <c r="DU1407" s="571"/>
      <c r="DV1407" s="577"/>
      <c r="DW1407" s="577"/>
      <c r="DX1407" s="571"/>
      <c r="DY1407" s="571"/>
    </row>
    <row r="1408" spans="1:194" s="175" customFormat="1" ht="54.95" customHeight="1" x14ac:dyDescent="0.25">
      <c r="A1408" s="366"/>
      <c r="B1408" s="367"/>
      <c r="C1408" s="395" t="s">
        <v>180</v>
      </c>
      <c r="D1408" s="599" t="s">
        <v>31</v>
      </c>
      <c r="E1408" s="599"/>
      <c r="F1408" s="394" t="s">
        <v>9</v>
      </c>
      <c r="G1408" s="599" t="s">
        <v>33</v>
      </c>
      <c r="H1408" s="599"/>
      <c r="I1408" s="394" t="str">
        <f>+IF($BG$9="SI","","X")</f>
        <v>X</v>
      </c>
      <c r="J1408" s="604"/>
      <c r="K1408" s="604"/>
      <c r="L1408" s="607"/>
      <c r="M1408" s="559"/>
      <c r="N1408" s="610"/>
      <c r="O1408" s="613"/>
      <c r="P1408" s="192"/>
      <c r="Q1408" s="239"/>
      <c r="R1408" s="221" t="s">
        <v>209</v>
      </c>
      <c r="S1408" s="234" t="str">
        <f>IF(S1406="","",S1406/(J1405*K1405))</f>
        <v/>
      </c>
      <c r="T1408" s="226"/>
      <c r="U1408" s="206"/>
      <c r="V1408" s="220"/>
      <c r="W1408" s="239" t="str">
        <f>IFERROR(IF(X1407="SI",VLOOKUP(D1405,'BD M.O'!C:F,4,FALSE),""),"")</f>
        <v/>
      </c>
      <c r="X1408" s="221" t="s">
        <v>258</v>
      </c>
      <c r="Y1408" s="221" t="s">
        <v>507</v>
      </c>
      <c r="Z1408" s="221" t="s">
        <v>508</v>
      </c>
      <c r="AA1408" s="225"/>
      <c r="AB1408" s="226"/>
      <c r="AC1408" s="206"/>
      <c r="AD1408" s="206"/>
      <c r="AE1408" s="206"/>
      <c r="AF1408" s="227"/>
      <c r="AG1408" s="206"/>
      <c r="AH1408" s="206"/>
      <c r="AI1408" s="206"/>
      <c r="AJ1408" s="206"/>
      <c r="AK1408" s="227"/>
      <c r="AL1408" s="240"/>
      <c r="AM1408" s="206"/>
      <c r="AN1408" s="206"/>
      <c r="AO1408" s="228"/>
      <c r="AP1408" s="229"/>
      <c r="AQ1408" s="206"/>
      <c r="AR1408" s="206"/>
      <c r="AS1408" s="228"/>
      <c r="AT1408" s="229"/>
      <c r="AU1408" s="228"/>
      <c r="AV1408" s="229"/>
      <c r="AW1408" s="228"/>
      <c r="AX1408" s="229"/>
      <c r="AY1408" s="206"/>
      <c r="AZ1408" s="229"/>
      <c r="BA1408" s="210"/>
      <c r="BC1408" s="175" t="s">
        <v>116</v>
      </c>
      <c r="BD1408" s="210"/>
      <c r="BE1408" s="177" t="str">
        <f>IFERROR(VLOOKUP(COTIZACIÓN!D1405,'BD M.O'!C:I,5,FALSE),"")</f>
        <v/>
      </c>
      <c r="BF1408" s="177" t="s">
        <v>260</v>
      </c>
      <c r="BH1408" s="184"/>
      <c r="BI1408" s="210"/>
      <c r="BJ1408" s="185"/>
      <c r="BN1408" s="184"/>
      <c r="BO1408" s="210"/>
      <c r="BP1408" s="183"/>
      <c r="BQ1408" s="183"/>
      <c r="BR1408" s="183"/>
      <c r="BS1408" s="183"/>
      <c r="BT1408" s="183"/>
      <c r="BU1408" s="183"/>
      <c r="BV1408" s="182"/>
      <c r="BW1408" s="210"/>
      <c r="BX1408" s="183"/>
      <c r="BY1408" s="183"/>
      <c r="BZ1408" s="183"/>
      <c r="CA1408" s="183"/>
      <c r="CB1408" s="183"/>
      <c r="CC1408" s="183"/>
      <c r="CD1408" s="182"/>
      <c r="CE1408" s="183"/>
      <c r="CF1408" s="241"/>
      <c r="CG1408" s="183"/>
      <c r="CH1408" s="183"/>
      <c r="CI1408" s="182"/>
      <c r="CJ1408" s="210"/>
      <c r="CK1408" s="563"/>
      <c r="CM1408" s="559"/>
      <c r="CN1408" s="559"/>
      <c r="CO1408" s="567"/>
      <c r="CP1408" s="567"/>
      <c r="CQ1408" s="567"/>
      <c r="CR1408" s="567"/>
      <c r="CS1408" s="567"/>
      <c r="CT1408" s="567"/>
      <c r="CU1408" s="563"/>
      <c r="CV1408" s="561"/>
      <c r="CW1408" s="563"/>
      <c r="CX1408" s="561"/>
      <c r="CY1408" s="563"/>
      <c r="CZ1408" s="561"/>
      <c r="DA1408" s="563"/>
      <c r="DB1408" s="561"/>
      <c r="DC1408" s="563"/>
      <c r="DD1408" s="561"/>
      <c r="DG1408" s="575"/>
      <c r="DH1408" s="575"/>
      <c r="DI1408" s="569">
        <f t="shared" ref="DI1408" si="1559">IFERROR(IF(DG1408&gt;0,(((N1405)/(1+10%+19%*5%)+((N1405)/(1+10%+19%*5%))*10%)*DH1408),0),0)</f>
        <v>0</v>
      </c>
      <c r="DJ1408" s="569">
        <f t="shared" ref="DJ1408" si="1560">IFERROR(IF(DG1408&gt;0,(N1405*DH1408),0),0)</f>
        <v>0</v>
      </c>
      <c r="DK1408" s="569">
        <f t="shared" ref="DK1408" si="1561">IF(DG1408&gt;0,((R1405+T1405)*DH1408),0)</f>
        <v>0</v>
      </c>
      <c r="DL1408" s="569">
        <f t="shared" ref="DL1408" si="1562">IF(DG1408&gt;0,(Q1405*DH1408),0)</f>
        <v>0</v>
      </c>
      <c r="DM1408" s="572">
        <f t="shared" ref="DM1408" si="1563">IF(DG1408&gt;0,(S1405*DH1408),0)</f>
        <v>0</v>
      </c>
      <c r="DN1408" s="569">
        <f t="shared" ref="DN1408" si="1564">IF(DG1408&gt;0,(BN1405*DH1408),0)</f>
        <v>0</v>
      </c>
      <c r="DO1408" s="569">
        <f t="shared" ref="DO1408" si="1565">IF(DG1408&gt;0,(AF1405*DH1408),0)</f>
        <v>0</v>
      </c>
      <c r="DP1408" s="569">
        <f>IF(DG1408&gt;0,((DI1408)*('BD P&amp;G'!$E$16+'BD P&amp;G'!$E$17+'BD P&amp;G'!$E$18+'BD P&amp;G'!$E$19+'BD P&amp;G'!$E$20+'BD P&amp;G'!$E$21+'BD P&amp;G'!$E$22+'BD P&amp;G'!$E$23)*DH1408),0)</f>
        <v>0</v>
      </c>
      <c r="DQ1408" s="569">
        <f>IFERROR(IF(DG1408&gt;0,((DI1408*'BD P&amp;G'!$E$7)+(DI1408*'BD P&amp;G'!$E$9)+AI1405),0),0)</f>
        <v>0</v>
      </c>
      <c r="DR1408" s="569">
        <f t="shared" ref="DR1408" si="1566">IFERROR(IF(DG1408&gt;0,((DI1408*1%)),0),0)</f>
        <v>0</v>
      </c>
      <c r="DS1408" s="569">
        <f>IFERROR(IF(DG1408&gt;0,(((DI1408*'BD P&amp;G'!$E$32+DI1408*'BD P&amp;G'!$E$33+DI1408*'BD P&amp;G'!$E$35+DI1408*'BD P&amp;G'!$E$36+DI1408*'BD P&amp;G'!$E$37))),0),0)</f>
        <v>0</v>
      </c>
      <c r="DT1408" s="569">
        <f t="shared" ref="DT1408" si="1567">IF(DG1408&gt;0,(Y1405*DH1408),0)</f>
        <v>0</v>
      </c>
      <c r="DU1408" s="569">
        <f t="shared" ref="DU1408" si="1568">IF(DG1408&gt;0,(Z1405*DH1408),0)</f>
        <v>0</v>
      </c>
      <c r="DV1408" s="575">
        <f t="shared" ref="DV1408" si="1569">IF(DG1408&gt;0,(Y1409*DH1408),0)</f>
        <v>0</v>
      </c>
      <c r="DW1408" s="575">
        <f t="shared" ref="DW1408" si="1570">IF(DG1408&gt;0,(Z1409*DH1408),0)</f>
        <v>0</v>
      </c>
      <c r="DX1408" s="569">
        <f t="shared" ref="DX1408" si="1571">IF(DV1408&gt;0,DJ1408,0)</f>
        <v>0</v>
      </c>
      <c r="DY1408" s="569">
        <f t="shared" ref="DY1408" si="1572">IF(DW1408&gt;0,DJ1408,0)</f>
        <v>0</v>
      </c>
    </row>
    <row r="1409" spans="1:194" s="175" customFormat="1" ht="54.95" customHeight="1" x14ac:dyDescent="0.3">
      <c r="A1409" s="366"/>
      <c r="B1409" s="367"/>
      <c r="C1409" s="393" t="s">
        <v>35</v>
      </c>
      <c r="D1409" s="599" t="str">
        <f>IFERROR(VLOOKUP(D1405,'BD GN'!C:E,3,),"")</f>
        <v/>
      </c>
      <c r="E1409" s="599"/>
      <c r="F1409" s="599"/>
      <c r="G1409" s="599"/>
      <c r="H1409" s="599"/>
      <c r="I1409" s="599"/>
      <c r="J1409" s="604"/>
      <c r="K1409" s="604"/>
      <c r="L1409" s="607"/>
      <c r="M1409" s="559"/>
      <c r="N1409" s="610"/>
      <c r="O1409" s="613"/>
      <c r="P1409" s="192"/>
      <c r="Q1409" s="239"/>
      <c r="R1409" s="221" t="s">
        <v>210</v>
      </c>
      <c r="S1409" s="234" t="str">
        <f>IFERROR(IF(N1405="","",N1405/W1409),"")</f>
        <v/>
      </c>
      <c r="T1409" s="226"/>
      <c r="U1409" s="206"/>
      <c r="V1409" s="220"/>
      <c r="W1409" s="242" t="str">
        <f>+IF(J1405*K1405&gt;=1,J1405*K1405,IF(AND(J1405*K1405&gt;0,J1405*K1405&lt;1),1,""))</f>
        <v/>
      </c>
      <c r="X1409" s="221" t="s">
        <v>298</v>
      </c>
      <c r="Y1409" s="461">
        <f>IFERROR(IF(D1405='BD GN'!$C$25,COTIZACIÓN!W1409,IF(D1405='BD GN'!$C$26,COTIZACIÓN!W1409,IF(D1405='BD GN'!$C$27,COTIZACIÓN!W1409,IF(COTIZACIÓN!D1405='BD GN'!$C$28,COTIZACIÓN!W1409,IF(COTIZACIÓN!D1405='BD GN'!$C$29,COTIZACIÓN!W1409,IF(COTIZACIÓN!D1405='BD GN'!$C$35,COTIZACIÓN!W1409,IF(COTIZACIÓN!D1405='BD GN'!$C$36,COTIZACIÓN!W1409,IF(COTIZACIÓN!D1405='BD GN'!$C$37,COTIZACIÓN!W1409,IF(COTIZACIÓN!D1405='BD GN'!$C$38,COTIZACIÓN!W1409,IF(COTIZACIÓN!D1405='BD GN'!$C$39,COTIZACIÓN!W1409,IF(COTIZACIÓN!D1405='BD GN'!$C$40,COTIZACIÓN!W1409,IF(COTIZACIÓN!D1405='BD GN'!$C$41,COTIZACIÓN!W1409,IF(COTIZACIÓN!D1405='BD GN'!$C$42,COTIZACIÓN!W1409,IF(COTIZACIÓN!D1405='BD GN'!$C$49,COTIZACIÓN!W1409,IF(COTIZACIÓN!D1405='BD GN'!$C$50,COTIZACIÓN!W1409,IF(COTIZACIÓN!D1405='BD GN'!$C$51,COTIZACIÓN!W1409,IF(COTIZACIÓN!D1405='BD GN'!$C$67,COTIZACIÓN!W1409,0))))))))))))))))),0)</f>
        <v>0</v>
      </c>
      <c r="Z1409" s="461">
        <f>IFERROR(W1409-Y1409,0)</f>
        <v>0</v>
      </c>
      <c r="AA1409" s="225"/>
      <c r="AB1409" s="226"/>
      <c r="AC1409" s="206"/>
      <c r="AD1409" s="206"/>
      <c r="AE1409" s="206"/>
      <c r="AF1409" s="227"/>
      <c r="AG1409" s="206"/>
      <c r="AH1409" s="206"/>
      <c r="AI1409" s="206"/>
      <c r="AJ1409" s="206"/>
      <c r="AK1409" s="227"/>
      <c r="AL1409" s="210"/>
      <c r="AM1409" s="206"/>
      <c r="AN1409" s="206"/>
      <c r="AO1409" s="228"/>
      <c r="AP1409" s="229"/>
      <c r="AQ1409" s="206"/>
      <c r="AR1409" s="206"/>
      <c r="AS1409" s="228"/>
      <c r="AT1409" s="229"/>
      <c r="AU1409" s="228"/>
      <c r="AV1409" s="229"/>
      <c r="AW1409" s="228"/>
      <c r="AX1409" s="229"/>
      <c r="AY1409" s="206"/>
      <c r="AZ1409" s="229"/>
      <c r="BA1409" s="210"/>
      <c r="BC1409" s="211" t="s">
        <v>117</v>
      </c>
      <c r="BD1409" s="210"/>
      <c r="BE1409" s="177" t="str">
        <f>IFERROR(VLOOKUP(D1405,'BD M.O'!C:I,6,FALSE),"")</f>
        <v/>
      </c>
      <c r="BF1409" s="177" t="s">
        <v>261</v>
      </c>
      <c r="BH1409" s="184"/>
      <c r="BI1409" s="210"/>
      <c r="BJ1409" s="185"/>
      <c r="BN1409" s="184"/>
      <c r="BO1409" s="210"/>
      <c r="BP1409" s="183"/>
      <c r="BQ1409" s="183"/>
      <c r="BR1409" s="183"/>
      <c r="BW1409" s="210"/>
      <c r="CD1409" s="184"/>
      <c r="CF1409" s="185"/>
      <c r="CI1409" s="184"/>
      <c r="CJ1409" s="210"/>
      <c r="CK1409" s="563"/>
      <c r="CM1409" s="559"/>
      <c r="CN1409" s="559"/>
      <c r="CO1409" s="567"/>
      <c r="CP1409" s="567"/>
      <c r="CQ1409" s="567"/>
      <c r="CR1409" s="567"/>
      <c r="CS1409" s="567"/>
      <c r="CT1409" s="567"/>
      <c r="CU1409" s="563"/>
      <c r="CV1409" s="561"/>
      <c r="CW1409" s="563"/>
      <c r="CX1409" s="561"/>
      <c r="CY1409" s="563"/>
      <c r="CZ1409" s="561"/>
      <c r="DA1409" s="563"/>
      <c r="DB1409" s="561"/>
      <c r="DC1409" s="563"/>
      <c r="DD1409" s="561"/>
      <c r="DG1409" s="576"/>
      <c r="DH1409" s="576"/>
      <c r="DI1409" s="570"/>
      <c r="DJ1409" s="570"/>
      <c r="DK1409" s="570"/>
      <c r="DL1409" s="570"/>
      <c r="DM1409" s="573"/>
      <c r="DN1409" s="570"/>
      <c r="DO1409" s="570"/>
      <c r="DP1409" s="570"/>
      <c r="DQ1409" s="570"/>
      <c r="DR1409" s="570"/>
      <c r="DS1409" s="570"/>
      <c r="DT1409" s="570"/>
      <c r="DU1409" s="570"/>
      <c r="DV1409" s="576"/>
      <c r="DW1409" s="576"/>
      <c r="DX1409" s="570"/>
      <c r="DY1409" s="570"/>
    </row>
    <row r="1410" spans="1:194" s="252" customFormat="1" ht="54.95" customHeight="1" x14ac:dyDescent="0.25">
      <c r="A1410" s="368"/>
      <c r="B1410" s="369"/>
      <c r="C1410" s="396" t="s">
        <v>10</v>
      </c>
      <c r="D1410" s="600" t="s">
        <v>32</v>
      </c>
      <c r="E1410" s="600"/>
      <c r="F1410" s="600"/>
      <c r="G1410" s="600"/>
      <c r="H1410" s="600"/>
      <c r="I1410" s="600"/>
      <c r="J1410" s="605"/>
      <c r="K1410" s="605"/>
      <c r="L1410" s="608"/>
      <c r="M1410" s="597"/>
      <c r="N1410" s="611"/>
      <c r="O1410" s="614"/>
      <c r="P1410" s="192"/>
      <c r="Q1410" s="239"/>
      <c r="R1410" s="239"/>
      <c r="S1410" s="234"/>
      <c r="T1410" s="243"/>
      <c r="U1410" s="244"/>
      <c r="V1410" s="245"/>
      <c r="W1410" s="177" t="s">
        <v>394</v>
      </c>
      <c r="X1410" s="246">
        <f>IFERROR(SUM(W1405:X1405),"")</f>
        <v>0</v>
      </c>
      <c r="Y1410" s="166" t="s">
        <v>404</v>
      </c>
      <c r="Z1410" s="199">
        <f>IFERROR(Y1405+Z1405,"")</f>
        <v>4.7901128266487999E-2</v>
      </c>
      <c r="AA1410" s="247"/>
      <c r="AB1410" s="243"/>
      <c r="AC1410" s="244"/>
      <c r="AD1410" s="244"/>
      <c r="AE1410" s="244"/>
      <c r="AF1410" s="270"/>
      <c r="AG1410" s="244"/>
      <c r="AH1410" s="244"/>
      <c r="AI1410" s="244"/>
      <c r="AJ1410" s="244"/>
      <c r="AK1410" s="270"/>
      <c r="AL1410" s="270"/>
      <c r="AM1410" s="248"/>
      <c r="AN1410" s="248"/>
      <c r="AO1410" s="249"/>
      <c r="AP1410" s="250"/>
      <c r="AQ1410" s="248"/>
      <c r="AR1410" s="248"/>
      <c r="AS1410" s="249"/>
      <c r="AT1410" s="250"/>
      <c r="AU1410" s="249"/>
      <c r="AV1410" s="250"/>
      <c r="AW1410" s="249"/>
      <c r="AX1410" s="250"/>
      <c r="AY1410" s="248"/>
      <c r="AZ1410" s="250"/>
      <c r="BA1410" s="210"/>
      <c r="BB1410" s="175"/>
      <c r="BC1410" s="175" t="s">
        <v>118</v>
      </c>
      <c r="BD1410" s="210"/>
      <c r="BE1410" s="177" t="str">
        <f>IFERROR(VLOOKUP(D1405,'BD M.O'!C:I,7,FALSE),"")</f>
        <v/>
      </c>
      <c r="BF1410" s="177" t="s">
        <v>262</v>
      </c>
      <c r="BG1410" s="257"/>
      <c r="BH1410" s="271"/>
      <c r="BI1410" s="210"/>
      <c r="BJ1410" s="272"/>
      <c r="BK1410" s="257"/>
      <c r="BL1410" s="257"/>
      <c r="BM1410" s="257"/>
      <c r="BN1410" s="271"/>
      <c r="BO1410" s="210"/>
      <c r="BP1410" s="175"/>
      <c r="BQ1410" s="175"/>
      <c r="BR1410" s="175"/>
      <c r="BS1410" s="183"/>
      <c r="BT1410" s="183"/>
      <c r="BU1410" s="183"/>
      <c r="BV1410" s="183"/>
      <c r="BW1410" s="210"/>
      <c r="BX1410" s="175"/>
      <c r="BY1410" s="175"/>
      <c r="BZ1410" s="175"/>
      <c r="CA1410" s="175"/>
      <c r="CB1410" s="175"/>
      <c r="CC1410" s="175"/>
      <c r="CD1410" s="184"/>
      <c r="CE1410" s="175"/>
      <c r="CF1410" s="185"/>
      <c r="CG1410" s="175"/>
      <c r="CH1410" s="175"/>
      <c r="CI1410" s="184"/>
      <c r="CJ1410" s="210"/>
      <c r="CK1410" s="564"/>
      <c r="CL1410" s="257"/>
      <c r="CM1410" s="597"/>
      <c r="CN1410" s="597"/>
      <c r="CO1410" s="567"/>
      <c r="CP1410" s="567"/>
      <c r="CQ1410" s="567"/>
      <c r="CR1410" s="567"/>
      <c r="CS1410" s="567"/>
      <c r="CT1410" s="567"/>
      <c r="CU1410" s="564"/>
      <c r="CV1410" s="562"/>
      <c r="CW1410" s="564"/>
      <c r="CX1410" s="562"/>
      <c r="CY1410" s="564"/>
      <c r="CZ1410" s="562"/>
      <c r="DA1410" s="564"/>
      <c r="DB1410" s="562"/>
      <c r="DC1410" s="564"/>
      <c r="DD1410" s="562"/>
      <c r="DE1410" s="175"/>
      <c r="DF1410" s="175"/>
      <c r="DG1410" s="577"/>
      <c r="DH1410" s="577"/>
      <c r="DI1410" s="571"/>
      <c r="DJ1410" s="571"/>
      <c r="DK1410" s="571"/>
      <c r="DL1410" s="571"/>
      <c r="DM1410" s="574"/>
      <c r="DN1410" s="571"/>
      <c r="DO1410" s="571"/>
      <c r="DP1410" s="571"/>
      <c r="DQ1410" s="571"/>
      <c r="DR1410" s="571"/>
      <c r="DS1410" s="571"/>
      <c r="DT1410" s="571"/>
      <c r="DU1410" s="571"/>
      <c r="DV1410" s="577"/>
      <c r="DW1410" s="577"/>
      <c r="DX1410" s="571"/>
      <c r="DY1410" s="571"/>
      <c r="DZ1410" s="175"/>
      <c r="EA1410" s="175"/>
      <c r="EB1410" s="175"/>
      <c r="EC1410" s="175"/>
      <c r="ED1410" s="175"/>
      <c r="EE1410" s="175"/>
      <c r="EF1410" s="175"/>
      <c r="EG1410" s="175"/>
      <c r="EH1410" s="175"/>
      <c r="EI1410" s="175"/>
      <c r="EJ1410" s="175"/>
      <c r="EK1410" s="175"/>
      <c r="EL1410" s="175"/>
      <c r="EM1410" s="175"/>
      <c r="EN1410" s="175"/>
      <c r="EO1410" s="175"/>
      <c r="EP1410" s="175"/>
      <c r="EQ1410" s="175"/>
      <c r="ER1410" s="175"/>
      <c r="ES1410" s="175"/>
      <c r="ET1410" s="175"/>
      <c r="EU1410" s="175"/>
      <c r="EV1410" s="175"/>
      <c r="EW1410" s="175"/>
      <c r="EX1410" s="175"/>
      <c r="EY1410" s="175"/>
      <c r="EZ1410" s="175"/>
      <c r="FA1410" s="175"/>
      <c r="FB1410" s="175"/>
      <c r="FC1410" s="175"/>
      <c r="FD1410" s="175"/>
      <c r="FE1410" s="175"/>
      <c r="FF1410" s="175"/>
      <c r="FG1410" s="175"/>
      <c r="FH1410" s="175"/>
      <c r="FI1410" s="175"/>
      <c r="FJ1410" s="175"/>
      <c r="FK1410" s="175"/>
      <c r="FL1410" s="175"/>
      <c r="FM1410" s="175"/>
      <c r="FN1410" s="175"/>
      <c r="FO1410" s="175"/>
      <c r="FP1410" s="175"/>
      <c r="FQ1410" s="175"/>
      <c r="FR1410" s="175"/>
      <c r="FS1410" s="175"/>
      <c r="FT1410" s="175"/>
      <c r="FU1410" s="175"/>
      <c r="FV1410" s="175"/>
      <c r="FW1410" s="175"/>
      <c r="FX1410" s="175"/>
      <c r="FY1410" s="175"/>
      <c r="FZ1410" s="175"/>
      <c r="GA1410" s="175"/>
      <c r="GB1410" s="175"/>
      <c r="GC1410" s="175"/>
      <c r="GD1410" s="175"/>
      <c r="GE1410" s="175"/>
      <c r="GF1410" s="175"/>
      <c r="GG1410" s="175"/>
      <c r="GH1410" s="175"/>
      <c r="GI1410" s="175"/>
      <c r="GJ1410" s="175"/>
      <c r="GK1410" s="175"/>
      <c r="GL1410" s="175"/>
    </row>
    <row r="1411" spans="1:194" s="255" customFormat="1" ht="54.95" customHeight="1" x14ac:dyDescent="0.3">
      <c r="A1411" s="380" t="s">
        <v>193</v>
      </c>
      <c r="B1411" s="381" t="s">
        <v>25</v>
      </c>
      <c r="C1411" s="409" t="s">
        <v>174</v>
      </c>
      <c r="D1411" s="601" t="s">
        <v>173</v>
      </c>
      <c r="E1411" s="601"/>
      <c r="F1411" s="601"/>
      <c r="G1411" s="601"/>
      <c r="H1411" s="601"/>
      <c r="I1411" s="601"/>
      <c r="J1411" s="437" t="s">
        <v>406</v>
      </c>
      <c r="K1411" s="437" t="s">
        <v>405</v>
      </c>
      <c r="L1411" s="438" t="s">
        <v>171</v>
      </c>
      <c r="M1411" s="381" t="s">
        <v>2</v>
      </c>
      <c r="N1411" s="439" t="s">
        <v>7</v>
      </c>
      <c r="O1411" s="440" t="s">
        <v>8</v>
      </c>
      <c r="P1411" s="159"/>
      <c r="Q1411" s="164" t="s">
        <v>93</v>
      </c>
      <c r="R1411" s="164" t="s">
        <v>34</v>
      </c>
      <c r="S1411" s="164" t="s">
        <v>28</v>
      </c>
      <c r="T1411" s="164" t="s">
        <v>95</v>
      </c>
      <c r="U1411" s="164" t="s">
        <v>96</v>
      </c>
      <c r="V1411" s="164" t="s">
        <v>97</v>
      </c>
      <c r="W1411" s="164" t="s">
        <v>4</v>
      </c>
      <c r="X1411" s="164" t="s">
        <v>103</v>
      </c>
      <c r="Y1411" s="160" t="s">
        <v>402</v>
      </c>
      <c r="Z1411" s="165" t="s">
        <v>403</v>
      </c>
      <c r="AA1411" s="166" t="s">
        <v>404</v>
      </c>
      <c r="AB1411" s="164" t="s">
        <v>99</v>
      </c>
      <c r="AC1411" s="164" t="s">
        <v>395</v>
      </c>
      <c r="AD1411" s="253" t="s">
        <v>36</v>
      </c>
      <c r="AE1411" s="164" t="s">
        <v>389</v>
      </c>
      <c r="AF1411" s="164" t="s">
        <v>390</v>
      </c>
      <c r="AG1411" s="164" t="s">
        <v>164</v>
      </c>
      <c r="AH1411" s="253" t="s">
        <v>396</v>
      </c>
      <c r="AI1411" s="164" t="s">
        <v>190</v>
      </c>
      <c r="AJ1411" s="164" t="s">
        <v>339</v>
      </c>
      <c r="AK1411" s="253" t="s">
        <v>391</v>
      </c>
      <c r="AL1411" s="253" t="s">
        <v>393</v>
      </c>
      <c r="AM1411" s="167" t="s">
        <v>93</v>
      </c>
      <c r="AN1411" s="168" t="s">
        <v>34</v>
      </c>
      <c r="AO1411" s="169" t="s">
        <v>28</v>
      </c>
      <c r="AP1411" s="170" t="s">
        <v>95</v>
      </c>
      <c r="AQ1411" s="167" t="s">
        <v>3</v>
      </c>
      <c r="AR1411" s="167" t="s">
        <v>96</v>
      </c>
      <c r="AS1411" s="169" t="s">
        <v>97</v>
      </c>
      <c r="AT1411" s="170" t="s">
        <v>4</v>
      </c>
      <c r="AU1411" s="169" t="s">
        <v>103</v>
      </c>
      <c r="AV1411" s="170" t="s">
        <v>99</v>
      </c>
      <c r="AW1411" s="169" t="s">
        <v>36</v>
      </c>
      <c r="AX1411" s="171" t="s">
        <v>29</v>
      </c>
      <c r="AY1411" s="172" t="s">
        <v>190</v>
      </c>
      <c r="AZ1411" s="173" t="s">
        <v>102</v>
      </c>
      <c r="BA1411" s="174"/>
      <c r="BB1411" s="183"/>
      <c r="BC1411" s="211" t="s">
        <v>119</v>
      </c>
      <c r="BD1411" s="174"/>
      <c r="BE1411" s="176" t="s">
        <v>189</v>
      </c>
      <c r="BF1411" s="177" t="str">
        <f>$BF$13</f>
        <v xml:space="preserve">VR SILICONA </v>
      </c>
      <c r="BG1411" s="177" t="str">
        <f>$BG$13</f>
        <v xml:space="preserve">VR PELÍCULA </v>
      </c>
      <c r="BH1411" s="177" t="str">
        <f>$BH$13</f>
        <v>VR EMBALAJE</v>
      </c>
      <c r="BI1411" s="174"/>
      <c r="BJ1411" s="176" t="str">
        <f>$BJ$13</f>
        <v>ESP. CRISTAL</v>
      </c>
      <c r="BK1411" s="176" t="s">
        <v>130</v>
      </c>
      <c r="BL1411" s="177" t="s">
        <v>28</v>
      </c>
      <c r="BM1411" s="177">
        <f>BM1404</f>
        <v>0</v>
      </c>
      <c r="BN1411" s="177" t="s">
        <v>133</v>
      </c>
      <c r="BO1411" s="174"/>
      <c r="BP1411" s="175"/>
      <c r="BQ1411" s="175"/>
      <c r="BR1411" s="175"/>
      <c r="BS1411" s="175"/>
      <c r="BT1411" s="175"/>
      <c r="BU1411" s="175"/>
      <c r="BV1411" s="175"/>
      <c r="BW1411" s="174"/>
      <c r="BX1411" s="175"/>
      <c r="BY1411" s="175"/>
      <c r="BZ1411" s="175"/>
      <c r="CA1411" s="175"/>
      <c r="CB1411" s="175"/>
      <c r="CC1411" s="175"/>
      <c r="CD1411" s="184"/>
      <c r="CE1411" s="175"/>
      <c r="CF1411" s="185"/>
      <c r="CG1411" s="175"/>
      <c r="CH1411" s="175"/>
      <c r="CI1411" s="184"/>
      <c r="CJ1411" s="174"/>
      <c r="CK1411" s="254" t="s">
        <v>415</v>
      </c>
      <c r="CL1411" s="265" t="s">
        <v>417</v>
      </c>
      <c r="CM1411" s="265" t="s">
        <v>416</v>
      </c>
      <c r="CN1411" s="266" t="s">
        <v>418</v>
      </c>
      <c r="CO1411" s="265" t="s">
        <v>417</v>
      </c>
      <c r="CP1411" s="265" t="s">
        <v>409</v>
      </c>
      <c r="CQ1411" s="265" t="s">
        <v>410</v>
      </c>
      <c r="CR1411" s="265" t="s">
        <v>411</v>
      </c>
      <c r="CS1411" s="265" t="s">
        <v>412</v>
      </c>
      <c r="CT1411" s="265" t="s">
        <v>413</v>
      </c>
      <c r="CU1411" s="189" t="s">
        <v>2</v>
      </c>
      <c r="CV1411" s="190" t="s">
        <v>159</v>
      </c>
      <c r="CW1411" s="189" t="s">
        <v>2</v>
      </c>
      <c r="CX1411" s="190" t="s">
        <v>159</v>
      </c>
      <c r="CY1411" s="189" t="s">
        <v>2</v>
      </c>
      <c r="CZ1411" s="190" t="s">
        <v>159</v>
      </c>
      <c r="DA1411" s="189" t="s">
        <v>2</v>
      </c>
      <c r="DB1411" s="190" t="s">
        <v>159</v>
      </c>
      <c r="DC1411" s="189" t="s">
        <v>2</v>
      </c>
      <c r="DD1411" s="190" t="s">
        <v>159</v>
      </c>
      <c r="DE1411" s="183"/>
      <c r="DF1411" s="183"/>
      <c r="DG1411" s="177" t="s">
        <v>505</v>
      </c>
      <c r="DH1411" s="472" t="s">
        <v>509</v>
      </c>
      <c r="DI1411" s="457" t="s">
        <v>506</v>
      </c>
      <c r="DJ1411" s="457" t="s">
        <v>134</v>
      </c>
      <c r="DK1411" s="457" t="s">
        <v>498</v>
      </c>
      <c r="DL1411" s="457" t="s">
        <v>499</v>
      </c>
      <c r="DM1411" s="457" t="s">
        <v>500</v>
      </c>
      <c r="DN1411" s="457" t="s">
        <v>131</v>
      </c>
      <c r="DO1411" s="457" t="s">
        <v>390</v>
      </c>
      <c r="DP1411" s="457" t="s">
        <v>36</v>
      </c>
      <c r="DQ1411" s="457" t="s">
        <v>501</v>
      </c>
      <c r="DR1411" s="457" t="s">
        <v>502</v>
      </c>
      <c r="DS1411" s="457" t="s">
        <v>503</v>
      </c>
      <c r="DT1411" s="457" t="s">
        <v>4</v>
      </c>
      <c r="DU1411" s="457" t="s">
        <v>504</v>
      </c>
      <c r="DV1411" s="466" t="s">
        <v>507</v>
      </c>
      <c r="DW1411" s="466" t="s">
        <v>508</v>
      </c>
      <c r="DX1411" s="457" t="s">
        <v>510</v>
      </c>
      <c r="DY1411" s="457" t="s">
        <v>511</v>
      </c>
      <c r="DZ1411" s="183"/>
      <c r="EA1411" s="183"/>
      <c r="EB1411" s="183"/>
      <c r="EC1411" s="183"/>
      <c r="ED1411" s="183"/>
      <c r="EE1411" s="183"/>
      <c r="EF1411" s="183"/>
      <c r="EG1411" s="183"/>
      <c r="EH1411" s="183"/>
      <c r="EI1411" s="183"/>
      <c r="EJ1411" s="183"/>
      <c r="EK1411" s="183"/>
      <c r="EL1411" s="183"/>
      <c r="EM1411" s="183"/>
      <c r="EN1411" s="183"/>
      <c r="EO1411" s="183"/>
      <c r="EP1411" s="183"/>
      <c r="EQ1411" s="183"/>
      <c r="ER1411" s="183"/>
      <c r="ES1411" s="183"/>
      <c r="ET1411" s="183"/>
      <c r="EU1411" s="183"/>
      <c r="EV1411" s="183"/>
      <c r="EW1411" s="183"/>
      <c r="EX1411" s="183"/>
      <c r="EY1411" s="183"/>
      <c r="EZ1411" s="183"/>
      <c r="FA1411" s="183"/>
      <c r="FB1411" s="183"/>
      <c r="FC1411" s="183"/>
      <c r="FD1411" s="183"/>
      <c r="FE1411" s="183"/>
      <c r="FF1411" s="183"/>
      <c r="FG1411" s="183"/>
      <c r="FH1411" s="183"/>
      <c r="FI1411" s="183"/>
      <c r="FJ1411" s="183"/>
      <c r="FK1411" s="183"/>
      <c r="FL1411" s="183"/>
      <c r="FM1411" s="183"/>
      <c r="FN1411" s="183"/>
      <c r="FO1411" s="183"/>
      <c r="FP1411" s="183"/>
      <c r="FQ1411" s="183"/>
      <c r="FR1411" s="183"/>
      <c r="FS1411" s="183"/>
      <c r="FT1411" s="183"/>
      <c r="FU1411" s="183"/>
      <c r="FV1411" s="183"/>
      <c r="FW1411" s="183"/>
      <c r="FX1411" s="183"/>
      <c r="FY1411" s="183"/>
      <c r="FZ1411" s="183"/>
      <c r="GA1411" s="183"/>
      <c r="GB1411" s="183"/>
      <c r="GC1411" s="183"/>
      <c r="GD1411" s="183"/>
      <c r="GE1411" s="183"/>
      <c r="GF1411" s="183"/>
      <c r="GG1411" s="183"/>
      <c r="GH1411" s="183"/>
      <c r="GI1411" s="183"/>
      <c r="GJ1411" s="183"/>
      <c r="GK1411" s="183"/>
      <c r="GL1411" s="183"/>
    </row>
    <row r="1412" spans="1:194" s="175" customFormat="1" ht="54.95" customHeight="1" x14ac:dyDescent="0.3">
      <c r="A1412" s="364"/>
      <c r="B1412" s="365"/>
      <c r="C1412" s="392" t="s">
        <v>27</v>
      </c>
      <c r="D1412" s="602"/>
      <c r="E1412" s="602"/>
      <c r="F1412" s="602"/>
      <c r="G1412" s="602"/>
      <c r="H1412" s="602"/>
      <c r="I1412" s="602"/>
      <c r="J1412" s="603"/>
      <c r="K1412" s="603"/>
      <c r="L1412" s="606">
        <f>J1412*K1412*M1412</f>
        <v>0</v>
      </c>
      <c r="M1412" s="596"/>
      <c r="N1412" s="609">
        <f>IFERROR(AL1412,"")</f>
        <v>1.1502546360919998</v>
      </c>
      <c r="O1412" s="612">
        <f>IFERROR(N1412*M1412,"")</f>
        <v>0</v>
      </c>
      <c r="P1412" s="192"/>
      <c r="Q1412" s="193">
        <f>Q1413+BF1412+($R$350*Q1413)</f>
        <v>0</v>
      </c>
      <c r="R1412" s="193">
        <f>IFERROR(R1413+($R$348*R1413),"")</f>
        <v>0</v>
      </c>
      <c r="S1412" s="194">
        <f>+IF(R1414="SI",((W1416*'BD GN'!$AB$2)+S1413)*1,COTIZACIÓN!S1413*1)+($R$352*S1413)</f>
        <v>0</v>
      </c>
      <c r="T1412" s="195">
        <f>IFERROR(R1412*IF(K1412&lt;=3,$T$13,15%),"")</f>
        <v>0</v>
      </c>
      <c r="U1412" s="196">
        <f>BH1412+BG1412</f>
        <v>0</v>
      </c>
      <c r="V1412" s="197" t="str">
        <f>IFERROR(BN1412,0)</f>
        <v/>
      </c>
      <c r="W1412" s="198" t="str">
        <f>IFERROR(IF(X1414="SI",W1415*J1412*K1412,IF(BE1412=3,BE1414,IF(BE1412=4,BE1415,IF(BE1412=5,BE1416,IF(BE1412&gt;5,BE1416+(BE1417*(BE1412-5)),"")))))*0,"")</f>
        <v/>
      </c>
      <c r="X1412" s="198" t="str">
        <f>IFERROR(IF(X1413="NO",(VLOOKUP(D1412,'BD M.O'!C:E,3,FALSE))*W1416,((VLOOKUP(D1412,'BD M.O'!C:E,3,FALSE))+7500)*W1416),"")</f>
        <v/>
      </c>
      <c r="Y1412" s="198">
        <f>IFERROR($Y$13*AK1412,"")</f>
        <v>4.2084457416288003E-2</v>
      </c>
      <c r="Z1412" s="198">
        <f>IFERROR($Z$13*AK1412,"")</f>
        <v>5.8166708502000002E-3</v>
      </c>
      <c r="AA1412" s="199">
        <f>IFERROR(Y1412+Z1412,"")</f>
        <v>4.7901128266487999E-2</v>
      </c>
      <c r="AB1412" s="200">
        <f>IFERROR((SUM(Q1412:X1412)-T1412+T1414)*$AB$13,"")</f>
        <v>0</v>
      </c>
      <c r="AC1412" s="201">
        <f>IFERROR(((SUM(Q1412:V1412,IF(X1417&gt;AA1412,AVERAGE(X1417,AA1412),AA1412))-T1412+T1414))*$AB$13,"")</f>
        <v>9.5802256532976E-4</v>
      </c>
      <c r="AD1412" s="202" t="str">
        <f>IFERROR((J1412*K1412*$BV$14),"")</f>
        <v/>
      </c>
      <c r="AE1412" s="202">
        <f>IFERROR($AE$13*AK1412,"")</f>
        <v>6.4010592649919984E-2</v>
      </c>
      <c r="AF1412" s="203" t="str">
        <f>IFERROR(($CI$11+$CI$13)*W1416,"")</f>
        <v/>
      </c>
      <c r="AG1412" s="267">
        <f>IFERROR((SUM(Q1412:X1412,AB1412,AD1412,AF1412)-T1412+T1414)*$AG$13,"")</f>
        <v>0</v>
      </c>
      <c r="AH1412" s="202">
        <f>IFERROR((SUM(Q1412:V1412,(IF(X1417&gt;AA1412,AVERAGE(X1417,AA1412),AA1412)),AC1412,AE1412,AF1412)-T1412+T1414)*$AG$13,"")</f>
        <v>5.6434871740868871E-2</v>
      </c>
      <c r="AI1412" s="268">
        <f>IFERROR(AL1412*$AI$13,"")</f>
        <v>2.3005092721839999E-2</v>
      </c>
      <c r="AJ1412" s="268">
        <f>IFERROR($AJ$13*AL1412,"")</f>
        <v>6.4184208693933587E-3</v>
      </c>
      <c r="AK1412" s="205">
        <f>IFERROR(SUM(Q1412:X1412,AB1412,AD1412,AG1412,AF1412)/(1-$AI$13)+(1-$AJ$13)-T1412+T1414,"")</f>
        <v>0.99441999999999997</v>
      </c>
      <c r="AL1412" s="205">
        <f>IFERROR(SUM(Q1412:V1412,AC1412,(IF(AD1412&gt;AE1412,AVERAGE(AD1412,AE1412),AE1412)),AF1412,,AH1412,(IF(SUM(X1417)&gt;AA1412,AVERAGE(AA1412,X1417),AA1412)))/(1-$AJ$13)+(1-$AI$13)-T1412+T1414,"")</f>
        <v>1.1502546360919998</v>
      </c>
      <c r="AM1412" s="206">
        <f>$M$15*Q1412</f>
        <v>0</v>
      </c>
      <c r="AN1412" s="207">
        <f>$M$15*R1412</f>
        <v>0</v>
      </c>
      <c r="AO1412" s="208">
        <f>$M$15*S1412</f>
        <v>0</v>
      </c>
      <c r="AP1412" s="207">
        <f>$M$15*T1412</f>
        <v>0</v>
      </c>
      <c r="AQ1412" s="207" t="e">
        <f>$M$15*#REF!</f>
        <v>#REF!</v>
      </c>
      <c r="AR1412" s="207">
        <f>$M$15*U1412</f>
        <v>0</v>
      </c>
      <c r="AS1412" s="208" t="e">
        <f>$M$15*V1412</f>
        <v>#VALUE!</v>
      </c>
      <c r="AT1412" s="207" t="e">
        <f>$M$15*W1412</f>
        <v>#VALUE!</v>
      </c>
      <c r="AU1412" s="208" t="e">
        <f>$M$15*X1412</f>
        <v>#VALUE!</v>
      </c>
      <c r="AV1412" s="207">
        <f>$M$15*AB1412</f>
        <v>0</v>
      </c>
      <c r="AW1412" s="208">
        <f>$M$15*AE1412</f>
        <v>0</v>
      </c>
      <c r="AX1412" s="207">
        <f>$M$15*AG1412</f>
        <v>0</v>
      </c>
      <c r="AY1412" s="209">
        <f>$M$15*AI1412</f>
        <v>0</v>
      </c>
      <c r="AZ1412" s="207">
        <f>$M$15*AK1412</f>
        <v>0</v>
      </c>
      <c r="BA1412" s="210"/>
      <c r="BB1412" s="175" t="s">
        <v>23</v>
      </c>
      <c r="BC1412" s="211" t="s">
        <v>113</v>
      </c>
      <c r="BD1412" s="210"/>
      <c r="BE1412" s="212"/>
      <c r="BF1412" s="213">
        <f>IF(BH1413="NO",((2*J1412)+(2*K1412))*'BD GN'!$AU$3,((3*J1412)+(2*K1412))*'BD GN'!$AU$3)</f>
        <v>0</v>
      </c>
      <c r="BG1412" s="213">
        <f>'BD GN'!$BB$3*J1412*K1412</f>
        <v>0</v>
      </c>
      <c r="BH1412" s="214">
        <f>((J1412*2*BE1412)+(K1412*2*BE1412))*'BD GN'!$AN$4</f>
        <v>0</v>
      </c>
      <c r="BI1412" s="210"/>
      <c r="BJ1412" s="212"/>
      <c r="BK1412" s="212"/>
      <c r="BL1412" s="215">
        <f>J1412*K1412*2.5*BJ1412</f>
        <v>0</v>
      </c>
      <c r="BM1412" s="215">
        <f>BK1412+BL1412</f>
        <v>0</v>
      </c>
      <c r="BN1412" s="216" t="str">
        <f>IFERROR((VLOOKUP($C$12,'BD GN'!BD:BM,10,FALSE)*BM1412)+0,"")</f>
        <v/>
      </c>
      <c r="BO1412" s="210"/>
      <c r="BW1412" s="210"/>
      <c r="CD1412" s="184"/>
      <c r="CF1412" s="185"/>
      <c r="CI1412" s="184"/>
      <c r="CJ1412" s="210"/>
      <c r="CK1412" s="565"/>
      <c r="CL1412" s="256"/>
      <c r="CM1412" s="596"/>
      <c r="CN1412" s="596"/>
      <c r="CO1412" s="567"/>
      <c r="CP1412" s="567"/>
      <c r="CQ1412" s="567"/>
      <c r="CR1412" s="567"/>
      <c r="CS1412" s="567"/>
      <c r="CT1412" s="567"/>
      <c r="CU1412" s="565"/>
      <c r="CV1412" s="560">
        <f>IFERROR(N1412*CU1412,"")</f>
        <v>0</v>
      </c>
      <c r="CW1412" s="565"/>
      <c r="CX1412" s="560">
        <f>IFERROR(P1412*CW1412,"")</f>
        <v>0</v>
      </c>
      <c r="CY1412" s="565"/>
      <c r="CZ1412" s="560">
        <f>IFERROR(R1412*CY1412,"")</f>
        <v>0</v>
      </c>
      <c r="DA1412" s="565">
        <f t="shared" ref="DA1412" si="1573">CU1412+CW1412+CY1412</f>
        <v>0</v>
      </c>
      <c r="DB1412" s="560">
        <f t="shared" ref="DB1412" si="1574">IFERROR(CV1412+CX1412+CZ1412,"")</f>
        <v>0</v>
      </c>
      <c r="DC1412" s="565">
        <f>M1412-(CU1412+CW1412+CY1412)</f>
        <v>0</v>
      </c>
      <c r="DD1412" s="560">
        <f>IFERROR(O1412-(CV1412+CX1412+CZ1412),"")</f>
        <v>0</v>
      </c>
      <c r="DG1412" s="575"/>
      <c r="DH1412" s="575"/>
      <c r="DI1412" s="569">
        <f t="shared" ref="DI1412" si="1575">IFERROR(IF(DG1412&gt;0,(((N1412)/(1+10%+19%*5%)+((N1412)/(1+10%+19%*5%))*10%)*DH1412),0),0)</f>
        <v>0</v>
      </c>
      <c r="DJ1412" s="569">
        <f t="shared" ref="DJ1412" si="1576">IFERROR(IF(DG1412&gt;0,(N1412*DH1412),0),0)</f>
        <v>0</v>
      </c>
      <c r="DK1412" s="569">
        <f t="shared" ref="DK1412" si="1577">IF(DG1412&gt;0,((R1412+T1412)*DH1412),0)</f>
        <v>0</v>
      </c>
      <c r="DL1412" s="569">
        <f t="shared" ref="DL1412" si="1578">IF(DG1412&gt;0,(Q1412*DH1412),0)</f>
        <v>0</v>
      </c>
      <c r="DM1412" s="572">
        <f t="shared" ref="DM1412" si="1579">IF(DG1412&gt;0,(S1412*DH1412),0)</f>
        <v>0</v>
      </c>
      <c r="DN1412" s="569">
        <f t="shared" ref="DN1412" si="1580">IF(DG1412&gt;0,(BN1412*DH1412),0)</f>
        <v>0</v>
      </c>
      <c r="DO1412" s="569">
        <f t="shared" ref="DO1412" si="1581">IF(DG1412&gt;0,(AF1412*DH1412),0)</f>
        <v>0</v>
      </c>
      <c r="DP1412" s="569">
        <f>IF(DG1412&gt;0,((DI1412)*('BD P&amp;G'!$E$16+'BD P&amp;G'!$E$17+'BD P&amp;G'!$E$18+'BD P&amp;G'!$E$19+'BD P&amp;G'!$E$20+'BD P&amp;G'!$E$21+'BD P&amp;G'!$E$22+'BD P&amp;G'!$E$23)*DH1412),0)</f>
        <v>0</v>
      </c>
      <c r="DQ1412" s="569">
        <f>IFERROR(IF(DG1412&gt;0,((DI1412*'BD P&amp;G'!$E$7)+(DI1412*'BD P&amp;G'!$E$9)+AI1412),0),0)</f>
        <v>0</v>
      </c>
      <c r="DR1412" s="569">
        <f t="shared" ref="DR1412" si="1582">IFERROR(IF(DG1412&gt;0,((DI1412*1%)),0),0)</f>
        <v>0</v>
      </c>
      <c r="DS1412" s="569">
        <f>IFERROR(IF(DG1412&gt;0,(((DI1412*'BD P&amp;G'!$E$32+DI1412*'BD P&amp;G'!$E$33+DI1412*'BD P&amp;G'!$E$35+DI1412*'BD P&amp;G'!$E$36+DI1412*'BD P&amp;G'!$E$37))),0),0)</f>
        <v>0</v>
      </c>
      <c r="DT1412" s="569">
        <f t="shared" ref="DT1412" si="1583">IF(DG1412&gt;0,(Y1412*DH1412),0)</f>
        <v>0</v>
      </c>
      <c r="DU1412" s="569">
        <f t="shared" ref="DU1412" si="1584">IF(DG1412&gt;0,(Z1412*DH1412),0)</f>
        <v>0</v>
      </c>
      <c r="DV1412" s="575">
        <f t="shared" ref="DV1412" si="1585">IF(DG1412&gt;0,(Y1416*DH1412),0)</f>
        <v>0</v>
      </c>
      <c r="DW1412" s="575">
        <f t="shared" ref="DW1412" si="1586">IF(DG1412&gt;0,(Z1416*DH1412),0)</f>
        <v>0</v>
      </c>
      <c r="DX1412" s="569">
        <f t="shared" ref="DX1412" si="1587">IF(DV1412&gt;0,DJ1412,0)</f>
        <v>0</v>
      </c>
      <c r="DY1412" s="569">
        <f t="shared" ref="DY1412" si="1588">IF(DW1412&gt;0,DJ1412,0)</f>
        <v>0</v>
      </c>
    </row>
    <row r="1413" spans="1:194" s="175" customFormat="1" ht="54.95" customHeight="1" x14ac:dyDescent="0.25">
      <c r="A1413" s="366"/>
      <c r="B1413" s="367"/>
      <c r="C1413" s="393" t="s">
        <v>28</v>
      </c>
      <c r="D1413" s="598"/>
      <c r="E1413" s="598"/>
      <c r="F1413" s="598"/>
      <c r="G1413" s="598"/>
      <c r="H1413" s="598"/>
      <c r="I1413" s="598"/>
      <c r="J1413" s="604"/>
      <c r="K1413" s="604"/>
      <c r="L1413" s="607"/>
      <c r="M1413" s="559"/>
      <c r="N1413" s="610"/>
      <c r="O1413" s="613"/>
      <c r="P1413" s="192"/>
      <c r="Q1413" s="217"/>
      <c r="R1413" s="217"/>
      <c r="S1413" s="218"/>
      <c r="T1413" s="219">
        <f>IFERROR(T1412/$R$353,"")</f>
        <v>0</v>
      </c>
      <c r="U1413" s="206"/>
      <c r="V1413" s="220"/>
      <c r="W1413" s="221" t="s">
        <v>239</v>
      </c>
      <c r="X1413" s="222" t="s">
        <v>204</v>
      </c>
      <c r="Y1413" s="223"/>
      <c r="Z1413" s="224"/>
      <c r="AA1413" s="225"/>
      <c r="AB1413" s="226"/>
      <c r="AC1413" s="206"/>
      <c r="AD1413" s="206"/>
      <c r="AE1413" s="206"/>
      <c r="AF1413" s="227"/>
      <c r="AG1413" s="206"/>
      <c r="AH1413" s="206"/>
      <c r="AI1413" s="206"/>
      <c r="AJ1413" s="206"/>
      <c r="AK1413" s="227"/>
      <c r="AL1413" s="210"/>
      <c r="AM1413" s="206"/>
      <c r="AN1413" s="206"/>
      <c r="AO1413" s="228"/>
      <c r="AP1413" s="229"/>
      <c r="AQ1413" s="206"/>
      <c r="AR1413" s="206"/>
      <c r="AS1413" s="228"/>
      <c r="AT1413" s="229"/>
      <c r="AU1413" s="228"/>
      <c r="AV1413" s="229"/>
      <c r="AW1413" s="228"/>
      <c r="AX1413" s="229"/>
      <c r="AY1413" s="206"/>
      <c r="AZ1413" s="229"/>
      <c r="BA1413" s="210"/>
      <c r="BB1413" s="175" t="s">
        <v>24</v>
      </c>
      <c r="BC1413" s="175" t="s">
        <v>114</v>
      </c>
      <c r="BD1413" s="210"/>
      <c r="BE1413" s="176" t="s">
        <v>206</v>
      </c>
      <c r="BF1413" s="230" t="s">
        <v>204</v>
      </c>
      <c r="BG1413" s="176" t="s">
        <v>290</v>
      </c>
      <c r="BH1413" s="230" t="s">
        <v>204</v>
      </c>
      <c r="BI1413" s="210"/>
      <c r="BJ1413" s="185"/>
      <c r="BN1413" s="269"/>
      <c r="BO1413" s="210"/>
      <c r="BV1413" s="184"/>
      <c r="BW1413" s="210"/>
      <c r="CD1413" s="184"/>
      <c r="CF1413" s="185"/>
      <c r="CI1413" s="184"/>
      <c r="CJ1413" s="210"/>
      <c r="CK1413" s="563"/>
      <c r="CM1413" s="559"/>
      <c r="CN1413" s="559"/>
      <c r="CO1413" s="567"/>
      <c r="CP1413" s="567"/>
      <c r="CQ1413" s="567"/>
      <c r="CR1413" s="567"/>
      <c r="CS1413" s="567"/>
      <c r="CT1413" s="567"/>
      <c r="CU1413" s="563"/>
      <c r="CV1413" s="561"/>
      <c r="CW1413" s="563"/>
      <c r="CX1413" s="561"/>
      <c r="CY1413" s="563"/>
      <c r="CZ1413" s="561"/>
      <c r="DA1413" s="563"/>
      <c r="DB1413" s="561"/>
      <c r="DC1413" s="563"/>
      <c r="DD1413" s="561"/>
      <c r="DG1413" s="576"/>
      <c r="DH1413" s="576"/>
      <c r="DI1413" s="570"/>
      <c r="DJ1413" s="570"/>
      <c r="DK1413" s="570"/>
      <c r="DL1413" s="570"/>
      <c r="DM1413" s="573"/>
      <c r="DN1413" s="570"/>
      <c r="DO1413" s="570"/>
      <c r="DP1413" s="570"/>
      <c r="DQ1413" s="570"/>
      <c r="DR1413" s="570"/>
      <c r="DS1413" s="570"/>
      <c r="DT1413" s="570"/>
      <c r="DU1413" s="570"/>
      <c r="DV1413" s="576"/>
      <c r="DW1413" s="576"/>
      <c r="DX1413" s="570"/>
      <c r="DY1413" s="570"/>
    </row>
    <row r="1414" spans="1:194" s="175" customFormat="1" ht="54.95" customHeight="1" x14ac:dyDescent="0.3">
      <c r="A1414" s="366"/>
      <c r="B1414" s="367"/>
      <c r="C1414" s="393" t="s">
        <v>30</v>
      </c>
      <c r="D1414" s="599"/>
      <c r="E1414" s="599"/>
      <c r="F1414" s="599"/>
      <c r="G1414" s="599"/>
      <c r="H1414" s="599"/>
      <c r="I1414" s="599"/>
      <c r="J1414" s="604"/>
      <c r="K1414" s="604"/>
      <c r="L1414" s="607"/>
      <c r="M1414" s="559"/>
      <c r="N1414" s="610"/>
      <c r="O1414" s="613"/>
      <c r="P1414" s="192"/>
      <c r="Q1414" s="176" t="s">
        <v>205</v>
      </c>
      <c r="R1414" s="233" t="s">
        <v>204</v>
      </c>
      <c r="S1414" s="234"/>
      <c r="T1414" s="235">
        <f>IFERROR(($R$353-8000)*T1413,"")</f>
        <v>0</v>
      </c>
      <c r="U1414" s="206"/>
      <c r="V1414" s="220"/>
      <c r="W1414" s="221" t="s">
        <v>258</v>
      </c>
      <c r="X1414" s="222" t="s">
        <v>204</v>
      </c>
      <c r="Y1414" s="236"/>
      <c r="Z1414" s="237"/>
      <c r="AA1414" s="225"/>
      <c r="AB1414" s="226"/>
      <c r="AC1414" s="206"/>
      <c r="AD1414" s="206"/>
      <c r="AE1414" s="206"/>
      <c r="AF1414" s="227"/>
      <c r="AG1414" s="206"/>
      <c r="AH1414" s="206"/>
      <c r="AI1414" s="206"/>
      <c r="AJ1414" s="206"/>
      <c r="AK1414" s="227"/>
      <c r="AL1414" s="238"/>
      <c r="AM1414" s="206"/>
      <c r="AN1414" s="206"/>
      <c r="AO1414" s="228"/>
      <c r="AP1414" s="229"/>
      <c r="AQ1414" s="206"/>
      <c r="AR1414" s="206"/>
      <c r="AS1414" s="228"/>
      <c r="AT1414" s="229"/>
      <c r="AU1414" s="228"/>
      <c r="AV1414" s="229"/>
      <c r="AW1414" s="228"/>
      <c r="AX1414" s="229"/>
      <c r="AY1414" s="206"/>
      <c r="AZ1414" s="229"/>
      <c r="BA1414" s="210"/>
      <c r="BB1414" s="175" t="s">
        <v>26</v>
      </c>
      <c r="BC1414" s="211" t="s">
        <v>115</v>
      </c>
      <c r="BD1414" s="210"/>
      <c r="BE1414" s="177" t="str">
        <f>IFERROR(VLOOKUP(D1412,'BD M.O'!C:H,4,FALSE),"")</f>
        <v/>
      </c>
      <c r="BF1414" s="177" t="s">
        <v>259</v>
      </c>
      <c r="BH1414" s="184"/>
      <c r="BI1414" s="210"/>
      <c r="BJ1414" s="185"/>
      <c r="BN1414" s="184"/>
      <c r="BO1414" s="210"/>
      <c r="BV1414" s="184"/>
      <c r="BW1414" s="210"/>
      <c r="CD1414" s="184"/>
      <c r="CF1414" s="185"/>
      <c r="CI1414" s="184"/>
      <c r="CJ1414" s="210"/>
      <c r="CK1414" s="563"/>
      <c r="CM1414" s="559"/>
      <c r="CN1414" s="559"/>
      <c r="CO1414" s="567"/>
      <c r="CP1414" s="567"/>
      <c r="CQ1414" s="567"/>
      <c r="CR1414" s="567"/>
      <c r="CS1414" s="567"/>
      <c r="CT1414" s="567"/>
      <c r="CU1414" s="563"/>
      <c r="CV1414" s="561"/>
      <c r="CW1414" s="563"/>
      <c r="CX1414" s="561"/>
      <c r="CY1414" s="563"/>
      <c r="CZ1414" s="561"/>
      <c r="DA1414" s="563"/>
      <c r="DB1414" s="561"/>
      <c r="DC1414" s="563"/>
      <c r="DD1414" s="561"/>
      <c r="DG1414" s="577"/>
      <c r="DH1414" s="577"/>
      <c r="DI1414" s="571"/>
      <c r="DJ1414" s="571"/>
      <c r="DK1414" s="571"/>
      <c r="DL1414" s="571"/>
      <c r="DM1414" s="574"/>
      <c r="DN1414" s="571"/>
      <c r="DO1414" s="571"/>
      <c r="DP1414" s="571"/>
      <c r="DQ1414" s="571"/>
      <c r="DR1414" s="571"/>
      <c r="DS1414" s="571"/>
      <c r="DT1414" s="571"/>
      <c r="DU1414" s="571"/>
      <c r="DV1414" s="577"/>
      <c r="DW1414" s="577"/>
      <c r="DX1414" s="571"/>
      <c r="DY1414" s="571"/>
    </row>
    <row r="1415" spans="1:194" s="175" customFormat="1" ht="54.95" customHeight="1" x14ac:dyDescent="0.25">
      <c r="A1415" s="366"/>
      <c r="B1415" s="367"/>
      <c r="C1415" s="395" t="s">
        <v>180</v>
      </c>
      <c r="D1415" s="599" t="s">
        <v>31</v>
      </c>
      <c r="E1415" s="599"/>
      <c r="F1415" s="394" t="s">
        <v>9</v>
      </c>
      <c r="G1415" s="599" t="s">
        <v>33</v>
      </c>
      <c r="H1415" s="599"/>
      <c r="I1415" s="394" t="str">
        <f>+IF($BG$9="SI","","X")</f>
        <v>X</v>
      </c>
      <c r="J1415" s="604"/>
      <c r="K1415" s="604"/>
      <c r="L1415" s="607"/>
      <c r="M1415" s="559"/>
      <c r="N1415" s="610"/>
      <c r="O1415" s="613"/>
      <c r="P1415" s="192"/>
      <c r="Q1415" s="239"/>
      <c r="R1415" s="221" t="s">
        <v>209</v>
      </c>
      <c r="S1415" s="234" t="str">
        <f>IF(S1413="","",S1413/(J1412*K1412))</f>
        <v/>
      </c>
      <c r="T1415" s="226"/>
      <c r="U1415" s="206"/>
      <c r="V1415" s="220"/>
      <c r="W1415" s="239" t="str">
        <f>IFERROR(IF(X1414="SI",VLOOKUP(D1412,'BD M.O'!C:F,4,FALSE),""),"")</f>
        <v/>
      </c>
      <c r="X1415" s="221" t="s">
        <v>258</v>
      </c>
      <c r="Y1415" s="221" t="s">
        <v>507</v>
      </c>
      <c r="Z1415" s="221" t="s">
        <v>508</v>
      </c>
      <c r="AA1415" s="225"/>
      <c r="AB1415" s="226"/>
      <c r="AC1415" s="206"/>
      <c r="AD1415" s="206"/>
      <c r="AE1415" s="206"/>
      <c r="AF1415" s="227"/>
      <c r="AG1415" s="206"/>
      <c r="AH1415" s="206"/>
      <c r="AI1415" s="206"/>
      <c r="AJ1415" s="206"/>
      <c r="AK1415" s="227"/>
      <c r="AL1415" s="240"/>
      <c r="AM1415" s="206"/>
      <c r="AN1415" s="206"/>
      <c r="AO1415" s="228"/>
      <c r="AP1415" s="229"/>
      <c r="AQ1415" s="206"/>
      <c r="AR1415" s="206"/>
      <c r="AS1415" s="228"/>
      <c r="AT1415" s="229"/>
      <c r="AU1415" s="228"/>
      <c r="AV1415" s="229"/>
      <c r="AW1415" s="228"/>
      <c r="AX1415" s="229"/>
      <c r="AY1415" s="206"/>
      <c r="AZ1415" s="229"/>
      <c r="BA1415" s="210"/>
      <c r="BC1415" s="175" t="s">
        <v>116</v>
      </c>
      <c r="BD1415" s="210"/>
      <c r="BE1415" s="177" t="str">
        <f>IFERROR(VLOOKUP(COTIZACIÓN!D1412,'BD M.O'!C:I,5,FALSE),"")</f>
        <v/>
      </c>
      <c r="BF1415" s="177" t="s">
        <v>260</v>
      </c>
      <c r="BH1415" s="184"/>
      <c r="BI1415" s="210"/>
      <c r="BJ1415" s="185"/>
      <c r="BN1415" s="184"/>
      <c r="BO1415" s="210"/>
      <c r="BP1415" s="183"/>
      <c r="BQ1415" s="183"/>
      <c r="BR1415" s="183"/>
      <c r="BS1415" s="183"/>
      <c r="BT1415" s="183"/>
      <c r="BU1415" s="183"/>
      <c r="BV1415" s="182"/>
      <c r="BW1415" s="210"/>
      <c r="BX1415" s="183"/>
      <c r="BY1415" s="183"/>
      <c r="BZ1415" s="183"/>
      <c r="CA1415" s="183"/>
      <c r="CB1415" s="183"/>
      <c r="CC1415" s="183"/>
      <c r="CD1415" s="182"/>
      <c r="CE1415" s="183"/>
      <c r="CF1415" s="241"/>
      <c r="CG1415" s="183"/>
      <c r="CH1415" s="183"/>
      <c r="CI1415" s="182"/>
      <c r="CJ1415" s="210"/>
      <c r="CK1415" s="563"/>
      <c r="CM1415" s="559"/>
      <c r="CN1415" s="559"/>
      <c r="CO1415" s="567"/>
      <c r="CP1415" s="567"/>
      <c r="CQ1415" s="567"/>
      <c r="CR1415" s="567"/>
      <c r="CS1415" s="567"/>
      <c r="CT1415" s="567"/>
      <c r="CU1415" s="563"/>
      <c r="CV1415" s="561"/>
      <c r="CW1415" s="563"/>
      <c r="CX1415" s="561"/>
      <c r="CY1415" s="563"/>
      <c r="CZ1415" s="561"/>
      <c r="DA1415" s="563"/>
      <c r="DB1415" s="561"/>
      <c r="DC1415" s="563"/>
      <c r="DD1415" s="561"/>
      <c r="DG1415" s="575"/>
      <c r="DH1415" s="575"/>
      <c r="DI1415" s="569">
        <f t="shared" ref="DI1415" si="1589">IFERROR(IF(DG1415&gt;0,(((N1412)/(1+10%+19%*5%)+((N1412)/(1+10%+19%*5%))*10%)*DH1415),0),0)</f>
        <v>0</v>
      </c>
      <c r="DJ1415" s="569">
        <f t="shared" ref="DJ1415" si="1590">IFERROR(IF(DG1415&gt;0,(N1412*DH1415),0),0)</f>
        <v>0</v>
      </c>
      <c r="DK1415" s="569">
        <f t="shared" ref="DK1415" si="1591">IF(DG1415&gt;0,((R1412+T1412)*DH1415),0)</f>
        <v>0</v>
      </c>
      <c r="DL1415" s="569">
        <f t="shared" ref="DL1415" si="1592">IF(DG1415&gt;0,(Q1412*DH1415),0)</f>
        <v>0</v>
      </c>
      <c r="DM1415" s="572">
        <f t="shared" ref="DM1415" si="1593">IF(DG1415&gt;0,(S1412*DH1415),0)</f>
        <v>0</v>
      </c>
      <c r="DN1415" s="569">
        <f t="shared" ref="DN1415" si="1594">IF(DG1415&gt;0,(BN1412*DH1415),0)</f>
        <v>0</v>
      </c>
      <c r="DO1415" s="569">
        <f t="shared" ref="DO1415" si="1595">IF(DG1415&gt;0,(AF1412*DH1415),0)</f>
        <v>0</v>
      </c>
      <c r="DP1415" s="569">
        <f>IF(DG1415&gt;0,((DI1415)*('BD P&amp;G'!$E$16+'BD P&amp;G'!$E$17+'BD P&amp;G'!$E$18+'BD P&amp;G'!$E$19+'BD P&amp;G'!$E$20+'BD P&amp;G'!$E$21+'BD P&amp;G'!$E$22+'BD P&amp;G'!$E$23)*DH1415),0)</f>
        <v>0</v>
      </c>
      <c r="DQ1415" s="569">
        <f>IFERROR(IF(DG1415&gt;0,((DI1415*'BD P&amp;G'!$E$7)+(DI1415*'BD P&amp;G'!$E$9)+AI1412),0),0)</f>
        <v>0</v>
      </c>
      <c r="DR1415" s="569">
        <f t="shared" ref="DR1415" si="1596">IFERROR(IF(DG1415&gt;0,((DI1415*1%)),0),0)</f>
        <v>0</v>
      </c>
      <c r="DS1415" s="569">
        <f>IFERROR(IF(DG1415&gt;0,(((DI1415*'BD P&amp;G'!$E$32+DI1415*'BD P&amp;G'!$E$33+DI1415*'BD P&amp;G'!$E$35+DI1415*'BD P&amp;G'!$E$36+DI1415*'BD P&amp;G'!$E$37))),0),0)</f>
        <v>0</v>
      </c>
      <c r="DT1415" s="569">
        <f t="shared" ref="DT1415" si="1597">IF(DG1415&gt;0,(Y1412*DH1415),0)</f>
        <v>0</v>
      </c>
      <c r="DU1415" s="569">
        <f t="shared" ref="DU1415" si="1598">IF(DG1415&gt;0,(Z1412*DH1415),0)</f>
        <v>0</v>
      </c>
      <c r="DV1415" s="575">
        <f t="shared" ref="DV1415" si="1599">IF(DG1415&gt;0,(Y1416*DH1415),0)</f>
        <v>0</v>
      </c>
      <c r="DW1415" s="575">
        <f t="shared" ref="DW1415" si="1600">IF(DG1415&gt;0,(Z1416*DH1415),0)</f>
        <v>0</v>
      </c>
      <c r="DX1415" s="569">
        <f t="shared" ref="DX1415" si="1601">IF(DV1415&gt;0,DJ1415,0)</f>
        <v>0</v>
      </c>
      <c r="DY1415" s="569">
        <f t="shared" ref="DY1415" si="1602">IF(DW1415&gt;0,DJ1415,0)</f>
        <v>0</v>
      </c>
    </row>
    <row r="1416" spans="1:194" s="175" customFormat="1" ht="54.95" customHeight="1" x14ac:dyDescent="0.3">
      <c r="A1416" s="366"/>
      <c r="B1416" s="367"/>
      <c r="C1416" s="393" t="s">
        <v>35</v>
      </c>
      <c r="D1416" s="599" t="str">
        <f>IFERROR(VLOOKUP(D1412,'BD GN'!C:E,3,),"")</f>
        <v/>
      </c>
      <c r="E1416" s="599"/>
      <c r="F1416" s="599"/>
      <c r="G1416" s="599"/>
      <c r="H1416" s="599"/>
      <c r="I1416" s="599"/>
      <c r="J1416" s="604"/>
      <c r="K1416" s="604"/>
      <c r="L1416" s="607"/>
      <c r="M1416" s="559"/>
      <c r="N1416" s="610"/>
      <c r="O1416" s="613"/>
      <c r="P1416" s="192"/>
      <c r="Q1416" s="239"/>
      <c r="R1416" s="221" t="s">
        <v>210</v>
      </c>
      <c r="S1416" s="234" t="str">
        <f>IFERROR(IF(N1412="","",N1412/W1416),"")</f>
        <v/>
      </c>
      <c r="T1416" s="226"/>
      <c r="U1416" s="206"/>
      <c r="V1416" s="220"/>
      <c r="W1416" s="242" t="str">
        <f>+IF(J1412*K1412&gt;=1,J1412*K1412,IF(AND(J1412*K1412&gt;0,J1412*K1412&lt;1),1,""))</f>
        <v/>
      </c>
      <c r="X1416" s="221" t="s">
        <v>298</v>
      </c>
      <c r="Y1416" s="461">
        <f>IFERROR(IF(D1412='BD GN'!$C$25,COTIZACIÓN!W1416,IF(D1412='BD GN'!$C$26,COTIZACIÓN!W1416,IF(D1412='BD GN'!$C$27,COTIZACIÓN!W1416,IF(COTIZACIÓN!D1412='BD GN'!$C$28,COTIZACIÓN!W1416,IF(COTIZACIÓN!D1412='BD GN'!$C$29,COTIZACIÓN!W1416,IF(COTIZACIÓN!D1412='BD GN'!$C$35,COTIZACIÓN!W1416,IF(COTIZACIÓN!D1412='BD GN'!$C$36,COTIZACIÓN!W1416,IF(COTIZACIÓN!D1412='BD GN'!$C$37,COTIZACIÓN!W1416,IF(COTIZACIÓN!D1412='BD GN'!$C$38,COTIZACIÓN!W1416,IF(COTIZACIÓN!D1412='BD GN'!$C$39,COTIZACIÓN!W1416,IF(COTIZACIÓN!D1412='BD GN'!$C$40,COTIZACIÓN!W1416,IF(COTIZACIÓN!D1412='BD GN'!$C$41,COTIZACIÓN!W1416,IF(COTIZACIÓN!D1412='BD GN'!$C$42,COTIZACIÓN!W1416,IF(COTIZACIÓN!D1412='BD GN'!$C$49,COTIZACIÓN!W1416,IF(COTIZACIÓN!D1412='BD GN'!$C$50,COTIZACIÓN!W1416,IF(COTIZACIÓN!D1412='BD GN'!$C$51,COTIZACIÓN!W1416,IF(COTIZACIÓN!D1412='BD GN'!$C$67,COTIZACIÓN!W1416,0))))))))))))))))),0)</f>
        <v>0</v>
      </c>
      <c r="Z1416" s="461">
        <f>IFERROR(W1416-Y1416,0)</f>
        <v>0</v>
      </c>
      <c r="AA1416" s="225"/>
      <c r="AB1416" s="226"/>
      <c r="AC1416" s="206"/>
      <c r="AD1416" s="206"/>
      <c r="AE1416" s="206"/>
      <c r="AF1416" s="227"/>
      <c r="AG1416" s="206"/>
      <c r="AH1416" s="206"/>
      <c r="AI1416" s="206"/>
      <c r="AJ1416" s="206"/>
      <c r="AK1416" s="227"/>
      <c r="AL1416" s="210"/>
      <c r="AM1416" s="206"/>
      <c r="AN1416" s="206"/>
      <c r="AO1416" s="228"/>
      <c r="AP1416" s="229"/>
      <c r="AQ1416" s="206"/>
      <c r="AR1416" s="206"/>
      <c r="AS1416" s="228"/>
      <c r="AT1416" s="229"/>
      <c r="AU1416" s="228"/>
      <c r="AV1416" s="229"/>
      <c r="AW1416" s="228"/>
      <c r="AX1416" s="229"/>
      <c r="AY1416" s="206"/>
      <c r="AZ1416" s="229"/>
      <c r="BA1416" s="210"/>
      <c r="BC1416" s="211" t="s">
        <v>117</v>
      </c>
      <c r="BD1416" s="210"/>
      <c r="BE1416" s="177" t="str">
        <f>IFERROR(VLOOKUP(D1412,'BD M.O'!C:I,6,FALSE),"")</f>
        <v/>
      </c>
      <c r="BF1416" s="177" t="s">
        <v>261</v>
      </c>
      <c r="BH1416" s="184"/>
      <c r="BI1416" s="210"/>
      <c r="BJ1416" s="185"/>
      <c r="BN1416" s="184"/>
      <c r="BO1416" s="210"/>
      <c r="BP1416" s="183"/>
      <c r="BQ1416" s="183"/>
      <c r="BR1416" s="183"/>
      <c r="BW1416" s="210"/>
      <c r="CD1416" s="184"/>
      <c r="CF1416" s="185"/>
      <c r="CI1416" s="184"/>
      <c r="CJ1416" s="210"/>
      <c r="CK1416" s="563"/>
      <c r="CM1416" s="559"/>
      <c r="CN1416" s="559"/>
      <c r="CO1416" s="567"/>
      <c r="CP1416" s="567"/>
      <c r="CQ1416" s="567"/>
      <c r="CR1416" s="567"/>
      <c r="CS1416" s="567"/>
      <c r="CT1416" s="567"/>
      <c r="CU1416" s="563"/>
      <c r="CV1416" s="561"/>
      <c r="CW1416" s="563"/>
      <c r="CX1416" s="561"/>
      <c r="CY1416" s="563"/>
      <c r="CZ1416" s="561"/>
      <c r="DA1416" s="563"/>
      <c r="DB1416" s="561"/>
      <c r="DC1416" s="563"/>
      <c r="DD1416" s="561"/>
      <c r="DG1416" s="576"/>
      <c r="DH1416" s="576"/>
      <c r="DI1416" s="570"/>
      <c r="DJ1416" s="570"/>
      <c r="DK1416" s="570"/>
      <c r="DL1416" s="570"/>
      <c r="DM1416" s="573"/>
      <c r="DN1416" s="570"/>
      <c r="DO1416" s="570"/>
      <c r="DP1416" s="570"/>
      <c r="DQ1416" s="570"/>
      <c r="DR1416" s="570"/>
      <c r="DS1416" s="570"/>
      <c r="DT1416" s="570"/>
      <c r="DU1416" s="570"/>
      <c r="DV1416" s="576"/>
      <c r="DW1416" s="576"/>
      <c r="DX1416" s="570"/>
      <c r="DY1416" s="570"/>
    </row>
    <row r="1417" spans="1:194" s="252" customFormat="1" ht="54.95" customHeight="1" x14ac:dyDescent="0.25">
      <c r="A1417" s="368"/>
      <c r="B1417" s="369"/>
      <c r="C1417" s="396" t="s">
        <v>10</v>
      </c>
      <c r="D1417" s="600" t="s">
        <v>32</v>
      </c>
      <c r="E1417" s="600"/>
      <c r="F1417" s="600"/>
      <c r="G1417" s="600"/>
      <c r="H1417" s="600"/>
      <c r="I1417" s="600"/>
      <c r="J1417" s="605"/>
      <c r="K1417" s="605"/>
      <c r="L1417" s="608"/>
      <c r="M1417" s="597"/>
      <c r="N1417" s="611"/>
      <c r="O1417" s="614"/>
      <c r="P1417" s="192"/>
      <c r="Q1417" s="239"/>
      <c r="R1417" s="239"/>
      <c r="S1417" s="234"/>
      <c r="T1417" s="243"/>
      <c r="U1417" s="244"/>
      <c r="V1417" s="245"/>
      <c r="W1417" s="177" t="s">
        <v>394</v>
      </c>
      <c r="X1417" s="246">
        <f>IFERROR(SUM(W1412:X1412),"")</f>
        <v>0</v>
      </c>
      <c r="Y1417" s="166" t="s">
        <v>404</v>
      </c>
      <c r="Z1417" s="199">
        <f>IFERROR(Y1412+Z1412,"")</f>
        <v>4.7901128266487999E-2</v>
      </c>
      <c r="AA1417" s="247"/>
      <c r="AB1417" s="243"/>
      <c r="AC1417" s="244"/>
      <c r="AD1417" s="244"/>
      <c r="AE1417" s="244"/>
      <c r="AF1417" s="270"/>
      <c r="AG1417" s="244"/>
      <c r="AH1417" s="244"/>
      <c r="AI1417" s="244"/>
      <c r="AJ1417" s="244"/>
      <c r="AK1417" s="270"/>
      <c r="AL1417" s="270"/>
      <c r="AM1417" s="248"/>
      <c r="AN1417" s="248"/>
      <c r="AO1417" s="249"/>
      <c r="AP1417" s="250"/>
      <c r="AQ1417" s="248"/>
      <c r="AR1417" s="248"/>
      <c r="AS1417" s="249"/>
      <c r="AT1417" s="250"/>
      <c r="AU1417" s="249"/>
      <c r="AV1417" s="250"/>
      <c r="AW1417" s="249"/>
      <c r="AX1417" s="250"/>
      <c r="AY1417" s="248"/>
      <c r="AZ1417" s="250"/>
      <c r="BA1417" s="210"/>
      <c r="BB1417" s="175"/>
      <c r="BC1417" s="175" t="s">
        <v>118</v>
      </c>
      <c r="BD1417" s="210"/>
      <c r="BE1417" s="177" t="str">
        <f>IFERROR(VLOOKUP(D1412,'BD M.O'!C:I,7,FALSE),"")</f>
        <v/>
      </c>
      <c r="BF1417" s="177" t="s">
        <v>262</v>
      </c>
      <c r="BG1417" s="257"/>
      <c r="BH1417" s="271"/>
      <c r="BI1417" s="210"/>
      <c r="BJ1417" s="272"/>
      <c r="BK1417" s="257"/>
      <c r="BL1417" s="257"/>
      <c r="BM1417" s="257"/>
      <c r="BN1417" s="271"/>
      <c r="BO1417" s="210"/>
      <c r="BP1417" s="175"/>
      <c r="BQ1417" s="175"/>
      <c r="BR1417" s="175"/>
      <c r="BS1417" s="183"/>
      <c r="BT1417" s="183"/>
      <c r="BU1417" s="183"/>
      <c r="BV1417" s="183"/>
      <c r="BW1417" s="210"/>
      <c r="BX1417" s="175"/>
      <c r="BY1417" s="175"/>
      <c r="BZ1417" s="175"/>
      <c r="CA1417" s="175"/>
      <c r="CB1417" s="175"/>
      <c r="CC1417" s="175"/>
      <c r="CD1417" s="184"/>
      <c r="CE1417" s="175"/>
      <c r="CF1417" s="185"/>
      <c r="CG1417" s="175"/>
      <c r="CH1417" s="175"/>
      <c r="CI1417" s="184"/>
      <c r="CJ1417" s="210"/>
      <c r="CK1417" s="564"/>
      <c r="CL1417" s="257"/>
      <c r="CM1417" s="597"/>
      <c r="CN1417" s="597"/>
      <c r="CO1417" s="567"/>
      <c r="CP1417" s="567"/>
      <c r="CQ1417" s="567"/>
      <c r="CR1417" s="567"/>
      <c r="CS1417" s="567"/>
      <c r="CT1417" s="567"/>
      <c r="CU1417" s="564"/>
      <c r="CV1417" s="562"/>
      <c r="CW1417" s="564"/>
      <c r="CX1417" s="562"/>
      <c r="CY1417" s="564"/>
      <c r="CZ1417" s="562"/>
      <c r="DA1417" s="564"/>
      <c r="DB1417" s="562"/>
      <c r="DC1417" s="564"/>
      <c r="DD1417" s="562"/>
      <c r="DE1417" s="175"/>
      <c r="DF1417" s="175"/>
      <c r="DG1417" s="577"/>
      <c r="DH1417" s="577"/>
      <c r="DI1417" s="571"/>
      <c r="DJ1417" s="571"/>
      <c r="DK1417" s="571"/>
      <c r="DL1417" s="571"/>
      <c r="DM1417" s="574"/>
      <c r="DN1417" s="571"/>
      <c r="DO1417" s="571"/>
      <c r="DP1417" s="571"/>
      <c r="DQ1417" s="571"/>
      <c r="DR1417" s="571"/>
      <c r="DS1417" s="571"/>
      <c r="DT1417" s="571"/>
      <c r="DU1417" s="571"/>
      <c r="DV1417" s="577"/>
      <c r="DW1417" s="577"/>
      <c r="DX1417" s="571"/>
      <c r="DY1417" s="571"/>
      <c r="DZ1417" s="175"/>
      <c r="EA1417" s="175"/>
      <c r="EB1417" s="175"/>
      <c r="EC1417" s="175"/>
      <c r="ED1417" s="175"/>
      <c r="EE1417" s="175"/>
      <c r="EF1417" s="175"/>
      <c r="EG1417" s="175"/>
      <c r="EH1417" s="175"/>
      <c r="EI1417" s="175"/>
      <c r="EJ1417" s="175"/>
      <c r="EK1417" s="175"/>
      <c r="EL1417" s="175"/>
      <c r="EM1417" s="175"/>
      <c r="EN1417" s="175"/>
      <c r="EO1417" s="175"/>
      <c r="EP1417" s="175"/>
      <c r="EQ1417" s="175"/>
      <c r="ER1417" s="175"/>
      <c r="ES1417" s="175"/>
      <c r="ET1417" s="175"/>
      <c r="EU1417" s="175"/>
      <c r="EV1417" s="175"/>
      <c r="EW1417" s="175"/>
      <c r="EX1417" s="175"/>
      <c r="EY1417" s="175"/>
      <c r="EZ1417" s="175"/>
      <c r="FA1417" s="175"/>
      <c r="FB1417" s="175"/>
      <c r="FC1417" s="175"/>
      <c r="FD1417" s="175"/>
      <c r="FE1417" s="175"/>
      <c r="FF1417" s="175"/>
      <c r="FG1417" s="175"/>
      <c r="FH1417" s="175"/>
      <c r="FI1417" s="175"/>
      <c r="FJ1417" s="175"/>
      <c r="FK1417" s="175"/>
      <c r="FL1417" s="175"/>
      <c r="FM1417" s="175"/>
      <c r="FN1417" s="175"/>
      <c r="FO1417" s="175"/>
      <c r="FP1417" s="175"/>
      <c r="FQ1417" s="175"/>
      <c r="FR1417" s="175"/>
      <c r="FS1417" s="175"/>
      <c r="FT1417" s="175"/>
      <c r="FU1417" s="175"/>
      <c r="FV1417" s="175"/>
      <c r="FW1417" s="175"/>
      <c r="FX1417" s="175"/>
      <c r="FY1417" s="175"/>
      <c r="FZ1417" s="175"/>
      <c r="GA1417" s="175"/>
      <c r="GB1417" s="175"/>
      <c r="GC1417" s="175"/>
      <c r="GD1417" s="175"/>
      <c r="GE1417" s="175"/>
      <c r="GF1417" s="175"/>
      <c r="GG1417" s="175"/>
      <c r="GH1417" s="175"/>
      <c r="GI1417" s="175"/>
      <c r="GJ1417" s="175"/>
      <c r="GK1417" s="175"/>
      <c r="GL1417" s="175"/>
    </row>
    <row r="1418" spans="1:194" s="255" customFormat="1" ht="54.95" customHeight="1" x14ac:dyDescent="0.3">
      <c r="A1418" s="380" t="s">
        <v>193</v>
      </c>
      <c r="B1418" s="381" t="s">
        <v>25</v>
      </c>
      <c r="C1418" s="409" t="s">
        <v>174</v>
      </c>
      <c r="D1418" s="601" t="s">
        <v>173</v>
      </c>
      <c r="E1418" s="601"/>
      <c r="F1418" s="601"/>
      <c r="G1418" s="601"/>
      <c r="H1418" s="601"/>
      <c r="I1418" s="601"/>
      <c r="J1418" s="437" t="s">
        <v>406</v>
      </c>
      <c r="K1418" s="437" t="s">
        <v>405</v>
      </c>
      <c r="L1418" s="438" t="s">
        <v>171</v>
      </c>
      <c r="M1418" s="381" t="s">
        <v>2</v>
      </c>
      <c r="N1418" s="439" t="s">
        <v>7</v>
      </c>
      <c r="O1418" s="440" t="s">
        <v>8</v>
      </c>
      <c r="P1418" s="159"/>
      <c r="Q1418" s="164" t="s">
        <v>93</v>
      </c>
      <c r="R1418" s="164" t="s">
        <v>34</v>
      </c>
      <c r="S1418" s="164" t="s">
        <v>28</v>
      </c>
      <c r="T1418" s="164" t="s">
        <v>95</v>
      </c>
      <c r="U1418" s="164" t="s">
        <v>96</v>
      </c>
      <c r="V1418" s="164" t="s">
        <v>97</v>
      </c>
      <c r="W1418" s="164" t="s">
        <v>4</v>
      </c>
      <c r="X1418" s="164" t="s">
        <v>103</v>
      </c>
      <c r="Y1418" s="160" t="s">
        <v>402</v>
      </c>
      <c r="Z1418" s="165" t="s">
        <v>403</v>
      </c>
      <c r="AA1418" s="166" t="s">
        <v>404</v>
      </c>
      <c r="AB1418" s="164" t="s">
        <v>99</v>
      </c>
      <c r="AC1418" s="164" t="s">
        <v>395</v>
      </c>
      <c r="AD1418" s="253" t="s">
        <v>36</v>
      </c>
      <c r="AE1418" s="164" t="s">
        <v>389</v>
      </c>
      <c r="AF1418" s="164" t="s">
        <v>390</v>
      </c>
      <c r="AG1418" s="164" t="s">
        <v>164</v>
      </c>
      <c r="AH1418" s="253" t="s">
        <v>396</v>
      </c>
      <c r="AI1418" s="164" t="s">
        <v>190</v>
      </c>
      <c r="AJ1418" s="164" t="s">
        <v>339</v>
      </c>
      <c r="AK1418" s="253" t="s">
        <v>391</v>
      </c>
      <c r="AL1418" s="253" t="s">
        <v>393</v>
      </c>
      <c r="AM1418" s="167" t="s">
        <v>93</v>
      </c>
      <c r="AN1418" s="168" t="s">
        <v>34</v>
      </c>
      <c r="AO1418" s="169" t="s">
        <v>28</v>
      </c>
      <c r="AP1418" s="170" t="s">
        <v>95</v>
      </c>
      <c r="AQ1418" s="167" t="s">
        <v>3</v>
      </c>
      <c r="AR1418" s="167" t="s">
        <v>96</v>
      </c>
      <c r="AS1418" s="169" t="s">
        <v>97</v>
      </c>
      <c r="AT1418" s="170" t="s">
        <v>4</v>
      </c>
      <c r="AU1418" s="169" t="s">
        <v>103</v>
      </c>
      <c r="AV1418" s="170" t="s">
        <v>99</v>
      </c>
      <c r="AW1418" s="169" t="s">
        <v>36</v>
      </c>
      <c r="AX1418" s="171" t="s">
        <v>29</v>
      </c>
      <c r="AY1418" s="172" t="s">
        <v>190</v>
      </c>
      <c r="AZ1418" s="173" t="s">
        <v>102</v>
      </c>
      <c r="BA1418" s="174"/>
      <c r="BB1418" s="183"/>
      <c r="BC1418" s="211" t="s">
        <v>119</v>
      </c>
      <c r="BD1418" s="174"/>
      <c r="BE1418" s="176" t="s">
        <v>189</v>
      </c>
      <c r="BF1418" s="177" t="str">
        <f>$BF$13</f>
        <v xml:space="preserve">VR SILICONA </v>
      </c>
      <c r="BG1418" s="177" t="str">
        <f>$BG$13</f>
        <v xml:space="preserve">VR PELÍCULA </v>
      </c>
      <c r="BH1418" s="177" t="str">
        <f>$BH$13</f>
        <v>VR EMBALAJE</v>
      </c>
      <c r="BI1418" s="174"/>
      <c r="BJ1418" s="176" t="str">
        <f>$BJ$13</f>
        <v>ESP. CRISTAL</v>
      </c>
      <c r="BK1418" s="176" t="s">
        <v>130</v>
      </c>
      <c r="BL1418" s="177" t="s">
        <v>28</v>
      </c>
      <c r="BM1418" s="177">
        <f>BM1411</f>
        <v>0</v>
      </c>
      <c r="BN1418" s="177" t="s">
        <v>133</v>
      </c>
      <c r="BO1418" s="174"/>
      <c r="BP1418" s="175"/>
      <c r="BQ1418" s="175"/>
      <c r="BR1418" s="175"/>
      <c r="BS1418" s="175"/>
      <c r="BT1418" s="175"/>
      <c r="BU1418" s="175"/>
      <c r="BV1418" s="175"/>
      <c r="BW1418" s="174"/>
      <c r="BX1418" s="175"/>
      <c r="BY1418" s="175"/>
      <c r="BZ1418" s="175"/>
      <c r="CA1418" s="175"/>
      <c r="CB1418" s="175"/>
      <c r="CC1418" s="175"/>
      <c r="CD1418" s="184"/>
      <c r="CE1418" s="175"/>
      <c r="CF1418" s="185"/>
      <c r="CG1418" s="175"/>
      <c r="CH1418" s="175"/>
      <c r="CI1418" s="184"/>
      <c r="CJ1418" s="174"/>
      <c r="CK1418" s="254" t="s">
        <v>415</v>
      </c>
      <c r="CL1418" s="265" t="s">
        <v>417</v>
      </c>
      <c r="CM1418" s="265" t="s">
        <v>416</v>
      </c>
      <c r="CN1418" s="266" t="s">
        <v>418</v>
      </c>
      <c r="CO1418" s="265" t="s">
        <v>417</v>
      </c>
      <c r="CP1418" s="265" t="s">
        <v>409</v>
      </c>
      <c r="CQ1418" s="265" t="s">
        <v>410</v>
      </c>
      <c r="CR1418" s="265" t="s">
        <v>411</v>
      </c>
      <c r="CS1418" s="265" t="s">
        <v>412</v>
      </c>
      <c r="CT1418" s="265" t="s">
        <v>413</v>
      </c>
      <c r="CU1418" s="189" t="s">
        <v>2</v>
      </c>
      <c r="CV1418" s="190" t="s">
        <v>159</v>
      </c>
      <c r="CW1418" s="189" t="s">
        <v>2</v>
      </c>
      <c r="CX1418" s="190" t="s">
        <v>159</v>
      </c>
      <c r="CY1418" s="189" t="s">
        <v>2</v>
      </c>
      <c r="CZ1418" s="190" t="s">
        <v>159</v>
      </c>
      <c r="DA1418" s="189" t="s">
        <v>2</v>
      </c>
      <c r="DB1418" s="190" t="s">
        <v>159</v>
      </c>
      <c r="DC1418" s="189" t="s">
        <v>2</v>
      </c>
      <c r="DD1418" s="190" t="s">
        <v>159</v>
      </c>
      <c r="DE1418" s="183"/>
      <c r="DF1418" s="183"/>
      <c r="DG1418" s="177" t="s">
        <v>505</v>
      </c>
      <c r="DH1418" s="472" t="s">
        <v>509</v>
      </c>
      <c r="DI1418" s="457" t="s">
        <v>506</v>
      </c>
      <c r="DJ1418" s="457" t="s">
        <v>134</v>
      </c>
      <c r="DK1418" s="457" t="s">
        <v>498</v>
      </c>
      <c r="DL1418" s="457" t="s">
        <v>499</v>
      </c>
      <c r="DM1418" s="457" t="s">
        <v>500</v>
      </c>
      <c r="DN1418" s="457" t="s">
        <v>131</v>
      </c>
      <c r="DO1418" s="457" t="s">
        <v>390</v>
      </c>
      <c r="DP1418" s="457" t="s">
        <v>36</v>
      </c>
      <c r="DQ1418" s="457" t="s">
        <v>501</v>
      </c>
      <c r="DR1418" s="457" t="s">
        <v>502</v>
      </c>
      <c r="DS1418" s="457" t="s">
        <v>503</v>
      </c>
      <c r="DT1418" s="457" t="s">
        <v>4</v>
      </c>
      <c r="DU1418" s="457" t="s">
        <v>504</v>
      </c>
      <c r="DV1418" s="466" t="s">
        <v>507</v>
      </c>
      <c r="DW1418" s="466" t="s">
        <v>508</v>
      </c>
      <c r="DX1418" s="457" t="s">
        <v>510</v>
      </c>
      <c r="DY1418" s="457" t="s">
        <v>511</v>
      </c>
      <c r="DZ1418" s="183"/>
      <c r="EA1418" s="183"/>
      <c r="EB1418" s="183"/>
      <c r="EC1418" s="183"/>
      <c r="ED1418" s="183"/>
      <c r="EE1418" s="183"/>
      <c r="EF1418" s="183"/>
      <c r="EG1418" s="183"/>
      <c r="EH1418" s="183"/>
      <c r="EI1418" s="183"/>
      <c r="EJ1418" s="183"/>
      <c r="EK1418" s="183"/>
      <c r="EL1418" s="183"/>
      <c r="EM1418" s="183"/>
      <c r="EN1418" s="183"/>
      <c r="EO1418" s="183"/>
      <c r="EP1418" s="183"/>
      <c r="EQ1418" s="183"/>
      <c r="ER1418" s="183"/>
      <c r="ES1418" s="183"/>
      <c r="ET1418" s="183"/>
      <c r="EU1418" s="183"/>
      <c r="EV1418" s="183"/>
      <c r="EW1418" s="183"/>
      <c r="EX1418" s="183"/>
      <c r="EY1418" s="183"/>
      <c r="EZ1418" s="183"/>
      <c r="FA1418" s="183"/>
      <c r="FB1418" s="183"/>
      <c r="FC1418" s="183"/>
      <c r="FD1418" s="183"/>
      <c r="FE1418" s="183"/>
      <c r="FF1418" s="183"/>
      <c r="FG1418" s="183"/>
      <c r="FH1418" s="183"/>
      <c r="FI1418" s="183"/>
      <c r="FJ1418" s="183"/>
      <c r="FK1418" s="183"/>
      <c r="FL1418" s="183"/>
      <c r="FM1418" s="183"/>
      <c r="FN1418" s="183"/>
      <c r="FO1418" s="183"/>
      <c r="FP1418" s="183"/>
      <c r="FQ1418" s="183"/>
      <c r="FR1418" s="183"/>
      <c r="FS1418" s="183"/>
      <c r="FT1418" s="183"/>
      <c r="FU1418" s="183"/>
      <c r="FV1418" s="183"/>
      <c r="FW1418" s="183"/>
      <c r="FX1418" s="183"/>
      <c r="FY1418" s="183"/>
      <c r="FZ1418" s="183"/>
      <c r="GA1418" s="183"/>
      <c r="GB1418" s="183"/>
      <c r="GC1418" s="183"/>
      <c r="GD1418" s="183"/>
      <c r="GE1418" s="183"/>
      <c r="GF1418" s="183"/>
      <c r="GG1418" s="183"/>
      <c r="GH1418" s="183"/>
      <c r="GI1418" s="183"/>
      <c r="GJ1418" s="183"/>
      <c r="GK1418" s="183"/>
      <c r="GL1418" s="183"/>
    </row>
    <row r="1419" spans="1:194" s="175" customFormat="1" ht="54.95" customHeight="1" x14ac:dyDescent="0.3">
      <c r="A1419" s="364"/>
      <c r="B1419" s="365"/>
      <c r="C1419" s="392" t="s">
        <v>27</v>
      </c>
      <c r="D1419" s="602"/>
      <c r="E1419" s="602"/>
      <c r="F1419" s="602"/>
      <c r="G1419" s="602"/>
      <c r="H1419" s="602"/>
      <c r="I1419" s="602"/>
      <c r="J1419" s="603"/>
      <c r="K1419" s="603"/>
      <c r="L1419" s="606">
        <f>J1419*K1419*M1419</f>
        <v>0</v>
      </c>
      <c r="M1419" s="596"/>
      <c r="N1419" s="609">
        <f>IFERROR(AL1419,"")</f>
        <v>1.1502546360919998</v>
      </c>
      <c r="O1419" s="612">
        <f>IFERROR(N1419*M1419,"")</f>
        <v>0</v>
      </c>
      <c r="P1419" s="192"/>
      <c r="Q1419" s="193">
        <f>Q1420+BF1419+($R$350*Q1420)</f>
        <v>0</v>
      </c>
      <c r="R1419" s="193">
        <f>IFERROR(R1420+($R$348*R1420),"")</f>
        <v>0</v>
      </c>
      <c r="S1419" s="194">
        <f>+IF(R1421="SI",((W1423*'BD GN'!$AB$2)+S1420)*1,COTIZACIÓN!S1420*1)+($R$352*S1420)</f>
        <v>0</v>
      </c>
      <c r="T1419" s="195">
        <f>IFERROR(R1419*IF(K1419&lt;=3,$T$13,15%),"")</f>
        <v>0</v>
      </c>
      <c r="U1419" s="196">
        <f>BH1419+BG1419</f>
        <v>0</v>
      </c>
      <c r="V1419" s="197" t="str">
        <f>IFERROR(BN1419,0)</f>
        <v/>
      </c>
      <c r="W1419" s="198" t="str">
        <f>IFERROR(IF(X1421="SI",W1422*J1419*K1419,IF(BE1419=3,BE1421,IF(BE1419=4,BE1422,IF(BE1419=5,BE1423,IF(BE1419&gt;5,BE1423+(BE1424*(BE1419-5)),"")))))*0,"")</f>
        <v/>
      </c>
      <c r="X1419" s="198" t="str">
        <f>IFERROR(IF(X1420="NO",(VLOOKUP(D1419,'BD M.O'!C:E,3,FALSE))*W1423,((VLOOKUP(D1419,'BD M.O'!C:E,3,FALSE))+7500)*W1423),"")</f>
        <v/>
      </c>
      <c r="Y1419" s="198">
        <f>IFERROR($Y$13*AK1419,"")</f>
        <v>4.2084457416288003E-2</v>
      </c>
      <c r="Z1419" s="198">
        <f>IFERROR($Z$13*AK1419,"")</f>
        <v>5.8166708502000002E-3</v>
      </c>
      <c r="AA1419" s="199">
        <f>IFERROR(Y1419+Z1419,"")</f>
        <v>4.7901128266487999E-2</v>
      </c>
      <c r="AB1419" s="200">
        <f>IFERROR((SUM(Q1419:X1419)-T1419+T1421)*$AB$13,"")</f>
        <v>0</v>
      </c>
      <c r="AC1419" s="201">
        <f>IFERROR(((SUM(Q1419:V1419,IF(X1424&gt;AA1419,AVERAGE(X1424,AA1419),AA1419))-T1419+T1421))*$AB$13,"")</f>
        <v>9.5802256532976E-4</v>
      </c>
      <c r="AD1419" s="202" t="str">
        <f>IFERROR((J1419*K1419*$BV$14),"")</f>
        <v/>
      </c>
      <c r="AE1419" s="202">
        <f>IFERROR($AE$13*AK1419,"")</f>
        <v>6.4010592649919984E-2</v>
      </c>
      <c r="AF1419" s="203" t="str">
        <f>IFERROR(($CI$11+$CI$13)*W1423,"")</f>
        <v/>
      </c>
      <c r="AG1419" s="267">
        <f>IFERROR((SUM(Q1419:X1419,AB1419,AD1419,AF1419)-T1419+T1421)*$AG$13,"")</f>
        <v>0</v>
      </c>
      <c r="AH1419" s="202">
        <f>IFERROR((SUM(Q1419:V1419,(IF(X1424&gt;AA1419,AVERAGE(X1424,AA1419),AA1419)),AC1419,AE1419,AF1419)-T1419+T1421)*$AG$13,"")</f>
        <v>5.6434871740868871E-2</v>
      </c>
      <c r="AI1419" s="268">
        <f>IFERROR(AL1419*$AI$13,"")</f>
        <v>2.3005092721839999E-2</v>
      </c>
      <c r="AJ1419" s="268">
        <f>IFERROR($AJ$13*AL1419,"")</f>
        <v>6.4184208693933587E-3</v>
      </c>
      <c r="AK1419" s="205">
        <f>IFERROR(SUM(Q1419:X1419,AB1419,AD1419,AG1419,AF1419)/(1-$AI$13)+(1-$AJ$13)-T1419+T1421,"")</f>
        <v>0.99441999999999997</v>
      </c>
      <c r="AL1419" s="205">
        <f>IFERROR(SUM(Q1419:V1419,AC1419,(IF(AD1419&gt;AE1419,AVERAGE(AD1419,AE1419),AE1419)),AF1419,,AH1419,(IF(SUM(X1424)&gt;AA1419,AVERAGE(AA1419,X1424),AA1419)))/(1-$AJ$13)+(1-$AI$13)-T1419+T1421,"")</f>
        <v>1.1502546360919998</v>
      </c>
      <c r="AM1419" s="206">
        <f>$M$15*Q1419</f>
        <v>0</v>
      </c>
      <c r="AN1419" s="207">
        <f>$M$15*R1419</f>
        <v>0</v>
      </c>
      <c r="AO1419" s="208">
        <f>$M$15*S1419</f>
        <v>0</v>
      </c>
      <c r="AP1419" s="207">
        <f>$M$15*T1419</f>
        <v>0</v>
      </c>
      <c r="AQ1419" s="207" t="e">
        <f>$M$15*#REF!</f>
        <v>#REF!</v>
      </c>
      <c r="AR1419" s="207">
        <f>$M$15*U1419</f>
        <v>0</v>
      </c>
      <c r="AS1419" s="208" t="e">
        <f>$M$15*V1419</f>
        <v>#VALUE!</v>
      </c>
      <c r="AT1419" s="207" t="e">
        <f>$M$15*W1419</f>
        <v>#VALUE!</v>
      </c>
      <c r="AU1419" s="208" t="e">
        <f>$M$15*X1419</f>
        <v>#VALUE!</v>
      </c>
      <c r="AV1419" s="207">
        <f>$M$15*AB1419</f>
        <v>0</v>
      </c>
      <c r="AW1419" s="208">
        <f>$M$15*AE1419</f>
        <v>0</v>
      </c>
      <c r="AX1419" s="207">
        <f>$M$15*AG1419</f>
        <v>0</v>
      </c>
      <c r="AY1419" s="209">
        <f>$M$15*AI1419</f>
        <v>0</v>
      </c>
      <c r="AZ1419" s="207">
        <f>$M$15*AK1419</f>
        <v>0</v>
      </c>
      <c r="BA1419" s="210"/>
      <c r="BB1419" s="175" t="s">
        <v>23</v>
      </c>
      <c r="BC1419" s="211" t="s">
        <v>113</v>
      </c>
      <c r="BD1419" s="210"/>
      <c r="BE1419" s="212"/>
      <c r="BF1419" s="213">
        <f>IF(BH1420="NO",((2*J1419)+(2*K1419))*'BD GN'!$AU$3,((3*J1419)+(2*K1419))*'BD GN'!$AU$3)</f>
        <v>0</v>
      </c>
      <c r="BG1419" s="213">
        <f>'BD GN'!$BB$3*J1419*K1419</f>
        <v>0</v>
      </c>
      <c r="BH1419" s="214">
        <f>((J1419*2*BE1419)+(K1419*2*BE1419))*'BD GN'!$AN$4</f>
        <v>0</v>
      </c>
      <c r="BI1419" s="210"/>
      <c r="BJ1419" s="212"/>
      <c r="BK1419" s="212"/>
      <c r="BL1419" s="215">
        <f>J1419*K1419*2.5*BJ1419</f>
        <v>0</v>
      </c>
      <c r="BM1419" s="215">
        <f>BK1419+BL1419</f>
        <v>0</v>
      </c>
      <c r="BN1419" s="216" t="str">
        <f>IFERROR((VLOOKUP($C$12,'BD GN'!BD:BM,10,FALSE)*BM1419)+0,"")</f>
        <v/>
      </c>
      <c r="BO1419" s="210"/>
      <c r="BW1419" s="210"/>
      <c r="CD1419" s="184"/>
      <c r="CF1419" s="185"/>
      <c r="CI1419" s="184"/>
      <c r="CJ1419" s="210"/>
      <c r="CK1419" s="565"/>
      <c r="CL1419" s="256"/>
      <c r="CM1419" s="596"/>
      <c r="CN1419" s="596"/>
      <c r="CO1419" s="567"/>
      <c r="CP1419" s="567"/>
      <c r="CQ1419" s="567"/>
      <c r="CR1419" s="567"/>
      <c r="CS1419" s="567"/>
      <c r="CT1419" s="567"/>
      <c r="CU1419" s="565"/>
      <c r="CV1419" s="560">
        <f>IFERROR(N1419*CU1419,"")</f>
        <v>0</v>
      </c>
      <c r="CW1419" s="565"/>
      <c r="CX1419" s="560">
        <f>IFERROR(P1419*CW1419,"")</f>
        <v>0</v>
      </c>
      <c r="CY1419" s="565"/>
      <c r="CZ1419" s="560">
        <f>IFERROR(R1419*CY1419,"")</f>
        <v>0</v>
      </c>
      <c r="DA1419" s="565">
        <f t="shared" ref="DA1419" si="1603">CU1419+CW1419+CY1419</f>
        <v>0</v>
      </c>
      <c r="DB1419" s="560">
        <f t="shared" ref="DB1419" si="1604">IFERROR(CV1419+CX1419+CZ1419,"")</f>
        <v>0</v>
      </c>
      <c r="DC1419" s="565">
        <f>M1419-(CU1419+CW1419+CY1419)</f>
        <v>0</v>
      </c>
      <c r="DD1419" s="560">
        <f>IFERROR(O1419-(CV1419+CX1419+CZ1419),"")</f>
        <v>0</v>
      </c>
      <c r="DG1419" s="575"/>
      <c r="DH1419" s="575"/>
      <c r="DI1419" s="569">
        <f t="shared" ref="DI1419" si="1605">IFERROR(IF(DG1419&gt;0,(((N1419)/(1+10%+19%*5%)+((N1419)/(1+10%+19%*5%))*10%)*DH1419),0),0)</f>
        <v>0</v>
      </c>
      <c r="DJ1419" s="569">
        <f t="shared" ref="DJ1419" si="1606">IFERROR(IF(DG1419&gt;0,(N1419*DH1419),0),0)</f>
        <v>0</v>
      </c>
      <c r="DK1419" s="569">
        <f t="shared" ref="DK1419" si="1607">IF(DG1419&gt;0,((R1419+T1419)*DH1419),0)</f>
        <v>0</v>
      </c>
      <c r="DL1419" s="569">
        <f t="shared" ref="DL1419" si="1608">IF(DG1419&gt;0,(Q1419*DH1419),0)</f>
        <v>0</v>
      </c>
      <c r="DM1419" s="572">
        <f t="shared" ref="DM1419" si="1609">IF(DG1419&gt;0,(S1419*DH1419),0)</f>
        <v>0</v>
      </c>
      <c r="DN1419" s="569">
        <f t="shared" ref="DN1419" si="1610">IF(DG1419&gt;0,(BN1419*DH1419),0)</f>
        <v>0</v>
      </c>
      <c r="DO1419" s="569">
        <f t="shared" ref="DO1419" si="1611">IF(DG1419&gt;0,(AF1419*DH1419),0)</f>
        <v>0</v>
      </c>
      <c r="DP1419" s="569">
        <f>IF(DG1419&gt;0,((DI1419)*('BD P&amp;G'!$E$16+'BD P&amp;G'!$E$17+'BD P&amp;G'!$E$18+'BD P&amp;G'!$E$19+'BD P&amp;G'!$E$20+'BD P&amp;G'!$E$21+'BD P&amp;G'!$E$22+'BD P&amp;G'!$E$23)*DH1419),0)</f>
        <v>0</v>
      </c>
      <c r="DQ1419" s="569">
        <f>IFERROR(IF(DG1419&gt;0,((DI1419*'BD P&amp;G'!$E$7)+(DI1419*'BD P&amp;G'!$E$9)+AI1419),0),0)</f>
        <v>0</v>
      </c>
      <c r="DR1419" s="569">
        <f t="shared" ref="DR1419" si="1612">IFERROR(IF(DG1419&gt;0,((DI1419*1%)),0),0)</f>
        <v>0</v>
      </c>
      <c r="DS1419" s="569">
        <f>IFERROR(IF(DG1419&gt;0,(((DI1419*'BD P&amp;G'!$E$32+DI1419*'BD P&amp;G'!$E$33+DI1419*'BD P&amp;G'!$E$35+DI1419*'BD P&amp;G'!$E$36+DI1419*'BD P&amp;G'!$E$37))),0),0)</f>
        <v>0</v>
      </c>
      <c r="DT1419" s="569">
        <f t="shared" ref="DT1419" si="1613">IF(DG1419&gt;0,(Y1419*DH1419),0)</f>
        <v>0</v>
      </c>
      <c r="DU1419" s="569">
        <f t="shared" ref="DU1419" si="1614">IF(DG1419&gt;0,(Z1419*DH1419),0)</f>
        <v>0</v>
      </c>
      <c r="DV1419" s="575">
        <f t="shared" ref="DV1419" si="1615">IF(DG1419&gt;0,(Y1423*DH1419),0)</f>
        <v>0</v>
      </c>
      <c r="DW1419" s="575">
        <f t="shared" ref="DW1419" si="1616">IF(DG1419&gt;0,(Z1423*DH1419),0)</f>
        <v>0</v>
      </c>
      <c r="DX1419" s="569">
        <f t="shared" ref="DX1419" si="1617">IF(DV1419&gt;0,DJ1419,0)</f>
        <v>0</v>
      </c>
      <c r="DY1419" s="569">
        <f t="shared" ref="DY1419" si="1618">IF(DW1419&gt;0,DJ1419,0)</f>
        <v>0</v>
      </c>
    </row>
    <row r="1420" spans="1:194" s="175" customFormat="1" ht="54.95" customHeight="1" x14ac:dyDescent="0.25">
      <c r="A1420" s="366"/>
      <c r="B1420" s="367"/>
      <c r="C1420" s="393" t="s">
        <v>28</v>
      </c>
      <c r="D1420" s="598"/>
      <c r="E1420" s="598"/>
      <c r="F1420" s="598"/>
      <c r="G1420" s="598"/>
      <c r="H1420" s="598"/>
      <c r="I1420" s="598"/>
      <c r="J1420" s="604"/>
      <c r="K1420" s="604"/>
      <c r="L1420" s="607"/>
      <c r="M1420" s="559"/>
      <c r="N1420" s="610"/>
      <c r="O1420" s="613"/>
      <c r="P1420" s="192"/>
      <c r="Q1420" s="217"/>
      <c r="R1420" s="217"/>
      <c r="S1420" s="218"/>
      <c r="T1420" s="219">
        <f>IFERROR(T1419/$R$353,"")</f>
        <v>0</v>
      </c>
      <c r="U1420" s="206"/>
      <c r="V1420" s="220"/>
      <c r="W1420" s="221" t="s">
        <v>239</v>
      </c>
      <c r="X1420" s="222" t="s">
        <v>204</v>
      </c>
      <c r="Y1420" s="223"/>
      <c r="Z1420" s="224"/>
      <c r="AA1420" s="225"/>
      <c r="AB1420" s="226"/>
      <c r="AC1420" s="206"/>
      <c r="AD1420" s="206"/>
      <c r="AE1420" s="206"/>
      <c r="AF1420" s="227"/>
      <c r="AG1420" s="206"/>
      <c r="AH1420" s="206"/>
      <c r="AI1420" s="206"/>
      <c r="AJ1420" s="206"/>
      <c r="AK1420" s="227"/>
      <c r="AL1420" s="210"/>
      <c r="AM1420" s="206"/>
      <c r="AN1420" s="206"/>
      <c r="AO1420" s="228"/>
      <c r="AP1420" s="229"/>
      <c r="AQ1420" s="206"/>
      <c r="AR1420" s="206"/>
      <c r="AS1420" s="228"/>
      <c r="AT1420" s="229"/>
      <c r="AU1420" s="228"/>
      <c r="AV1420" s="229"/>
      <c r="AW1420" s="228"/>
      <c r="AX1420" s="229"/>
      <c r="AY1420" s="206"/>
      <c r="AZ1420" s="229"/>
      <c r="BA1420" s="210"/>
      <c r="BB1420" s="175" t="s">
        <v>24</v>
      </c>
      <c r="BC1420" s="175" t="s">
        <v>114</v>
      </c>
      <c r="BD1420" s="210"/>
      <c r="BE1420" s="176" t="s">
        <v>206</v>
      </c>
      <c r="BF1420" s="230" t="s">
        <v>204</v>
      </c>
      <c r="BG1420" s="176" t="s">
        <v>290</v>
      </c>
      <c r="BH1420" s="230" t="s">
        <v>204</v>
      </c>
      <c r="BI1420" s="210"/>
      <c r="BJ1420" s="185"/>
      <c r="BN1420" s="269"/>
      <c r="BO1420" s="210"/>
      <c r="BV1420" s="184"/>
      <c r="BW1420" s="210"/>
      <c r="CD1420" s="184"/>
      <c r="CF1420" s="185"/>
      <c r="CI1420" s="184"/>
      <c r="CJ1420" s="210"/>
      <c r="CK1420" s="563"/>
      <c r="CM1420" s="559"/>
      <c r="CN1420" s="559"/>
      <c r="CO1420" s="567"/>
      <c r="CP1420" s="567"/>
      <c r="CQ1420" s="567"/>
      <c r="CR1420" s="567"/>
      <c r="CS1420" s="567"/>
      <c r="CT1420" s="567"/>
      <c r="CU1420" s="563"/>
      <c r="CV1420" s="561"/>
      <c r="CW1420" s="563"/>
      <c r="CX1420" s="561"/>
      <c r="CY1420" s="563"/>
      <c r="CZ1420" s="561"/>
      <c r="DA1420" s="563"/>
      <c r="DB1420" s="561"/>
      <c r="DC1420" s="563"/>
      <c r="DD1420" s="561"/>
      <c r="DG1420" s="576"/>
      <c r="DH1420" s="576"/>
      <c r="DI1420" s="570"/>
      <c r="DJ1420" s="570"/>
      <c r="DK1420" s="570"/>
      <c r="DL1420" s="570"/>
      <c r="DM1420" s="573"/>
      <c r="DN1420" s="570"/>
      <c r="DO1420" s="570"/>
      <c r="DP1420" s="570"/>
      <c r="DQ1420" s="570"/>
      <c r="DR1420" s="570"/>
      <c r="DS1420" s="570"/>
      <c r="DT1420" s="570"/>
      <c r="DU1420" s="570"/>
      <c r="DV1420" s="576"/>
      <c r="DW1420" s="576"/>
      <c r="DX1420" s="570"/>
      <c r="DY1420" s="570"/>
    </row>
    <row r="1421" spans="1:194" s="175" customFormat="1" ht="54.95" customHeight="1" x14ac:dyDescent="0.3">
      <c r="A1421" s="366"/>
      <c r="B1421" s="367"/>
      <c r="C1421" s="393" t="s">
        <v>30</v>
      </c>
      <c r="D1421" s="599"/>
      <c r="E1421" s="599"/>
      <c r="F1421" s="599"/>
      <c r="G1421" s="599"/>
      <c r="H1421" s="599"/>
      <c r="I1421" s="599"/>
      <c r="J1421" s="604"/>
      <c r="K1421" s="604"/>
      <c r="L1421" s="607"/>
      <c r="M1421" s="559"/>
      <c r="N1421" s="610"/>
      <c r="O1421" s="613"/>
      <c r="P1421" s="192"/>
      <c r="Q1421" s="176" t="s">
        <v>205</v>
      </c>
      <c r="R1421" s="233" t="s">
        <v>204</v>
      </c>
      <c r="S1421" s="234"/>
      <c r="T1421" s="235">
        <f>IFERROR(($R$353-8000)*T1420,"")</f>
        <v>0</v>
      </c>
      <c r="U1421" s="206"/>
      <c r="V1421" s="220"/>
      <c r="W1421" s="221" t="s">
        <v>258</v>
      </c>
      <c r="X1421" s="222" t="s">
        <v>204</v>
      </c>
      <c r="Y1421" s="236"/>
      <c r="Z1421" s="237"/>
      <c r="AA1421" s="225"/>
      <c r="AB1421" s="226"/>
      <c r="AC1421" s="206"/>
      <c r="AD1421" s="206"/>
      <c r="AE1421" s="206"/>
      <c r="AF1421" s="227"/>
      <c r="AG1421" s="206"/>
      <c r="AH1421" s="206"/>
      <c r="AI1421" s="206"/>
      <c r="AJ1421" s="206"/>
      <c r="AK1421" s="227"/>
      <c r="AL1421" s="238"/>
      <c r="AM1421" s="206"/>
      <c r="AN1421" s="206"/>
      <c r="AO1421" s="228"/>
      <c r="AP1421" s="229"/>
      <c r="AQ1421" s="206"/>
      <c r="AR1421" s="206"/>
      <c r="AS1421" s="228"/>
      <c r="AT1421" s="229"/>
      <c r="AU1421" s="228"/>
      <c r="AV1421" s="229"/>
      <c r="AW1421" s="228"/>
      <c r="AX1421" s="229"/>
      <c r="AY1421" s="206"/>
      <c r="AZ1421" s="229"/>
      <c r="BA1421" s="210"/>
      <c r="BB1421" s="175" t="s">
        <v>26</v>
      </c>
      <c r="BC1421" s="211" t="s">
        <v>115</v>
      </c>
      <c r="BD1421" s="210"/>
      <c r="BE1421" s="177" t="str">
        <f>IFERROR(VLOOKUP(D1419,'BD M.O'!C:H,4,FALSE),"")</f>
        <v/>
      </c>
      <c r="BF1421" s="177" t="s">
        <v>259</v>
      </c>
      <c r="BH1421" s="184"/>
      <c r="BI1421" s="210"/>
      <c r="BJ1421" s="185"/>
      <c r="BN1421" s="184"/>
      <c r="BO1421" s="210"/>
      <c r="BV1421" s="184"/>
      <c r="BW1421" s="210"/>
      <c r="CD1421" s="184"/>
      <c r="CF1421" s="185"/>
      <c r="CI1421" s="184"/>
      <c r="CJ1421" s="210"/>
      <c r="CK1421" s="563"/>
      <c r="CM1421" s="559"/>
      <c r="CN1421" s="559"/>
      <c r="CO1421" s="567"/>
      <c r="CP1421" s="567"/>
      <c r="CQ1421" s="567"/>
      <c r="CR1421" s="567"/>
      <c r="CS1421" s="567"/>
      <c r="CT1421" s="567"/>
      <c r="CU1421" s="563"/>
      <c r="CV1421" s="561"/>
      <c r="CW1421" s="563"/>
      <c r="CX1421" s="561"/>
      <c r="CY1421" s="563"/>
      <c r="CZ1421" s="561"/>
      <c r="DA1421" s="563"/>
      <c r="DB1421" s="561"/>
      <c r="DC1421" s="563"/>
      <c r="DD1421" s="561"/>
      <c r="DG1421" s="577"/>
      <c r="DH1421" s="577"/>
      <c r="DI1421" s="571"/>
      <c r="DJ1421" s="571"/>
      <c r="DK1421" s="571"/>
      <c r="DL1421" s="571"/>
      <c r="DM1421" s="574"/>
      <c r="DN1421" s="571"/>
      <c r="DO1421" s="571"/>
      <c r="DP1421" s="571"/>
      <c r="DQ1421" s="571"/>
      <c r="DR1421" s="571"/>
      <c r="DS1421" s="571"/>
      <c r="DT1421" s="571"/>
      <c r="DU1421" s="571"/>
      <c r="DV1421" s="577"/>
      <c r="DW1421" s="577"/>
      <c r="DX1421" s="571"/>
      <c r="DY1421" s="571"/>
    </row>
    <row r="1422" spans="1:194" s="175" customFormat="1" ht="54.95" customHeight="1" x14ac:dyDescent="0.25">
      <c r="A1422" s="366"/>
      <c r="B1422" s="367"/>
      <c r="C1422" s="395" t="s">
        <v>180</v>
      </c>
      <c r="D1422" s="599" t="s">
        <v>31</v>
      </c>
      <c r="E1422" s="599"/>
      <c r="F1422" s="394" t="s">
        <v>9</v>
      </c>
      <c r="G1422" s="599" t="s">
        <v>33</v>
      </c>
      <c r="H1422" s="599"/>
      <c r="I1422" s="394" t="str">
        <f>+IF($BG$9="SI","","X")</f>
        <v>X</v>
      </c>
      <c r="J1422" s="604"/>
      <c r="K1422" s="604"/>
      <c r="L1422" s="607"/>
      <c r="M1422" s="559"/>
      <c r="N1422" s="610"/>
      <c r="O1422" s="613"/>
      <c r="P1422" s="192"/>
      <c r="Q1422" s="239"/>
      <c r="R1422" s="221" t="s">
        <v>209</v>
      </c>
      <c r="S1422" s="234" t="str">
        <f>IF(S1420="","",S1420/(J1419*K1419))</f>
        <v/>
      </c>
      <c r="T1422" s="226"/>
      <c r="U1422" s="206"/>
      <c r="V1422" s="220"/>
      <c r="W1422" s="239" t="str">
        <f>IFERROR(IF(X1421="SI",VLOOKUP(D1419,'BD M.O'!C:F,4,FALSE),""),"")</f>
        <v/>
      </c>
      <c r="X1422" s="221" t="s">
        <v>258</v>
      </c>
      <c r="Y1422" s="221" t="s">
        <v>507</v>
      </c>
      <c r="Z1422" s="221" t="s">
        <v>508</v>
      </c>
      <c r="AA1422" s="225"/>
      <c r="AB1422" s="226"/>
      <c r="AC1422" s="206"/>
      <c r="AD1422" s="206"/>
      <c r="AE1422" s="206"/>
      <c r="AF1422" s="227"/>
      <c r="AG1422" s="206"/>
      <c r="AH1422" s="206"/>
      <c r="AI1422" s="206"/>
      <c r="AJ1422" s="206"/>
      <c r="AK1422" s="227"/>
      <c r="AL1422" s="240"/>
      <c r="AM1422" s="206"/>
      <c r="AN1422" s="206"/>
      <c r="AO1422" s="228"/>
      <c r="AP1422" s="229"/>
      <c r="AQ1422" s="206"/>
      <c r="AR1422" s="206"/>
      <c r="AS1422" s="228"/>
      <c r="AT1422" s="229"/>
      <c r="AU1422" s="228"/>
      <c r="AV1422" s="229"/>
      <c r="AW1422" s="228"/>
      <c r="AX1422" s="229"/>
      <c r="AY1422" s="206"/>
      <c r="AZ1422" s="229"/>
      <c r="BA1422" s="210"/>
      <c r="BC1422" s="175" t="s">
        <v>116</v>
      </c>
      <c r="BD1422" s="210"/>
      <c r="BE1422" s="177" t="str">
        <f>IFERROR(VLOOKUP(COTIZACIÓN!D1419,'BD M.O'!C:I,5,FALSE),"")</f>
        <v/>
      </c>
      <c r="BF1422" s="177" t="s">
        <v>260</v>
      </c>
      <c r="BH1422" s="184"/>
      <c r="BI1422" s="210"/>
      <c r="BJ1422" s="185"/>
      <c r="BN1422" s="184"/>
      <c r="BO1422" s="210"/>
      <c r="BP1422" s="183"/>
      <c r="BQ1422" s="183"/>
      <c r="BR1422" s="183"/>
      <c r="BS1422" s="183"/>
      <c r="BT1422" s="183"/>
      <c r="BU1422" s="183"/>
      <c r="BV1422" s="182"/>
      <c r="BW1422" s="210"/>
      <c r="BX1422" s="183"/>
      <c r="BY1422" s="183"/>
      <c r="BZ1422" s="183"/>
      <c r="CA1422" s="183"/>
      <c r="CB1422" s="183"/>
      <c r="CC1422" s="183"/>
      <c r="CD1422" s="182"/>
      <c r="CE1422" s="183"/>
      <c r="CF1422" s="241"/>
      <c r="CG1422" s="183"/>
      <c r="CH1422" s="183"/>
      <c r="CI1422" s="182"/>
      <c r="CJ1422" s="210"/>
      <c r="CK1422" s="563"/>
      <c r="CM1422" s="559"/>
      <c r="CN1422" s="559"/>
      <c r="CO1422" s="567"/>
      <c r="CP1422" s="567"/>
      <c r="CQ1422" s="567"/>
      <c r="CR1422" s="567"/>
      <c r="CS1422" s="567"/>
      <c r="CT1422" s="567"/>
      <c r="CU1422" s="563"/>
      <c r="CV1422" s="561"/>
      <c r="CW1422" s="563"/>
      <c r="CX1422" s="561"/>
      <c r="CY1422" s="563"/>
      <c r="CZ1422" s="561"/>
      <c r="DA1422" s="563"/>
      <c r="DB1422" s="561"/>
      <c r="DC1422" s="563"/>
      <c r="DD1422" s="561"/>
      <c r="DG1422" s="575"/>
      <c r="DH1422" s="575"/>
      <c r="DI1422" s="569">
        <f t="shared" ref="DI1422" si="1619">IFERROR(IF(DG1422&gt;0,(((N1419)/(1+10%+19%*5%)+((N1419)/(1+10%+19%*5%))*10%)*DH1422),0),0)</f>
        <v>0</v>
      </c>
      <c r="DJ1422" s="569">
        <f t="shared" ref="DJ1422" si="1620">IFERROR(IF(DG1422&gt;0,(N1419*DH1422),0),0)</f>
        <v>0</v>
      </c>
      <c r="DK1422" s="569">
        <f t="shared" ref="DK1422" si="1621">IF(DG1422&gt;0,((R1419+T1419)*DH1422),0)</f>
        <v>0</v>
      </c>
      <c r="DL1422" s="569">
        <f t="shared" ref="DL1422" si="1622">IF(DG1422&gt;0,(Q1419*DH1422),0)</f>
        <v>0</v>
      </c>
      <c r="DM1422" s="572">
        <f t="shared" ref="DM1422" si="1623">IF(DG1422&gt;0,(S1419*DH1422),0)</f>
        <v>0</v>
      </c>
      <c r="DN1422" s="569">
        <f t="shared" ref="DN1422" si="1624">IF(DG1422&gt;0,(BN1419*DH1422),0)</f>
        <v>0</v>
      </c>
      <c r="DO1422" s="569">
        <f t="shared" ref="DO1422" si="1625">IF(DG1422&gt;0,(AF1419*DH1422),0)</f>
        <v>0</v>
      </c>
      <c r="DP1422" s="569">
        <f>IF(DG1422&gt;0,((DI1422)*('BD P&amp;G'!$E$16+'BD P&amp;G'!$E$17+'BD P&amp;G'!$E$18+'BD P&amp;G'!$E$19+'BD P&amp;G'!$E$20+'BD P&amp;G'!$E$21+'BD P&amp;G'!$E$22+'BD P&amp;G'!$E$23)*DH1422),0)</f>
        <v>0</v>
      </c>
      <c r="DQ1422" s="569">
        <f>IFERROR(IF(DG1422&gt;0,((DI1422*'BD P&amp;G'!$E$7)+(DI1422*'BD P&amp;G'!$E$9)+AI1419),0),0)</f>
        <v>0</v>
      </c>
      <c r="DR1422" s="569">
        <f t="shared" ref="DR1422" si="1626">IFERROR(IF(DG1422&gt;0,((DI1422*1%)),0),0)</f>
        <v>0</v>
      </c>
      <c r="DS1422" s="569">
        <f>IFERROR(IF(DG1422&gt;0,(((DI1422*'BD P&amp;G'!$E$32+DI1422*'BD P&amp;G'!$E$33+DI1422*'BD P&amp;G'!$E$35+DI1422*'BD P&amp;G'!$E$36+DI1422*'BD P&amp;G'!$E$37))),0),0)</f>
        <v>0</v>
      </c>
      <c r="DT1422" s="569">
        <f t="shared" ref="DT1422" si="1627">IF(DG1422&gt;0,(Y1419*DH1422),0)</f>
        <v>0</v>
      </c>
      <c r="DU1422" s="569">
        <f t="shared" ref="DU1422" si="1628">IF(DG1422&gt;0,(Z1419*DH1422),0)</f>
        <v>0</v>
      </c>
      <c r="DV1422" s="575">
        <f t="shared" ref="DV1422" si="1629">IF(DG1422&gt;0,(Y1423*DH1422),0)</f>
        <v>0</v>
      </c>
      <c r="DW1422" s="575">
        <f t="shared" ref="DW1422" si="1630">IF(DG1422&gt;0,(Z1423*DH1422),0)</f>
        <v>0</v>
      </c>
      <c r="DX1422" s="569">
        <f t="shared" ref="DX1422" si="1631">IF(DV1422&gt;0,DJ1422,0)</f>
        <v>0</v>
      </c>
      <c r="DY1422" s="569">
        <f t="shared" ref="DY1422" si="1632">IF(DW1422&gt;0,DJ1422,0)</f>
        <v>0</v>
      </c>
    </row>
    <row r="1423" spans="1:194" s="175" customFormat="1" ht="54.95" customHeight="1" x14ac:dyDescent="0.3">
      <c r="A1423" s="366"/>
      <c r="B1423" s="367"/>
      <c r="C1423" s="393" t="s">
        <v>35</v>
      </c>
      <c r="D1423" s="599" t="str">
        <f>IFERROR(VLOOKUP(D1419,'BD GN'!C:E,3,),"")</f>
        <v/>
      </c>
      <c r="E1423" s="599"/>
      <c r="F1423" s="599"/>
      <c r="G1423" s="599"/>
      <c r="H1423" s="599"/>
      <c r="I1423" s="599"/>
      <c r="J1423" s="604"/>
      <c r="K1423" s="604"/>
      <c r="L1423" s="607"/>
      <c r="M1423" s="559"/>
      <c r="N1423" s="610"/>
      <c r="O1423" s="613"/>
      <c r="P1423" s="192"/>
      <c r="Q1423" s="239"/>
      <c r="R1423" s="221" t="s">
        <v>210</v>
      </c>
      <c r="S1423" s="234" t="str">
        <f>IFERROR(IF(N1419="","",N1419/W1423),"")</f>
        <v/>
      </c>
      <c r="T1423" s="226"/>
      <c r="U1423" s="206"/>
      <c r="V1423" s="220"/>
      <c r="W1423" s="242" t="str">
        <f>+IF(J1419*K1419&gt;=1,J1419*K1419,IF(AND(J1419*K1419&gt;0,J1419*K1419&lt;1),1,""))</f>
        <v/>
      </c>
      <c r="X1423" s="221" t="s">
        <v>298</v>
      </c>
      <c r="Y1423" s="461">
        <f>IFERROR(IF(D1419='BD GN'!$C$25,COTIZACIÓN!W1423,IF(D1419='BD GN'!$C$26,COTIZACIÓN!W1423,IF(D1419='BD GN'!$C$27,COTIZACIÓN!W1423,IF(COTIZACIÓN!D1419='BD GN'!$C$28,COTIZACIÓN!W1423,IF(COTIZACIÓN!D1419='BD GN'!$C$29,COTIZACIÓN!W1423,IF(COTIZACIÓN!D1419='BD GN'!$C$35,COTIZACIÓN!W1423,IF(COTIZACIÓN!D1419='BD GN'!$C$36,COTIZACIÓN!W1423,IF(COTIZACIÓN!D1419='BD GN'!$C$37,COTIZACIÓN!W1423,IF(COTIZACIÓN!D1419='BD GN'!$C$38,COTIZACIÓN!W1423,IF(COTIZACIÓN!D1419='BD GN'!$C$39,COTIZACIÓN!W1423,IF(COTIZACIÓN!D1419='BD GN'!$C$40,COTIZACIÓN!W1423,IF(COTIZACIÓN!D1419='BD GN'!$C$41,COTIZACIÓN!W1423,IF(COTIZACIÓN!D1419='BD GN'!$C$42,COTIZACIÓN!W1423,IF(COTIZACIÓN!D1419='BD GN'!$C$49,COTIZACIÓN!W1423,IF(COTIZACIÓN!D1419='BD GN'!$C$50,COTIZACIÓN!W1423,IF(COTIZACIÓN!D1419='BD GN'!$C$51,COTIZACIÓN!W1423,IF(COTIZACIÓN!D1419='BD GN'!$C$67,COTIZACIÓN!W1423,0))))))))))))))))),0)</f>
        <v>0</v>
      </c>
      <c r="Z1423" s="461">
        <f>IFERROR(W1423-Y1423,0)</f>
        <v>0</v>
      </c>
      <c r="AA1423" s="225"/>
      <c r="AB1423" s="226"/>
      <c r="AC1423" s="206"/>
      <c r="AD1423" s="206"/>
      <c r="AE1423" s="206"/>
      <c r="AF1423" s="227"/>
      <c r="AG1423" s="206"/>
      <c r="AH1423" s="206"/>
      <c r="AI1423" s="206"/>
      <c r="AJ1423" s="206"/>
      <c r="AK1423" s="227"/>
      <c r="AL1423" s="210"/>
      <c r="AM1423" s="206"/>
      <c r="AN1423" s="206"/>
      <c r="AO1423" s="228"/>
      <c r="AP1423" s="229"/>
      <c r="AQ1423" s="206"/>
      <c r="AR1423" s="206"/>
      <c r="AS1423" s="228"/>
      <c r="AT1423" s="229"/>
      <c r="AU1423" s="228"/>
      <c r="AV1423" s="229"/>
      <c r="AW1423" s="228"/>
      <c r="AX1423" s="229"/>
      <c r="AY1423" s="206"/>
      <c r="AZ1423" s="229"/>
      <c r="BA1423" s="210"/>
      <c r="BC1423" s="211" t="s">
        <v>117</v>
      </c>
      <c r="BD1423" s="210"/>
      <c r="BE1423" s="177" t="str">
        <f>IFERROR(VLOOKUP(D1419,'BD M.O'!C:I,6,FALSE),"")</f>
        <v/>
      </c>
      <c r="BF1423" s="177" t="s">
        <v>261</v>
      </c>
      <c r="BH1423" s="184"/>
      <c r="BI1423" s="210"/>
      <c r="BJ1423" s="185"/>
      <c r="BN1423" s="184"/>
      <c r="BO1423" s="210"/>
      <c r="BP1423" s="183"/>
      <c r="BQ1423" s="183"/>
      <c r="BR1423" s="183"/>
      <c r="BW1423" s="210"/>
      <c r="CD1423" s="184"/>
      <c r="CF1423" s="185"/>
      <c r="CI1423" s="184"/>
      <c r="CJ1423" s="210"/>
      <c r="CK1423" s="563"/>
      <c r="CM1423" s="559"/>
      <c r="CN1423" s="559"/>
      <c r="CO1423" s="567"/>
      <c r="CP1423" s="567"/>
      <c r="CQ1423" s="567"/>
      <c r="CR1423" s="567"/>
      <c r="CS1423" s="567"/>
      <c r="CT1423" s="567"/>
      <c r="CU1423" s="563"/>
      <c r="CV1423" s="561"/>
      <c r="CW1423" s="563"/>
      <c r="CX1423" s="561"/>
      <c r="CY1423" s="563"/>
      <c r="CZ1423" s="561"/>
      <c r="DA1423" s="563"/>
      <c r="DB1423" s="561"/>
      <c r="DC1423" s="563"/>
      <c r="DD1423" s="561"/>
      <c r="DG1423" s="576"/>
      <c r="DH1423" s="576"/>
      <c r="DI1423" s="570"/>
      <c r="DJ1423" s="570"/>
      <c r="DK1423" s="570"/>
      <c r="DL1423" s="570"/>
      <c r="DM1423" s="573"/>
      <c r="DN1423" s="570"/>
      <c r="DO1423" s="570"/>
      <c r="DP1423" s="570"/>
      <c r="DQ1423" s="570"/>
      <c r="DR1423" s="570"/>
      <c r="DS1423" s="570"/>
      <c r="DT1423" s="570"/>
      <c r="DU1423" s="570"/>
      <c r="DV1423" s="576"/>
      <c r="DW1423" s="576"/>
      <c r="DX1423" s="570"/>
      <c r="DY1423" s="570"/>
    </row>
    <row r="1424" spans="1:194" s="252" customFormat="1" ht="54.95" customHeight="1" x14ac:dyDescent="0.25">
      <c r="A1424" s="368"/>
      <c r="B1424" s="369"/>
      <c r="C1424" s="396" t="s">
        <v>10</v>
      </c>
      <c r="D1424" s="600" t="s">
        <v>32</v>
      </c>
      <c r="E1424" s="600"/>
      <c r="F1424" s="600"/>
      <c r="G1424" s="600"/>
      <c r="H1424" s="600"/>
      <c r="I1424" s="600"/>
      <c r="J1424" s="605"/>
      <c r="K1424" s="605"/>
      <c r="L1424" s="608"/>
      <c r="M1424" s="597"/>
      <c r="N1424" s="611"/>
      <c r="O1424" s="614"/>
      <c r="P1424" s="192"/>
      <c r="Q1424" s="239"/>
      <c r="R1424" s="239"/>
      <c r="S1424" s="234"/>
      <c r="T1424" s="243"/>
      <c r="U1424" s="244"/>
      <c r="V1424" s="245"/>
      <c r="W1424" s="177" t="s">
        <v>394</v>
      </c>
      <c r="X1424" s="246">
        <f>IFERROR(SUM(W1419:X1419),"")</f>
        <v>0</v>
      </c>
      <c r="Y1424" s="166" t="s">
        <v>404</v>
      </c>
      <c r="Z1424" s="199">
        <f>IFERROR(Y1419+Z1419,"")</f>
        <v>4.7901128266487999E-2</v>
      </c>
      <c r="AA1424" s="247"/>
      <c r="AB1424" s="243"/>
      <c r="AC1424" s="244"/>
      <c r="AD1424" s="244"/>
      <c r="AE1424" s="244"/>
      <c r="AF1424" s="270"/>
      <c r="AG1424" s="244"/>
      <c r="AH1424" s="244"/>
      <c r="AI1424" s="244"/>
      <c r="AJ1424" s="244"/>
      <c r="AK1424" s="270"/>
      <c r="AL1424" s="270"/>
      <c r="AM1424" s="248"/>
      <c r="AN1424" s="248"/>
      <c r="AO1424" s="249"/>
      <c r="AP1424" s="250"/>
      <c r="AQ1424" s="248"/>
      <c r="AR1424" s="248"/>
      <c r="AS1424" s="249"/>
      <c r="AT1424" s="250"/>
      <c r="AU1424" s="249"/>
      <c r="AV1424" s="250"/>
      <c r="AW1424" s="249"/>
      <c r="AX1424" s="250"/>
      <c r="AY1424" s="248"/>
      <c r="AZ1424" s="250"/>
      <c r="BA1424" s="210"/>
      <c r="BB1424" s="175"/>
      <c r="BC1424" s="175" t="s">
        <v>118</v>
      </c>
      <c r="BD1424" s="210"/>
      <c r="BE1424" s="177" t="str">
        <f>IFERROR(VLOOKUP(D1419,'BD M.O'!C:I,7,FALSE),"")</f>
        <v/>
      </c>
      <c r="BF1424" s="177" t="s">
        <v>262</v>
      </c>
      <c r="BG1424" s="257"/>
      <c r="BH1424" s="271"/>
      <c r="BI1424" s="210"/>
      <c r="BJ1424" s="272"/>
      <c r="BK1424" s="257"/>
      <c r="BL1424" s="257"/>
      <c r="BM1424" s="257"/>
      <c r="BN1424" s="271"/>
      <c r="BO1424" s="210"/>
      <c r="BP1424" s="175"/>
      <c r="BQ1424" s="175"/>
      <c r="BR1424" s="175"/>
      <c r="BS1424" s="183"/>
      <c r="BT1424" s="183"/>
      <c r="BU1424" s="183"/>
      <c r="BV1424" s="183"/>
      <c r="BW1424" s="210"/>
      <c r="BX1424" s="175"/>
      <c r="BY1424" s="175"/>
      <c r="BZ1424" s="175"/>
      <c r="CA1424" s="175"/>
      <c r="CB1424" s="175"/>
      <c r="CC1424" s="175"/>
      <c r="CD1424" s="184"/>
      <c r="CE1424" s="175"/>
      <c r="CF1424" s="185"/>
      <c r="CG1424" s="175"/>
      <c r="CH1424" s="175"/>
      <c r="CI1424" s="184"/>
      <c r="CJ1424" s="210"/>
      <c r="CK1424" s="564"/>
      <c r="CL1424" s="257"/>
      <c r="CM1424" s="597"/>
      <c r="CN1424" s="597"/>
      <c r="CO1424" s="567"/>
      <c r="CP1424" s="567"/>
      <c r="CQ1424" s="567"/>
      <c r="CR1424" s="567"/>
      <c r="CS1424" s="567"/>
      <c r="CT1424" s="567"/>
      <c r="CU1424" s="564"/>
      <c r="CV1424" s="562"/>
      <c r="CW1424" s="564"/>
      <c r="CX1424" s="562"/>
      <c r="CY1424" s="564"/>
      <c r="CZ1424" s="562"/>
      <c r="DA1424" s="564"/>
      <c r="DB1424" s="562"/>
      <c r="DC1424" s="564"/>
      <c r="DD1424" s="562"/>
      <c r="DE1424" s="175"/>
      <c r="DF1424" s="175"/>
      <c r="DG1424" s="577"/>
      <c r="DH1424" s="577"/>
      <c r="DI1424" s="571"/>
      <c r="DJ1424" s="571"/>
      <c r="DK1424" s="571"/>
      <c r="DL1424" s="571"/>
      <c r="DM1424" s="574"/>
      <c r="DN1424" s="571"/>
      <c r="DO1424" s="571"/>
      <c r="DP1424" s="571"/>
      <c r="DQ1424" s="571"/>
      <c r="DR1424" s="571"/>
      <c r="DS1424" s="571"/>
      <c r="DT1424" s="571"/>
      <c r="DU1424" s="571"/>
      <c r="DV1424" s="577"/>
      <c r="DW1424" s="577"/>
      <c r="DX1424" s="571"/>
      <c r="DY1424" s="571"/>
      <c r="DZ1424" s="175"/>
      <c r="EA1424" s="175"/>
      <c r="EB1424" s="175"/>
      <c r="EC1424" s="175"/>
      <c r="ED1424" s="175"/>
      <c r="EE1424" s="175"/>
      <c r="EF1424" s="175"/>
      <c r="EG1424" s="175"/>
      <c r="EH1424" s="175"/>
      <c r="EI1424" s="175"/>
      <c r="EJ1424" s="175"/>
      <c r="EK1424" s="175"/>
      <c r="EL1424" s="175"/>
      <c r="EM1424" s="175"/>
      <c r="EN1424" s="175"/>
      <c r="EO1424" s="175"/>
      <c r="EP1424" s="175"/>
      <c r="EQ1424" s="175"/>
      <c r="ER1424" s="175"/>
      <c r="ES1424" s="175"/>
      <c r="ET1424" s="175"/>
      <c r="EU1424" s="175"/>
      <c r="EV1424" s="175"/>
      <c r="EW1424" s="175"/>
      <c r="EX1424" s="175"/>
      <c r="EY1424" s="175"/>
      <c r="EZ1424" s="175"/>
      <c r="FA1424" s="175"/>
      <c r="FB1424" s="175"/>
      <c r="FC1424" s="175"/>
      <c r="FD1424" s="175"/>
      <c r="FE1424" s="175"/>
      <c r="FF1424" s="175"/>
      <c r="FG1424" s="175"/>
      <c r="FH1424" s="175"/>
      <c r="FI1424" s="175"/>
      <c r="FJ1424" s="175"/>
      <c r="FK1424" s="175"/>
      <c r="FL1424" s="175"/>
      <c r="FM1424" s="175"/>
      <c r="FN1424" s="175"/>
      <c r="FO1424" s="175"/>
      <c r="FP1424" s="175"/>
      <c r="FQ1424" s="175"/>
      <c r="FR1424" s="175"/>
      <c r="FS1424" s="175"/>
      <c r="FT1424" s="175"/>
      <c r="FU1424" s="175"/>
      <c r="FV1424" s="175"/>
      <c r="FW1424" s="175"/>
      <c r="FX1424" s="175"/>
      <c r="FY1424" s="175"/>
      <c r="FZ1424" s="175"/>
      <c r="GA1424" s="175"/>
      <c r="GB1424" s="175"/>
      <c r="GC1424" s="175"/>
      <c r="GD1424" s="175"/>
      <c r="GE1424" s="175"/>
      <c r="GF1424" s="175"/>
      <c r="GG1424" s="175"/>
      <c r="GH1424" s="175"/>
      <c r="GI1424" s="175"/>
      <c r="GJ1424" s="175"/>
      <c r="GK1424" s="175"/>
      <c r="GL1424" s="175"/>
    </row>
    <row r="1425" spans="1:129" s="261" customFormat="1" ht="39.950000000000003" customHeight="1" x14ac:dyDescent="0.25">
      <c r="A1425" s="382"/>
      <c r="B1425" s="256"/>
      <c r="C1425" s="392"/>
      <c r="D1425" s="410"/>
      <c r="E1425" s="410"/>
      <c r="F1425" s="410"/>
      <c r="G1425" s="410"/>
      <c r="H1425" s="410"/>
      <c r="I1425" s="410"/>
      <c r="J1425" s="256"/>
      <c r="K1425" s="256"/>
      <c r="L1425" s="256"/>
      <c r="M1425" s="256"/>
      <c r="N1425" s="441"/>
      <c r="O1425" s="442"/>
      <c r="P1425" s="192"/>
      <c r="Q1425" s="258"/>
      <c r="R1425" s="258"/>
      <c r="S1425" s="258"/>
      <c r="T1425" s="258"/>
      <c r="U1425" s="258"/>
      <c r="V1425" s="258"/>
      <c r="W1425" s="258"/>
      <c r="X1425" s="258"/>
      <c r="Y1425" s="258"/>
      <c r="Z1425" s="258"/>
      <c r="AA1425" s="258"/>
      <c r="AB1425" s="258"/>
      <c r="AC1425" s="258"/>
      <c r="AD1425" s="258"/>
      <c r="AE1425" s="258"/>
      <c r="AF1425" s="258"/>
      <c r="AG1425" s="258"/>
      <c r="AH1425" s="258"/>
      <c r="AI1425" s="258"/>
      <c r="AJ1425" s="258"/>
      <c r="AK1425" s="258"/>
      <c r="AL1425" s="258"/>
      <c r="AM1425" s="259"/>
      <c r="AN1425" s="258"/>
      <c r="AO1425" s="258"/>
      <c r="AP1425" s="258"/>
      <c r="AQ1425" s="258"/>
      <c r="AR1425" s="258"/>
      <c r="AS1425" s="258"/>
      <c r="AT1425" s="258"/>
      <c r="AU1425" s="258"/>
      <c r="AV1425" s="258"/>
      <c r="AW1425" s="258"/>
      <c r="AX1425" s="258"/>
      <c r="AY1425" s="258"/>
      <c r="AZ1425" s="258"/>
      <c r="BA1425" s="260"/>
      <c r="BD1425" s="260"/>
      <c r="BE1425" s="262"/>
      <c r="BI1425" s="260"/>
      <c r="BO1425" s="260"/>
      <c r="BW1425" s="260"/>
      <c r="CD1425" s="263"/>
      <c r="CF1425" s="262"/>
      <c r="CI1425" s="263"/>
      <c r="CJ1425" s="260"/>
      <c r="CV1425" s="264"/>
      <c r="CX1425" s="264"/>
      <c r="CZ1425" s="264"/>
      <c r="DB1425" s="264"/>
      <c r="DD1425" s="264"/>
      <c r="DG1425" s="183"/>
      <c r="DH1425" s="473"/>
      <c r="DI1425" s="458"/>
      <c r="DJ1425" s="458"/>
      <c r="DK1425" s="458"/>
      <c r="DL1425" s="458"/>
      <c r="DM1425" s="458"/>
      <c r="DN1425" s="458"/>
      <c r="DO1425" s="458"/>
      <c r="DP1425" s="458"/>
      <c r="DQ1425" s="458"/>
      <c r="DR1425" s="458"/>
      <c r="DS1425" s="458"/>
      <c r="DT1425" s="458"/>
      <c r="DU1425" s="458"/>
      <c r="DV1425" s="467"/>
      <c r="DW1425" s="467"/>
      <c r="DX1425" s="458"/>
      <c r="DY1425" s="458"/>
    </row>
    <row r="1426" spans="1:129" s="261" customFormat="1" ht="39.950000000000003" customHeight="1" x14ac:dyDescent="0.25">
      <c r="A1426" s="383"/>
      <c r="B1426" s="175"/>
      <c r="C1426" s="393"/>
      <c r="D1426" s="408"/>
      <c r="E1426" s="408"/>
      <c r="F1426" s="408"/>
      <c r="G1426" s="408"/>
      <c r="H1426" s="408"/>
      <c r="I1426" s="408"/>
      <c r="J1426" s="175"/>
      <c r="K1426" s="175"/>
      <c r="L1426" s="175"/>
      <c r="M1426" s="175"/>
      <c r="N1426" s="424" t="s">
        <v>38</v>
      </c>
      <c r="O1426" s="425">
        <f>(SUM(O1355:O1424))/(1+10%+19%*5%)</f>
        <v>0</v>
      </c>
      <c r="P1426" s="192"/>
      <c r="Q1426" s="258"/>
      <c r="R1426" s="258"/>
      <c r="S1426" s="258"/>
      <c r="T1426" s="258"/>
      <c r="U1426" s="258"/>
      <c r="V1426" s="258"/>
      <c r="W1426" s="258"/>
      <c r="X1426" s="258"/>
      <c r="Y1426" s="258"/>
      <c r="Z1426" s="258"/>
      <c r="AA1426" s="258"/>
      <c r="AB1426" s="258"/>
      <c r="AC1426" s="258"/>
      <c r="AD1426" s="258"/>
      <c r="AE1426" s="258"/>
      <c r="AF1426" s="258"/>
      <c r="AG1426" s="258"/>
      <c r="AH1426" s="258"/>
      <c r="AI1426" s="258"/>
      <c r="AJ1426" s="258"/>
      <c r="AK1426" s="258"/>
      <c r="AL1426" s="258"/>
      <c r="AM1426" s="259"/>
      <c r="AN1426" s="258"/>
      <c r="AO1426" s="258"/>
      <c r="AP1426" s="258"/>
      <c r="AQ1426" s="258"/>
      <c r="AR1426" s="258"/>
      <c r="AS1426" s="258"/>
      <c r="AT1426" s="258"/>
      <c r="AU1426" s="258"/>
      <c r="AV1426" s="258"/>
      <c r="AW1426" s="258"/>
      <c r="AX1426" s="258"/>
      <c r="AY1426" s="258"/>
      <c r="AZ1426" s="258"/>
      <c r="BA1426" s="260"/>
      <c r="BD1426" s="260"/>
      <c r="BE1426" s="262"/>
      <c r="BI1426" s="260"/>
      <c r="BO1426" s="260"/>
      <c r="BW1426" s="260"/>
      <c r="CD1426" s="263"/>
      <c r="CF1426" s="262"/>
      <c r="CI1426" s="263"/>
      <c r="CJ1426" s="260"/>
      <c r="CV1426" s="264"/>
      <c r="CX1426" s="264"/>
      <c r="CZ1426" s="264"/>
      <c r="DB1426" s="264"/>
      <c r="DD1426" s="264"/>
      <c r="DG1426" s="559"/>
      <c r="DH1426" s="568"/>
      <c r="DI1426" s="566"/>
      <c r="DJ1426" s="566"/>
      <c r="DK1426" s="566"/>
      <c r="DL1426" s="566"/>
      <c r="DM1426" s="566"/>
      <c r="DN1426" s="566"/>
      <c r="DO1426" s="566"/>
      <c r="DP1426" s="566"/>
      <c r="DQ1426" s="566"/>
      <c r="DR1426" s="566"/>
      <c r="DS1426" s="566"/>
      <c r="DT1426" s="566"/>
      <c r="DU1426" s="566"/>
      <c r="DV1426" s="724"/>
      <c r="DW1426" s="724"/>
      <c r="DX1426" s="566"/>
      <c r="DY1426" s="566"/>
    </row>
    <row r="1427" spans="1:129" s="261" customFormat="1" ht="39.950000000000003" customHeight="1" x14ac:dyDescent="0.25">
      <c r="A1427" s="383"/>
      <c r="B1427" s="175"/>
      <c r="C1427" s="393"/>
      <c r="D1427" s="408"/>
      <c r="E1427" s="408"/>
      <c r="F1427" s="408"/>
      <c r="G1427" s="408"/>
      <c r="H1427" s="408"/>
      <c r="I1427" s="408"/>
      <c r="J1427" s="175"/>
      <c r="K1427" s="175"/>
      <c r="L1427" s="175"/>
      <c r="M1427" s="175"/>
      <c r="N1427" s="424" t="s">
        <v>40</v>
      </c>
      <c r="O1427" s="425">
        <f>+O1426*4%</f>
        <v>0</v>
      </c>
      <c r="P1427" s="192"/>
      <c r="Q1427" s="258"/>
      <c r="R1427" s="258"/>
      <c r="S1427" s="258"/>
      <c r="T1427" s="258"/>
      <c r="U1427" s="258"/>
      <c r="V1427" s="258"/>
      <c r="W1427" s="258"/>
      <c r="X1427" s="258"/>
      <c r="Y1427" s="258"/>
      <c r="Z1427" s="258"/>
      <c r="AA1427" s="258"/>
      <c r="AB1427" s="258"/>
      <c r="AC1427" s="258"/>
      <c r="AD1427" s="258"/>
      <c r="AE1427" s="258"/>
      <c r="AF1427" s="258"/>
      <c r="AG1427" s="258"/>
      <c r="AH1427" s="258"/>
      <c r="AI1427" s="258"/>
      <c r="AJ1427" s="258"/>
      <c r="AK1427" s="258"/>
      <c r="AL1427" s="258"/>
      <c r="AM1427" s="259"/>
      <c r="AN1427" s="258"/>
      <c r="AO1427" s="258"/>
      <c r="AP1427" s="258"/>
      <c r="AQ1427" s="258"/>
      <c r="AR1427" s="258"/>
      <c r="AS1427" s="258"/>
      <c r="AT1427" s="258"/>
      <c r="AU1427" s="258"/>
      <c r="AV1427" s="258"/>
      <c r="AW1427" s="258"/>
      <c r="AX1427" s="258"/>
      <c r="AY1427" s="258"/>
      <c r="AZ1427" s="258"/>
      <c r="BA1427" s="260"/>
      <c r="BD1427" s="260"/>
      <c r="BE1427" s="262"/>
      <c r="BI1427" s="260"/>
      <c r="BO1427" s="260"/>
      <c r="BW1427" s="260"/>
      <c r="CD1427" s="263"/>
      <c r="CF1427" s="262"/>
      <c r="CI1427" s="263"/>
      <c r="CJ1427" s="260"/>
      <c r="CV1427" s="264"/>
      <c r="CX1427" s="264"/>
      <c r="CZ1427" s="264"/>
      <c r="DB1427" s="264"/>
      <c r="DD1427" s="264"/>
      <c r="DG1427" s="559"/>
      <c r="DH1427" s="568"/>
      <c r="DI1427" s="566"/>
      <c r="DJ1427" s="566"/>
      <c r="DK1427" s="566"/>
      <c r="DL1427" s="566"/>
      <c r="DM1427" s="566"/>
      <c r="DN1427" s="566"/>
      <c r="DO1427" s="566"/>
      <c r="DP1427" s="566"/>
      <c r="DQ1427" s="566"/>
      <c r="DR1427" s="566"/>
      <c r="DS1427" s="566"/>
      <c r="DT1427" s="566"/>
      <c r="DU1427" s="566"/>
      <c r="DV1427" s="724"/>
      <c r="DW1427" s="724"/>
      <c r="DX1427" s="566"/>
      <c r="DY1427" s="566"/>
    </row>
    <row r="1428" spans="1:129" s="261" customFormat="1" ht="39.950000000000003" customHeight="1" x14ac:dyDescent="0.25">
      <c r="A1428" s="383"/>
      <c r="B1428" s="175"/>
      <c r="C1428" s="393"/>
      <c r="D1428" s="408"/>
      <c r="E1428" s="408"/>
      <c r="F1428" s="408"/>
      <c r="G1428" s="408"/>
      <c r="H1428" s="408"/>
      <c r="I1428" s="408"/>
      <c r="J1428" s="175"/>
      <c r="K1428" s="175"/>
      <c r="L1428" s="175"/>
      <c r="M1428" s="175"/>
      <c r="N1428" s="424" t="s">
        <v>42</v>
      </c>
      <c r="O1428" s="425">
        <f>+O1426*1%</f>
        <v>0</v>
      </c>
      <c r="P1428" s="192"/>
      <c r="Q1428" s="258"/>
      <c r="R1428" s="258"/>
      <c r="S1428" s="258"/>
      <c r="T1428" s="258"/>
      <c r="U1428" s="258"/>
      <c r="V1428" s="258"/>
      <c r="W1428" s="258"/>
      <c r="X1428" s="258"/>
      <c r="Y1428" s="258"/>
      <c r="Z1428" s="258"/>
      <c r="AA1428" s="258"/>
      <c r="AB1428" s="258"/>
      <c r="AC1428" s="258"/>
      <c r="AD1428" s="258"/>
      <c r="AE1428" s="258"/>
      <c r="AF1428" s="258"/>
      <c r="AG1428" s="258"/>
      <c r="AH1428" s="258"/>
      <c r="AI1428" s="258"/>
      <c r="AJ1428" s="258"/>
      <c r="AK1428" s="258"/>
      <c r="AL1428" s="258"/>
      <c r="AM1428" s="259"/>
      <c r="AN1428" s="258"/>
      <c r="AO1428" s="258"/>
      <c r="AP1428" s="258"/>
      <c r="AQ1428" s="258"/>
      <c r="AR1428" s="258"/>
      <c r="AS1428" s="258"/>
      <c r="AT1428" s="258"/>
      <c r="AU1428" s="258"/>
      <c r="AV1428" s="258"/>
      <c r="AW1428" s="258"/>
      <c r="AX1428" s="258"/>
      <c r="AY1428" s="258"/>
      <c r="AZ1428" s="258"/>
      <c r="BA1428" s="260"/>
      <c r="BD1428" s="260"/>
      <c r="BE1428" s="262"/>
      <c r="BI1428" s="260"/>
      <c r="BO1428" s="260"/>
      <c r="BW1428" s="260"/>
      <c r="CD1428" s="263"/>
      <c r="CF1428" s="262"/>
      <c r="CI1428" s="263"/>
      <c r="CJ1428" s="260"/>
      <c r="CV1428" s="264"/>
      <c r="CX1428" s="264"/>
      <c r="CZ1428" s="264"/>
      <c r="DB1428" s="264"/>
      <c r="DD1428" s="264"/>
      <c r="DG1428" s="559"/>
      <c r="DH1428" s="568"/>
      <c r="DI1428" s="566"/>
      <c r="DJ1428" s="566"/>
      <c r="DK1428" s="566"/>
      <c r="DL1428" s="566"/>
      <c r="DM1428" s="566"/>
      <c r="DN1428" s="566"/>
      <c r="DO1428" s="566"/>
      <c r="DP1428" s="566"/>
      <c r="DQ1428" s="566"/>
      <c r="DR1428" s="566"/>
      <c r="DS1428" s="566"/>
      <c r="DT1428" s="566"/>
      <c r="DU1428" s="566"/>
      <c r="DV1428" s="724"/>
      <c r="DW1428" s="724"/>
      <c r="DX1428" s="566"/>
      <c r="DY1428" s="566"/>
    </row>
    <row r="1429" spans="1:129" s="261" customFormat="1" ht="39.950000000000003" customHeight="1" x14ac:dyDescent="0.25">
      <c r="A1429" s="383"/>
      <c r="B1429" s="175"/>
      <c r="C1429" s="393"/>
      <c r="D1429" s="408"/>
      <c r="E1429" s="408"/>
      <c r="F1429" s="408"/>
      <c r="G1429" s="408"/>
      <c r="H1429" s="408"/>
      <c r="I1429" s="408"/>
      <c r="J1429" s="175"/>
      <c r="K1429" s="175"/>
      <c r="L1429" s="175"/>
      <c r="M1429" s="175"/>
      <c r="N1429" s="424" t="s">
        <v>44</v>
      </c>
      <c r="O1429" s="425">
        <f>+O1426*5%</f>
        <v>0</v>
      </c>
      <c r="P1429" s="192"/>
      <c r="Q1429" s="258"/>
      <c r="R1429" s="258"/>
      <c r="S1429" s="258"/>
      <c r="T1429" s="258"/>
      <c r="U1429" s="258"/>
      <c r="V1429" s="258"/>
      <c r="W1429" s="258"/>
      <c r="X1429" s="258"/>
      <c r="Y1429" s="258"/>
      <c r="Z1429" s="258"/>
      <c r="AA1429" s="258"/>
      <c r="AB1429" s="258"/>
      <c r="AC1429" s="258"/>
      <c r="AD1429" s="258"/>
      <c r="AE1429" s="258"/>
      <c r="AF1429" s="258"/>
      <c r="AG1429" s="258"/>
      <c r="AH1429" s="258"/>
      <c r="AI1429" s="258"/>
      <c r="AJ1429" s="258"/>
      <c r="AK1429" s="258"/>
      <c r="AL1429" s="258"/>
      <c r="AM1429" s="259"/>
      <c r="AN1429" s="258"/>
      <c r="AO1429" s="258"/>
      <c r="AP1429" s="258"/>
      <c r="AQ1429" s="258"/>
      <c r="AR1429" s="258"/>
      <c r="AS1429" s="258"/>
      <c r="AT1429" s="258"/>
      <c r="AU1429" s="258"/>
      <c r="AV1429" s="258"/>
      <c r="AW1429" s="258"/>
      <c r="AX1429" s="258"/>
      <c r="AY1429" s="258"/>
      <c r="AZ1429" s="258"/>
      <c r="BA1429" s="260"/>
      <c r="BD1429" s="260"/>
      <c r="BE1429" s="262"/>
      <c r="BI1429" s="260"/>
      <c r="BO1429" s="260"/>
      <c r="BW1429" s="260"/>
      <c r="CD1429" s="263"/>
      <c r="CF1429" s="262"/>
      <c r="CI1429" s="263"/>
      <c r="CJ1429" s="260"/>
      <c r="CV1429" s="264"/>
      <c r="CX1429" s="264"/>
      <c r="CZ1429" s="264"/>
      <c r="DB1429" s="264"/>
      <c r="DD1429" s="264"/>
      <c r="DG1429" s="559"/>
      <c r="DH1429" s="568"/>
      <c r="DI1429" s="566"/>
      <c r="DJ1429" s="566"/>
      <c r="DK1429" s="566"/>
      <c r="DL1429" s="566"/>
      <c r="DM1429" s="566"/>
      <c r="DN1429" s="566"/>
      <c r="DO1429" s="566"/>
      <c r="DP1429" s="566"/>
      <c r="DQ1429" s="566"/>
      <c r="DR1429" s="566"/>
      <c r="DS1429" s="566"/>
      <c r="DT1429" s="566"/>
      <c r="DU1429" s="566"/>
      <c r="DV1429" s="724"/>
      <c r="DW1429" s="724"/>
      <c r="DX1429" s="566"/>
      <c r="DY1429" s="566"/>
    </row>
    <row r="1430" spans="1:129" s="261" customFormat="1" ht="39.950000000000003" customHeight="1" x14ac:dyDescent="0.25">
      <c r="A1430" s="383"/>
      <c r="B1430" s="175"/>
      <c r="C1430" s="393"/>
      <c r="D1430" s="408"/>
      <c r="E1430" s="408"/>
      <c r="F1430" s="408"/>
      <c r="G1430" s="408"/>
      <c r="H1430" s="408"/>
      <c r="I1430" s="408"/>
      <c r="J1430" s="175"/>
      <c r="K1430" s="175"/>
      <c r="L1430" s="175"/>
      <c r="M1430" s="175"/>
      <c r="N1430" s="424" t="s">
        <v>45</v>
      </c>
      <c r="O1430" s="425">
        <f>O1426+O1427+O1428+O1429</f>
        <v>0</v>
      </c>
      <c r="P1430" s="192"/>
      <c r="Q1430" s="258"/>
      <c r="R1430" s="258"/>
      <c r="S1430" s="258"/>
      <c r="T1430" s="258"/>
      <c r="U1430" s="258"/>
      <c r="V1430" s="258"/>
      <c r="W1430" s="258"/>
      <c r="X1430" s="258"/>
      <c r="Y1430" s="258"/>
      <c r="Z1430" s="258"/>
      <c r="AA1430" s="258"/>
      <c r="AB1430" s="258"/>
      <c r="AC1430" s="258"/>
      <c r="AD1430" s="258"/>
      <c r="AE1430" s="258"/>
      <c r="AF1430" s="258"/>
      <c r="AG1430" s="258"/>
      <c r="AH1430" s="258"/>
      <c r="AI1430" s="258"/>
      <c r="AJ1430" s="258"/>
      <c r="AK1430" s="258"/>
      <c r="AL1430" s="258"/>
      <c r="AM1430" s="259"/>
      <c r="AN1430" s="258"/>
      <c r="AO1430" s="258"/>
      <c r="AP1430" s="258"/>
      <c r="AQ1430" s="258"/>
      <c r="AR1430" s="258"/>
      <c r="AS1430" s="258"/>
      <c r="AT1430" s="258"/>
      <c r="AU1430" s="258"/>
      <c r="AV1430" s="258"/>
      <c r="AW1430" s="258"/>
      <c r="AX1430" s="258"/>
      <c r="AY1430" s="258"/>
      <c r="AZ1430" s="258"/>
      <c r="BA1430" s="260"/>
      <c r="BD1430" s="260"/>
      <c r="BE1430" s="262"/>
      <c r="BI1430" s="260"/>
      <c r="BO1430" s="260"/>
      <c r="BW1430" s="260"/>
      <c r="CD1430" s="263"/>
      <c r="CF1430" s="262"/>
      <c r="CI1430" s="263"/>
      <c r="CJ1430" s="260"/>
      <c r="CV1430" s="264"/>
      <c r="CX1430" s="264"/>
      <c r="CZ1430" s="264"/>
      <c r="DB1430" s="264"/>
      <c r="DD1430" s="264"/>
      <c r="DG1430" s="559"/>
      <c r="DH1430" s="568"/>
      <c r="DI1430" s="566"/>
      <c r="DJ1430" s="566"/>
      <c r="DK1430" s="566"/>
      <c r="DL1430" s="566"/>
      <c r="DM1430" s="566"/>
      <c r="DN1430" s="566"/>
      <c r="DO1430" s="566"/>
      <c r="DP1430" s="566"/>
      <c r="DQ1430" s="566"/>
      <c r="DR1430" s="566"/>
      <c r="DS1430" s="566"/>
      <c r="DT1430" s="566"/>
      <c r="DU1430" s="566"/>
      <c r="DV1430" s="724"/>
      <c r="DW1430" s="724"/>
      <c r="DX1430" s="566"/>
      <c r="DY1430" s="566"/>
    </row>
    <row r="1431" spans="1:129" s="261" customFormat="1" ht="39.950000000000003" customHeight="1" x14ac:dyDescent="0.25">
      <c r="A1431" s="383"/>
      <c r="B1431" s="175"/>
      <c r="C1431" s="393"/>
      <c r="D1431" s="408"/>
      <c r="E1431" s="408"/>
      <c r="F1431" s="408"/>
      <c r="G1431" s="408"/>
      <c r="H1431" s="408"/>
      <c r="I1431" s="408"/>
      <c r="J1431" s="175"/>
      <c r="K1431" s="175"/>
      <c r="L1431" s="175"/>
      <c r="M1431" s="175"/>
      <c r="N1431" s="426" t="s">
        <v>47</v>
      </c>
      <c r="O1431" s="425">
        <f>O1429*19%</f>
        <v>0</v>
      </c>
      <c r="P1431" s="192"/>
      <c r="Q1431" s="258"/>
      <c r="R1431" s="258"/>
      <c r="S1431" s="258"/>
      <c r="T1431" s="258"/>
      <c r="U1431" s="258"/>
      <c r="V1431" s="258"/>
      <c r="W1431" s="258"/>
      <c r="X1431" s="258"/>
      <c r="Y1431" s="258"/>
      <c r="Z1431" s="258"/>
      <c r="AA1431" s="258"/>
      <c r="AB1431" s="258"/>
      <c r="AC1431" s="258"/>
      <c r="AD1431" s="258"/>
      <c r="AE1431" s="258"/>
      <c r="AF1431" s="258"/>
      <c r="AG1431" s="258"/>
      <c r="AH1431" s="258"/>
      <c r="AI1431" s="258"/>
      <c r="AJ1431" s="258"/>
      <c r="AK1431" s="258"/>
      <c r="AL1431" s="258"/>
      <c r="AM1431" s="259"/>
      <c r="AN1431" s="258"/>
      <c r="AO1431" s="258"/>
      <c r="AP1431" s="258"/>
      <c r="AQ1431" s="258"/>
      <c r="AR1431" s="258"/>
      <c r="AS1431" s="258"/>
      <c r="AT1431" s="258"/>
      <c r="AU1431" s="258"/>
      <c r="AV1431" s="258"/>
      <c r="AW1431" s="258"/>
      <c r="AX1431" s="258"/>
      <c r="AY1431" s="258"/>
      <c r="AZ1431" s="258"/>
      <c r="BA1431" s="260"/>
      <c r="BD1431" s="260"/>
      <c r="BE1431" s="262"/>
      <c r="BI1431" s="260"/>
      <c r="BO1431" s="260"/>
      <c r="BW1431" s="260"/>
      <c r="CD1431" s="263"/>
      <c r="CF1431" s="262"/>
      <c r="CI1431" s="263"/>
      <c r="CJ1431" s="260"/>
      <c r="CV1431" s="264"/>
      <c r="CX1431" s="264"/>
      <c r="CZ1431" s="264"/>
      <c r="DB1431" s="264"/>
      <c r="DD1431" s="264"/>
      <c r="DG1431" s="559"/>
      <c r="DH1431" s="568"/>
      <c r="DI1431" s="566"/>
      <c r="DJ1431" s="566"/>
      <c r="DK1431" s="566"/>
      <c r="DL1431" s="566"/>
      <c r="DM1431" s="566"/>
      <c r="DN1431" s="566"/>
      <c r="DO1431" s="566"/>
      <c r="DP1431" s="566"/>
      <c r="DQ1431" s="566"/>
      <c r="DR1431" s="566"/>
      <c r="DS1431" s="566"/>
      <c r="DT1431" s="566"/>
      <c r="DU1431" s="566"/>
      <c r="DV1431" s="724"/>
      <c r="DW1431" s="724"/>
      <c r="DX1431" s="566"/>
      <c r="DY1431" s="566"/>
    </row>
    <row r="1432" spans="1:129" s="261" customFormat="1" ht="39.950000000000003" customHeight="1" x14ac:dyDescent="0.25">
      <c r="A1432" s="384"/>
      <c r="B1432" s="257"/>
      <c r="C1432" s="396"/>
      <c r="D1432" s="411"/>
      <c r="E1432" s="411"/>
      <c r="F1432" s="411"/>
      <c r="G1432" s="411"/>
      <c r="H1432" s="411"/>
      <c r="I1432" s="411"/>
      <c r="J1432" s="257"/>
      <c r="K1432" s="257"/>
      <c r="L1432" s="257"/>
      <c r="M1432" s="257"/>
      <c r="N1432" s="427" t="s">
        <v>48</v>
      </c>
      <c r="O1432" s="428">
        <f>O1430+O1431</f>
        <v>0</v>
      </c>
      <c r="P1432" s="192"/>
      <c r="Q1432" s="258"/>
      <c r="R1432" s="258"/>
      <c r="S1432" s="258"/>
      <c r="T1432" s="258"/>
      <c r="U1432" s="258"/>
      <c r="V1432" s="258"/>
      <c r="W1432" s="258"/>
      <c r="X1432" s="258"/>
      <c r="Y1432" s="258"/>
      <c r="Z1432" s="258"/>
      <c r="AA1432" s="258"/>
      <c r="AB1432" s="258"/>
      <c r="AC1432" s="258"/>
      <c r="AD1432" s="258"/>
      <c r="AE1432" s="258"/>
      <c r="AF1432" s="258"/>
      <c r="AG1432" s="258"/>
      <c r="AH1432" s="258"/>
      <c r="AI1432" s="258"/>
      <c r="AJ1432" s="258"/>
      <c r="AK1432" s="258"/>
      <c r="AL1432" s="258"/>
      <c r="AM1432" s="259"/>
      <c r="AN1432" s="258"/>
      <c r="AO1432" s="258"/>
      <c r="AP1432" s="258"/>
      <c r="AQ1432" s="258"/>
      <c r="AR1432" s="258"/>
      <c r="AS1432" s="258"/>
      <c r="AT1432" s="258"/>
      <c r="AU1432" s="258"/>
      <c r="AV1432" s="258"/>
      <c r="AW1432" s="258"/>
      <c r="AX1432" s="258"/>
      <c r="AY1432" s="258"/>
      <c r="AZ1432" s="258"/>
      <c r="BA1432" s="260"/>
      <c r="BD1432" s="260"/>
      <c r="BE1432" s="262"/>
      <c r="BI1432" s="260"/>
      <c r="BO1432" s="260"/>
      <c r="BW1432" s="260"/>
      <c r="CD1432" s="263"/>
      <c r="CF1432" s="262"/>
      <c r="CI1432" s="263"/>
      <c r="CJ1432" s="260"/>
      <c r="CV1432" s="264"/>
      <c r="CX1432" s="264"/>
      <c r="CZ1432" s="264"/>
      <c r="DB1432" s="264"/>
      <c r="DD1432" s="264"/>
      <c r="DH1432" s="475"/>
      <c r="DI1432" s="460"/>
      <c r="DJ1432" s="460"/>
      <c r="DK1432" s="460"/>
      <c r="DL1432" s="460"/>
      <c r="DM1432" s="460"/>
      <c r="DN1432" s="460"/>
      <c r="DO1432" s="460"/>
      <c r="DP1432" s="460"/>
      <c r="DQ1432" s="460"/>
      <c r="DR1432" s="460"/>
      <c r="DS1432" s="460"/>
      <c r="DT1432" s="460"/>
      <c r="DU1432" s="460"/>
      <c r="DV1432" s="469"/>
      <c r="DW1432" s="469"/>
      <c r="DX1432" s="460"/>
      <c r="DY1432" s="460"/>
    </row>
    <row r="1433" spans="1:129" s="261" customFormat="1" ht="39.950000000000003" customHeight="1" x14ac:dyDescent="0.25">
      <c r="A1433" s="379"/>
      <c r="B1433" s="175"/>
      <c r="C1433" s="393"/>
      <c r="D1433" s="408"/>
      <c r="E1433" s="408"/>
      <c r="F1433" s="408"/>
      <c r="G1433" s="408"/>
      <c r="H1433" s="408"/>
      <c r="I1433" s="408"/>
      <c r="J1433" s="175"/>
      <c r="K1433" s="175"/>
      <c r="L1433" s="175"/>
      <c r="M1433" s="175"/>
      <c r="N1433" s="435"/>
      <c r="O1433" s="436"/>
      <c r="P1433" s="192"/>
      <c r="Q1433" s="258"/>
      <c r="R1433" s="258"/>
      <c r="S1433" s="258"/>
      <c r="T1433" s="258"/>
      <c r="U1433" s="258"/>
      <c r="V1433" s="258"/>
      <c r="W1433" s="258"/>
      <c r="X1433" s="258"/>
      <c r="Y1433" s="258"/>
      <c r="Z1433" s="258"/>
      <c r="AA1433" s="258"/>
      <c r="AB1433" s="258"/>
      <c r="AC1433" s="258"/>
      <c r="AD1433" s="258"/>
      <c r="AE1433" s="258"/>
      <c r="AF1433" s="258"/>
      <c r="AG1433" s="258"/>
      <c r="AH1433" s="258"/>
      <c r="AI1433" s="258"/>
      <c r="AJ1433" s="258"/>
      <c r="AK1433" s="258"/>
      <c r="AL1433" s="258"/>
      <c r="AM1433" s="259"/>
      <c r="AN1433" s="258"/>
      <c r="AO1433" s="258"/>
      <c r="AP1433" s="258"/>
      <c r="AQ1433" s="258"/>
      <c r="AR1433" s="258"/>
      <c r="AS1433" s="258"/>
      <c r="AT1433" s="258"/>
      <c r="AU1433" s="258"/>
      <c r="AV1433" s="258"/>
      <c r="AW1433" s="258"/>
      <c r="AX1433" s="258"/>
      <c r="AY1433" s="258"/>
      <c r="AZ1433" s="258"/>
      <c r="BA1433" s="260"/>
      <c r="BD1433" s="260"/>
      <c r="BE1433" s="262"/>
      <c r="BI1433" s="260"/>
      <c r="BO1433" s="260"/>
      <c r="BW1433" s="260"/>
      <c r="CD1433" s="263"/>
      <c r="CF1433" s="262"/>
      <c r="CI1433" s="263"/>
      <c r="CJ1433" s="260"/>
      <c r="CV1433" s="264"/>
      <c r="CX1433" s="264"/>
      <c r="CZ1433" s="264"/>
      <c r="DB1433" s="264"/>
      <c r="DD1433" s="264"/>
      <c r="DH1433" s="475"/>
      <c r="DI1433" s="460"/>
      <c r="DJ1433" s="460"/>
      <c r="DK1433" s="460"/>
      <c r="DL1433" s="460"/>
      <c r="DM1433" s="460"/>
      <c r="DN1433" s="460"/>
      <c r="DO1433" s="460"/>
      <c r="DP1433" s="460"/>
      <c r="DQ1433" s="460"/>
      <c r="DR1433" s="460"/>
      <c r="DS1433" s="460"/>
      <c r="DT1433" s="460"/>
      <c r="DU1433" s="460"/>
      <c r="DV1433" s="469"/>
      <c r="DW1433" s="469"/>
      <c r="DX1433" s="460"/>
      <c r="DY1433" s="460"/>
    </row>
    <row r="1434" spans="1:129" s="261" customFormat="1" ht="39.950000000000003" customHeight="1" x14ac:dyDescent="0.25">
      <c r="A1434" s="379"/>
      <c r="B1434" s="175"/>
      <c r="C1434" s="393"/>
      <c r="D1434" s="408"/>
      <c r="E1434" s="408"/>
      <c r="F1434" s="408"/>
      <c r="G1434" s="408"/>
      <c r="H1434" s="408"/>
      <c r="I1434" s="408"/>
      <c r="J1434" s="175"/>
      <c r="K1434" s="175"/>
      <c r="L1434" s="175"/>
      <c r="M1434" s="175"/>
      <c r="N1434" s="435"/>
      <c r="O1434" s="436"/>
      <c r="P1434" s="192"/>
      <c r="Q1434" s="258"/>
      <c r="R1434" s="258"/>
      <c r="S1434" s="258"/>
      <c r="T1434" s="258"/>
      <c r="U1434" s="258"/>
      <c r="V1434" s="258"/>
      <c r="W1434" s="258"/>
      <c r="X1434" s="258"/>
      <c r="Y1434" s="258"/>
      <c r="Z1434" s="258"/>
      <c r="AA1434" s="258"/>
      <c r="AB1434" s="258"/>
      <c r="AC1434" s="258"/>
      <c r="AD1434" s="258"/>
      <c r="AE1434" s="258"/>
      <c r="AF1434" s="258"/>
      <c r="AG1434" s="258"/>
      <c r="AH1434" s="258"/>
      <c r="AI1434" s="258"/>
      <c r="AJ1434" s="258"/>
      <c r="AK1434" s="258"/>
      <c r="AL1434" s="258"/>
      <c r="AM1434" s="259"/>
      <c r="AN1434" s="258"/>
      <c r="AO1434" s="258"/>
      <c r="AP1434" s="258"/>
      <c r="AQ1434" s="258"/>
      <c r="AR1434" s="258"/>
      <c r="AS1434" s="258"/>
      <c r="AT1434" s="258"/>
      <c r="AU1434" s="258"/>
      <c r="AV1434" s="258"/>
      <c r="AW1434" s="258"/>
      <c r="AX1434" s="258"/>
      <c r="AY1434" s="258"/>
      <c r="AZ1434" s="258"/>
      <c r="BA1434" s="260"/>
      <c r="BD1434" s="260"/>
      <c r="BE1434" s="262"/>
      <c r="BI1434" s="260"/>
      <c r="BO1434" s="260"/>
      <c r="BW1434" s="260"/>
      <c r="CD1434" s="263"/>
      <c r="CF1434" s="262"/>
      <c r="CI1434" s="263"/>
      <c r="CJ1434" s="260"/>
      <c r="CV1434" s="264"/>
      <c r="CX1434" s="264"/>
      <c r="CZ1434" s="264"/>
      <c r="DB1434" s="264"/>
      <c r="DD1434" s="264"/>
      <c r="DH1434" s="475"/>
      <c r="DI1434" s="460"/>
      <c r="DJ1434" s="460"/>
      <c r="DK1434" s="460"/>
      <c r="DL1434" s="460"/>
      <c r="DM1434" s="460"/>
      <c r="DN1434" s="460"/>
      <c r="DO1434" s="460"/>
      <c r="DP1434" s="460"/>
      <c r="DQ1434" s="460"/>
      <c r="DR1434" s="460"/>
      <c r="DS1434" s="460"/>
      <c r="DT1434" s="460"/>
      <c r="DU1434" s="460"/>
      <c r="DV1434" s="469"/>
      <c r="DW1434" s="469"/>
      <c r="DX1434" s="460"/>
      <c r="DY1434" s="460"/>
    </row>
    <row r="1435" spans="1:129" s="261" customFormat="1" ht="39.950000000000003" customHeight="1" x14ac:dyDescent="0.25">
      <c r="A1435" s="379"/>
      <c r="B1435" s="175"/>
      <c r="C1435" s="393"/>
      <c r="D1435" s="408"/>
      <c r="E1435" s="408"/>
      <c r="F1435" s="408"/>
      <c r="G1435" s="408"/>
      <c r="H1435" s="408"/>
      <c r="I1435" s="408"/>
      <c r="J1435" s="175"/>
      <c r="K1435" s="175"/>
      <c r="L1435" s="175"/>
      <c r="M1435" s="175"/>
      <c r="N1435" s="435"/>
      <c r="O1435" s="436"/>
      <c r="P1435" s="192"/>
      <c r="Q1435" s="258"/>
      <c r="R1435" s="258"/>
      <c r="S1435" s="258"/>
      <c r="T1435" s="258"/>
      <c r="U1435" s="258"/>
      <c r="V1435" s="258"/>
      <c r="W1435" s="258"/>
      <c r="X1435" s="258"/>
      <c r="Y1435" s="258"/>
      <c r="Z1435" s="258"/>
      <c r="AA1435" s="258"/>
      <c r="AB1435" s="258"/>
      <c r="AC1435" s="258"/>
      <c r="AD1435" s="258"/>
      <c r="AE1435" s="258"/>
      <c r="AF1435" s="258"/>
      <c r="AG1435" s="258"/>
      <c r="AH1435" s="258"/>
      <c r="AI1435" s="258"/>
      <c r="AJ1435" s="258"/>
      <c r="AK1435" s="258"/>
      <c r="AL1435" s="258"/>
      <c r="AM1435" s="259"/>
      <c r="AN1435" s="258"/>
      <c r="AO1435" s="258"/>
      <c r="AP1435" s="258"/>
      <c r="AQ1435" s="258"/>
      <c r="AR1435" s="258"/>
      <c r="AS1435" s="258"/>
      <c r="AT1435" s="258"/>
      <c r="AU1435" s="258"/>
      <c r="AV1435" s="258"/>
      <c r="AW1435" s="258"/>
      <c r="AX1435" s="258"/>
      <c r="AY1435" s="258"/>
      <c r="AZ1435" s="258"/>
      <c r="BA1435" s="260"/>
      <c r="BD1435" s="260"/>
      <c r="BE1435" s="262"/>
      <c r="BI1435" s="260"/>
      <c r="BO1435" s="260"/>
      <c r="BW1435" s="260"/>
      <c r="CD1435" s="263"/>
      <c r="CF1435" s="262"/>
      <c r="CI1435" s="263"/>
      <c r="CJ1435" s="260"/>
      <c r="CV1435" s="264"/>
      <c r="CX1435" s="264"/>
      <c r="CZ1435" s="264"/>
      <c r="DB1435" s="264"/>
      <c r="DD1435" s="264"/>
      <c r="DH1435" s="475"/>
      <c r="DI1435" s="460"/>
      <c r="DJ1435" s="460"/>
      <c r="DK1435" s="460"/>
      <c r="DL1435" s="460"/>
      <c r="DM1435" s="460"/>
      <c r="DN1435" s="460"/>
      <c r="DO1435" s="460"/>
      <c r="DP1435" s="460"/>
      <c r="DQ1435" s="460"/>
      <c r="DR1435" s="460"/>
      <c r="DS1435" s="460"/>
      <c r="DT1435" s="460"/>
      <c r="DU1435" s="460"/>
      <c r="DV1435" s="469"/>
      <c r="DW1435" s="469"/>
      <c r="DX1435" s="460"/>
      <c r="DY1435" s="460"/>
    </row>
    <row r="1436" spans="1:129" s="261" customFormat="1" ht="39.950000000000003" customHeight="1" x14ac:dyDescent="0.25">
      <c r="A1436" s="379"/>
      <c r="B1436" s="175"/>
      <c r="C1436" s="393"/>
      <c r="D1436" s="408"/>
      <c r="E1436" s="408"/>
      <c r="F1436" s="408"/>
      <c r="G1436" s="408"/>
      <c r="H1436" s="408"/>
      <c r="I1436" s="408"/>
      <c r="J1436" s="175"/>
      <c r="K1436" s="175"/>
      <c r="L1436" s="175"/>
      <c r="M1436" s="175"/>
      <c r="N1436" s="435"/>
      <c r="O1436" s="436"/>
      <c r="P1436" s="192"/>
      <c r="Q1436" s="258"/>
      <c r="R1436" s="258"/>
      <c r="S1436" s="258"/>
      <c r="T1436" s="258"/>
      <c r="U1436" s="258"/>
      <c r="V1436" s="258"/>
      <c r="W1436" s="258"/>
      <c r="X1436" s="258"/>
      <c r="Y1436" s="258"/>
      <c r="Z1436" s="258"/>
      <c r="AA1436" s="258"/>
      <c r="AB1436" s="258"/>
      <c r="AC1436" s="258"/>
      <c r="AD1436" s="258"/>
      <c r="AE1436" s="258"/>
      <c r="AF1436" s="258"/>
      <c r="AG1436" s="258"/>
      <c r="AH1436" s="258"/>
      <c r="AI1436" s="258"/>
      <c r="AJ1436" s="258"/>
      <c r="AK1436" s="258"/>
      <c r="AL1436" s="258"/>
      <c r="AM1436" s="259"/>
      <c r="AN1436" s="258"/>
      <c r="AO1436" s="258"/>
      <c r="AP1436" s="258"/>
      <c r="AQ1436" s="258"/>
      <c r="AR1436" s="258"/>
      <c r="AS1436" s="258"/>
      <c r="AT1436" s="258"/>
      <c r="AU1436" s="258"/>
      <c r="AV1436" s="258"/>
      <c r="AW1436" s="258"/>
      <c r="AX1436" s="258"/>
      <c r="AY1436" s="258"/>
      <c r="AZ1436" s="258"/>
      <c r="BA1436" s="260"/>
      <c r="BD1436" s="260"/>
      <c r="BE1436" s="262"/>
      <c r="BI1436" s="260"/>
      <c r="BO1436" s="260"/>
      <c r="BW1436" s="260"/>
      <c r="CD1436" s="263"/>
      <c r="CF1436" s="262"/>
      <c r="CI1436" s="263"/>
      <c r="CJ1436" s="260"/>
      <c r="CV1436" s="264"/>
      <c r="CX1436" s="264"/>
      <c r="CZ1436" s="264"/>
      <c r="DB1436" s="264"/>
      <c r="DD1436" s="264"/>
      <c r="DH1436" s="475"/>
      <c r="DI1436" s="460"/>
      <c r="DJ1436" s="460"/>
      <c r="DK1436" s="460"/>
      <c r="DL1436" s="460"/>
      <c r="DM1436" s="460"/>
      <c r="DN1436" s="460"/>
      <c r="DO1436" s="460"/>
      <c r="DP1436" s="460"/>
      <c r="DQ1436" s="460"/>
      <c r="DR1436" s="460"/>
      <c r="DS1436" s="460"/>
      <c r="DT1436" s="460"/>
      <c r="DU1436" s="460"/>
      <c r="DV1436" s="469"/>
      <c r="DW1436" s="469"/>
      <c r="DX1436" s="460"/>
      <c r="DY1436" s="460"/>
    </row>
    <row r="1437" spans="1:129" s="261" customFormat="1" ht="39.950000000000003" customHeight="1" x14ac:dyDescent="0.25">
      <c r="A1437" s="379"/>
      <c r="B1437" s="175"/>
      <c r="C1437" s="393"/>
      <c r="D1437" s="408"/>
      <c r="E1437" s="408"/>
      <c r="F1437" s="408"/>
      <c r="G1437" s="408"/>
      <c r="H1437" s="408"/>
      <c r="I1437" s="408"/>
      <c r="J1437" s="175"/>
      <c r="K1437" s="175"/>
      <c r="L1437" s="175"/>
      <c r="M1437" s="175"/>
      <c r="N1437" s="435"/>
      <c r="O1437" s="436"/>
      <c r="P1437" s="192"/>
      <c r="Q1437" s="258"/>
      <c r="R1437" s="258"/>
      <c r="S1437" s="258"/>
      <c r="T1437" s="258"/>
      <c r="U1437" s="258"/>
      <c r="V1437" s="258"/>
      <c r="W1437" s="258"/>
      <c r="X1437" s="258"/>
      <c r="Y1437" s="258"/>
      <c r="Z1437" s="258"/>
      <c r="AA1437" s="258"/>
      <c r="AB1437" s="258"/>
      <c r="AC1437" s="258"/>
      <c r="AD1437" s="258"/>
      <c r="AE1437" s="258"/>
      <c r="AF1437" s="258"/>
      <c r="AG1437" s="258"/>
      <c r="AH1437" s="258"/>
      <c r="AI1437" s="258"/>
      <c r="AJ1437" s="258"/>
      <c r="AK1437" s="258"/>
      <c r="AL1437" s="258"/>
      <c r="AM1437" s="259"/>
      <c r="AN1437" s="258"/>
      <c r="AO1437" s="258"/>
      <c r="AP1437" s="258"/>
      <c r="AQ1437" s="258"/>
      <c r="AR1437" s="258"/>
      <c r="AS1437" s="258"/>
      <c r="AT1437" s="258"/>
      <c r="AU1437" s="258"/>
      <c r="AV1437" s="258"/>
      <c r="AW1437" s="258"/>
      <c r="AX1437" s="258"/>
      <c r="AY1437" s="258"/>
      <c r="AZ1437" s="258"/>
      <c r="BA1437" s="260"/>
      <c r="BD1437" s="260"/>
      <c r="BE1437" s="262"/>
      <c r="BI1437" s="260"/>
      <c r="BO1437" s="260"/>
      <c r="BW1437" s="260"/>
      <c r="CD1437" s="263"/>
      <c r="CF1437" s="262"/>
      <c r="CI1437" s="263"/>
      <c r="CJ1437" s="260"/>
      <c r="CV1437" s="264"/>
      <c r="CX1437" s="264"/>
      <c r="CZ1437" s="264"/>
      <c r="DB1437" s="264"/>
      <c r="DD1437" s="264"/>
      <c r="DH1437" s="475"/>
      <c r="DI1437" s="460"/>
      <c r="DJ1437" s="460"/>
      <c r="DK1437" s="460"/>
      <c r="DL1437" s="460"/>
      <c r="DM1437" s="460"/>
      <c r="DN1437" s="460"/>
      <c r="DO1437" s="460"/>
      <c r="DP1437" s="460"/>
      <c r="DQ1437" s="460"/>
      <c r="DR1437" s="460"/>
      <c r="DS1437" s="460"/>
      <c r="DT1437" s="460"/>
      <c r="DU1437" s="460"/>
      <c r="DV1437" s="469"/>
      <c r="DW1437" s="469"/>
      <c r="DX1437" s="460"/>
      <c r="DY1437" s="460"/>
    </row>
    <row r="1438" spans="1:129" s="261" customFormat="1" ht="39.950000000000003" customHeight="1" x14ac:dyDescent="0.25">
      <c r="A1438" s="379"/>
      <c r="B1438" s="175"/>
      <c r="C1438" s="393"/>
      <c r="D1438" s="408"/>
      <c r="E1438" s="408"/>
      <c r="F1438" s="408"/>
      <c r="G1438" s="408"/>
      <c r="H1438" s="408"/>
      <c r="I1438" s="408"/>
      <c r="J1438" s="175"/>
      <c r="K1438" s="175"/>
      <c r="L1438" s="175"/>
      <c r="M1438" s="175"/>
      <c r="N1438" s="435"/>
      <c r="O1438" s="436"/>
      <c r="P1438" s="192"/>
      <c r="Q1438" s="258"/>
      <c r="R1438" s="258"/>
      <c r="S1438" s="258"/>
      <c r="T1438" s="258"/>
      <c r="U1438" s="258"/>
      <c r="V1438" s="258"/>
      <c r="W1438" s="258"/>
      <c r="X1438" s="258"/>
      <c r="Y1438" s="258"/>
      <c r="Z1438" s="258"/>
      <c r="AA1438" s="258"/>
      <c r="AB1438" s="258"/>
      <c r="AC1438" s="258"/>
      <c r="AD1438" s="258"/>
      <c r="AE1438" s="258"/>
      <c r="AF1438" s="258"/>
      <c r="AG1438" s="258"/>
      <c r="AH1438" s="258"/>
      <c r="AI1438" s="258"/>
      <c r="AJ1438" s="258"/>
      <c r="AK1438" s="258"/>
      <c r="AL1438" s="258"/>
      <c r="AM1438" s="259"/>
      <c r="AN1438" s="258"/>
      <c r="AO1438" s="258"/>
      <c r="AP1438" s="258"/>
      <c r="AQ1438" s="258"/>
      <c r="AR1438" s="258"/>
      <c r="AS1438" s="258"/>
      <c r="AT1438" s="258"/>
      <c r="AU1438" s="258"/>
      <c r="AV1438" s="258"/>
      <c r="AW1438" s="258"/>
      <c r="AX1438" s="258"/>
      <c r="AY1438" s="258"/>
      <c r="AZ1438" s="258"/>
      <c r="BA1438" s="260"/>
      <c r="BD1438" s="260"/>
      <c r="BE1438" s="262"/>
      <c r="BI1438" s="260"/>
      <c r="BO1438" s="260"/>
      <c r="BW1438" s="260"/>
      <c r="CD1438" s="263"/>
      <c r="CF1438" s="262"/>
      <c r="CI1438" s="263"/>
      <c r="CJ1438" s="260"/>
      <c r="CV1438" s="264"/>
      <c r="CX1438" s="264"/>
      <c r="CZ1438" s="264"/>
      <c r="DB1438" s="264"/>
      <c r="DD1438" s="264"/>
      <c r="DH1438" s="475"/>
      <c r="DI1438" s="460"/>
      <c r="DJ1438" s="460"/>
      <c r="DK1438" s="460"/>
      <c r="DL1438" s="460"/>
      <c r="DM1438" s="460"/>
      <c r="DN1438" s="460"/>
      <c r="DO1438" s="460"/>
      <c r="DP1438" s="460"/>
      <c r="DQ1438" s="460"/>
      <c r="DR1438" s="460"/>
      <c r="DS1438" s="460"/>
      <c r="DT1438" s="460"/>
      <c r="DU1438" s="460"/>
      <c r="DV1438" s="469"/>
      <c r="DW1438" s="469"/>
      <c r="DX1438" s="460"/>
      <c r="DY1438" s="460"/>
    </row>
    <row r="1439" spans="1:129" s="261" customFormat="1" ht="39.950000000000003" customHeight="1" x14ac:dyDescent="0.25">
      <c r="A1439" s="379"/>
      <c r="B1439" s="175"/>
      <c r="C1439" s="393"/>
      <c r="D1439" s="408"/>
      <c r="E1439" s="408"/>
      <c r="F1439" s="408"/>
      <c r="G1439" s="408"/>
      <c r="H1439" s="408"/>
      <c r="I1439" s="408"/>
      <c r="J1439" s="175"/>
      <c r="K1439" s="175"/>
      <c r="L1439" s="175"/>
      <c r="M1439" s="175"/>
      <c r="N1439" s="435"/>
      <c r="O1439" s="436"/>
      <c r="P1439" s="192"/>
      <c r="Q1439" s="258"/>
      <c r="R1439" s="258"/>
      <c r="S1439" s="258"/>
      <c r="T1439" s="258"/>
      <c r="U1439" s="258"/>
      <c r="V1439" s="258"/>
      <c r="W1439" s="258"/>
      <c r="X1439" s="258"/>
      <c r="Y1439" s="258"/>
      <c r="Z1439" s="258"/>
      <c r="AA1439" s="258"/>
      <c r="AB1439" s="258"/>
      <c r="AC1439" s="258"/>
      <c r="AD1439" s="258"/>
      <c r="AE1439" s="258"/>
      <c r="AF1439" s="258"/>
      <c r="AG1439" s="258"/>
      <c r="AH1439" s="258"/>
      <c r="AI1439" s="258"/>
      <c r="AJ1439" s="258"/>
      <c r="AK1439" s="258"/>
      <c r="AL1439" s="258"/>
      <c r="AM1439" s="259"/>
      <c r="AN1439" s="258"/>
      <c r="AO1439" s="258"/>
      <c r="AP1439" s="258"/>
      <c r="AQ1439" s="258"/>
      <c r="AR1439" s="258"/>
      <c r="AS1439" s="258"/>
      <c r="AT1439" s="258"/>
      <c r="AU1439" s="258"/>
      <c r="AV1439" s="258"/>
      <c r="AW1439" s="258"/>
      <c r="AX1439" s="258"/>
      <c r="AY1439" s="258"/>
      <c r="AZ1439" s="258"/>
      <c r="BA1439" s="260"/>
      <c r="BD1439" s="260"/>
      <c r="BE1439" s="262"/>
      <c r="BI1439" s="260"/>
      <c r="BO1439" s="260"/>
      <c r="BW1439" s="260"/>
      <c r="CD1439" s="263"/>
      <c r="CF1439" s="262"/>
      <c r="CI1439" s="263"/>
      <c r="CJ1439" s="260"/>
      <c r="CV1439" s="264"/>
      <c r="CX1439" s="264"/>
      <c r="CZ1439" s="264"/>
      <c r="DB1439" s="264"/>
      <c r="DD1439" s="264"/>
      <c r="DH1439" s="475"/>
      <c r="DI1439" s="460"/>
      <c r="DJ1439" s="460"/>
      <c r="DK1439" s="460"/>
      <c r="DL1439" s="460"/>
      <c r="DM1439" s="460"/>
      <c r="DN1439" s="460"/>
      <c r="DO1439" s="460"/>
      <c r="DP1439" s="460"/>
      <c r="DQ1439" s="460"/>
      <c r="DR1439" s="460"/>
      <c r="DS1439" s="460"/>
      <c r="DT1439" s="460"/>
      <c r="DU1439" s="460"/>
      <c r="DV1439" s="469"/>
      <c r="DW1439" s="469"/>
      <c r="DX1439" s="460"/>
      <c r="DY1439" s="460"/>
    </row>
    <row r="1440" spans="1:129" s="261" customFormat="1" ht="39.950000000000003" customHeight="1" x14ac:dyDescent="0.25">
      <c r="A1440" s="379"/>
      <c r="B1440" s="175"/>
      <c r="C1440" s="393"/>
      <c r="D1440" s="408"/>
      <c r="E1440" s="408"/>
      <c r="F1440" s="408"/>
      <c r="G1440" s="408"/>
      <c r="H1440" s="408"/>
      <c r="I1440" s="408"/>
      <c r="J1440" s="175"/>
      <c r="K1440" s="175"/>
      <c r="L1440" s="175"/>
      <c r="M1440" s="175"/>
      <c r="N1440" s="435"/>
      <c r="O1440" s="436"/>
      <c r="P1440" s="192"/>
      <c r="Q1440" s="258"/>
      <c r="R1440" s="258"/>
      <c r="S1440" s="258"/>
      <c r="T1440" s="258"/>
      <c r="U1440" s="258"/>
      <c r="V1440" s="258"/>
      <c r="W1440" s="258"/>
      <c r="X1440" s="258"/>
      <c r="Y1440" s="258"/>
      <c r="Z1440" s="258"/>
      <c r="AA1440" s="258"/>
      <c r="AB1440" s="258"/>
      <c r="AC1440" s="258"/>
      <c r="AD1440" s="258"/>
      <c r="AE1440" s="258"/>
      <c r="AF1440" s="258"/>
      <c r="AG1440" s="258"/>
      <c r="AH1440" s="258"/>
      <c r="AI1440" s="258"/>
      <c r="AJ1440" s="258"/>
      <c r="AK1440" s="258"/>
      <c r="AL1440" s="258"/>
      <c r="AM1440" s="259"/>
      <c r="AN1440" s="258"/>
      <c r="AO1440" s="258"/>
      <c r="AP1440" s="258"/>
      <c r="AQ1440" s="258"/>
      <c r="AR1440" s="258"/>
      <c r="AS1440" s="258"/>
      <c r="AT1440" s="258"/>
      <c r="AU1440" s="258"/>
      <c r="AV1440" s="258"/>
      <c r="AW1440" s="258"/>
      <c r="AX1440" s="258"/>
      <c r="AY1440" s="258"/>
      <c r="AZ1440" s="258"/>
      <c r="BA1440" s="260"/>
      <c r="BD1440" s="260"/>
      <c r="BE1440" s="262"/>
      <c r="BI1440" s="260"/>
      <c r="BO1440" s="260"/>
      <c r="BW1440" s="260"/>
      <c r="CD1440" s="263"/>
      <c r="CF1440" s="262"/>
      <c r="CI1440" s="263"/>
      <c r="CJ1440" s="260"/>
      <c r="CV1440" s="264"/>
      <c r="CX1440" s="264"/>
      <c r="CZ1440" s="264"/>
      <c r="DB1440" s="264"/>
      <c r="DD1440" s="264"/>
      <c r="DH1440" s="475"/>
      <c r="DI1440" s="460"/>
      <c r="DJ1440" s="460"/>
      <c r="DK1440" s="460"/>
      <c r="DL1440" s="460"/>
      <c r="DM1440" s="460"/>
      <c r="DN1440" s="460"/>
      <c r="DO1440" s="460"/>
      <c r="DP1440" s="460"/>
      <c r="DQ1440" s="460"/>
      <c r="DR1440" s="460"/>
      <c r="DS1440" s="460"/>
      <c r="DT1440" s="460"/>
      <c r="DU1440" s="460"/>
      <c r="DV1440" s="469"/>
      <c r="DW1440" s="469"/>
      <c r="DX1440" s="460"/>
      <c r="DY1440" s="460"/>
    </row>
    <row r="1441" spans="1:129" s="261" customFormat="1" ht="39.950000000000003" customHeight="1" x14ac:dyDescent="0.25">
      <c r="A1441" s="379"/>
      <c r="B1441" s="175"/>
      <c r="C1441" s="393"/>
      <c r="D1441" s="408"/>
      <c r="E1441" s="408"/>
      <c r="F1441" s="408"/>
      <c r="G1441" s="408"/>
      <c r="H1441" s="408"/>
      <c r="I1441" s="408"/>
      <c r="J1441" s="175"/>
      <c r="K1441" s="175"/>
      <c r="L1441" s="175"/>
      <c r="M1441" s="175"/>
      <c r="N1441" s="435"/>
      <c r="O1441" s="436"/>
      <c r="P1441" s="192"/>
      <c r="Q1441" s="258"/>
      <c r="R1441" s="258"/>
      <c r="S1441" s="258"/>
      <c r="T1441" s="258"/>
      <c r="U1441" s="258"/>
      <c r="V1441" s="258"/>
      <c r="W1441" s="258"/>
      <c r="X1441" s="258"/>
      <c r="Y1441" s="258"/>
      <c r="Z1441" s="258"/>
      <c r="AA1441" s="258"/>
      <c r="AB1441" s="258"/>
      <c r="AC1441" s="258"/>
      <c r="AD1441" s="258"/>
      <c r="AE1441" s="258"/>
      <c r="AF1441" s="258"/>
      <c r="AG1441" s="258"/>
      <c r="AH1441" s="258"/>
      <c r="AI1441" s="258"/>
      <c r="AJ1441" s="258"/>
      <c r="AK1441" s="258"/>
      <c r="AL1441" s="258"/>
      <c r="AM1441" s="259"/>
      <c r="AN1441" s="258"/>
      <c r="AO1441" s="258"/>
      <c r="AP1441" s="258"/>
      <c r="AQ1441" s="258"/>
      <c r="AR1441" s="258"/>
      <c r="AS1441" s="258"/>
      <c r="AT1441" s="258"/>
      <c r="AU1441" s="258"/>
      <c r="AV1441" s="258"/>
      <c r="AW1441" s="258"/>
      <c r="AX1441" s="258"/>
      <c r="AY1441" s="258"/>
      <c r="AZ1441" s="258"/>
      <c r="BA1441" s="260"/>
      <c r="BD1441" s="260"/>
      <c r="BE1441" s="262"/>
      <c r="BI1441" s="260"/>
      <c r="BO1441" s="260"/>
      <c r="BW1441" s="260"/>
      <c r="CD1441" s="263"/>
      <c r="CF1441" s="262"/>
      <c r="CI1441" s="263"/>
      <c r="CJ1441" s="260"/>
      <c r="CV1441" s="264"/>
      <c r="CX1441" s="264"/>
      <c r="CZ1441" s="264"/>
      <c r="DB1441" s="264"/>
      <c r="DD1441" s="264"/>
      <c r="DH1441" s="475"/>
      <c r="DI1441" s="460"/>
      <c r="DJ1441" s="460"/>
      <c r="DK1441" s="460"/>
      <c r="DL1441" s="460"/>
      <c r="DM1441" s="460"/>
      <c r="DN1441" s="460"/>
      <c r="DO1441" s="460"/>
      <c r="DP1441" s="460"/>
      <c r="DQ1441" s="460"/>
      <c r="DR1441" s="460"/>
      <c r="DS1441" s="460"/>
      <c r="DT1441" s="460"/>
      <c r="DU1441" s="460"/>
      <c r="DV1441" s="469"/>
      <c r="DW1441" s="469"/>
      <c r="DX1441" s="460"/>
      <c r="DY1441" s="460"/>
    </row>
    <row r="1442" spans="1:129" s="261" customFormat="1" ht="39.950000000000003" customHeight="1" x14ac:dyDescent="0.25">
      <c r="A1442" s="379"/>
      <c r="B1442" s="175"/>
      <c r="C1442" s="393"/>
      <c r="D1442" s="408"/>
      <c r="E1442" s="408"/>
      <c r="F1442" s="408"/>
      <c r="G1442" s="408"/>
      <c r="H1442" s="408"/>
      <c r="I1442" s="408"/>
      <c r="J1442" s="175"/>
      <c r="K1442" s="175"/>
      <c r="L1442" s="175"/>
      <c r="M1442" s="175"/>
      <c r="N1442" s="435"/>
      <c r="O1442" s="436"/>
      <c r="P1442" s="192"/>
      <c r="Q1442" s="258"/>
      <c r="R1442" s="258"/>
      <c r="S1442" s="258"/>
      <c r="T1442" s="258"/>
      <c r="U1442" s="258"/>
      <c r="V1442" s="258"/>
      <c r="W1442" s="258"/>
      <c r="X1442" s="258"/>
      <c r="Y1442" s="258"/>
      <c r="Z1442" s="258"/>
      <c r="AA1442" s="258"/>
      <c r="AB1442" s="258"/>
      <c r="AC1442" s="258"/>
      <c r="AD1442" s="258"/>
      <c r="AE1442" s="258"/>
      <c r="AF1442" s="258"/>
      <c r="AG1442" s="258"/>
      <c r="AH1442" s="258"/>
      <c r="AI1442" s="258"/>
      <c r="AJ1442" s="258"/>
      <c r="AK1442" s="258"/>
      <c r="AL1442" s="258"/>
      <c r="AM1442" s="259"/>
      <c r="AN1442" s="258"/>
      <c r="AO1442" s="258"/>
      <c r="AP1442" s="258"/>
      <c r="AQ1442" s="258"/>
      <c r="AR1442" s="258"/>
      <c r="AS1442" s="258"/>
      <c r="AT1442" s="258"/>
      <c r="AU1442" s="258"/>
      <c r="AV1442" s="258"/>
      <c r="AW1442" s="258"/>
      <c r="AX1442" s="258"/>
      <c r="AY1442" s="258"/>
      <c r="AZ1442" s="258"/>
      <c r="BA1442" s="260"/>
      <c r="BD1442" s="260"/>
      <c r="BE1442" s="262"/>
      <c r="BI1442" s="260"/>
      <c r="BO1442" s="260"/>
      <c r="BW1442" s="260"/>
      <c r="CD1442" s="263"/>
      <c r="CF1442" s="262"/>
      <c r="CI1442" s="263"/>
      <c r="CJ1442" s="260"/>
      <c r="CV1442" s="264"/>
      <c r="CX1442" s="264"/>
      <c r="CZ1442" s="264"/>
      <c r="DB1442" s="264"/>
      <c r="DD1442" s="264"/>
      <c r="DH1442" s="475"/>
      <c r="DI1442" s="460"/>
      <c r="DJ1442" s="460"/>
      <c r="DK1442" s="460"/>
      <c r="DL1442" s="460"/>
      <c r="DM1442" s="460"/>
      <c r="DN1442" s="460"/>
      <c r="DO1442" s="460"/>
      <c r="DP1442" s="460"/>
      <c r="DQ1442" s="460"/>
      <c r="DR1442" s="460"/>
      <c r="DS1442" s="460"/>
      <c r="DT1442" s="460"/>
      <c r="DU1442" s="460"/>
      <c r="DV1442" s="469"/>
      <c r="DW1442" s="469"/>
      <c r="DX1442" s="460"/>
      <c r="DY1442" s="460"/>
    </row>
    <row r="1443" spans="1:129" s="261" customFormat="1" ht="39.950000000000003" customHeight="1" x14ac:dyDescent="0.25">
      <c r="A1443" s="379"/>
      <c r="B1443" s="175"/>
      <c r="C1443" s="393"/>
      <c r="D1443" s="408"/>
      <c r="E1443" s="408"/>
      <c r="F1443" s="408"/>
      <c r="G1443" s="408"/>
      <c r="H1443" s="408"/>
      <c r="I1443" s="408"/>
      <c r="J1443" s="175"/>
      <c r="K1443" s="175"/>
      <c r="L1443" s="175"/>
      <c r="M1443" s="175"/>
      <c r="N1443" s="435"/>
      <c r="O1443" s="436"/>
      <c r="P1443" s="192"/>
      <c r="Q1443" s="258"/>
      <c r="R1443" s="258"/>
      <c r="S1443" s="258"/>
      <c r="T1443" s="258"/>
      <c r="U1443" s="258"/>
      <c r="V1443" s="258"/>
      <c r="W1443" s="258"/>
      <c r="X1443" s="258"/>
      <c r="Y1443" s="258"/>
      <c r="Z1443" s="258"/>
      <c r="AA1443" s="258"/>
      <c r="AB1443" s="258"/>
      <c r="AC1443" s="258"/>
      <c r="AD1443" s="258"/>
      <c r="AE1443" s="258"/>
      <c r="AF1443" s="258"/>
      <c r="AG1443" s="258"/>
      <c r="AH1443" s="258"/>
      <c r="AI1443" s="258"/>
      <c r="AJ1443" s="258"/>
      <c r="AK1443" s="258"/>
      <c r="AL1443" s="258"/>
      <c r="AM1443" s="259"/>
      <c r="AN1443" s="258"/>
      <c r="AO1443" s="258"/>
      <c r="AP1443" s="258"/>
      <c r="AQ1443" s="258"/>
      <c r="AR1443" s="258"/>
      <c r="AS1443" s="258"/>
      <c r="AT1443" s="258"/>
      <c r="AU1443" s="258"/>
      <c r="AV1443" s="258"/>
      <c r="AW1443" s="258"/>
      <c r="AX1443" s="258"/>
      <c r="AY1443" s="258"/>
      <c r="AZ1443" s="258"/>
      <c r="BA1443" s="260"/>
      <c r="BD1443" s="260"/>
      <c r="BE1443" s="262"/>
      <c r="BI1443" s="260"/>
      <c r="BO1443" s="260"/>
      <c r="BW1443" s="260"/>
      <c r="CD1443" s="263"/>
      <c r="CF1443" s="262"/>
      <c r="CI1443" s="263"/>
      <c r="CJ1443" s="260"/>
      <c r="CV1443" s="264"/>
      <c r="CX1443" s="264"/>
      <c r="CZ1443" s="264"/>
      <c r="DB1443" s="264"/>
      <c r="DD1443" s="264"/>
      <c r="DH1443" s="475"/>
      <c r="DI1443" s="460"/>
      <c r="DJ1443" s="460"/>
      <c r="DK1443" s="460"/>
      <c r="DL1443" s="460"/>
      <c r="DM1443" s="460"/>
      <c r="DN1443" s="460"/>
      <c r="DO1443" s="460"/>
      <c r="DP1443" s="460"/>
      <c r="DQ1443" s="460"/>
      <c r="DR1443" s="460"/>
      <c r="DS1443" s="460"/>
      <c r="DT1443" s="460"/>
      <c r="DU1443" s="460"/>
      <c r="DV1443" s="469"/>
      <c r="DW1443" s="469"/>
      <c r="DX1443" s="460"/>
      <c r="DY1443" s="460"/>
    </row>
    <row r="1444" spans="1:129" s="261" customFormat="1" ht="39.950000000000003" customHeight="1" x14ac:dyDescent="0.25">
      <c r="A1444" s="379"/>
      <c r="B1444" s="175"/>
      <c r="C1444" s="393"/>
      <c r="D1444" s="408"/>
      <c r="E1444" s="408"/>
      <c r="F1444" s="408"/>
      <c r="G1444" s="408"/>
      <c r="H1444" s="408"/>
      <c r="I1444" s="408"/>
      <c r="J1444" s="175"/>
      <c r="K1444" s="175"/>
      <c r="L1444" s="175"/>
      <c r="M1444" s="175"/>
      <c r="N1444" s="435"/>
      <c r="O1444" s="436"/>
      <c r="P1444" s="192"/>
      <c r="Q1444" s="258"/>
      <c r="R1444" s="258"/>
      <c r="S1444" s="258"/>
      <c r="T1444" s="258"/>
      <c r="U1444" s="258"/>
      <c r="V1444" s="258"/>
      <c r="W1444" s="258"/>
      <c r="X1444" s="258"/>
      <c r="Y1444" s="258"/>
      <c r="Z1444" s="258"/>
      <c r="AA1444" s="258"/>
      <c r="AB1444" s="258"/>
      <c r="AC1444" s="258"/>
      <c r="AD1444" s="258"/>
      <c r="AE1444" s="258"/>
      <c r="AF1444" s="258"/>
      <c r="AG1444" s="258"/>
      <c r="AH1444" s="258"/>
      <c r="AI1444" s="258"/>
      <c r="AJ1444" s="258"/>
      <c r="AK1444" s="258"/>
      <c r="AL1444" s="258"/>
      <c r="AM1444" s="259"/>
      <c r="AN1444" s="258"/>
      <c r="AO1444" s="258"/>
      <c r="AP1444" s="258"/>
      <c r="AQ1444" s="258"/>
      <c r="AR1444" s="258"/>
      <c r="AS1444" s="258"/>
      <c r="AT1444" s="258"/>
      <c r="AU1444" s="258"/>
      <c r="AV1444" s="258"/>
      <c r="AW1444" s="258"/>
      <c r="AX1444" s="258"/>
      <c r="AY1444" s="258"/>
      <c r="AZ1444" s="258"/>
      <c r="BA1444" s="260"/>
      <c r="BD1444" s="260"/>
      <c r="BE1444" s="262"/>
      <c r="BI1444" s="260"/>
      <c r="BO1444" s="260"/>
      <c r="BW1444" s="260"/>
      <c r="CD1444" s="263"/>
      <c r="CF1444" s="262"/>
      <c r="CI1444" s="263"/>
      <c r="CJ1444" s="260"/>
      <c r="CV1444" s="264"/>
      <c r="CX1444" s="264"/>
      <c r="CZ1444" s="264"/>
      <c r="DB1444" s="264"/>
      <c r="DD1444" s="264"/>
      <c r="DH1444" s="475"/>
      <c r="DI1444" s="460"/>
      <c r="DJ1444" s="460"/>
      <c r="DK1444" s="460"/>
      <c r="DL1444" s="460"/>
      <c r="DM1444" s="460"/>
      <c r="DN1444" s="460"/>
      <c r="DO1444" s="460"/>
      <c r="DP1444" s="460"/>
      <c r="DQ1444" s="460"/>
      <c r="DR1444" s="460"/>
      <c r="DS1444" s="460"/>
      <c r="DT1444" s="460"/>
      <c r="DU1444" s="460"/>
      <c r="DV1444" s="469"/>
      <c r="DW1444" s="469"/>
      <c r="DX1444" s="460"/>
      <c r="DY1444" s="460"/>
    </row>
    <row r="1445" spans="1:129" s="261" customFormat="1" ht="39.950000000000003" customHeight="1" x14ac:dyDescent="0.25">
      <c r="A1445" s="379"/>
      <c r="B1445" s="175"/>
      <c r="C1445" s="393"/>
      <c r="D1445" s="408"/>
      <c r="E1445" s="408"/>
      <c r="F1445" s="408"/>
      <c r="G1445" s="408"/>
      <c r="H1445" s="408"/>
      <c r="I1445" s="408"/>
      <c r="J1445" s="175"/>
      <c r="K1445" s="175"/>
      <c r="L1445" s="175"/>
      <c r="M1445" s="175"/>
      <c r="N1445" s="435"/>
      <c r="O1445" s="436"/>
      <c r="P1445" s="192"/>
      <c r="Q1445" s="258"/>
      <c r="R1445" s="258"/>
      <c r="S1445" s="258"/>
      <c r="T1445" s="258"/>
      <c r="U1445" s="258"/>
      <c r="V1445" s="258"/>
      <c r="W1445" s="258"/>
      <c r="X1445" s="258"/>
      <c r="Y1445" s="258"/>
      <c r="Z1445" s="258"/>
      <c r="AA1445" s="258"/>
      <c r="AB1445" s="258"/>
      <c r="AC1445" s="258"/>
      <c r="AD1445" s="258"/>
      <c r="AE1445" s="258"/>
      <c r="AF1445" s="258"/>
      <c r="AG1445" s="258"/>
      <c r="AH1445" s="258"/>
      <c r="AI1445" s="258"/>
      <c r="AJ1445" s="258"/>
      <c r="AK1445" s="258"/>
      <c r="AL1445" s="258"/>
      <c r="AM1445" s="259"/>
      <c r="AN1445" s="258"/>
      <c r="AO1445" s="258"/>
      <c r="AP1445" s="258"/>
      <c r="AQ1445" s="258"/>
      <c r="AR1445" s="258"/>
      <c r="AS1445" s="258"/>
      <c r="AT1445" s="258"/>
      <c r="AU1445" s="258"/>
      <c r="AV1445" s="258"/>
      <c r="AW1445" s="258"/>
      <c r="AX1445" s="258"/>
      <c r="AY1445" s="258"/>
      <c r="AZ1445" s="258"/>
      <c r="BA1445" s="260"/>
      <c r="BD1445" s="260"/>
      <c r="BE1445" s="262"/>
      <c r="BI1445" s="260"/>
      <c r="BO1445" s="260"/>
      <c r="BW1445" s="260"/>
      <c r="CD1445" s="263"/>
      <c r="CF1445" s="262"/>
      <c r="CI1445" s="263"/>
      <c r="CJ1445" s="260"/>
      <c r="CV1445" s="264"/>
      <c r="CX1445" s="264"/>
      <c r="CZ1445" s="264"/>
      <c r="DB1445" s="264"/>
      <c r="DD1445" s="264"/>
      <c r="DH1445" s="475"/>
      <c r="DI1445" s="460"/>
      <c r="DJ1445" s="460"/>
      <c r="DK1445" s="460"/>
      <c r="DL1445" s="460"/>
      <c r="DM1445" s="460"/>
      <c r="DN1445" s="460"/>
      <c r="DO1445" s="460"/>
      <c r="DP1445" s="460"/>
      <c r="DQ1445" s="460"/>
      <c r="DR1445" s="460"/>
      <c r="DS1445" s="460"/>
      <c r="DT1445" s="460"/>
      <c r="DU1445" s="460"/>
      <c r="DV1445" s="469"/>
      <c r="DW1445" s="469"/>
      <c r="DX1445" s="460"/>
      <c r="DY1445" s="460"/>
    </row>
    <row r="1446" spans="1:129" s="261" customFormat="1" ht="39.950000000000003" customHeight="1" x14ac:dyDescent="0.25">
      <c r="A1446" s="379"/>
      <c r="B1446" s="175"/>
      <c r="C1446" s="393"/>
      <c r="D1446" s="408"/>
      <c r="E1446" s="408"/>
      <c r="F1446" s="408"/>
      <c r="G1446" s="408"/>
      <c r="H1446" s="408"/>
      <c r="I1446" s="408"/>
      <c r="J1446" s="175"/>
      <c r="K1446" s="175"/>
      <c r="L1446" s="175"/>
      <c r="M1446" s="175"/>
      <c r="N1446" s="435"/>
      <c r="O1446" s="436"/>
      <c r="P1446" s="192"/>
      <c r="Q1446" s="258"/>
      <c r="R1446" s="258"/>
      <c r="S1446" s="258"/>
      <c r="T1446" s="258"/>
      <c r="U1446" s="258"/>
      <c r="V1446" s="258"/>
      <c r="W1446" s="258"/>
      <c r="X1446" s="258"/>
      <c r="Y1446" s="258"/>
      <c r="Z1446" s="258"/>
      <c r="AA1446" s="258"/>
      <c r="AB1446" s="258"/>
      <c r="AC1446" s="258"/>
      <c r="AD1446" s="258"/>
      <c r="AE1446" s="258"/>
      <c r="AF1446" s="258"/>
      <c r="AG1446" s="258"/>
      <c r="AH1446" s="258"/>
      <c r="AI1446" s="258"/>
      <c r="AJ1446" s="258"/>
      <c r="AK1446" s="258"/>
      <c r="AL1446" s="258"/>
      <c r="AM1446" s="259"/>
      <c r="AN1446" s="258"/>
      <c r="AO1446" s="258"/>
      <c r="AP1446" s="258"/>
      <c r="AQ1446" s="258"/>
      <c r="AR1446" s="258"/>
      <c r="AS1446" s="258"/>
      <c r="AT1446" s="258"/>
      <c r="AU1446" s="258"/>
      <c r="AV1446" s="258"/>
      <c r="AW1446" s="258"/>
      <c r="AX1446" s="258"/>
      <c r="AY1446" s="258"/>
      <c r="AZ1446" s="258"/>
      <c r="BA1446" s="260"/>
      <c r="BD1446" s="260"/>
      <c r="BE1446" s="262"/>
      <c r="BI1446" s="260"/>
      <c r="BO1446" s="260"/>
      <c r="BW1446" s="260"/>
      <c r="CD1446" s="263"/>
      <c r="CF1446" s="262"/>
      <c r="CI1446" s="263"/>
      <c r="CJ1446" s="260"/>
      <c r="CV1446" s="264"/>
      <c r="CX1446" s="264"/>
      <c r="CZ1446" s="264"/>
      <c r="DB1446" s="264"/>
      <c r="DD1446" s="264"/>
      <c r="DH1446" s="475"/>
      <c r="DI1446" s="460"/>
      <c r="DJ1446" s="460"/>
      <c r="DK1446" s="460"/>
      <c r="DL1446" s="460"/>
      <c r="DM1446" s="460"/>
      <c r="DN1446" s="460"/>
      <c r="DO1446" s="460"/>
      <c r="DP1446" s="460"/>
      <c r="DQ1446" s="460"/>
      <c r="DR1446" s="460"/>
      <c r="DS1446" s="460"/>
      <c r="DT1446" s="460"/>
      <c r="DU1446" s="460"/>
      <c r="DV1446" s="469"/>
      <c r="DW1446" s="469"/>
      <c r="DX1446" s="460"/>
      <c r="DY1446" s="460"/>
    </row>
    <row r="1447" spans="1:129" s="261" customFormat="1" ht="39.950000000000003" customHeight="1" x14ac:dyDescent="0.25">
      <c r="A1447" s="379"/>
      <c r="B1447" s="175"/>
      <c r="C1447" s="393"/>
      <c r="D1447" s="408"/>
      <c r="E1447" s="408"/>
      <c r="F1447" s="408"/>
      <c r="G1447" s="408"/>
      <c r="H1447" s="408"/>
      <c r="I1447" s="408"/>
      <c r="J1447" s="175"/>
      <c r="K1447" s="175"/>
      <c r="L1447" s="175"/>
      <c r="M1447" s="175"/>
      <c r="N1447" s="435"/>
      <c r="O1447" s="436"/>
      <c r="P1447" s="192"/>
      <c r="Q1447" s="258"/>
      <c r="R1447" s="258"/>
      <c r="S1447" s="258"/>
      <c r="T1447" s="258"/>
      <c r="U1447" s="258"/>
      <c r="V1447" s="258"/>
      <c r="W1447" s="258"/>
      <c r="X1447" s="258"/>
      <c r="Y1447" s="258"/>
      <c r="Z1447" s="258"/>
      <c r="AA1447" s="258"/>
      <c r="AB1447" s="258"/>
      <c r="AC1447" s="258"/>
      <c r="AD1447" s="258"/>
      <c r="AE1447" s="258"/>
      <c r="AF1447" s="258"/>
      <c r="AG1447" s="258"/>
      <c r="AH1447" s="258"/>
      <c r="AI1447" s="258"/>
      <c r="AJ1447" s="258"/>
      <c r="AK1447" s="258"/>
      <c r="AL1447" s="258"/>
      <c r="AM1447" s="259"/>
      <c r="AN1447" s="258"/>
      <c r="AO1447" s="258"/>
      <c r="AP1447" s="258"/>
      <c r="AQ1447" s="258"/>
      <c r="AR1447" s="258"/>
      <c r="AS1447" s="258"/>
      <c r="AT1447" s="258"/>
      <c r="AU1447" s="258"/>
      <c r="AV1447" s="258"/>
      <c r="AW1447" s="258"/>
      <c r="AX1447" s="258"/>
      <c r="AY1447" s="258"/>
      <c r="AZ1447" s="258"/>
      <c r="BA1447" s="260"/>
      <c r="BD1447" s="260"/>
      <c r="BE1447" s="262"/>
      <c r="BI1447" s="260"/>
      <c r="BO1447" s="260"/>
      <c r="BW1447" s="260"/>
      <c r="CD1447" s="263"/>
      <c r="CF1447" s="262"/>
      <c r="CI1447" s="263"/>
      <c r="CJ1447" s="260"/>
      <c r="CV1447" s="264"/>
      <c r="CX1447" s="264"/>
      <c r="CZ1447" s="264"/>
      <c r="DB1447" s="264"/>
      <c r="DD1447" s="264"/>
      <c r="DH1447" s="475"/>
      <c r="DI1447" s="460"/>
      <c r="DJ1447" s="460"/>
      <c r="DK1447" s="460"/>
      <c r="DL1447" s="460"/>
      <c r="DM1447" s="460"/>
      <c r="DN1447" s="460"/>
      <c r="DO1447" s="460"/>
      <c r="DP1447" s="460"/>
      <c r="DQ1447" s="460"/>
      <c r="DR1447" s="460"/>
      <c r="DS1447" s="460"/>
      <c r="DT1447" s="460"/>
      <c r="DU1447" s="460"/>
      <c r="DV1447" s="469"/>
      <c r="DW1447" s="469"/>
      <c r="DX1447" s="460"/>
      <c r="DY1447" s="460"/>
    </row>
    <row r="1448" spans="1:129" s="261" customFormat="1" ht="39.950000000000003" customHeight="1" x14ac:dyDescent="0.25">
      <c r="A1448" s="379"/>
      <c r="B1448" s="175"/>
      <c r="C1448" s="393"/>
      <c r="D1448" s="408"/>
      <c r="E1448" s="408"/>
      <c r="F1448" s="408"/>
      <c r="G1448" s="408"/>
      <c r="H1448" s="408"/>
      <c r="I1448" s="408"/>
      <c r="J1448" s="175"/>
      <c r="K1448" s="175"/>
      <c r="L1448" s="175"/>
      <c r="M1448" s="175"/>
      <c r="N1448" s="435"/>
      <c r="O1448" s="436"/>
      <c r="P1448" s="192"/>
      <c r="Q1448" s="258"/>
      <c r="R1448" s="258"/>
      <c r="S1448" s="258"/>
      <c r="T1448" s="258"/>
      <c r="U1448" s="258"/>
      <c r="V1448" s="258"/>
      <c r="W1448" s="258"/>
      <c r="X1448" s="258"/>
      <c r="Y1448" s="258"/>
      <c r="Z1448" s="258"/>
      <c r="AA1448" s="258"/>
      <c r="AB1448" s="258"/>
      <c r="AC1448" s="258"/>
      <c r="AD1448" s="258"/>
      <c r="AE1448" s="258"/>
      <c r="AF1448" s="258"/>
      <c r="AG1448" s="258"/>
      <c r="AH1448" s="258"/>
      <c r="AI1448" s="258"/>
      <c r="AJ1448" s="258"/>
      <c r="AK1448" s="258"/>
      <c r="AL1448" s="258"/>
      <c r="AM1448" s="259"/>
      <c r="AN1448" s="258"/>
      <c r="AO1448" s="258"/>
      <c r="AP1448" s="258"/>
      <c r="AQ1448" s="258"/>
      <c r="AR1448" s="258"/>
      <c r="AS1448" s="258"/>
      <c r="AT1448" s="258"/>
      <c r="AU1448" s="258"/>
      <c r="AV1448" s="258"/>
      <c r="AW1448" s="258"/>
      <c r="AX1448" s="258"/>
      <c r="AY1448" s="258"/>
      <c r="AZ1448" s="258"/>
      <c r="BA1448" s="260"/>
      <c r="BD1448" s="260"/>
      <c r="BE1448" s="262"/>
      <c r="BI1448" s="260"/>
      <c r="BO1448" s="260"/>
      <c r="BW1448" s="260"/>
      <c r="CD1448" s="263"/>
      <c r="CF1448" s="262"/>
      <c r="CI1448" s="263"/>
      <c r="CJ1448" s="260"/>
      <c r="CV1448" s="264"/>
      <c r="CX1448" s="264"/>
      <c r="CZ1448" s="264"/>
      <c r="DB1448" s="264"/>
      <c r="DD1448" s="264"/>
      <c r="DH1448" s="475"/>
      <c r="DI1448" s="460"/>
      <c r="DJ1448" s="460"/>
      <c r="DK1448" s="460"/>
      <c r="DL1448" s="460"/>
      <c r="DM1448" s="460"/>
      <c r="DN1448" s="460"/>
      <c r="DO1448" s="460"/>
      <c r="DP1448" s="460"/>
      <c r="DQ1448" s="460"/>
      <c r="DR1448" s="460"/>
      <c r="DS1448" s="460"/>
      <c r="DT1448" s="460"/>
      <c r="DU1448" s="460"/>
      <c r="DV1448" s="469"/>
      <c r="DW1448" s="469"/>
      <c r="DX1448" s="460"/>
      <c r="DY1448" s="460"/>
    </row>
    <row r="1449" spans="1:129" s="261" customFormat="1" ht="39.950000000000003" customHeight="1" x14ac:dyDescent="0.25">
      <c r="A1449" s="379"/>
      <c r="B1449" s="175"/>
      <c r="C1449" s="393"/>
      <c r="D1449" s="408"/>
      <c r="E1449" s="408"/>
      <c r="F1449" s="408"/>
      <c r="G1449" s="408"/>
      <c r="H1449" s="408"/>
      <c r="I1449" s="408"/>
      <c r="J1449" s="175"/>
      <c r="K1449" s="175"/>
      <c r="L1449" s="175"/>
      <c r="M1449" s="175"/>
      <c r="N1449" s="435"/>
      <c r="O1449" s="436"/>
      <c r="P1449" s="192"/>
      <c r="Q1449" s="258"/>
      <c r="R1449" s="258"/>
      <c r="S1449" s="258"/>
      <c r="T1449" s="258"/>
      <c r="U1449" s="258"/>
      <c r="V1449" s="258"/>
      <c r="W1449" s="258"/>
      <c r="X1449" s="258"/>
      <c r="Y1449" s="258"/>
      <c r="Z1449" s="258"/>
      <c r="AA1449" s="258"/>
      <c r="AB1449" s="258"/>
      <c r="AC1449" s="258"/>
      <c r="AD1449" s="258"/>
      <c r="AE1449" s="258"/>
      <c r="AF1449" s="258"/>
      <c r="AG1449" s="258"/>
      <c r="AH1449" s="258"/>
      <c r="AI1449" s="258"/>
      <c r="AJ1449" s="258"/>
      <c r="AK1449" s="258"/>
      <c r="AL1449" s="258"/>
      <c r="AM1449" s="259"/>
      <c r="AN1449" s="258"/>
      <c r="AO1449" s="258"/>
      <c r="AP1449" s="258"/>
      <c r="AQ1449" s="258"/>
      <c r="AR1449" s="258"/>
      <c r="AS1449" s="258"/>
      <c r="AT1449" s="258"/>
      <c r="AU1449" s="258"/>
      <c r="AV1449" s="258"/>
      <c r="AW1449" s="258"/>
      <c r="AX1449" s="258"/>
      <c r="AY1449" s="258"/>
      <c r="AZ1449" s="258"/>
      <c r="BA1449" s="260"/>
      <c r="BD1449" s="260"/>
      <c r="BE1449" s="262"/>
      <c r="BI1449" s="260"/>
      <c r="BO1449" s="260"/>
      <c r="BW1449" s="260"/>
      <c r="CD1449" s="263"/>
      <c r="CF1449" s="262"/>
      <c r="CI1449" s="263"/>
      <c r="CJ1449" s="260"/>
      <c r="CV1449" s="264"/>
      <c r="CX1449" s="264"/>
      <c r="CZ1449" s="264"/>
      <c r="DB1449" s="264"/>
      <c r="DD1449" s="264"/>
      <c r="DH1449" s="475"/>
      <c r="DI1449" s="460"/>
      <c r="DJ1449" s="460"/>
      <c r="DK1449" s="460"/>
      <c r="DL1449" s="460"/>
      <c r="DM1449" s="460"/>
      <c r="DN1449" s="460"/>
      <c r="DO1449" s="460"/>
      <c r="DP1449" s="460"/>
      <c r="DQ1449" s="460"/>
      <c r="DR1449" s="460"/>
      <c r="DS1449" s="460"/>
      <c r="DT1449" s="460"/>
      <c r="DU1449" s="460"/>
      <c r="DV1449" s="469"/>
      <c r="DW1449" s="469"/>
      <c r="DX1449" s="460"/>
      <c r="DY1449" s="460"/>
    </row>
    <row r="1450" spans="1:129" s="261" customFormat="1" ht="39.950000000000003" customHeight="1" x14ac:dyDescent="0.25">
      <c r="A1450" s="379"/>
      <c r="B1450" s="175"/>
      <c r="C1450" s="393"/>
      <c r="D1450" s="408"/>
      <c r="E1450" s="408"/>
      <c r="F1450" s="408"/>
      <c r="G1450" s="408"/>
      <c r="H1450" s="408"/>
      <c r="I1450" s="408"/>
      <c r="J1450" s="175"/>
      <c r="K1450" s="175"/>
      <c r="L1450" s="175"/>
      <c r="M1450" s="175"/>
      <c r="N1450" s="435"/>
      <c r="O1450" s="436"/>
      <c r="P1450" s="192"/>
      <c r="Q1450" s="258"/>
      <c r="R1450" s="258"/>
      <c r="S1450" s="258"/>
      <c r="T1450" s="258"/>
      <c r="U1450" s="258"/>
      <c r="V1450" s="258"/>
      <c r="W1450" s="258"/>
      <c r="X1450" s="258"/>
      <c r="Y1450" s="258"/>
      <c r="Z1450" s="258"/>
      <c r="AA1450" s="258"/>
      <c r="AB1450" s="258"/>
      <c r="AC1450" s="258"/>
      <c r="AD1450" s="258"/>
      <c r="AE1450" s="258"/>
      <c r="AF1450" s="258"/>
      <c r="AG1450" s="258"/>
      <c r="AH1450" s="258"/>
      <c r="AI1450" s="258"/>
      <c r="AJ1450" s="258"/>
      <c r="AK1450" s="258"/>
      <c r="AL1450" s="258"/>
      <c r="AM1450" s="259"/>
      <c r="AN1450" s="258"/>
      <c r="AO1450" s="258"/>
      <c r="AP1450" s="258"/>
      <c r="AQ1450" s="258"/>
      <c r="AR1450" s="258"/>
      <c r="AS1450" s="258"/>
      <c r="AT1450" s="258"/>
      <c r="AU1450" s="258"/>
      <c r="AV1450" s="258"/>
      <c r="AW1450" s="258"/>
      <c r="AX1450" s="258"/>
      <c r="AY1450" s="258"/>
      <c r="AZ1450" s="258"/>
      <c r="BA1450" s="260"/>
      <c r="BD1450" s="260"/>
      <c r="BE1450" s="262"/>
      <c r="BI1450" s="260"/>
      <c r="BO1450" s="260"/>
      <c r="BW1450" s="260"/>
      <c r="CD1450" s="263"/>
      <c r="CF1450" s="262"/>
      <c r="CI1450" s="263"/>
      <c r="CJ1450" s="260"/>
      <c r="CV1450" s="264"/>
      <c r="CX1450" s="264"/>
      <c r="CZ1450" s="264"/>
      <c r="DB1450" s="264"/>
      <c r="DD1450" s="264"/>
      <c r="DH1450" s="475"/>
      <c r="DI1450" s="460"/>
      <c r="DJ1450" s="460"/>
      <c r="DK1450" s="460"/>
      <c r="DL1450" s="460"/>
      <c r="DM1450" s="460"/>
      <c r="DN1450" s="460"/>
      <c r="DO1450" s="460"/>
      <c r="DP1450" s="460"/>
      <c r="DQ1450" s="460"/>
      <c r="DR1450" s="460"/>
      <c r="DS1450" s="460"/>
      <c r="DT1450" s="460"/>
      <c r="DU1450" s="460"/>
      <c r="DV1450" s="469"/>
      <c r="DW1450" s="469"/>
      <c r="DX1450" s="460"/>
      <c r="DY1450" s="460"/>
    </row>
    <row r="1451" spans="1:129" s="261" customFormat="1" ht="39.950000000000003" customHeight="1" x14ac:dyDescent="0.25">
      <c r="A1451" s="379"/>
      <c r="B1451" s="175"/>
      <c r="C1451" s="393"/>
      <c r="D1451" s="408"/>
      <c r="E1451" s="408"/>
      <c r="F1451" s="408"/>
      <c r="G1451" s="408"/>
      <c r="H1451" s="408"/>
      <c r="I1451" s="408"/>
      <c r="J1451" s="175"/>
      <c r="K1451" s="175"/>
      <c r="L1451" s="175"/>
      <c r="M1451" s="175"/>
      <c r="N1451" s="435"/>
      <c r="O1451" s="436"/>
      <c r="P1451" s="192"/>
      <c r="Q1451" s="258"/>
      <c r="R1451" s="258"/>
      <c r="S1451" s="258"/>
      <c r="T1451" s="258"/>
      <c r="U1451" s="258"/>
      <c r="V1451" s="258"/>
      <c r="W1451" s="258"/>
      <c r="X1451" s="258"/>
      <c r="Y1451" s="258"/>
      <c r="Z1451" s="258"/>
      <c r="AA1451" s="258"/>
      <c r="AB1451" s="258"/>
      <c r="AC1451" s="258"/>
      <c r="AD1451" s="258"/>
      <c r="AE1451" s="258"/>
      <c r="AF1451" s="258"/>
      <c r="AG1451" s="258"/>
      <c r="AH1451" s="258"/>
      <c r="AI1451" s="258"/>
      <c r="AJ1451" s="258"/>
      <c r="AK1451" s="258"/>
      <c r="AL1451" s="258"/>
      <c r="AM1451" s="259"/>
      <c r="AN1451" s="258"/>
      <c r="AO1451" s="258"/>
      <c r="AP1451" s="258"/>
      <c r="AQ1451" s="258"/>
      <c r="AR1451" s="258"/>
      <c r="AS1451" s="258"/>
      <c r="AT1451" s="258"/>
      <c r="AU1451" s="258"/>
      <c r="AV1451" s="258"/>
      <c r="AW1451" s="258"/>
      <c r="AX1451" s="258"/>
      <c r="AY1451" s="258"/>
      <c r="AZ1451" s="258"/>
      <c r="BA1451" s="260"/>
      <c r="BD1451" s="260"/>
      <c r="BE1451" s="262"/>
      <c r="BI1451" s="260"/>
      <c r="BO1451" s="260"/>
      <c r="BW1451" s="260"/>
      <c r="CD1451" s="263"/>
      <c r="CF1451" s="262"/>
      <c r="CI1451" s="263"/>
      <c r="CJ1451" s="260"/>
      <c r="CV1451" s="264"/>
      <c r="CX1451" s="264"/>
      <c r="CZ1451" s="264"/>
      <c r="DB1451" s="264"/>
      <c r="DD1451" s="264"/>
      <c r="DH1451" s="475"/>
      <c r="DI1451" s="460"/>
      <c r="DJ1451" s="460"/>
      <c r="DK1451" s="460"/>
      <c r="DL1451" s="460"/>
      <c r="DM1451" s="460"/>
      <c r="DN1451" s="460"/>
      <c r="DO1451" s="460"/>
      <c r="DP1451" s="460"/>
      <c r="DQ1451" s="460"/>
      <c r="DR1451" s="460"/>
      <c r="DS1451" s="460"/>
      <c r="DT1451" s="460"/>
      <c r="DU1451" s="460"/>
      <c r="DV1451" s="469"/>
      <c r="DW1451" s="469"/>
      <c r="DX1451" s="460"/>
      <c r="DY1451" s="460"/>
    </row>
    <row r="1452" spans="1:129" s="261" customFormat="1" ht="39.950000000000003" customHeight="1" x14ac:dyDescent="0.25">
      <c r="A1452" s="379"/>
      <c r="B1452" s="175"/>
      <c r="C1452" s="393"/>
      <c r="D1452" s="408"/>
      <c r="E1452" s="408"/>
      <c r="F1452" s="408"/>
      <c r="G1452" s="408"/>
      <c r="H1452" s="408"/>
      <c r="I1452" s="408"/>
      <c r="J1452" s="175"/>
      <c r="K1452" s="175"/>
      <c r="L1452" s="175"/>
      <c r="M1452" s="175"/>
      <c r="N1452" s="435"/>
      <c r="O1452" s="436"/>
      <c r="P1452" s="192"/>
      <c r="Q1452" s="258"/>
      <c r="R1452" s="258"/>
      <c r="S1452" s="258"/>
      <c r="T1452" s="258"/>
      <c r="U1452" s="258"/>
      <c r="V1452" s="258"/>
      <c r="W1452" s="258"/>
      <c r="X1452" s="258"/>
      <c r="Y1452" s="258"/>
      <c r="Z1452" s="258"/>
      <c r="AA1452" s="258"/>
      <c r="AB1452" s="258"/>
      <c r="AC1452" s="258"/>
      <c r="AD1452" s="258"/>
      <c r="AE1452" s="258"/>
      <c r="AF1452" s="258"/>
      <c r="AG1452" s="258"/>
      <c r="AH1452" s="258"/>
      <c r="AI1452" s="258"/>
      <c r="AJ1452" s="258"/>
      <c r="AK1452" s="258"/>
      <c r="AL1452" s="258"/>
      <c r="AM1452" s="259"/>
      <c r="AN1452" s="258"/>
      <c r="AO1452" s="258"/>
      <c r="AP1452" s="258"/>
      <c r="AQ1452" s="258"/>
      <c r="AR1452" s="258"/>
      <c r="AS1452" s="258"/>
      <c r="AT1452" s="258"/>
      <c r="AU1452" s="258"/>
      <c r="AV1452" s="258"/>
      <c r="AW1452" s="258"/>
      <c r="AX1452" s="258"/>
      <c r="AY1452" s="258"/>
      <c r="AZ1452" s="258"/>
      <c r="BA1452" s="260"/>
      <c r="BD1452" s="260"/>
      <c r="BE1452" s="262"/>
      <c r="BI1452" s="260"/>
      <c r="BO1452" s="260"/>
      <c r="BW1452" s="260"/>
      <c r="CD1452" s="263"/>
      <c r="CF1452" s="262"/>
      <c r="CI1452" s="263"/>
      <c r="CJ1452" s="260"/>
      <c r="CV1452" s="264"/>
      <c r="CX1452" s="264"/>
      <c r="CZ1452" s="264"/>
      <c r="DB1452" s="264"/>
      <c r="DD1452" s="264"/>
      <c r="DH1452" s="475"/>
      <c r="DI1452" s="460"/>
      <c r="DJ1452" s="460"/>
      <c r="DK1452" s="460"/>
      <c r="DL1452" s="460"/>
      <c r="DM1452" s="460"/>
      <c r="DN1452" s="460"/>
      <c r="DO1452" s="460"/>
      <c r="DP1452" s="460"/>
      <c r="DQ1452" s="460"/>
      <c r="DR1452" s="460"/>
      <c r="DS1452" s="460"/>
      <c r="DT1452" s="460"/>
      <c r="DU1452" s="460"/>
      <c r="DV1452" s="469"/>
      <c r="DW1452" s="469"/>
      <c r="DX1452" s="460"/>
      <c r="DY1452" s="460"/>
    </row>
    <row r="1453" spans="1:129" s="261" customFormat="1" ht="39.950000000000003" customHeight="1" x14ac:dyDescent="0.25">
      <c r="A1453" s="379"/>
      <c r="B1453" s="175"/>
      <c r="C1453" s="393"/>
      <c r="D1453" s="408"/>
      <c r="E1453" s="408"/>
      <c r="F1453" s="408"/>
      <c r="G1453" s="408"/>
      <c r="H1453" s="408"/>
      <c r="I1453" s="408"/>
      <c r="J1453" s="175"/>
      <c r="K1453" s="175"/>
      <c r="L1453" s="175"/>
      <c r="M1453" s="175"/>
      <c r="N1453" s="435"/>
      <c r="O1453" s="436"/>
      <c r="P1453" s="192"/>
      <c r="Q1453" s="258"/>
      <c r="R1453" s="258"/>
      <c r="S1453" s="258"/>
      <c r="T1453" s="258"/>
      <c r="U1453" s="258"/>
      <c r="V1453" s="258"/>
      <c r="W1453" s="258"/>
      <c r="X1453" s="258"/>
      <c r="Y1453" s="258"/>
      <c r="Z1453" s="258"/>
      <c r="AA1453" s="258"/>
      <c r="AB1453" s="258"/>
      <c r="AC1453" s="258"/>
      <c r="AD1453" s="258"/>
      <c r="AE1453" s="258"/>
      <c r="AF1453" s="258"/>
      <c r="AG1453" s="258"/>
      <c r="AH1453" s="258"/>
      <c r="AI1453" s="258"/>
      <c r="AJ1453" s="258"/>
      <c r="AK1453" s="258"/>
      <c r="AL1453" s="258"/>
      <c r="AM1453" s="259"/>
      <c r="AN1453" s="258"/>
      <c r="AO1453" s="258"/>
      <c r="AP1453" s="258"/>
      <c r="AQ1453" s="258"/>
      <c r="AR1453" s="258"/>
      <c r="AS1453" s="258"/>
      <c r="AT1453" s="258"/>
      <c r="AU1453" s="258"/>
      <c r="AV1453" s="258"/>
      <c r="AW1453" s="258"/>
      <c r="AX1453" s="258"/>
      <c r="AY1453" s="258"/>
      <c r="AZ1453" s="258"/>
      <c r="BA1453" s="260"/>
      <c r="BD1453" s="260"/>
      <c r="BE1453" s="262"/>
      <c r="BI1453" s="260"/>
      <c r="BO1453" s="260"/>
      <c r="BW1453" s="260"/>
      <c r="CD1453" s="263"/>
      <c r="CF1453" s="262"/>
      <c r="CI1453" s="263"/>
      <c r="CJ1453" s="260"/>
      <c r="CV1453" s="264"/>
      <c r="CX1453" s="264"/>
      <c r="CZ1453" s="264"/>
      <c r="DB1453" s="264"/>
      <c r="DD1453" s="264"/>
      <c r="DH1453" s="475"/>
      <c r="DI1453" s="460"/>
      <c r="DJ1453" s="460"/>
      <c r="DK1453" s="460"/>
      <c r="DL1453" s="460"/>
      <c r="DM1453" s="460"/>
      <c r="DN1453" s="460"/>
      <c r="DO1453" s="460"/>
      <c r="DP1453" s="460"/>
      <c r="DQ1453" s="460"/>
      <c r="DR1453" s="460"/>
      <c r="DS1453" s="460"/>
      <c r="DT1453" s="460"/>
      <c r="DU1453" s="460"/>
      <c r="DV1453" s="469"/>
      <c r="DW1453" s="469"/>
      <c r="DX1453" s="460"/>
      <c r="DY1453" s="460"/>
    </row>
    <row r="1454" spans="1:129" s="261" customFormat="1" ht="39.950000000000003" customHeight="1" x14ac:dyDescent="0.25">
      <c r="A1454" s="379"/>
      <c r="B1454" s="175"/>
      <c r="C1454" s="393"/>
      <c r="D1454" s="408"/>
      <c r="E1454" s="408"/>
      <c r="F1454" s="408"/>
      <c r="G1454" s="408"/>
      <c r="H1454" s="408"/>
      <c r="I1454" s="408"/>
      <c r="J1454" s="175"/>
      <c r="K1454" s="175"/>
      <c r="L1454" s="175"/>
      <c r="M1454" s="175"/>
      <c r="N1454" s="435"/>
      <c r="O1454" s="436"/>
      <c r="P1454" s="192"/>
      <c r="Q1454" s="258"/>
      <c r="R1454" s="258"/>
      <c r="S1454" s="258"/>
      <c r="T1454" s="258"/>
      <c r="U1454" s="258"/>
      <c r="V1454" s="258"/>
      <c r="W1454" s="258"/>
      <c r="X1454" s="258"/>
      <c r="Y1454" s="258"/>
      <c r="Z1454" s="258"/>
      <c r="AA1454" s="258"/>
      <c r="AB1454" s="258"/>
      <c r="AC1454" s="258"/>
      <c r="AD1454" s="258"/>
      <c r="AE1454" s="258"/>
      <c r="AF1454" s="258"/>
      <c r="AG1454" s="258"/>
      <c r="AH1454" s="258"/>
      <c r="AI1454" s="258"/>
      <c r="AJ1454" s="258"/>
      <c r="AK1454" s="258"/>
      <c r="AL1454" s="258"/>
      <c r="AM1454" s="259"/>
      <c r="AN1454" s="258"/>
      <c r="AO1454" s="258"/>
      <c r="AP1454" s="258"/>
      <c r="AQ1454" s="258"/>
      <c r="AR1454" s="258"/>
      <c r="AS1454" s="258"/>
      <c r="AT1454" s="258"/>
      <c r="AU1454" s="258"/>
      <c r="AV1454" s="258"/>
      <c r="AW1454" s="258"/>
      <c r="AX1454" s="258"/>
      <c r="AY1454" s="258"/>
      <c r="AZ1454" s="258"/>
      <c r="BA1454" s="260"/>
      <c r="BD1454" s="260"/>
      <c r="BE1454" s="262"/>
      <c r="BI1454" s="260"/>
      <c r="BO1454" s="260"/>
      <c r="BW1454" s="260"/>
      <c r="CD1454" s="263"/>
      <c r="CF1454" s="262"/>
      <c r="CI1454" s="263"/>
      <c r="CJ1454" s="260"/>
      <c r="CV1454" s="264"/>
      <c r="CX1454" s="264"/>
      <c r="CZ1454" s="264"/>
      <c r="DB1454" s="264"/>
      <c r="DD1454" s="264"/>
      <c r="DH1454" s="475"/>
      <c r="DI1454" s="460"/>
      <c r="DJ1454" s="460"/>
      <c r="DK1454" s="460"/>
      <c r="DL1454" s="460"/>
      <c r="DM1454" s="460"/>
      <c r="DN1454" s="460"/>
      <c r="DO1454" s="460"/>
      <c r="DP1454" s="460"/>
      <c r="DQ1454" s="460"/>
      <c r="DR1454" s="460"/>
      <c r="DS1454" s="460"/>
      <c r="DT1454" s="460"/>
      <c r="DU1454" s="460"/>
      <c r="DV1454" s="469"/>
      <c r="DW1454" s="469"/>
      <c r="DX1454" s="460"/>
      <c r="DY1454" s="460"/>
    </row>
    <row r="1455" spans="1:129" s="261" customFormat="1" ht="39.950000000000003" customHeight="1" x14ac:dyDescent="0.25">
      <c r="A1455" s="379"/>
      <c r="B1455" s="175"/>
      <c r="C1455" s="393"/>
      <c r="D1455" s="408"/>
      <c r="E1455" s="408"/>
      <c r="F1455" s="408"/>
      <c r="G1455" s="408"/>
      <c r="H1455" s="408"/>
      <c r="I1455" s="408"/>
      <c r="J1455" s="175"/>
      <c r="K1455" s="175"/>
      <c r="L1455" s="175"/>
      <c r="M1455" s="175"/>
      <c r="N1455" s="435"/>
      <c r="O1455" s="436"/>
      <c r="P1455" s="192"/>
      <c r="Q1455" s="258"/>
      <c r="R1455" s="258"/>
      <c r="S1455" s="258"/>
      <c r="T1455" s="258"/>
      <c r="U1455" s="258"/>
      <c r="V1455" s="258"/>
      <c r="W1455" s="258"/>
      <c r="X1455" s="258"/>
      <c r="Y1455" s="258"/>
      <c r="Z1455" s="258"/>
      <c r="AA1455" s="258"/>
      <c r="AB1455" s="258"/>
      <c r="AC1455" s="258"/>
      <c r="AD1455" s="258"/>
      <c r="AE1455" s="258"/>
      <c r="AF1455" s="258"/>
      <c r="AG1455" s="258"/>
      <c r="AH1455" s="258"/>
      <c r="AI1455" s="258"/>
      <c r="AJ1455" s="258"/>
      <c r="AK1455" s="258"/>
      <c r="AL1455" s="258"/>
      <c r="AM1455" s="259"/>
      <c r="AN1455" s="258"/>
      <c r="AO1455" s="258"/>
      <c r="AP1455" s="258"/>
      <c r="AQ1455" s="258"/>
      <c r="AR1455" s="258"/>
      <c r="AS1455" s="258"/>
      <c r="AT1455" s="258"/>
      <c r="AU1455" s="258"/>
      <c r="AV1455" s="258"/>
      <c r="AW1455" s="258"/>
      <c r="AX1455" s="258"/>
      <c r="AY1455" s="258"/>
      <c r="AZ1455" s="258"/>
      <c r="BA1455" s="260"/>
      <c r="BD1455" s="260"/>
      <c r="BE1455" s="262"/>
      <c r="BI1455" s="260"/>
      <c r="BO1455" s="260"/>
      <c r="BW1455" s="260"/>
      <c r="CD1455" s="263"/>
      <c r="CF1455" s="262"/>
      <c r="CI1455" s="263"/>
      <c r="CJ1455" s="260"/>
      <c r="CV1455" s="264"/>
      <c r="CX1455" s="264"/>
      <c r="CZ1455" s="264"/>
      <c r="DB1455" s="264"/>
      <c r="DD1455" s="264"/>
      <c r="DH1455" s="475"/>
      <c r="DI1455" s="460"/>
      <c r="DJ1455" s="460"/>
      <c r="DK1455" s="460"/>
      <c r="DL1455" s="460"/>
      <c r="DM1455" s="460"/>
      <c r="DN1455" s="460"/>
      <c r="DO1455" s="460"/>
      <c r="DP1455" s="460"/>
      <c r="DQ1455" s="460"/>
      <c r="DR1455" s="460"/>
      <c r="DS1455" s="460"/>
      <c r="DT1455" s="460"/>
      <c r="DU1455" s="460"/>
      <c r="DV1455" s="469"/>
      <c r="DW1455" s="469"/>
      <c r="DX1455" s="460"/>
      <c r="DY1455" s="460"/>
    </row>
    <row r="1456" spans="1:129" s="261" customFormat="1" ht="39.950000000000003" customHeight="1" x14ac:dyDescent="0.25">
      <c r="A1456" s="379"/>
      <c r="B1456" s="175"/>
      <c r="C1456" s="393"/>
      <c r="D1456" s="408"/>
      <c r="E1456" s="408"/>
      <c r="F1456" s="408"/>
      <c r="G1456" s="408"/>
      <c r="H1456" s="408"/>
      <c r="I1456" s="408"/>
      <c r="J1456" s="175"/>
      <c r="K1456" s="175"/>
      <c r="L1456" s="175"/>
      <c r="M1456" s="175"/>
      <c r="N1456" s="435"/>
      <c r="O1456" s="436"/>
      <c r="P1456" s="192"/>
      <c r="Q1456" s="258"/>
      <c r="R1456" s="258"/>
      <c r="S1456" s="258"/>
      <c r="T1456" s="258"/>
      <c r="U1456" s="258"/>
      <c r="V1456" s="258"/>
      <c r="W1456" s="258"/>
      <c r="X1456" s="258"/>
      <c r="Y1456" s="258"/>
      <c r="Z1456" s="258"/>
      <c r="AA1456" s="258"/>
      <c r="AB1456" s="258"/>
      <c r="AC1456" s="258"/>
      <c r="AD1456" s="258"/>
      <c r="AE1456" s="258"/>
      <c r="AF1456" s="258"/>
      <c r="AG1456" s="258"/>
      <c r="AH1456" s="258"/>
      <c r="AI1456" s="258"/>
      <c r="AJ1456" s="258"/>
      <c r="AK1456" s="258"/>
      <c r="AL1456" s="258"/>
      <c r="AM1456" s="259"/>
      <c r="AN1456" s="258"/>
      <c r="AO1456" s="258"/>
      <c r="AP1456" s="258"/>
      <c r="AQ1456" s="258"/>
      <c r="AR1456" s="258"/>
      <c r="AS1456" s="258"/>
      <c r="AT1456" s="258"/>
      <c r="AU1456" s="258"/>
      <c r="AV1456" s="258"/>
      <c r="AW1456" s="258"/>
      <c r="AX1456" s="258"/>
      <c r="AY1456" s="258"/>
      <c r="AZ1456" s="258"/>
      <c r="BA1456" s="260"/>
      <c r="BD1456" s="260"/>
      <c r="BE1456" s="262"/>
      <c r="BI1456" s="260"/>
      <c r="BO1456" s="260"/>
      <c r="BW1456" s="260"/>
      <c r="CD1456" s="263"/>
      <c r="CF1456" s="262"/>
      <c r="CI1456" s="263"/>
      <c r="CJ1456" s="260"/>
      <c r="CV1456" s="264"/>
      <c r="CX1456" s="264"/>
      <c r="CZ1456" s="264"/>
      <c r="DB1456" s="264"/>
      <c r="DD1456" s="264"/>
      <c r="DH1456" s="475"/>
      <c r="DI1456" s="460"/>
      <c r="DJ1456" s="460"/>
      <c r="DK1456" s="460"/>
      <c r="DL1456" s="460"/>
      <c r="DM1456" s="460"/>
      <c r="DN1456" s="460"/>
      <c r="DO1456" s="460"/>
      <c r="DP1456" s="460"/>
      <c r="DQ1456" s="460"/>
      <c r="DR1456" s="460"/>
      <c r="DS1456" s="460"/>
      <c r="DT1456" s="460"/>
      <c r="DU1456" s="460"/>
      <c r="DV1456" s="469"/>
      <c r="DW1456" s="469"/>
      <c r="DX1456" s="460"/>
      <c r="DY1456" s="460"/>
    </row>
    <row r="1457" spans="1:129" s="261" customFormat="1" ht="39.950000000000003" customHeight="1" x14ac:dyDescent="0.25">
      <c r="A1457" s="379"/>
      <c r="B1457" s="175"/>
      <c r="C1457" s="393"/>
      <c r="D1457" s="408"/>
      <c r="E1457" s="408"/>
      <c r="F1457" s="408"/>
      <c r="G1457" s="408"/>
      <c r="H1457" s="408"/>
      <c r="I1457" s="408"/>
      <c r="J1457" s="175"/>
      <c r="K1457" s="175"/>
      <c r="L1457" s="175"/>
      <c r="M1457" s="175"/>
      <c r="N1457" s="435"/>
      <c r="O1457" s="436"/>
      <c r="P1457" s="192"/>
      <c r="Q1457" s="258"/>
      <c r="R1457" s="258"/>
      <c r="S1457" s="258"/>
      <c r="T1457" s="258"/>
      <c r="U1457" s="258"/>
      <c r="V1457" s="258"/>
      <c r="W1457" s="258"/>
      <c r="X1457" s="258"/>
      <c r="Y1457" s="258"/>
      <c r="Z1457" s="258"/>
      <c r="AA1457" s="258"/>
      <c r="AB1457" s="258"/>
      <c r="AC1457" s="258"/>
      <c r="AD1457" s="258"/>
      <c r="AE1457" s="258"/>
      <c r="AF1457" s="258"/>
      <c r="AG1457" s="258"/>
      <c r="AH1457" s="258"/>
      <c r="AI1457" s="258"/>
      <c r="AJ1457" s="258"/>
      <c r="AK1457" s="258"/>
      <c r="AL1457" s="258"/>
      <c r="AM1457" s="259"/>
      <c r="AN1457" s="258"/>
      <c r="AO1457" s="258"/>
      <c r="AP1457" s="258"/>
      <c r="AQ1457" s="258"/>
      <c r="AR1457" s="258"/>
      <c r="AS1457" s="258"/>
      <c r="AT1457" s="258"/>
      <c r="AU1457" s="258"/>
      <c r="AV1457" s="258"/>
      <c r="AW1457" s="258"/>
      <c r="AX1457" s="258"/>
      <c r="AY1457" s="258"/>
      <c r="AZ1457" s="258"/>
      <c r="BA1457" s="260"/>
      <c r="BD1457" s="260"/>
      <c r="BE1457" s="262"/>
      <c r="BI1457" s="260"/>
      <c r="BO1457" s="260"/>
      <c r="BW1457" s="260"/>
      <c r="CD1457" s="263"/>
      <c r="CF1457" s="262"/>
      <c r="CI1457" s="263"/>
      <c r="CJ1457" s="260"/>
      <c r="CV1457" s="264"/>
      <c r="CX1457" s="264"/>
      <c r="CZ1457" s="264"/>
      <c r="DB1457" s="264"/>
      <c r="DD1457" s="264"/>
      <c r="DH1457" s="475"/>
      <c r="DI1457" s="460"/>
      <c r="DJ1457" s="460"/>
      <c r="DK1457" s="460"/>
      <c r="DL1457" s="460"/>
      <c r="DM1457" s="460"/>
      <c r="DN1457" s="460"/>
      <c r="DO1457" s="460"/>
      <c r="DP1457" s="460"/>
      <c r="DQ1457" s="460"/>
      <c r="DR1457" s="460"/>
      <c r="DS1457" s="460"/>
      <c r="DT1457" s="460"/>
      <c r="DU1457" s="460"/>
      <c r="DV1457" s="469"/>
      <c r="DW1457" s="469"/>
      <c r="DX1457" s="460"/>
      <c r="DY1457" s="460"/>
    </row>
    <row r="1458" spans="1:129" s="261" customFormat="1" ht="39.950000000000003" customHeight="1" x14ac:dyDescent="0.25">
      <c r="A1458" s="379"/>
      <c r="B1458" s="175"/>
      <c r="C1458" s="393"/>
      <c r="D1458" s="408"/>
      <c r="E1458" s="408"/>
      <c r="F1458" s="408"/>
      <c r="G1458" s="408"/>
      <c r="H1458" s="408"/>
      <c r="I1458" s="408"/>
      <c r="J1458" s="175"/>
      <c r="K1458" s="175"/>
      <c r="L1458" s="175"/>
      <c r="M1458" s="175"/>
      <c r="N1458" s="435"/>
      <c r="O1458" s="436"/>
      <c r="P1458" s="192"/>
      <c r="Q1458" s="258"/>
      <c r="R1458" s="258"/>
      <c r="S1458" s="258"/>
      <c r="T1458" s="258"/>
      <c r="U1458" s="258"/>
      <c r="V1458" s="258"/>
      <c r="W1458" s="258"/>
      <c r="X1458" s="258"/>
      <c r="Y1458" s="258"/>
      <c r="Z1458" s="258"/>
      <c r="AA1458" s="258"/>
      <c r="AB1458" s="258"/>
      <c r="AC1458" s="258"/>
      <c r="AD1458" s="258"/>
      <c r="AE1458" s="258"/>
      <c r="AF1458" s="258"/>
      <c r="AG1458" s="258"/>
      <c r="AH1458" s="258"/>
      <c r="AI1458" s="258"/>
      <c r="AJ1458" s="258"/>
      <c r="AK1458" s="258"/>
      <c r="AL1458" s="258"/>
      <c r="AM1458" s="259"/>
      <c r="AN1458" s="258"/>
      <c r="AO1458" s="258"/>
      <c r="AP1458" s="258"/>
      <c r="AQ1458" s="258"/>
      <c r="AR1458" s="258"/>
      <c r="AS1458" s="258"/>
      <c r="AT1458" s="258"/>
      <c r="AU1458" s="258"/>
      <c r="AV1458" s="258"/>
      <c r="AW1458" s="258"/>
      <c r="AX1458" s="258"/>
      <c r="AY1458" s="258"/>
      <c r="AZ1458" s="258"/>
      <c r="BA1458" s="260"/>
      <c r="BD1458" s="260"/>
      <c r="BE1458" s="262"/>
      <c r="BI1458" s="260"/>
      <c r="BO1458" s="260"/>
      <c r="BW1458" s="260"/>
      <c r="CD1458" s="263"/>
      <c r="CF1458" s="262"/>
      <c r="CI1458" s="263"/>
      <c r="CJ1458" s="260"/>
      <c r="CV1458" s="264"/>
      <c r="CX1458" s="264"/>
      <c r="CZ1458" s="264"/>
      <c r="DB1458" s="264"/>
      <c r="DD1458" s="264"/>
      <c r="DH1458" s="475"/>
      <c r="DI1458" s="460"/>
      <c r="DJ1458" s="460"/>
      <c r="DK1458" s="460"/>
      <c r="DL1458" s="460"/>
      <c r="DM1458" s="460"/>
      <c r="DN1458" s="460"/>
      <c r="DO1458" s="460"/>
      <c r="DP1458" s="460"/>
      <c r="DQ1458" s="460"/>
      <c r="DR1458" s="460"/>
      <c r="DS1458" s="460"/>
      <c r="DT1458" s="460"/>
      <c r="DU1458" s="460"/>
      <c r="DV1458" s="469"/>
      <c r="DW1458" s="469"/>
      <c r="DX1458" s="460"/>
      <c r="DY1458" s="460"/>
    </row>
    <row r="1459" spans="1:129" s="261" customFormat="1" ht="39.950000000000003" customHeight="1" x14ac:dyDescent="0.25">
      <c r="A1459" s="379"/>
      <c r="B1459" s="175"/>
      <c r="C1459" s="393"/>
      <c r="D1459" s="408"/>
      <c r="E1459" s="408"/>
      <c r="F1459" s="408"/>
      <c r="G1459" s="408"/>
      <c r="H1459" s="408"/>
      <c r="I1459" s="408"/>
      <c r="J1459" s="175"/>
      <c r="K1459" s="175"/>
      <c r="L1459" s="175"/>
      <c r="M1459" s="175"/>
      <c r="N1459" s="435"/>
      <c r="O1459" s="436"/>
      <c r="P1459" s="192"/>
      <c r="Q1459" s="258"/>
      <c r="R1459" s="258"/>
      <c r="S1459" s="258"/>
      <c r="T1459" s="258"/>
      <c r="U1459" s="258"/>
      <c r="V1459" s="258"/>
      <c r="W1459" s="258"/>
      <c r="X1459" s="258"/>
      <c r="Y1459" s="258"/>
      <c r="Z1459" s="258"/>
      <c r="AA1459" s="258"/>
      <c r="AB1459" s="258"/>
      <c r="AC1459" s="258"/>
      <c r="AD1459" s="258"/>
      <c r="AE1459" s="258"/>
      <c r="AF1459" s="258"/>
      <c r="AG1459" s="258"/>
      <c r="AH1459" s="258"/>
      <c r="AI1459" s="258"/>
      <c r="AJ1459" s="258"/>
      <c r="AK1459" s="258"/>
      <c r="AL1459" s="258"/>
      <c r="AM1459" s="259"/>
      <c r="AN1459" s="258"/>
      <c r="AO1459" s="258"/>
      <c r="AP1459" s="258"/>
      <c r="AQ1459" s="258"/>
      <c r="AR1459" s="258"/>
      <c r="AS1459" s="258"/>
      <c r="AT1459" s="258"/>
      <c r="AU1459" s="258"/>
      <c r="AV1459" s="258"/>
      <c r="AW1459" s="258"/>
      <c r="AX1459" s="258"/>
      <c r="AY1459" s="258"/>
      <c r="AZ1459" s="258"/>
      <c r="BA1459" s="260"/>
      <c r="BD1459" s="260"/>
      <c r="BE1459" s="262"/>
      <c r="BI1459" s="260"/>
      <c r="BO1459" s="260"/>
      <c r="BW1459" s="260"/>
      <c r="CD1459" s="263"/>
      <c r="CF1459" s="262"/>
      <c r="CI1459" s="263"/>
      <c r="CJ1459" s="260"/>
      <c r="CV1459" s="264"/>
      <c r="CX1459" s="264"/>
      <c r="CZ1459" s="264"/>
      <c r="DB1459" s="264"/>
      <c r="DD1459" s="264"/>
      <c r="DH1459" s="475"/>
      <c r="DI1459" s="460"/>
      <c r="DJ1459" s="460"/>
      <c r="DK1459" s="460"/>
      <c r="DL1459" s="460"/>
      <c r="DM1459" s="460"/>
      <c r="DN1459" s="460"/>
      <c r="DO1459" s="460"/>
      <c r="DP1459" s="460"/>
      <c r="DQ1459" s="460"/>
      <c r="DR1459" s="460"/>
      <c r="DS1459" s="460"/>
      <c r="DT1459" s="460"/>
      <c r="DU1459" s="460"/>
      <c r="DV1459" s="469"/>
      <c r="DW1459" s="469"/>
      <c r="DX1459" s="460"/>
      <c r="DY1459" s="460"/>
    </row>
    <row r="1460" spans="1:129" s="261" customFormat="1" ht="39.950000000000003" customHeight="1" x14ac:dyDescent="0.25">
      <c r="A1460" s="379"/>
      <c r="B1460" s="175"/>
      <c r="C1460" s="393"/>
      <c r="D1460" s="408"/>
      <c r="E1460" s="408"/>
      <c r="F1460" s="408"/>
      <c r="G1460" s="408"/>
      <c r="H1460" s="408"/>
      <c r="I1460" s="408"/>
      <c r="J1460" s="175"/>
      <c r="K1460" s="175"/>
      <c r="L1460" s="175"/>
      <c r="M1460" s="175"/>
      <c r="N1460" s="435"/>
      <c r="O1460" s="436"/>
      <c r="P1460" s="192"/>
      <c r="Q1460" s="258"/>
      <c r="R1460" s="258"/>
      <c r="S1460" s="258"/>
      <c r="T1460" s="258"/>
      <c r="U1460" s="258"/>
      <c r="V1460" s="258"/>
      <c r="W1460" s="258"/>
      <c r="X1460" s="258"/>
      <c r="Y1460" s="258"/>
      <c r="Z1460" s="258"/>
      <c r="AA1460" s="258"/>
      <c r="AB1460" s="258"/>
      <c r="AC1460" s="258"/>
      <c r="AD1460" s="258"/>
      <c r="AE1460" s="258"/>
      <c r="AF1460" s="258"/>
      <c r="AG1460" s="258"/>
      <c r="AH1460" s="258"/>
      <c r="AI1460" s="258"/>
      <c r="AJ1460" s="258"/>
      <c r="AK1460" s="258"/>
      <c r="AL1460" s="258"/>
      <c r="AM1460" s="259"/>
      <c r="AN1460" s="258"/>
      <c r="AO1460" s="258"/>
      <c r="AP1460" s="258"/>
      <c r="AQ1460" s="258"/>
      <c r="AR1460" s="258"/>
      <c r="AS1460" s="258"/>
      <c r="AT1460" s="258"/>
      <c r="AU1460" s="258"/>
      <c r="AV1460" s="258"/>
      <c r="AW1460" s="258"/>
      <c r="AX1460" s="258"/>
      <c r="AY1460" s="258"/>
      <c r="AZ1460" s="258"/>
      <c r="BA1460" s="260"/>
      <c r="BD1460" s="260"/>
      <c r="BE1460" s="262"/>
      <c r="BI1460" s="260"/>
      <c r="BO1460" s="260"/>
      <c r="BW1460" s="260"/>
      <c r="CD1460" s="263"/>
      <c r="CF1460" s="262"/>
      <c r="CI1460" s="263"/>
      <c r="CJ1460" s="260"/>
      <c r="CV1460" s="264"/>
      <c r="CX1460" s="264"/>
      <c r="CZ1460" s="264"/>
      <c r="DB1460" s="264"/>
      <c r="DD1460" s="264"/>
      <c r="DH1460" s="475"/>
      <c r="DI1460" s="460"/>
      <c r="DJ1460" s="460"/>
      <c r="DK1460" s="460"/>
      <c r="DL1460" s="460"/>
      <c r="DM1460" s="460"/>
      <c r="DN1460" s="460"/>
      <c r="DO1460" s="460"/>
      <c r="DP1460" s="460"/>
      <c r="DQ1460" s="460"/>
      <c r="DR1460" s="460"/>
      <c r="DS1460" s="460"/>
      <c r="DT1460" s="460"/>
      <c r="DU1460" s="460"/>
      <c r="DV1460" s="469"/>
      <c r="DW1460" s="469"/>
      <c r="DX1460" s="460"/>
      <c r="DY1460" s="460"/>
    </row>
    <row r="1461" spans="1:129" s="261" customFormat="1" ht="39.950000000000003" customHeight="1" x14ac:dyDescent="0.25">
      <c r="A1461" s="379"/>
      <c r="B1461" s="175"/>
      <c r="C1461" s="393"/>
      <c r="D1461" s="408"/>
      <c r="E1461" s="408"/>
      <c r="F1461" s="408"/>
      <c r="G1461" s="408"/>
      <c r="H1461" s="408"/>
      <c r="I1461" s="408"/>
      <c r="J1461" s="175"/>
      <c r="K1461" s="175"/>
      <c r="L1461" s="175"/>
      <c r="M1461" s="175"/>
      <c r="N1461" s="435"/>
      <c r="O1461" s="436"/>
      <c r="P1461" s="192"/>
      <c r="Q1461" s="258"/>
      <c r="R1461" s="258"/>
      <c r="S1461" s="258"/>
      <c r="T1461" s="258"/>
      <c r="U1461" s="258"/>
      <c r="V1461" s="258"/>
      <c r="W1461" s="258"/>
      <c r="X1461" s="258"/>
      <c r="Y1461" s="258"/>
      <c r="Z1461" s="258"/>
      <c r="AA1461" s="258"/>
      <c r="AB1461" s="258"/>
      <c r="AC1461" s="258"/>
      <c r="AD1461" s="258"/>
      <c r="AE1461" s="258"/>
      <c r="AF1461" s="258"/>
      <c r="AG1461" s="258"/>
      <c r="AH1461" s="258"/>
      <c r="AI1461" s="258"/>
      <c r="AJ1461" s="258"/>
      <c r="AK1461" s="258"/>
      <c r="AL1461" s="258"/>
      <c r="AM1461" s="259"/>
      <c r="AN1461" s="258"/>
      <c r="AO1461" s="258"/>
      <c r="AP1461" s="258"/>
      <c r="AQ1461" s="258"/>
      <c r="AR1461" s="258"/>
      <c r="AS1461" s="258"/>
      <c r="AT1461" s="258"/>
      <c r="AU1461" s="258"/>
      <c r="AV1461" s="258"/>
      <c r="AW1461" s="258"/>
      <c r="AX1461" s="258"/>
      <c r="AY1461" s="258"/>
      <c r="AZ1461" s="258"/>
      <c r="BA1461" s="260"/>
      <c r="BD1461" s="260"/>
      <c r="BE1461" s="262"/>
      <c r="BI1461" s="260"/>
      <c r="BO1461" s="260"/>
      <c r="BW1461" s="260"/>
      <c r="CD1461" s="263"/>
      <c r="CF1461" s="262"/>
      <c r="CI1461" s="263"/>
      <c r="CJ1461" s="260"/>
      <c r="CV1461" s="264"/>
      <c r="CX1461" s="264"/>
      <c r="CZ1461" s="264"/>
      <c r="DB1461" s="264"/>
      <c r="DD1461" s="264"/>
      <c r="DH1461" s="475"/>
      <c r="DI1461" s="460"/>
      <c r="DJ1461" s="460"/>
      <c r="DK1461" s="460"/>
      <c r="DL1461" s="460"/>
      <c r="DM1461" s="460"/>
      <c r="DN1461" s="460"/>
      <c r="DO1461" s="460"/>
      <c r="DP1461" s="460"/>
      <c r="DQ1461" s="460"/>
      <c r="DR1461" s="460"/>
      <c r="DS1461" s="460"/>
      <c r="DT1461" s="460"/>
      <c r="DU1461" s="460"/>
      <c r="DV1461" s="469"/>
      <c r="DW1461" s="469"/>
      <c r="DX1461" s="460"/>
      <c r="DY1461" s="460"/>
    </row>
    <row r="1462" spans="1:129" s="261" customFormat="1" ht="39.950000000000003" customHeight="1" x14ac:dyDescent="0.25">
      <c r="A1462" s="379"/>
      <c r="B1462" s="175"/>
      <c r="C1462" s="393"/>
      <c r="D1462" s="408"/>
      <c r="E1462" s="408"/>
      <c r="F1462" s="408"/>
      <c r="G1462" s="408"/>
      <c r="H1462" s="408"/>
      <c r="I1462" s="408"/>
      <c r="J1462" s="175"/>
      <c r="K1462" s="175"/>
      <c r="L1462" s="175"/>
      <c r="M1462" s="175"/>
      <c r="N1462" s="435"/>
      <c r="O1462" s="436"/>
      <c r="P1462" s="192"/>
      <c r="Q1462" s="258"/>
      <c r="R1462" s="258"/>
      <c r="S1462" s="258"/>
      <c r="T1462" s="258"/>
      <c r="U1462" s="258"/>
      <c r="V1462" s="258"/>
      <c r="W1462" s="258"/>
      <c r="X1462" s="258"/>
      <c r="Y1462" s="258"/>
      <c r="Z1462" s="258"/>
      <c r="AA1462" s="258"/>
      <c r="AB1462" s="258"/>
      <c r="AC1462" s="258"/>
      <c r="AD1462" s="258"/>
      <c r="AE1462" s="258"/>
      <c r="AF1462" s="258"/>
      <c r="AG1462" s="258"/>
      <c r="AH1462" s="258"/>
      <c r="AI1462" s="258"/>
      <c r="AJ1462" s="258"/>
      <c r="AK1462" s="258"/>
      <c r="AL1462" s="258"/>
      <c r="AM1462" s="259"/>
      <c r="AN1462" s="258"/>
      <c r="AO1462" s="258"/>
      <c r="AP1462" s="258"/>
      <c r="AQ1462" s="258"/>
      <c r="AR1462" s="258"/>
      <c r="AS1462" s="258"/>
      <c r="AT1462" s="258"/>
      <c r="AU1462" s="258"/>
      <c r="AV1462" s="258"/>
      <c r="AW1462" s="258"/>
      <c r="AX1462" s="258"/>
      <c r="AY1462" s="258"/>
      <c r="AZ1462" s="258"/>
      <c r="BA1462" s="260"/>
      <c r="BD1462" s="260"/>
      <c r="BE1462" s="262"/>
      <c r="BI1462" s="260"/>
      <c r="BO1462" s="260"/>
      <c r="BW1462" s="260"/>
      <c r="CD1462" s="263"/>
      <c r="CF1462" s="262"/>
      <c r="CI1462" s="263"/>
      <c r="CJ1462" s="260"/>
      <c r="CV1462" s="264"/>
      <c r="CX1462" s="264"/>
      <c r="CZ1462" s="264"/>
      <c r="DB1462" s="264"/>
      <c r="DD1462" s="264"/>
      <c r="DH1462" s="475"/>
      <c r="DI1462" s="460"/>
      <c r="DJ1462" s="460"/>
      <c r="DK1462" s="460"/>
      <c r="DL1462" s="460"/>
      <c r="DM1462" s="460"/>
      <c r="DN1462" s="460"/>
      <c r="DO1462" s="460"/>
      <c r="DP1462" s="460"/>
      <c r="DQ1462" s="460"/>
      <c r="DR1462" s="460"/>
      <c r="DS1462" s="460"/>
      <c r="DT1462" s="460"/>
      <c r="DU1462" s="460"/>
      <c r="DV1462" s="469"/>
      <c r="DW1462" s="469"/>
      <c r="DX1462" s="460"/>
      <c r="DY1462" s="460"/>
    </row>
    <row r="1463" spans="1:129" s="261" customFormat="1" ht="39.950000000000003" customHeight="1" x14ac:dyDescent="0.25">
      <c r="A1463" s="379"/>
      <c r="B1463" s="175"/>
      <c r="C1463" s="393"/>
      <c r="D1463" s="408"/>
      <c r="E1463" s="408"/>
      <c r="F1463" s="408"/>
      <c r="G1463" s="408"/>
      <c r="H1463" s="408"/>
      <c r="I1463" s="408"/>
      <c r="J1463" s="175"/>
      <c r="K1463" s="175"/>
      <c r="L1463" s="175"/>
      <c r="M1463" s="175"/>
      <c r="N1463" s="435"/>
      <c r="O1463" s="436"/>
      <c r="P1463" s="192"/>
      <c r="Q1463" s="258"/>
      <c r="R1463" s="258"/>
      <c r="S1463" s="258"/>
      <c r="T1463" s="258"/>
      <c r="U1463" s="258"/>
      <c r="V1463" s="258"/>
      <c r="W1463" s="258"/>
      <c r="X1463" s="258"/>
      <c r="Y1463" s="258"/>
      <c r="Z1463" s="258"/>
      <c r="AA1463" s="258"/>
      <c r="AB1463" s="258"/>
      <c r="AC1463" s="258"/>
      <c r="AD1463" s="258"/>
      <c r="AE1463" s="258"/>
      <c r="AF1463" s="258"/>
      <c r="AG1463" s="258"/>
      <c r="AH1463" s="258"/>
      <c r="AI1463" s="258"/>
      <c r="AJ1463" s="258"/>
      <c r="AK1463" s="258"/>
      <c r="AL1463" s="258"/>
      <c r="AM1463" s="259"/>
      <c r="AN1463" s="258"/>
      <c r="AO1463" s="258"/>
      <c r="AP1463" s="258"/>
      <c r="AQ1463" s="258"/>
      <c r="AR1463" s="258"/>
      <c r="AS1463" s="258"/>
      <c r="AT1463" s="258"/>
      <c r="AU1463" s="258"/>
      <c r="AV1463" s="258"/>
      <c r="AW1463" s="258"/>
      <c r="AX1463" s="258"/>
      <c r="AY1463" s="258"/>
      <c r="AZ1463" s="258"/>
      <c r="BA1463" s="260"/>
      <c r="BD1463" s="260"/>
      <c r="BE1463" s="262"/>
      <c r="BI1463" s="260"/>
      <c r="BO1463" s="260"/>
      <c r="BW1463" s="260"/>
      <c r="CD1463" s="263"/>
      <c r="CF1463" s="262"/>
      <c r="CI1463" s="263"/>
      <c r="CJ1463" s="260"/>
      <c r="CV1463" s="264"/>
      <c r="CX1463" s="264"/>
      <c r="CZ1463" s="264"/>
      <c r="DB1463" s="264"/>
      <c r="DD1463" s="264"/>
      <c r="DH1463" s="475"/>
      <c r="DI1463" s="460"/>
      <c r="DJ1463" s="460"/>
      <c r="DK1463" s="460"/>
      <c r="DL1463" s="460"/>
      <c r="DM1463" s="460"/>
      <c r="DN1463" s="460"/>
      <c r="DO1463" s="460"/>
      <c r="DP1463" s="460"/>
      <c r="DQ1463" s="460"/>
      <c r="DR1463" s="460"/>
      <c r="DS1463" s="460"/>
      <c r="DT1463" s="460"/>
      <c r="DU1463" s="460"/>
      <c r="DV1463" s="469"/>
      <c r="DW1463" s="469"/>
      <c r="DX1463" s="460"/>
      <c r="DY1463" s="460"/>
    </row>
    <row r="1464" spans="1:129" s="261" customFormat="1" ht="39.950000000000003" customHeight="1" x14ac:dyDescent="0.25">
      <c r="A1464" s="379"/>
      <c r="B1464" s="175"/>
      <c r="C1464" s="393"/>
      <c r="D1464" s="408"/>
      <c r="E1464" s="408"/>
      <c r="F1464" s="408"/>
      <c r="G1464" s="408"/>
      <c r="H1464" s="408"/>
      <c r="I1464" s="408"/>
      <c r="J1464" s="175"/>
      <c r="K1464" s="175"/>
      <c r="L1464" s="175"/>
      <c r="M1464" s="175"/>
      <c r="N1464" s="435"/>
      <c r="O1464" s="436"/>
      <c r="P1464" s="192"/>
      <c r="Q1464" s="258"/>
      <c r="R1464" s="258"/>
      <c r="S1464" s="258"/>
      <c r="T1464" s="258"/>
      <c r="U1464" s="258"/>
      <c r="V1464" s="258"/>
      <c r="W1464" s="258"/>
      <c r="X1464" s="258"/>
      <c r="Y1464" s="258"/>
      <c r="Z1464" s="258"/>
      <c r="AA1464" s="258"/>
      <c r="AB1464" s="258"/>
      <c r="AC1464" s="258"/>
      <c r="AD1464" s="258"/>
      <c r="AE1464" s="258"/>
      <c r="AF1464" s="258"/>
      <c r="AG1464" s="258"/>
      <c r="AH1464" s="258"/>
      <c r="AI1464" s="258"/>
      <c r="AJ1464" s="258"/>
      <c r="AK1464" s="258"/>
      <c r="AL1464" s="258"/>
      <c r="AM1464" s="259"/>
      <c r="AN1464" s="258"/>
      <c r="AO1464" s="258"/>
      <c r="AP1464" s="258"/>
      <c r="AQ1464" s="258"/>
      <c r="AR1464" s="258"/>
      <c r="AS1464" s="258"/>
      <c r="AT1464" s="258"/>
      <c r="AU1464" s="258"/>
      <c r="AV1464" s="258"/>
      <c r="AW1464" s="258"/>
      <c r="AX1464" s="258"/>
      <c r="AY1464" s="258"/>
      <c r="AZ1464" s="258"/>
      <c r="BA1464" s="260"/>
      <c r="BD1464" s="260"/>
      <c r="BE1464" s="262"/>
      <c r="BI1464" s="260"/>
      <c r="BO1464" s="260"/>
      <c r="BW1464" s="260"/>
      <c r="CD1464" s="263"/>
      <c r="CF1464" s="262"/>
      <c r="CI1464" s="263"/>
      <c r="CJ1464" s="260"/>
      <c r="CV1464" s="264"/>
      <c r="CX1464" s="264"/>
      <c r="CZ1464" s="264"/>
      <c r="DB1464" s="264"/>
      <c r="DD1464" s="264"/>
      <c r="DH1464" s="475"/>
      <c r="DI1464" s="460"/>
      <c r="DJ1464" s="460"/>
      <c r="DK1464" s="460"/>
      <c r="DL1464" s="460"/>
      <c r="DM1464" s="460"/>
      <c r="DN1464" s="460"/>
      <c r="DO1464" s="460"/>
      <c r="DP1464" s="460"/>
      <c r="DQ1464" s="460"/>
      <c r="DR1464" s="460"/>
      <c r="DS1464" s="460"/>
      <c r="DT1464" s="460"/>
      <c r="DU1464" s="460"/>
      <c r="DV1464" s="469"/>
      <c r="DW1464" s="469"/>
      <c r="DX1464" s="460"/>
      <c r="DY1464" s="460"/>
    </row>
    <row r="1465" spans="1:129" s="261" customFormat="1" ht="39.950000000000003" customHeight="1" x14ac:dyDescent="0.25">
      <c r="A1465" s="379"/>
      <c r="B1465" s="175"/>
      <c r="C1465" s="393"/>
      <c r="D1465" s="408"/>
      <c r="E1465" s="408"/>
      <c r="F1465" s="408"/>
      <c r="G1465" s="408"/>
      <c r="H1465" s="408"/>
      <c r="I1465" s="408"/>
      <c r="J1465" s="175"/>
      <c r="K1465" s="175"/>
      <c r="L1465" s="175"/>
      <c r="M1465" s="175"/>
      <c r="N1465" s="435"/>
      <c r="O1465" s="436"/>
      <c r="P1465" s="192"/>
      <c r="Q1465" s="258"/>
      <c r="R1465" s="258"/>
      <c r="S1465" s="258"/>
      <c r="T1465" s="258"/>
      <c r="U1465" s="258"/>
      <c r="V1465" s="258"/>
      <c r="W1465" s="258"/>
      <c r="X1465" s="258"/>
      <c r="Y1465" s="258"/>
      <c r="Z1465" s="258"/>
      <c r="AA1465" s="258"/>
      <c r="AB1465" s="258"/>
      <c r="AC1465" s="258"/>
      <c r="AD1465" s="258"/>
      <c r="AE1465" s="258"/>
      <c r="AF1465" s="258"/>
      <c r="AG1465" s="258"/>
      <c r="AH1465" s="258"/>
      <c r="AI1465" s="258"/>
      <c r="AJ1465" s="258"/>
      <c r="AK1465" s="258"/>
      <c r="AL1465" s="258"/>
      <c r="AM1465" s="259"/>
      <c r="AN1465" s="258"/>
      <c r="AO1465" s="258"/>
      <c r="AP1465" s="258"/>
      <c r="AQ1465" s="258"/>
      <c r="AR1465" s="258"/>
      <c r="AS1465" s="258"/>
      <c r="AT1465" s="258"/>
      <c r="AU1465" s="258"/>
      <c r="AV1465" s="258"/>
      <c r="AW1465" s="258"/>
      <c r="AX1465" s="258"/>
      <c r="AY1465" s="258"/>
      <c r="AZ1465" s="258"/>
      <c r="BA1465" s="260"/>
      <c r="BD1465" s="260"/>
      <c r="BE1465" s="262"/>
      <c r="BI1465" s="260"/>
      <c r="BO1465" s="260"/>
      <c r="BW1465" s="260"/>
      <c r="CD1465" s="263"/>
      <c r="CF1465" s="262"/>
      <c r="CI1465" s="263"/>
      <c r="CJ1465" s="260"/>
      <c r="CV1465" s="264"/>
      <c r="CX1465" s="264"/>
      <c r="CZ1465" s="264"/>
      <c r="DB1465" s="264"/>
      <c r="DD1465" s="264"/>
      <c r="DH1465" s="475"/>
      <c r="DI1465" s="460"/>
      <c r="DJ1465" s="460"/>
      <c r="DK1465" s="460"/>
      <c r="DL1465" s="460"/>
      <c r="DM1465" s="460"/>
      <c r="DN1465" s="460"/>
      <c r="DO1465" s="460"/>
      <c r="DP1465" s="460"/>
      <c r="DQ1465" s="460"/>
      <c r="DR1465" s="460"/>
      <c r="DS1465" s="460"/>
      <c r="DT1465" s="460"/>
      <c r="DU1465" s="460"/>
      <c r="DV1465" s="469"/>
      <c r="DW1465" s="469"/>
      <c r="DX1465" s="460"/>
      <c r="DY1465" s="460"/>
    </row>
    <row r="1466" spans="1:129" s="261" customFormat="1" ht="39.950000000000003" customHeight="1" x14ac:dyDescent="0.25">
      <c r="A1466" s="379"/>
      <c r="B1466" s="175"/>
      <c r="C1466" s="393"/>
      <c r="D1466" s="408"/>
      <c r="E1466" s="408"/>
      <c r="F1466" s="408"/>
      <c r="G1466" s="408"/>
      <c r="H1466" s="408"/>
      <c r="I1466" s="408"/>
      <c r="J1466" s="175"/>
      <c r="K1466" s="175"/>
      <c r="L1466" s="175"/>
      <c r="M1466" s="175"/>
      <c r="N1466" s="435"/>
      <c r="O1466" s="436"/>
      <c r="P1466" s="192"/>
      <c r="Q1466" s="258"/>
      <c r="R1466" s="258"/>
      <c r="S1466" s="258"/>
      <c r="T1466" s="258"/>
      <c r="U1466" s="258"/>
      <c r="V1466" s="258"/>
      <c r="W1466" s="258"/>
      <c r="X1466" s="258"/>
      <c r="Y1466" s="258"/>
      <c r="Z1466" s="258"/>
      <c r="AA1466" s="258"/>
      <c r="AB1466" s="258"/>
      <c r="AC1466" s="258"/>
      <c r="AD1466" s="258"/>
      <c r="AE1466" s="258"/>
      <c r="AF1466" s="258"/>
      <c r="AG1466" s="258"/>
      <c r="AH1466" s="258"/>
      <c r="AI1466" s="258"/>
      <c r="AJ1466" s="258"/>
      <c r="AK1466" s="258"/>
      <c r="AL1466" s="258"/>
      <c r="AM1466" s="259"/>
      <c r="AN1466" s="258"/>
      <c r="AO1466" s="258"/>
      <c r="AP1466" s="258"/>
      <c r="AQ1466" s="258"/>
      <c r="AR1466" s="258"/>
      <c r="AS1466" s="258"/>
      <c r="AT1466" s="258"/>
      <c r="AU1466" s="258"/>
      <c r="AV1466" s="258"/>
      <c r="AW1466" s="258"/>
      <c r="AX1466" s="258"/>
      <c r="AY1466" s="258"/>
      <c r="AZ1466" s="258"/>
      <c r="BA1466" s="260"/>
      <c r="BD1466" s="260"/>
      <c r="BE1466" s="262"/>
      <c r="BI1466" s="260"/>
      <c r="BO1466" s="260"/>
      <c r="BW1466" s="260"/>
      <c r="CD1466" s="263"/>
      <c r="CF1466" s="262"/>
      <c r="CI1466" s="263"/>
      <c r="CJ1466" s="260"/>
      <c r="CV1466" s="264"/>
      <c r="CX1466" s="264"/>
      <c r="CZ1466" s="264"/>
      <c r="DB1466" s="264"/>
      <c r="DD1466" s="264"/>
      <c r="DH1466" s="475"/>
      <c r="DI1466" s="460"/>
      <c r="DJ1466" s="460"/>
      <c r="DK1466" s="460"/>
      <c r="DL1466" s="460"/>
      <c r="DM1466" s="460"/>
      <c r="DN1466" s="460"/>
      <c r="DO1466" s="460"/>
      <c r="DP1466" s="460"/>
      <c r="DQ1466" s="460"/>
      <c r="DR1466" s="460"/>
      <c r="DS1466" s="460"/>
      <c r="DT1466" s="460"/>
      <c r="DU1466" s="460"/>
      <c r="DV1466" s="469"/>
      <c r="DW1466" s="469"/>
      <c r="DX1466" s="460"/>
      <c r="DY1466" s="460"/>
    </row>
    <row r="1467" spans="1:129" s="261" customFormat="1" ht="39.950000000000003" customHeight="1" x14ac:dyDescent="0.25">
      <c r="A1467" s="379"/>
      <c r="B1467" s="175"/>
      <c r="C1467" s="393"/>
      <c r="D1467" s="408"/>
      <c r="E1467" s="408"/>
      <c r="F1467" s="408"/>
      <c r="G1467" s="408"/>
      <c r="H1467" s="408"/>
      <c r="I1467" s="408"/>
      <c r="J1467" s="175"/>
      <c r="K1467" s="175"/>
      <c r="L1467" s="175"/>
      <c r="M1467" s="175"/>
      <c r="N1467" s="435"/>
      <c r="O1467" s="436"/>
      <c r="P1467" s="192"/>
      <c r="Q1467" s="258"/>
      <c r="R1467" s="258"/>
      <c r="S1467" s="258"/>
      <c r="T1467" s="258"/>
      <c r="U1467" s="258"/>
      <c r="V1467" s="258"/>
      <c r="W1467" s="258"/>
      <c r="X1467" s="258"/>
      <c r="Y1467" s="258"/>
      <c r="Z1467" s="258"/>
      <c r="AA1467" s="258"/>
      <c r="AB1467" s="258"/>
      <c r="AC1467" s="258"/>
      <c r="AD1467" s="258"/>
      <c r="AE1467" s="258"/>
      <c r="AF1467" s="258"/>
      <c r="AG1467" s="258"/>
      <c r="AH1467" s="258"/>
      <c r="AI1467" s="258"/>
      <c r="AJ1467" s="258"/>
      <c r="AK1467" s="258"/>
      <c r="AL1467" s="258"/>
      <c r="AM1467" s="259"/>
      <c r="AN1467" s="258"/>
      <c r="AO1467" s="258"/>
      <c r="AP1467" s="258"/>
      <c r="AQ1467" s="258"/>
      <c r="AR1467" s="258"/>
      <c r="AS1467" s="258"/>
      <c r="AT1467" s="258"/>
      <c r="AU1467" s="258"/>
      <c r="AV1467" s="258"/>
      <c r="AW1467" s="258"/>
      <c r="AX1467" s="258"/>
      <c r="AY1467" s="258"/>
      <c r="AZ1467" s="258"/>
      <c r="BA1467" s="260"/>
      <c r="BD1467" s="260"/>
      <c r="BE1467" s="262"/>
      <c r="BI1467" s="260"/>
      <c r="BO1467" s="260"/>
      <c r="BW1467" s="260"/>
      <c r="CD1467" s="263"/>
      <c r="CF1467" s="262"/>
      <c r="CI1467" s="263"/>
      <c r="CJ1467" s="260"/>
      <c r="CV1467" s="264"/>
      <c r="CX1467" s="264"/>
      <c r="CZ1467" s="264"/>
      <c r="DB1467" s="264"/>
      <c r="DD1467" s="264"/>
      <c r="DH1467" s="475"/>
      <c r="DI1467" s="460"/>
      <c r="DJ1467" s="460"/>
      <c r="DK1467" s="460"/>
      <c r="DL1467" s="460"/>
      <c r="DM1467" s="460"/>
      <c r="DN1467" s="460"/>
      <c r="DO1467" s="460"/>
      <c r="DP1467" s="460"/>
      <c r="DQ1467" s="460"/>
      <c r="DR1467" s="460"/>
      <c r="DS1467" s="460"/>
      <c r="DT1467" s="460"/>
      <c r="DU1467" s="460"/>
      <c r="DV1467" s="469"/>
      <c r="DW1467" s="469"/>
      <c r="DX1467" s="460"/>
      <c r="DY1467" s="460"/>
    </row>
    <row r="1468" spans="1:129" s="261" customFormat="1" ht="39.950000000000003" customHeight="1" x14ac:dyDescent="0.25">
      <c r="A1468" s="379"/>
      <c r="B1468" s="175"/>
      <c r="C1468" s="393"/>
      <c r="D1468" s="408"/>
      <c r="E1468" s="408"/>
      <c r="F1468" s="408"/>
      <c r="G1468" s="408"/>
      <c r="H1468" s="408"/>
      <c r="I1468" s="408"/>
      <c r="J1468" s="175"/>
      <c r="K1468" s="175"/>
      <c r="L1468" s="175"/>
      <c r="M1468" s="175"/>
      <c r="N1468" s="435"/>
      <c r="O1468" s="436"/>
      <c r="P1468" s="192"/>
      <c r="Q1468" s="258"/>
      <c r="R1468" s="258"/>
      <c r="S1468" s="258"/>
      <c r="T1468" s="258"/>
      <c r="U1468" s="258"/>
      <c r="V1468" s="258"/>
      <c r="W1468" s="258"/>
      <c r="X1468" s="258"/>
      <c r="Y1468" s="258"/>
      <c r="Z1468" s="258"/>
      <c r="AA1468" s="258"/>
      <c r="AB1468" s="258"/>
      <c r="AC1468" s="258"/>
      <c r="AD1468" s="258"/>
      <c r="AE1468" s="258"/>
      <c r="AF1468" s="258"/>
      <c r="AG1468" s="258"/>
      <c r="AH1468" s="258"/>
      <c r="AI1468" s="258"/>
      <c r="AJ1468" s="258"/>
      <c r="AK1468" s="258"/>
      <c r="AL1468" s="258"/>
      <c r="AM1468" s="259"/>
      <c r="AN1468" s="258"/>
      <c r="AO1468" s="258"/>
      <c r="AP1468" s="258"/>
      <c r="AQ1468" s="258"/>
      <c r="AR1468" s="258"/>
      <c r="AS1468" s="258"/>
      <c r="AT1468" s="258"/>
      <c r="AU1468" s="258"/>
      <c r="AV1468" s="258"/>
      <c r="AW1468" s="258"/>
      <c r="AX1468" s="258"/>
      <c r="AY1468" s="258"/>
      <c r="AZ1468" s="258"/>
      <c r="BA1468" s="260"/>
      <c r="BD1468" s="260"/>
      <c r="BE1468" s="262"/>
      <c r="BI1468" s="260"/>
      <c r="BO1468" s="260"/>
      <c r="BW1468" s="260"/>
      <c r="CD1468" s="263"/>
      <c r="CF1468" s="262"/>
      <c r="CI1468" s="263"/>
      <c r="CJ1468" s="260"/>
      <c r="CV1468" s="264"/>
      <c r="CX1468" s="264"/>
      <c r="CZ1468" s="264"/>
      <c r="DB1468" s="264"/>
      <c r="DD1468" s="264"/>
      <c r="DH1468" s="475"/>
      <c r="DI1468" s="460"/>
      <c r="DJ1468" s="460"/>
      <c r="DK1468" s="460"/>
      <c r="DL1468" s="460"/>
      <c r="DM1468" s="460"/>
      <c r="DN1468" s="460"/>
      <c r="DO1468" s="460"/>
      <c r="DP1468" s="460"/>
      <c r="DQ1468" s="460"/>
      <c r="DR1468" s="460"/>
      <c r="DS1468" s="460"/>
      <c r="DT1468" s="460"/>
      <c r="DU1468" s="460"/>
      <c r="DV1468" s="469"/>
      <c r="DW1468" s="469"/>
      <c r="DX1468" s="460"/>
      <c r="DY1468" s="460"/>
    </row>
    <row r="1469" spans="1:129" s="261" customFormat="1" ht="39.950000000000003" customHeight="1" x14ac:dyDescent="0.25">
      <c r="A1469" s="379"/>
      <c r="B1469" s="175"/>
      <c r="C1469" s="393"/>
      <c r="D1469" s="408"/>
      <c r="E1469" s="408"/>
      <c r="F1469" s="408"/>
      <c r="G1469" s="408"/>
      <c r="H1469" s="408"/>
      <c r="I1469" s="408"/>
      <c r="J1469" s="175"/>
      <c r="K1469" s="175"/>
      <c r="L1469" s="175"/>
      <c r="M1469" s="175"/>
      <c r="N1469" s="435"/>
      <c r="O1469" s="436"/>
      <c r="P1469" s="192"/>
      <c r="Q1469" s="258"/>
      <c r="R1469" s="258"/>
      <c r="S1469" s="258"/>
      <c r="T1469" s="258"/>
      <c r="U1469" s="258"/>
      <c r="V1469" s="258"/>
      <c r="W1469" s="258"/>
      <c r="X1469" s="258"/>
      <c r="Y1469" s="258"/>
      <c r="Z1469" s="258"/>
      <c r="AA1469" s="258"/>
      <c r="AB1469" s="258"/>
      <c r="AC1469" s="258"/>
      <c r="AD1469" s="258"/>
      <c r="AE1469" s="258"/>
      <c r="AF1469" s="258"/>
      <c r="AG1469" s="258"/>
      <c r="AH1469" s="258"/>
      <c r="AI1469" s="258"/>
      <c r="AJ1469" s="258"/>
      <c r="AK1469" s="258"/>
      <c r="AL1469" s="258"/>
      <c r="AM1469" s="259"/>
      <c r="AN1469" s="258"/>
      <c r="AO1469" s="258"/>
      <c r="AP1469" s="258"/>
      <c r="AQ1469" s="258"/>
      <c r="AR1469" s="258"/>
      <c r="AS1469" s="258"/>
      <c r="AT1469" s="258"/>
      <c r="AU1469" s="258"/>
      <c r="AV1469" s="258"/>
      <c r="AW1469" s="258"/>
      <c r="AX1469" s="258"/>
      <c r="AY1469" s="258"/>
      <c r="AZ1469" s="258"/>
      <c r="BA1469" s="260"/>
      <c r="BD1469" s="260"/>
      <c r="BE1469" s="262"/>
      <c r="BI1469" s="260"/>
      <c r="BO1469" s="260"/>
      <c r="BW1469" s="260"/>
      <c r="CD1469" s="263"/>
      <c r="CF1469" s="262"/>
      <c r="CI1469" s="263"/>
      <c r="CJ1469" s="260"/>
      <c r="CV1469" s="264"/>
      <c r="CX1469" s="264"/>
      <c r="CZ1469" s="264"/>
      <c r="DB1469" s="264"/>
      <c r="DD1469" s="264"/>
      <c r="DH1469" s="475"/>
      <c r="DI1469" s="460"/>
      <c r="DJ1469" s="460"/>
      <c r="DK1469" s="460"/>
      <c r="DL1469" s="460"/>
      <c r="DM1469" s="460"/>
      <c r="DN1469" s="460"/>
      <c r="DO1469" s="460"/>
      <c r="DP1469" s="460"/>
      <c r="DQ1469" s="460"/>
      <c r="DR1469" s="460"/>
      <c r="DS1469" s="460"/>
      <c r="DT1469" s="460"/>
      <c r="DU1469" s="460"/>
      <c r="DV1469" s="469"/>
      <c r="DW1469" s="469"/>
      <c r="DX1469" s="460"/>
      <c r="DY1469" s="460"/>
    </row>
    <row r="1470" spans="1:129" s="261" customFormat="1" ht="39.950000000000003" customHeight="1" x14ac:dyDescent="0.25">
      <c r="A1470" s="379"/>
      <c r="B1470" s="175"/>
      <c r="C1470" s="393"/>
      <c r="D1470" s="408"/>
      <c r="E1470" s="408"/>
      <c r="F1470" s="408"/>
      <c r="G1470" s="408"/>
      <c r="H1470" s="408"/>
      <c r="I1470" s="408"/>
      <c r="J1470" s="175"/>
      <c r="K1470" s="175"/>
      <c r="L1470" s="175"/>
      <c r="M1470" s="175"/>
      <c r="N1470" s="435"/>
      <c r="O1470" s="436"/>
      <c r="P1470" s="192"/>
      <c r="Q1470" s="258"/>
      <c r="R1470" s="258"/>
      <c r="S1470" s="258"/>
      <c r="T1470" s="258"/>
      <c r="U1470" s="258"/>
      <c r="V1470" s="258"/>
      <c r="W1470" s="258"/>
      <c r="X1470" s="258"/>
      <c r="Y1470" s="258"/>
      <c r="Z1470" s="258"/>
      <c r="AA1470" s="258"/>
      <c r="AB1470" s="258"/>
      <c r="AC1470" s="258"/>
      <c r="AD1470" s="258"/>
      <c r="AE1470" s="258"/>
      <c r="AF1470" s="258"/>
      <c r="AG1470" s="258"/>
      <c r="AH1470" s="258"/>
      <c r="AI1470" s="258"/>
      <c r="AJ1470" s="258"/>
      <c r="AK1470" s="258"/>
      <c r="AL1470" s="258"/>
      <c r="AM1470" s="259"/>
      <c r="AN1470" s="258"/>
      <c r="AO1470" s="258"/>
      <c r="AP1470" s="258"/>
      <c r="AQ1470" s="258"/>
      <c r="AR1470" s="258"/>
      <c r="AS1470" s="258"/>
      <c r="AT1470" s="258"/>
      <c r="AU1470" s="258"/>
      <c r="AV1470" s="258"/>
      <c r="AW1470" s="258"/>
      <c r="AX1470" s="258"/>
      <c r="AY1470" s="258"/>
      <c r="AZ1470" s="258"/>
      <c r="BA1470" s="260"/>
      <c r="BD1470" s="260"/>
      <c r="BE1470" s="262"/>
      <c r="BI1470" s="260"/>
      <c r="BO1470" s="260"/>
      <c r="BW1470" s="260"/>
      <c r="CD1470" s="263"/>
      <c r="CF1470" s="262"/>
      <c r="CI1470" s="263"/>
      <c r="CJ1470" s="260"/>
      <c r="CV1470" s="264"/>
      <c r="CX1470" s="264"/>
      <c r="CZ1470" s="264"/>
      <c r="DB1470" s="264"/>
      <c r="DD1470" s="264"/>
      <c r="DH1470" s="475"/>
      <c r="DI1470" s="460"/>
      <c r="DJ1470" s="460"/>
      <c r="DK1470" s="460"/>
      <c r="DL1470" s="460"/>
      <c r="DM1470" s="460"/>
      <c r="DN1470" s="460"/>
      <c r="DO1470" s="460"/>
      <c r="DP1470" s="460"/>
      <c r="DQ1470" s="460"/>
      <c r="DR1470" s="460"/>
      <c r="DS1470" s="460"/>
      <c r="DT1470" s="460"/>
      <c r="DU1470" s="460"/>
      <c r="DV1470" s="469"/>
      <c r="DW1470" s="469"/>
      <c r="DX1470" s="460"/>
      <c r="DY1470" s="460"/>
    </row>
    <row r="1471" spans="1:129" s="261" customFormat="1" ht="39.950000000000003" customHeight="1" x14ac:dyDescent="0.25">
      <c r="A1471" s="379"/>
      <c r="B1471" s="175"/>
      <c r="C1471" s="393"/>
      <c r="D1471" s="408"/>
      <c r="E1471" s="408"/>
      <c r="F1471" s="408"/>
      <c r="G1471" s="408"/>
      <c r="H1471" s="408"/>
      <c r="I1471" s="408"/>
      <c r="J1471" s="175"/>
      <c r="K1471" s="175"/>
      <c r="L1471" s="175"/>
      <c r="M1471" s="175"/>
      <c r="N1471" s="435"/>
      <c r="O1471" s="436"/>
      <c r="P1471" s="192"/>
      <c r="Q1471" s="258"/>
      <c r="R1471" s="258"/>
      <c r="S1471" s="258"/>
      <c r="T1471" s="258"/>
      <c r="U1471" s="258"/>
      <c r="V1471" s="258"/>
      <c r="W1471" s="258"/>
      <c r="X1471" s="258"/>
      <c r="Y1471" s="258"/>
      <c r="Z1471" s="258"/>
      <c r="AA1471" s="258"/>
      <c r="AB1471" s="258"/>
      <c r="AC1471" s="258"/>
      <c r="AD1471" s="258"/>
      <c r="AE1471" s="258"/>
      <c r="AF1471" s="258"/>
      <c r="AG1471" s="258"/>
      <c r="AH1471" s="258"/>
      <c r="AI1471" s="258"/>
      <c r="AJ1471" s="258"/>
      <c r="AK1471" s="258"/>
      <c r="AL1471" s="258"/>
      <c r="AM1471" s="259"/>
      <c r="AN1471" s="258"/>
      <c r="AO1471" s="258"/>
      <c r="AP1471" s="258"/>
      <c r="AQ1471" s="258"/>
      <c r="AR1471" s="258"/>
      <c r="AS1471" s="258"/>
      <c r="AT1471" s="258"/>
      <c r="AU1471" s="258"/>
      <c r="AV1471" s="258"/>
      <c r="AW1471" s="258"/>
      <c r="AX1471" s="258"/>
      <c r="AY1471" s="258"/>
      <c r="AZ1471" s="258"/>
      <c r="BA1471" s="260"/>
      <c r="BD1471" s="260"/>
      <c r="BE1471" s="262"/>
      <c r="BI1471" s="260"/>
      <c r="BO1471" s="260"/>
      <c r="BW1471" s="260"/>
      <c r="CD1471" s="263"/>
      <c r="CF1471" s="262"/>
      <c r="CI1471" s="263"/>
      <c r="CJ1471" s="260"/>
      <c r="CV1471" s="264"/>
      <c r="CX1471" s="264"/>
      <c r="CZ1471" s="264"/>
      <c r="DB1471" s="264"/>
      <c r="DD1471" s="264"/>
      <c r="DH1471" s="475"/>
      <c r="DI1471" s="460"/>
      <c r="DJ1471" s="460"/>
      <c r="DK1471" s="460"/>
      <c r="DL1471" s="460"/>
      <c r="DM1471" s="460"/>
      <c r="DN1471" s="460"/>
      <c r="DO1471" s="460"/>
      <c r="DP1471" s="460"/>
      <c r="DQ1471" s="460"/>
      <c r="DR1471" s="460"/>
      <c r="DS1471" s="460"/>
      <c r="DT1471" s="460"/>
      <c r="DU1471" s="460"/>
      <c r="DV1471" s="469"/>
      <c r="DW1471" s="469"/>
      <c r="DX1471" s="460"/>
      <c r="DY1471" s="460"/>
    </row>
    <row r="1472" spans="1:129" s="261" customFormat="1" ht="39.950000000000003" customHeight="1" x14ac:dyDescent="0.25">
      <c r="A1472" s="379"/>
      <c r="B1472" s="175"/>
      <c r="C1472" s="393"/>
      <c r="D1472" s="408"/>
      <c r="E1472" s="408"/>
      <c r="F1472" s="408"/>
      <c r="G1472" s="408"/>
      <c r="H1472" s="408"/>
      <c r="I1472" s="408"/>
      <c r="J1472" s="175"/>
      <c r="K1472" s="175"/>
      <c r="L1472" s="175"/>
      <c r="M1472" s="175"/>
      <c r="N1472" s="435"/>
      <c r="O1472" s="436"/>
      <c r="P1472" s="192"/>
      <c r="Q1472" s="258"/>
      <c r="R1472" s="258"/>
      <c r="S1472" s="258"/>
      <c r="T1472" s="258"/>
      <c r="U1472" s="258"/>
      <c r="V1472" s="258"/>
      <c r="W1472" s="258"/>
      <c r="X1472" s="258"/>
      <c r="Y1472" s="258"/>
      <c r="Z1472" s="258"/>
      <c r="AA1472" s="258"/>
      <c r="AB1472" s="258"/>
      <c r="AC1472" s="258"/>
      <c r="AD1472" s="258"/>
      <c r="AE1472" s="258"/>
      <c r="AF1472" s="258"/>
      <c r="AG1472" s="258"/>
      <c r="AH1472" s="258"/>
      <c r="AI1472" s="258"/>
      <c r="AJ1472" s="258"/>
      <c r="AK1472" s="258"/>
      <c r="AL1472" s="258"/>
      <c r="AM1472" s="259"/>
      <c r="AN1472" s="258"/>
      <c r="AO1472" s="258"/>
      <c r="AP1472" s="258"/>
      <c r="AQ1472" s="258"/>
      <c r="AR1472" s="258"/>
      <c r="AS1472" s="258"/>
      <c r="AT1472" s="258"/>
      <c r="AU1472" s="258"/>
      <c r="AV1472" s="258"/>
      <c r="AW1472" s="258"/>
      <c r="AX1472" s="258"/>
      <c r="AY1472" s="258"/>
      <c r="AZ1472" s="258"/>
      <c r="BA1472" s="260"/>
      <c r="BD1472" s="260"/>
      <c r="BE1472" s="262"/>
      <c r="BI1472" s="260"/>
      <c r="BO1472" s="260"/>
      <c r="BW1472" s="260"/>
      <c r="CD1472" s="263"/>
      <c r="CF1472" s="262"/>
      <c r="CI1472" s="263"/>
      <c r="CJ1472" s="260"/>
      <c r="CV1472" s="264"/>
      <c r="CX1472" s="264"/>
      <c r="CZ1472" s="264"/>
      <c r="DB1472" s="264"/>
      <c r="DD1472" s="264"/>
      <c r="DH1472" s="475"/>
      <c r="DI1472" s="460"/>
      <c r="DJ1472" s="460"/>
      <c r="DK1472" s="460"/>
      <c r="DL1472" s="460"/>
      <c r="DM1472" s="460"/>
      <c r="DN1472" s="460"/>
      <c r="DO1472" s="460"/>
      <c r="DP1472" s="460"/>
      <c r="DQ1472" s="460"/>
      <c r="DR1472" s="460"/>
      <c r="DS1472" s="460"/>
      <c r="DT1472" s="460"/>
      <c r="DU1472" s="460"/>
      <c r="DV1472" s="469"/>
      <c r="DW1472" s="469"/>
      <c r="DX1472" s="460"/>
      <c r="DY1472" s="460"/>
    </row>
    <row r="1473" spans="1:129" s="261" customFormat="1" ht="39.950000000000003" customHeight="1" x14ac:dyDescent="0.25">
      <c r="A1473" s="379"/>
      <c r="B1473" s="175"/>
      <c r="C1473" s="393"/>
      <c r="D1473" s="408"/>
      <c r="E1473" s="408"/>
      <c r="F1473" s="408"/>
      <c r="G1473" s="408"/>
      <c r="H1473" s="408"/>
      <c r="I1473" s="408"/>
      <c r="J1473" s="175"/>
      <c r="K1473" s="175"/>
      <c r="L1473" s="175"/>
      <c r="M1473" s="175"/>
      <c r="N1473" s="435"/>
      <c r="O1473" s="436"/>
      <c r="P1473" s="192"/>
      <c r="Q1473" s="258"/>
      <c r="R1473" s="258"/>
      <c r="S1473" s="258"/>
      <c r="T1473" s="258"/>
      <c r="U1473" s="258"/>
      <c r="V1473" s="258"/>
      <c r="W1473" s="258"/>
      <c r="X1473" s="258"/>
      <c r="Y1473" s="258"/>
      <c r="Z1473" s="258"/>
      <c r="AA1473" s="258"/>
      <c r="AB1473" s="258"/>
      <c r="AC1473" s="258"/>
      <c r="AD1473" s="258"/>
      <c r="AE1473" s="258"/>
      <c r="AF1473" s="258"/>
      <c r="AG1473" s="258"/>
      <c r="AH1473" s="258"/>
      <c r="AI1473" s="258"/>
      <c r="AJ1473" s="258"/>
      <c r="AK1473" s="258"/>
      <c r="AL1473" s="258"/>
      <c r="AM1473" s="259"/>
      <c r="AN1473" s="258"/>
      <c r="AO1473" s="258"/>
      <c r="AP1473" s="258"/>
      <c r="AQ1473" s="258"/>
      <c r="AR1473" s="258"/>
      <c r="AS1473" s="258"/>
      <c r="AT1473" s="258"/>
      <c r="AU1473" s="258"/>
      <c r="AV1473" s="258"/>
      <c r="AW1473" s="258"/>
      <c r="AX1473" s="258"/>
      <c r="AY1473" s="258"/>
      <c r="AZ1473" s="258"/>
      <c r="BA1473" s="260"/>
      <c r="BD1473" s="260"/>
      <c r="BE1473" s="262"/>
      <c r="BI1473" s="260"/>
      <c r="BO1473" s="260"/>
      <c r="BW1473" s="260"/>
      <c r="CD1473" s="263"/>
      <c r="CF1473" s="262"/>
      <c r="CI1473" s="263"/>
      <c r="CJ1473" s="260"/>
      <c r="CV1473" s="264"/>
      <c r="CX1473" s="264"/>
      <c r="CZ1473" s="264"/>
      <c r="DB1473" s="264"/>
      <c r="DD1473" s="264"/>
      <c r="DH1473" s="475"/>
      <c r="DI1473" s="460"/>
      <c r="DJ1473" s="460"/>
      <c r="DK1473" s="460"/>
      <c r="DL1473" s="460"/>
      <c r="DM1473" s="460"/>
      <c r="DN1473" s="460"/>
      <c r="DO1473" s="460"/>
      <c r="DP1473" s="460"/>
      <c r="DQ1473" s="460"/>
      <c r="DR1473" s="460"/>
      <c r="DS1473" s="460"/>
      <c r="DT1473" s="460"/>
      <c r="DU1473" s="460"/>
      <c r="DV1473" s="469"/>
      <c r="DW1473" s="469"/>
      <c r="DX1473" s="460"/>
      <c r="DY1473" s="460"/>
    </row>
    <row r="1474" spans="1:129" s="261" customFormat="1" ht="39.950000000000003" customHeight="1" x14ac:dyDescent="0.25">
      <c r="A1474" s="379"/>
      <c r="B1474" s="175"/>
      <c r="C1474" s="393"/>
      <c r="D1474" s="408"/>
      <c r="E1474" s="408"/>
      <c r="F1474" s="408"/>
      <c r="G1474" s="408"/>
      <c r="H1474" s="408"/>
      <c r="I1474" s="408"/>
      <c r="J1474" s="175"/>
      <c r="K1474" s="175"/>
      <c r="L1474" s="175"/>
      <c r="M1474" s="175"/>
      <c r="N1474" s="435"/>
      <c r="O1474" s="436"/>
      <c r="P1474" s="192"/>
      <c r="Q1474" s="258"/>
      <c r="R1474" s="258"/>
      <c r="S1474" s="258"/>
      <c r="T1474" s="258"/>
      <c r="U1474" s="258"/>
      <c r="V1474" s="258"/>
      <c r="W1474" s="258"/>
      <c r="X1474" s="258"/>
      <c r="Y1474" s="258"/>
      <c r="Z1474" s="258"/>
      <c r="AA1474" s="258"/>
      <c r="AB1474" s="258"/>
      <c r="AC1474" s="258"/>
      <c r="AD1474" s="258"/>
      <c r="AE1474" s="258"/>
      <c r="AF1474" s="258"/>
      <c r="AG1474" s="258"/>
      <c r="AH1474" s="258"/>
      <c r="AI1474" s="258"/>
      <c r="AJ1474" s="258"/>
      <c r="AK1474" s="258"/>
      <c r="AL1474" s="258"/>
      <c r="AM1474" s="259"/>
      <c r="AN1474" s="258"/>
      <c r="AO1474" s="258"/>
      <c r="AP1474" s="258"/>
      <c r="AQ1474" s="258"/>
      <c r="AR1474" s="258"/>
      <c r="AS1474" s="258"/>
      <c r="AT1474" s="258"/>
      <c r="AU1474" s="258"/>
      <c r="AV1474" s="258"/>
      <c r="AW1474" s="258"/>
      <c r="AX1474" s="258"/>
      <c r="AY1474" s="258"/>
      <c r="AZ1474" s="258"/>
      <c r="BA1474" s="260"/>
      <c r="BD1474" s="260"/>
      <c r="BE1474" s="262"/>
      <c r="BI1474" s="260"/>
      <c r="BO1474" s="260"/>
      <c r="BW1474" s="260"/>
      <c r="CD1474" s="263"/>
      <c r="CF1474" s="262"/>
      <c r="CI1474" s="263"/>
      <c r="CJ1474" s="260"/>
      <c r="CV1474" s="264"/>
      <c r="CX1474" s="264"/>
      <c r="CZ1474" s="264"/>
      <c r="DB1474" s="264"/>
      <c r="DD1474" s="264"/>
      <c r="DH1474" s="475"/>
      <c r="DI1474" s="460"/>
      <c r="DJ1474" s="460"/>
      <c r="DK1474" s="460"/>
      <c r="DL1474" s="460"/>
      <c r="DM1474" s="460"/>
      <c r="DN1474" s="460"/>
      <c r="DO1474" s="460"/>
      <c r="DP1474" s="460"/>
      <c r="DQ1474" s="460"/>
      <c r="DR1474" s="460"/>
      <c r="DS1474" s="460"/>
      <c r="DT1474" s="460"/>
      <c r="DU1474" s="460"/>
      <c r="DV1474" s="469"/>
      <c r="DW1474" s="469"/>
      <c r="DX1474" s="460"/>
      <c r="DY1474" s="460"/>
    </row>
    <row r="1475" spans="1:129" s="128" customFormat="1" ht="39.950000000000003" customHeight="1" x14ac:dyDescent="0.25">
      <c r="A1475" s="377"/>
      <c r="B1475" s="6"/>
      <c r="C1475" s="406"/>
      <c r="D1475" s="407"/>
      <c r="E1475" s="407"/>
      <c r="F1475" s="407"/>
      <c r="G1475" s="407"/>
      <c r="H1475" s="407"/>
      <c r="I1475" s="407"/>
      <c r="J1475" s="6"/>
      <c r="K1475" s="6"/>
      <c r="L1475" s="6"/>
      <c r="M1475" s="6"/>
      <c r="N1475" s="385"/>
      <c r="O1475" s="433"/>
      <c r="P1475" s="122"/>
      <c r="Q1475" s="156"/>
      <c r="R1475" s="156"/>
      <c r="S1475" s="156"/>
      <c r="T1475" s="156"/>
      <c r="U1475" s="156"/>
      <c r="V1475" s="156"/>
      <c r="W1475" s="156"/>
      <c r="X1475" s="156"/>
      <c r="Y1475" s="156"/>
      <c r="Z1475" s="157"/>
      <c r="AA1475" s="157"/>
      <c r="AB1475" s="156"/>
      <c r="AC1475" s="156"/>
      <c r="AD1475" s="156"/>
      <c r="AE1475" s="156"/>
      <c r="AF1475" s="156"/>
      <c r="AG1475" s="156"/>
      <c r="AH1475" s="156"/>
      <c r="AI1475" s="156"/>
      <c r="AJ1475" s="156"/>
      <c r="AK1475" s="156"/>
      <c r="AL1475" s="156"/>
      <c r="AM1475" s="158"/>
      <c r="AN1475" s="156"/>
      <c r="AO1475" s="156"/>
      <c r="AP1475" s="156"/>
      <c r="AQ1475" s="156"/>
      <c r="AR1475" s="156"/>
      <c r="AS1475" s="156"/>
      <c r="AT1475" s="156"/>
      <c r="AU1475" s="156"/>
      <c r="AV1475" s="156"/>
      <c r="AW1475" s="156"/>
      <c r="AX1475" s="156"/>
      <c r="AY1475" s="156"/>
      <c r="AZ1475" s="156"/>
      <c r="BA1475" s="153"/>
      <c r="BD1475" s="153"/>
      <c r="BE1475" s="147"/>
      <c r="BI1475" s="153"/>
      <c r="BO1475" s="153"/>
      <c r="BW1475" s="153"/>
      <c r="CD1475" s="146"/>
      <c r="CF1475" s="147"/>
      <c r="CI1475" s="146"/>
      <c r="CJ1475" s="153"/>
      <c r="CV1475" s="154"/>
      <c r="CX1475" s="154"/>
      <c r="CZ1475" s="154"/>
      <c r="DB1475" s="154"/>
      <c r="DD1475" s="154"/>
      <c r="DH1475" s="474"/>
      <c r="DI1475" s="459"/>
      <c r="DJ1475" s="459"/>
      <c r="DK1475" s="459"/>
      <c r="DL1475" s="459"/>
      <c r="DM1475" s="459"/>
      <c r="DN1475" s="459"/>
      <c r="DO1475" s="459"/>
      <c r="DP1475" s="459"/>
      <c r="DQ1475" s="459"/>
      <c r="DR1475" s="459"/>
      <c r="DS1475" s="459"/>
      <c r="DT1475" s="459"/>
      <c r="DU1475" s="459"/>
      <c r="DV1475" s="468"/>
      <c r="DW1475" s="468"/>
      <c r="DX1475" s="459"/>
      <c r="DY1475" s="459"/>
    </row>
    <row r="1476" spans="1:129" s="128" customFormat="1" ht="39.950000000000003" customHeight="1" x14ac:dyDescent="0.25">
      <c r="A1476" s="377"/>
      <c r="B1476" s="6"/>
      <c r="C1476" s="406"/>
      <c r="D1476" s="407"/>
      <c r="E1476" s="407"/>
      <c r="F1476" s="407"/>
      <c r="G1476" s="407"/>
      <c r="H1476" s="407"/>
      <c r="I1476" s="407"/>
      <c r="J1476" s="6"/>
      <c r="K1476" s="6"/>
      <c r="L1476" s="6"/>
      <c r="M1476" s="6"/>
      <c r="N1476" s="385"/>
      <c r="O1476" s="433"/>
      <c r="P1476" s="122"/>
      <c r="Q1476" s="156"/>
      <c r="R1476" s="156"/>
      <c r="S1476" s="156"/>
      <c r="T1476" s="156"/>
      <c r="U1476" s="156"/>
      <c r="V1476" s="156"/>
      <c r="W1476" s="156"/>
      <c r="X1476" s="156"/>
      <c r="Y1476" s="156"/>
      <c r="Z1476" s="157"/>
      <c r="AA1476" s="157"/>
      <c r="AB1476" s="156"/>
      <c r="AC1476" s="156"/>
      <c r="AD1476" s="156"/>
      <c r="AE1476" s="156"/>
      <c r="AF1476" s="156"/>
      <c r="AG1476" s="156"/>
      <c r="AH1476" s="156"/>
      <c r="AI1476" s="156"/>
      <c r="AJ1476" s="156"/>
      <c r="AK1476" s="156"/>
      <c r="AL1476" s="156"/>
      <c r="AM1476" s="158"/>
      <c r="AN1476" s="156"/>
      <c r="AO1476" s="156"/>
      <c r="AP1476" s="156"/>
      <c r="AQ1476" s="156"/>
      <c r="AR1476" s="156"/>
      <c r="AS1476" s="156"/>
      <c r="AT1476" s="156"/>
      <c r="AU1476" s="156"/>
      <c r="AV1476" s="156"/>
      <c r="AW1476" s="156"/>
      <c r="AX1476" s="156"/>
      <c r="AY1476" s="156"/>
      <c r="AZ1476" s="156"/>
      <c r="BA1476" s="153"/>
      <c r="BD1476" s="153"/>
      <c r="BE1476" s="147"/>
      <c r="BI1476" s="153"/>
      <c r="BO1476" s="153"/>
      <c r="BW1476" s="153"/>
      <c r="CD1476" s="146"/>
      <c r="CF1476" s="147"/>
      <c r="CI1476" s="146"/>
      <c r="CJ1476" s="153"/>
      <c r="CV1476" s="154"/>
      <c r="CX1476" s="154"/>
      <c r="CZ1476" s="154"/>
      <c r="DB1476" s="154"/>
      <c r="DD1476" s="154"/>
      <c r="DH1476" s="474"/>
      <c r="DI1476" s="459"/>
      <c r="DJ1476" s="459"/>
      <c r="DK1476" s="459"/>
      <c r="DL1476" s="459"/>
      <c r="DM1476" s="459"/>
      <c r="DN1476" s="459"/>
      <c r="DO1476" s="459"/>
      <c r="DP1476" s="459"/>
      <c r="DQ1476" s="459"/>
      <c r="DR1476" s="459"/>
      <c r="DS1476" s="459"/>
      <c r="DT1476" s="459"/>
      <c r="DU1476" s="459"/>
      <c r="DV1476" s="468"/>
      <c r="DW1476" s="468"/>
      <c r="DX1476" s="459"/>
      <c r="DY1476" s="459"/>
    </row>
    <row r="1477" spans="1:129" s="128" customFormat="1" ht="39.950000000000003" customHeight="1" x14ac:dyDescent="0.25">
      <c r="A1477" s="377"/>
      <c r="B1477" s="6"/>
      <c r="C1477" s="406"/>
      <c r="D1477" s="407"/>
      <c r="E1477" s="407"/>
      <c r="F1477" s="407"/>
      <c r="G1477" s="407"/>
      <c r="H1477" s="407"/>
      <c r="I1477" s="407"/>
      <c r="J1477" s="6"/>
      <c r="K1477" s="6"/>
      <c r="L1477" s="6"/>
      <c r="M1477" s="6"/>
      <c r="N1477" s="385"/>
      <c r="O1477" s="433"/>
      <c r="P1477" s="122"/>
      <c r="Q1477" s="156"/>
      <c r="R1477" s="156"/>
      <c r="S1477" s="156"/>
      <c r="T1477" s="156"/>
      <c r="U1477" s="156"/>
      <c r="V1477" s="156"/>
      <c r="W1477" s="156"/>
      <c r="X1477" s="156"/>
      <c r="Y1477" s="156"/>
      <c r="Z1477" s="157"/>
      <c r="AA1477" s="157"/>
      <c r="AB1477" s="156"/>
      <c r="AC1477" s="156"/>
      <c r="AD1477" s="156"/>
      <c r="AE1477" s="156"/>
      <c r="AF1477" s="156"/>
      <c r="AG1477" s="156"/>
      <c r="AH1477" s="156"/>
      <c r="AI1477" s="156"/>
      <c r="AJ1477" s="156"/>
      <c r="AK1477" s="156"/>
      <c r="AL1477" s="156"/>
      <c r="AM1477" s="158"/>
      <c r="AN1477" s="156"/>
      <c r="AO1477" s="156"/>
      <c r="AP1477" s="156"/>
      <c r="AQ1477" s="156"/>
      <c r="AR1477" s="156"/>
      <c r="AS1477" s="156"/>
      <c r="AT1477" s="156"/>
      <c r="AU1477" s="156"/>
      <c r="AV1477" s="156"/>
      <c r="AW1477" s="156"/>
      <c r="AX1477" s="156"/>
      <c r="AY1477" s="156"/>
      <c r="AZ1477" s="156"/>
      <c r="BA1477" s="153"/>
      <c r="BD1477" s="153"/>
      <c r="BE1477" s="147"/>
      <c r="BI1477" s="153"/>
      <c r="BO1477" s="153"/>
      <c r="BW1477" s="153"/>
      <c r="CD1477" s="146"/>
      <c r="CF1477" s="147"/>
      <c r="CI1477" s="146"/>
      <c r="CJ1477" s="153"/>
      <c r="CV1477" s="154"/>
      <c r="CX1477" s="154"/>
      <c r="CZ1477" s="154"/>
      <c r="DB1477" s="154"/>
      <c r="DD1477" s="154"/>
      <c r="DH1477" s="474"/>
      <c r="DI1477" s="459"/>
      <c r="DJ1477" s="459"/>
      <c r="DK1477" s="459"/>
      <c r="DL1477" s="459"/>
      <c r="DM1477" s="459"/>
      <c r="DN1477" s="459"/>
      <c r="DO1477" s="459"/>
      <c r="DP1477" s="459"/>
      <c r="DQ1477" s="459"/>
      <c r="DR1477" s="459"/>
      <c r="DS1477" s="459"/>
      <c r="DT1477" s="459"/>
      <c r="DU1477" s="459"/>
      <c r="DV1477" s="468"/>
      <c r="DW1477" s="468"/>
      <c r="DX1477" s="459"/>
      <c r="DY1477" s="459"/>
    </row>
    <row r="1478" spans="1:129" s="128" customFormat="1" ht="39.950000000000003" customHeight="1" x14ac:dyDescent="0.25">
      <c r="A1478" s="377"/>
      <c r="B1478" s="6"/>
      <c r="C1478" s="406"/>
      <c r="D1478" s="407"/>
      <c r="E1478" s="407"/>
      <c r="F1478" s="407"/>
      <c r="G1478" s="407"/>
      <c r="H1478" s="407"/>
      <c r="I1478" s="407"/>
      <c r="J1478" s="6"/>
      <c r="K1478" s="6"/>
      <c r="L1478" s="6"/>
      <c r="M1478" s="6"/>
      <c r="N1478" s="385"/>
      <c r="O1478" s="433"/>
      <c r="P1478" s="122"/>
      <c r="Q1478" s="156"/>
      <c r="R1478" s="156"/>
      <c r="S1478" s="156"/>
      <c r="T1478" s="156"/>
      <c r="U1478" s="156"/>
      <c r="V1478" s="156"/>
      <c r="W1478" s="156"/>
      <c r="X1478" s="156"/>
      <c r="Y1478" s="156"/>
      <c r="Z1478" s="157"/>
      <c r="AA1478" s="157"/>
      <c r="AB1478" s="156"/>
      <c r="AC1478" s="156"/>
      <c r="AD1478" s="156"/>
      <c r="AE1478" s="156"/>
      <c r="AF1478" s="156"/>
      <c r="AG1478" s="156"/>
      <c r="AH1478" s="156"/>
      <c r="AI1478" s="156"/>
      <c r="AJ1478" s="156"/>
      <c r="AK1478" s="156"/>
      <c r="AL1478" s="156"/>
      <c r="AM1478" s="158"/>
      <c r="AN1478" s="156"/>
      <c r="AO1478" s="156"/>
      <c r="AP1478" s="156"/>
      <c r="AQ1478" s="156"/>
      <c r="AR1478" s="156"/>
      <c r="AS1478" s="156"/>
      <c r="AT1478" s="156"/>
      <c r="AU1478" s="156"/>
      <c r="AV1478" s="156"/>
      <c r="AW1478" s="156"/>
      <c r="AX1478" s="156"/>
      <c r="AY1478" s="156"/>
      <c r="AZ1478" s="156"/>
      <c r="BA1478" s="153"/>
      <c r="BD1478" s="153"/>
      <c r="BE1478" s="147"/>
      <c r="BI1478" s="153"/>
      <c r="BO1478" s="153"/>
      <c r="BW1478" s="153"/>
      <c r="CD1478" s="146"/>
      <c r="CF1478" s="147"/>
      <c r="CI1478" s="146"/>
      <c r="CJ1478" s="153"/>
      <c r="CV1478" s="154"/>
      <c r="CX1478" s="154"/>
      <c r="CZ1478" s="154"/>
      <c r="DB1478" s="154"/>
      <c r="DD1478" s="154"/>
      <c r="DH1478" s="474"/>
      <c r="DI1478" s="459"/>
      <c r="DJ1478" s="459"/>
      <c r="DK1478" s="459"/>
      <c r="DL1478" s="459"/>
      <c r="DM1478" s="459"/>
      <c r="DN1478" s="459"/>
      <c r="DO1478" s="459"/>
      <c r="DP1478" s="459"/>
      <c r="DQ1478" s="459"/>
      <c r="DR1478" s="459"/>
      <c r="DS1478" s="459"/>
      <c r="DT1478" s="459"/>
      <c r="DU1478" s="459"/>
      <c r="DV1478" s="468"/>
      <c r="DW1478" s="468"/>
      <c r="DX1478" s="459"/>
      <c r="DY1478" s="459"/>
    </row>
    <row r="1479" spans="1:129" s="128" customFormat="1" ht="39.950000000000003" customHeight="1" x14ac:dyDescent="0.25">
      <c r="A1479" s="377"/>
      <c r="B1479" s="6"/>
      <c r="C1479" s="406"/>
      <c r="D1479" s="407"/>
      <c r="E1479" s="407"/>
      <c r="F1479" s="407"/>
      <c r="G1479" s="407"/>
      <c r="H1479" s="407"/>
      <c r="I1479" s="407"/>
      <c r="J1479" s="6"/>
      <c r="K1479" s="6"/>
      <c r="L1479" s="6"/>
      <c r="M1479" s="6"/>
      <c r="N1479" s="385"/>
      <c r="O1479" s="433"/>
      <c r="P1479" s="122"/>
      <c r="Q1479" s="156"/>
      <c r="R1479" s="156"/>
      <c r="S1479" s="156"/>
      <c r="T1479" s="156"/>
      <c r="U1479" s="156"/>
      <c r="V1479" s="156"/>
      <c r="W1479" s="156"/>
      <c r="X1479" s="156"/>
      <c r="Y1479" s="156"/>
      <c r="Z1479" s="157"/>
      <c r="AA1479" s="157"/>
      <c r="AB1479" s="156"/>
      <c r="AC1479" s="156"/>
      <c r="AD1479" s="156"/>
      <c r="AE1479" s="156"/>
      <c r="AF1479" s="156"/>
      <c r="AG1479" s="156"/>
      <c r="AH1479" s="156"/>
      <c r="AI1479" s="156"/>
      <c r="AJ1479" s="156"/>
      <c r="AK1479" s="156"/>
      <c r="AL1479" s="156"/>
      <c r="AM1479" s="158"/>
      <c r="AN1479" s="156"/>
      <c r="AO1479" s="156"/>
      <c r="AP1479" s="156"/>
      <c r="AQ1479" s="156"/>
      <c r="AR1479" s="156"/>
      <c r="AS1479" s="156"/>
      <c r="AT1479" s="156"/>
      <c r="AU1479" s="156"/>
      <c r="AV1479" s="156"/>
      <c r="AW1479" s="156"/>
      <c r="AX1479" s="156"/>
      <c r="AY1479" s="156"/>
      <c r="AZ1479" s="156"/>
      <c r="BA1479" s="153"/>
      <c r="BD1479" s="153"/>
      <c r="BE1479" s="147"/>
      <c r="BI1479" s="153"/>
      <c r="BO1479" s="153"/>
      <c r="BW1479" s="153"/>
      <c r="CD1479" s="146"/>
      <c r="CF1479" s="147"/>
      <c r="CI1479" s="146"/>
      <c r="CJ1479" s="153"/>
      <c r="CV1479" s="154"/>
      <c r="CX1479" s="154"/>
      <c r="CZ1479" s="154"/>
      <c r="DB1479" s="154"/>
      <c r="DD1479" s="154"/>
      <c r="DH1479" s="474"/>
      <c r="DI1479" s="459"/>
      <c r="DJ1479" s="459"/>
      <c r="DK1479" s="459"/>
      <c r="DL1479" s="459"/>
      <c r="DM1479" s="459"/>
      <c r="DN1479" s="459"/>
      <c r="DO1479" s="459"/>
      <c r="DP1479" s="459"/>
      <c r="DQ1479" s="459"/>
      <c r="DR1479" s="459"/>
      <c r="DS1479" s="459"/>
      <c r="DT1479" s="459"/>
      <c r="DU1479" s="459"/>
      <c r="DV1479" s="468"/>
      <c r="DW1479" s="468"/>
      <c r="DX1479" s="459"/>
      <c r="DY1479" s="459"/>
    </row>
    <row r="1480" spans="1:129" s="128" customFormat="1" ht="39.950000000000003" customHeight="1" x14ac:dyDescent="0.25">
      <c r="A1480" s="377"/>
      <c r="B1480" s="6"/>
      <c r="C1480" s="406"/>
      <c r="D1480" s="407"/>
      <c r="E1480" s="407"/>
      <c r="F1480" s="407"/>
      <c r="G1480" s="407"/>
      <c r="H1480" s="407"/>
      <c r="I1480" s="407"/>
      <c r="J1480" s="6"/>
      <c r="K1480" s="6"/>
      <c r="L1480" s="6"/>
      <c r="M1480" s="6"/>
      <c r="N1480" s="385"/>
      <c r="O1480" s="433"/>
      <c r="P1480" s="122"/>
      <c r="Q1480" s="156"/>
      <c r="R1480" s="156"/>
      <c r="S1480" s="156"/>
      <c r="T1480" s="156"/>
      <c r="U1480" s="156"/>
      <c r="V1480" s="156"/>
      <c r="W1480" s="156"/>
      <c r="X1480" s="156"/>
      <c r="Y1480" s="156"/>
      <c r="Z1480" s="157"/>
      <c r="AA1480" s="157"/>
      <c r="AB1480" s="156"/>
      <c r="AC1480" s="156"/>
      <c r="AD1480" s="156"/>
      <c r="AE1480" s="156"/>
      <c r="AF1480" s="156"/>
      <c r="AG1480" s="156"/>
      <c r="AH1480" s="156"/>
      <c r="AI1480" s="156"/>
      <c r="AJ1480" s="156"/>
      <c r="AK1480" s="156"/>
      <c r="AL1480" s="156"/>
      <c r="AM1480" s="158"/>
      <c r="AN1480" s="156"/>
      <c r="AO1480" s="156"/>
      <c r="AP1480" s="156"/>
      <c r="AQ1480" s="156"/>
      <c r="AR1480" s="156"/>
      <c r="AS1480" s="156"/>
      <c r="AT1480" s="156"/>
      <c r="AU1480" s="156"/>
      <c r="AV1480" s="156"/>
      <c r="AW1480" s="156"/>
      <c r="AX1480" s="156"/>
      <c r="AY1480" s="156"/>
      <c r="AZ1480" s="156"/>
      <c r="BA1480" s="153"/>
      <c r="BD1480" s="153"/>
      <c r="BE1480" s="147"/>
      <c r="BI1480" s="153"/>
      <c r="BO1480" s="153"/>
      <c r="BW1480" s="153"/>
      <c r="CD1480" s="146"/>
      <c r="CF1480" s="147"/>
      <c r="CI1480" s="146"/>
      <c r="CJ1480" s="153"/>
      <c r="CV1480" s="154"/>
      <c r="CX1480" s="154"/>
      <c r="CZ1480" s="154"/>
      <c r="DB1480" s="154"/>
      <c r="DD1480" s="154"/>
      <c r="DH1480" s="474"/>
      <c r="DI1480" s="459"/>
      <c r="DJ1480" s="459"/>
      <c r="DK1480" s="459"/>
      <c r="DL1480" s="459"/>
      <c r="DM1480" s="459"/>
      <c r="DN1480" s="459"/>
      <c r="DO1480" s="459"/>
      <c r="DP1480" s="459"/>
      <c r="DQ1480" s="459"/>
      <c r="DR1480" s="459"/>
      <c r="DS1480" s="459"/>
      <c r="DT1480" s="459"/>
      <c r="DU1480" s="459"/>
      <c r="DV1480" s="468"/>
      <c r="DW1480" s="468"/>
      <c r="DX1480" s="459"/>
      <c r="DY1480" s="459"/>
    </row>
    <row r="1481" spans="1:129" s="128" customFormat="1" ht="39.950000000000003" customHeight="1" x14ac:dyDescent="0.25">
      <c r="A1481" s="377"/>
      <c r="B1481" s="6"/>
      <c r="C1481" s="406"/>
      <c r="D1481" s="407"/>
      <c r="E1481" s="407"/>
      <c r="F1481" s="407"/>
      <c r="G1481" s="407"/>
      <c r="H1481" s="407"/>
      <c r="I1481" s="407"/>
      <c r="J1481" s="6"/>
      <c r="K1481" s="6"/>
      <c r="L1481" s="6"/>
      <c r="M1481" s="6"/>
      <c r="N1481" s="385"/>
      <c r="O1481" s="433"/>
      <c r="P1481" s="122"/>
      <c r="Q1481" s="156"/>
      <c r="R1481" s="156"/>
      <c r="S1481" s="156"/>
      <c r="T1481" s="156"/>
      <c r="U1481" s="156"/>
      <c r="V1481" s="156"/>
      <c r="W1481" s="156"/>
      <c r="X1481" s="156"/>
      <c r="Y1481" s="156"/>
      <c r="Z1481" s="157"/>
      <c r="AA1481" s="157"/>
      <c r="AB1481" s="156"/>
      <c r="AC1481" s="156"/>
      <c r="AD1481" s="156"/>
      <c r="AE1481" s="156"/>
      <c r="AF1481" s="156"/>
      <c r="AG1481" s="156"/>
      <c r="AH1481" s="156"/>
      <c r="AI1481" s="156"/>
      <c r="AJ1481" s="156"/>
      <c r="AK1481" s="156"/>
      <c r="AL1481" s="156"/>
      <c r="AM1481" s="158"/>
      <c r="AN1481" s="156"/>
      <c r="AO1481" s="156"/>
      <c r="AP1481" s="156"/>
      <c r="AQ1481" s="156"/>
      <c r="AR1481" s="156"/>
      <c r="AS1481" s="156"/>
      <c r="AT1481" s="156"/>
      <c r="AU1481" s="156"/>
      <c r="AV1481" s="156"/>
      <c r="AW1481" s="156"/>
      <c r="AX1481" s="156"/>
      <c r="AY1481" s="156"/>
      <c r="AZ1481" s="156"/>
      <c r="BA1481" s="153"/>
      <c r="BD1481" s="153"/>
      <c r="BE1481" s="147"/>
      <c r="BI1481" s="153"/>
      <c r="BO1481" s="153"/>
      <c r="BW1481" s="153"/>
      <c r="CD1481" s="146"/>
      <c r="CF1481" s="147"/>
      <c r="CI1481" s="146"/>
      <c r="CJ1481" s="153"/>
      <c r="CV1481" s="154"/>
      <c r="CX1481" s="154"/>
      <c r="CZ1481" s="154"/>
      <c r="DB1481" s="154"/>
      <c r="DD1481" s="154"/>
      <c r="DH1481" s="474"/>
      <c r="DI1481" s="459"/>
      <c r="DJ1481" s="459"/>
      <c r="DK1481" s="459"/>
      <c r="DL1481" s="459"/>
      <c r="DM1481" s="459"/>
      <c r="DN1481" s="459"/>
      <c r="DO1481" s="459"/>
      <c r="DP1481" s="459"/>
      <c r="DQ1481" s="459"/>
      <c r="DR1481" s="459"/>
      <c r="DS1481" s="459"/>
      <c r="DT1481" s="459"/>
      <c r="DU1481" s="459"/>
      <c r="DV1481" s="468"/>
      <c r="DW1481" s="468"/>
      <c r="DX1481" s="459"/>
      <c r="DY1481" s="459"/>
    </row>
    <row r="1482" spans="1:129" s="128" customFormat="1" ht="39.950000000000003" customHeight="1" x14ac:dyDescent="0.25">
      <c r="A1482" s="377"/>
      <c r="B1482" s="6"/>
      <c r="C1482" s="406"/>
      <c r="D1482" s="407"/>
      <c r="E1482" s="407"/>
      <c r="F1482" s="407"/>
      <c r="G1482" s="407"/>
      <c r="H1482" s="407"/>
      <c r="I1482" s="407"/>
      <c r="J1482" s="6"/>
      <c r="K1482" s="6"/>
      <c r="L1482" s="6"/>
      <c r="M1482" s="6"/>
      <c r="N1482" s="385"/>
      <c r="O1482" s="433"/>
      <c r="P1482" s="122"/>
      <c r="Q1482" s="156"/>
      <c r="R1482" s="156"/>
      <c r="S1482" s="156"/>
      <c r="T1482" s="156"/>
      <c r="U1482" s="156"/>
      <c r="V1482" s="156"/>
      <c r="W1482" s="156"/>
      <c r="X1482" s="156"/>
      <c r="Y1482" s="156"/>
      <c r="Z1482" s="157"/>
      <c r="AA1482" s="157"/>
      <c r="AB1482" s="156"/>
      <c r="AC1482" s="156"/>
      <c r="AD1482" s="156"/>
      <c r="AE1482" s="156"/>
      <c r="AF1482" s="156"/>
      <c r="AG1482" s="156"/>
      <c r="AH1482" s="156"/>
      <c r="AI1482" s="156"/>
      <c r="AJ1482" s="156"/>
      <c r="AK1482" s="156"/>
      <c r="AL1482" s="156"/>
      <c r="AM1482" s="158"/>
      <c r="AN1482" s="156"/>
      <c r="AO1482" s="156"/>
      <c r="AP1482" s="156"/>
      <c r="AQ1482" s="156"/>
      <c r="AR1482" s="156"/>
      <c r="AS1482" s="156"/>
      <c r="AT1482" s="156"/>
      <c r="AU1482" s="156"/>
      <c r="AV1482" s="156"/>
      <c r="AW1482" s="156"/>
      <c r="AX1482" s="156"/>
      <c r="AY1482" s="156"/>
      <c r="AZ1482" s="156"/>
      <c r="BA1482" s="153"/>
      <c r="BD1482" s="153"/>
      <c r="BE1482" s="147"/>
      <c r="BI1482" s="153"/>
      <c r="BO1482" s="153"/>
      <c r="BW1482" s="153"/>
      <c r="CD1482" s="146"/>
      <c r="CF1482" s="147"/>
      <c r="CI1482" s="146"/>
      <c r="CJ1482" s="153"/>
      <c r="CV1482" s="154"/>
      <c r="CX1482" s="154"/>
      <c r="CZ1482" s="154"/>
      <c r="DB1482" s="154"/>
      <c r="DD1482" s="154"/>
      <c r="DH1482" s="474"/>
      <c r="DI1482" s="459"/>
      <c r="DJ1482" s="459"/>
      <c r="DK1482" s="459"/>
      <c r="DL1482" s="459"/>
      <c r="DM1482" s="459"/>
      <c r="DN1482" s="459"/>
      <c r="DO1482" s="459"/>
      <c r="DP1482" s="459"/>
      <c r="DQ1482" s="459"/>
      <c r="DR1482" s="459"/>
      <c r="DS1482" s="459"/>
      <c r="DT1482" s="459"/>
      <c r="DU1482" s="459"/>
      <c r="DV1482" s="468"/>
      <c r="DW1482" s="468"/>
      <c r="DX1482" s="459"/>
      <c r="DY1482" s="459"/>
    </row>
    <row r="1483" spans="1:129" s="128" customFormat="1" ht="39.950000000000003" customHeight="1" x14ac:dyDescent="0.25">
      <c r="A1483" s="377"/>
      <c r="B1483" s="6"/>
      <c r="C1483" s="406"/>
      <c r="D1483" s="407"/>
      <c r="E1483" s="407"/>
      <c r="F1483" s="407"/>
      <c r="G1483" s="407"/>
      <c r="H1483" s="407"/>
      <c r="I1483" s="407"/>
      <c r="J1483" s="6"/>
      <c r="K1483" s="6"/>
      <c r="L1483" s="6"/>
      <c r="M1483" s="6"/>
      <c r="N1483" s="385"/>
      <c r="O1483" s="433"/>
      <c r="P1483" s="122"/>
      <c r="Q1483" s="156"/>
      <c r="R1483" s="156"/>
      <c r="S1483" s="156"/>
      <c r="T1483" s="156"/>
      <c r="U1483" s="156"/>
      <c r="V1483" s="156"/>
      <c r="W1483" s="156"/>
      <c r="X1483" s="156"/>
      <c r="Y1483" s="156"/>
      <c r="Z1483" s="157"/>
      <c r="AA1483" s="157"/>
      <c r="AB1483" s="156"/>
      <c r="AC1483" s="156"/>
      <c r="AD1483" s="156"/>
      <c r="AE1483" s="156"/>
      <c r="AF1483" s="156"/>
      <c r="AG1483" s="156"/>
      <c r="AH1483" s="156"/>
      <c r="AI1483" s="156"/>
      <c r="AJ1483" s="156"/>
      <c r="AK1483" s="156"/>
      <c r="AL1483" s="156"/>
      <c r="AM1483" s="158"/>
      <c r="AN1483" s="156"/>
      <c r="AO1483" s="156"/>
      <c r="AP1483" s="156"/>
      <c r="AQ1483" s="156"/>
      <c r="AR1483" s="156"/>
      <c r="AS1483" s="156"/>
      <c r="AT1483" s="156"/>
      <c r="AU1483" s="156"/>
      <c r="AV1483" s="156"/>
      <c r="AW1483" s="156"/>
      <c r="AX1483" s="156"/>
      <c r="AY1483" s="156"/>
      <c r="AZ1483" s="156"/>
      <c r="BA1483" s="153"/>
      <c r="BD1483" s="153"/>
      <c r="BE1483" s="147"/>
      <c r="BI1483" s="153"/>
      <c r="BO1483" s="153"/>
      <c r="BW1483" s="153"/>
      <c r="CD1483" s="146"/>
      <c r="CF1483" s="147"/>
      <c r="CI1483" s="146"/>
      <c r="CJ1483" s="153"/>
      <c r="CV1483" s="154"/>
      <c r="CX1483" s="154"/>
      <c r="CZ1483" s="154"/>
      <c r="DB1483" s="154"/>
      <c r="DD1483" s="154"/>
      <c r="DH1483" s="474"/>
      <c r="DI1483" s="459"/>
      <c r="DJ1483" s="459"/>
      <c r="DK1483" s="459"/>
      <c r="DL1483" s="459"/>
      <c r="DM1483" s="459"/>
      <c r="DN1483" s="459"/>
      <c r="DO1483" s="459"/>
      <c r="DP1483" s="459"/>
      <c r="DQ1483" s="459"/>
      <c r="DR1483" s="459"/>
      <c r="DS1483" s="459"/>
      <c r="DT1483" s="459"/>
      <c r="DU1483" s="459"/>
      <c r="DV1483" s="468"/>
      <c r="DW1483" s="468"/>
      <c r="DX1483" s="459"/>
      <c r="DY1483" s="459"/>
    </row>
    <row r="1484" spans="1:129" s="128" customFormat="1" ht="39.950000000000003" customHeight="1" x14ac:dyDescent="0.25">
      <c r="A1484" s="377"/>
      <c r="B1484" s="6"/>
      <c r="C1484" s="406"/>
      <c r="D1484" s="407"/>
      <c r="E1484" s="407"/>
      <c r="F1484" s="407"/>
      <c r="G1484" s="407"/>
      <c r="H1484" s="407"/>
      <c r="I1484" s="407"/>
      <c r="J1484" s="6"/>
      <c r="K1484" s="6"/>
      <c r="L1484" s="6"/>
      <c r="M1484" s="6"/>
      <c r="N1484" s="385"/>
      <c r="O1484" s="433"/>
      <c r="P1484" s="122"/>
      <c r="Q1484" s="156"/>
      <c r="R1484" s="156"/>
      <c r="S1484" s="156"/>
      <c r="T1484" s="156"/>
      <c r="U1484" s="156"/>
      <c r="V1484" s="156"/>
      <c r="W1484" s="156"/>
      <c r="X1484" s="156"/>
      <c r="Y1484" s="156"/>
      <c r="Z1484" s="157"/>
      <c r="AA1484" s="157"/>
      <c r="AB1484" s="156"/>
      <c r="AC1484" s="156"/>
      <c r="AD1484" s="156"/>
      <c r="AE1484" s="156"/>
      <c r="AF1484" s="156"/>
      <c r="AG1484" s="156"/>
      <c r="AH1484" s="156"/>
      <c r="AI1484" s="156"/>
      <c r="AJ1484" s="156"/>
      <c r="AK1484" s="156"/>
      <c r="AL1484" s="156"/>
      <c r="AM1484" s="158"/>
      <c r="AN1484" s="156"/>
      <c r="AO1484" s="156"/>
      <c r="AP1484" s="156"/>
      <c r="AQ1484" s="156"/>
      <c r="AR1484" s="156"/>
      <c r="AS1484" s="156"/>
      <c r="AT1484" s="156"/>
      <c r="AU1484" s="156"/>
      <c r="AV1484" s="156"/>
      <c r="AW1484" s="156"/>
      <c r="AX1484" s="156"/>
      <c r="AY1484" s="156"/>
      <c r="AZ1484" s="156"/>
      <c r="BA1484" s="153"/>
      <c r="BD1484" s="153"/>
      <c r="BE1484" s="147"/>
      <c r="BI1484" s="153"/>
      <c r="BO1484" s="153"/>
      <c r="BW1484" s="153"/>
      <c r="CD1484" s="146"/>
      <c r="CF1484" s="147"/>
      <c r="CI1484" s="146"/>
      <c r="CJ1484" s="153"/>
      <c r="CV1484" s="154"/>
      <c r="CX1484" s="154"/>
      <c r="CZ1484" s="154"/>
      <c r="DB1484" s="154"/>
      <c r="DD1484" s="154"/>
      <c r="DH1484" s="474"/>
      <c r="DI1484" s="459"/>
      <c r="DJ1484" s="459"/>
      <c r="DK1484" s="459"/>
      <c r="DL1484" s="459"/>
      <c r="DM1484" s="459"/>
      <c r="DN1484" s="459"/>
      <c r="DO1484" s="459"/>
      <c r="DP1484" s="459"/>
      <c r="DQ1484" s="459"/>
      <c r="DR1484" s="459"/>
      <c r="DS1484" s="459"/>
      <c r="DT1484" s="459"/>
      <c r="DU1484" s="459"/>
      <c r="DV1484" s="468"/>
      <c r="DW1484" s="468"/>
      <c r="DX1484" s="459"/>
      <c r="DY1484" s="459"/>
    </row>
    <row r="1485" spans="1:129" s="128" customFormat="1" ht="39.950000000000003" customHeight="1" x14ac:dyDescent="0.25">
      <c r="A1485" s="377"/>
      <c r="B1485" s="6"/>
      <c r="C1485" s="406"/>
      <c r="D1485" s="407"/>
      <c r="E1485" s="407"/>
      <c r="F1485" s="407"/>
      <c r="G1485" s="407"/>
      <c r="H1485" s="407"/>
      <c r="I1485" s="407"/>
      <c r="J1485" s="6"/>
      <c r="K1485" s="6"/>
      <c r="L1485" s="6"/>
      <c r="M1485" s="6"/>
      <c r="N1485" s="385"/>
      <c r="O1485" s="433"/>
      <c r="P1485" s="122"/>
      <c r="Q1485" s="156"/>
      <c r="R1485" s="156"/>
      <c r="S1485" s="156"/>
      <c r="T1485" s="156"/>
      <c r="U1485" s="156"/>
      <c r="V1485" s="156"/>
      <c r="W1485" s="156"/>
      <c r="X1485" s="156"/>
      <c r="Y1485" s="156"/>
      <c r="Z1485" s="157"/>
      <c r="AA1485" s="157"/>
      <c r="AB1485" s="156"/>
      <c r="AC1485" s="156"/>
      <c r="AD1485" s="156"/>
      <c r="AE1485" s="156"/>
      <c r="AF1485" s="156"/>
      <c r="AG1485" s="156"/>
      <c r="AH1485" s="156"/>
      <c r="AI1485" s="156"/>
      <c r="AJ1485" s="156"/>
      <c r="AK1485" s="156"/>
      <c r="AL1485" s="156"/>
      <c r="AM1485" s="158"/>
      <c r="AN1485" s="156"/>
      <c r="AO1485" s="156"/>
      <c r="AP1485" s="156"/>
      <c r="AQ1485" s="156"/>
      <c r="AR1485" s="156"/>
      <c r="AS1485" s="156"/>
      <c r="AT1485" s="156"/>
      <c r="AU1485" s="156"/>
      <c r="AV1485" s="156"/>
      <c r="AW1485" s="156"/>
      <c r="AX1485" s="156"/>
      <c r="AY1485" s="156"/>
      <c r="AZ1485" s="156"/>
      <c r="BA1485" s="153"/>
      <c r="BD1485" s="153"/>
      <c r="BE1485" s="147"/>
      <c r="BI1485" s="153"/>
      <c r="BO1485" s="153"/>
      <c r="BW1485" s="153"/>
      <c r="CD1485" s="146"/>
      <c r="CF1485" s="147"/>
      <c r="CI1485" s="146"/>
      <c r="CJ1485" s="153"/>
      <c r="CV1485" s="154"/>
      <c r="CX1485" s="154"/>
      <c r="CZ1485" s="154"/>
      <c r="DB1485" s="154"/>
      <c r="DD1485" s="154"/>
      <c r="DH1485" s="474"/>
      <c r="DI1485" s="459"/>
      <c r="DJ1485" s="459"/>
      <c r="DK1485" s="459"/>
      <c r="DL1485" s="459"/>
      <c r="DM1485" s="459"/>
      <c r="DN1485" s="459"/>
      <c r="DO1485" s="459"/>
      <c r="DP1485" s="459"/>
      <c r="DQ1485" s="459"/>
      <c r="DR1485" s="459"/>
      <c r="DS1485" s="459"/>
      <c r="DT1485" s="459"/>
      <c r="DU1485" s="459"/>
      <c r="DV1485" s="468"/>
      <c r="DW1485" s="468"/>
      <c r="DX1485" s="459"/>
      <c r="DY1485" s="459"/>
    </row>
    <row r="1486" spans="1:129" s="128" customFormat="1" ht="39.950000000000003" customHeight="1" x14ac:dyDescent="0.25">
      <c r="A1486" s="377"/>
      <c r="B1486" s="6"/>
      <c r="C1486" s="406"/>
      <c r="D1486" s="407"/>
      <c r="E1486" s="407"/>
      <c r="F1486" s="407"/>
      <c r="G1486" s="407"/>
      <c r="H1486" s="407"/>
      <c r="I1486" s="407"/>
      <c r="J1486" s="6"/>
      <c r="K1486" s="6"/>
      <c r="L1486" s="6"/>
      <c r="M1486" s="6"/>
      <c r="N1486" s="385"/>
      <c r="O1486" s="433"/>
      <c r="P1486" s="122"/>
      <c r="Q1486" s="156"/>
      <c r="R1486" s="156"/>
      <c r="S1486" s="156"/>
      <c r="T1486" s="156"/>
      <c r="U1486" s="156"/>
      <c r="V1486" s="156"/>
      <c r="W1486" s="156"/>
      <c r="X1486" s="156"/>
      <c r="Y1486" s="156"/>
      <c r="Z1486" s="157"/>
      <c r="AA1486" s="157"/>
      <c r="AB1486" s="156"/>
      <c r="AC1486" s="156"/>
      <c r="AD1486" s="156"/>
      <c r="AE1486" s="156"/>
      <c r="AF1486" s="156"/>
      <c r="AG1486" s="156"/>
      <c r="AH1486" s="156"/>
      <c r="AI1486" s="156"/>
      <c r="AJ1486" s="156"/>
      <c r="AK1486" s="156"/>
      <c r="AL1486" s="156"/>
      <c r="AM1486" s="158"/>
      <c r="AN1486" s="156"/>
      <c r="AO1486" s="156"/>
      <c r="AP1486" s="156"/>
      <c r="AQ1486" s="156"/>
      <c r="AR1486" s="156"/>
      <c r="AS1486" s="156"/>
      <c r="AT1486" s="156"/>
      <c r="AU1486" s="156"/>
      <c r="AV1486" s="156"/>
      <c r="AW1486" s="156"/>
      <c r="AX1486" s="156"/>
      <c r="AY1486" s="156"/>
      <c r="AZ1486" s="156"/>
      <c r="BA1486" s="153"/>
      <c r="BD1486" s="153"/>
      <c r="BE1486" s="147"/>
      <c r="BI1486" s="153"/>
      <c r="BO1486" s="153"/>
      <c r="BW1486" s="153"/>
      <c r="CD1486" s="146"/>
      <c r="CF1486" s="147"/>
      <c r="CI1486" s="146"/>
      <c r="CJ1486" s="153"/>
      <c r="CV1486" s="154"/>
      <c r="CX1486" s="154"/>
      <c r="CZ1486" s="154"/>
      <c r="DB1486" s="154"/>
      <c r="DD1486" s="154"/>
      <c r="DH1486" s="474"/>
      <c r="DI1486" s="459"/>
      <c r="DJ1486" s="459"/>
      <c r="DK1486" s="459"/>
      <c r="DL1486" s="459"/>
      <c r="DM1486" s="459"/>
      <c r="DN1486" s="459"/>
      <c r="DO1486" s="459"/>
      <c r="DP1486" s="459"/>
      <c r="DQ1486" s="459"/>
      <c r="DR1486" s="459"/>
      <c r="DS1486" s="459"/>
      <c r="DT1486" s="459"/>
      <c r="DU1486" s="459"/>
      <c r="DV1486" s="468"/>
      <c r="DW1486" s="468"/>
      <c r="DX1486" s="459"/>
      <c r="DY1486" s="459"/>
    </row>
    <row r="1487" spans="1:129" s="128" customFormat="1" ht="39.950000000000003" customHeight="1" x14ac:dyDescent="0.25">
      <c r="A1487" s="377"/>
      <c r="B1487" s="6"/>
      <c r="C1487" s="406"/>
      <c r="D1487" s="407"/>
      <c r="E1487" s="407"/>
      <c r="F1487" s="407"/>
      <c r="G1487" s="407"/>
      <c r="H1487" s="407"/>
      <c r="I1487" s="407"/>
      <c r="J1487" s="6"/>
      <c r="K1487" s="6"/>
      <c r="L1487" s="6"/>
      <c r="M1487" s="6"/>
      <c r="N1487" s="385"/>
      <c r="O1487" s="433"/>
      <c r="P1487" s="122"/>
      <c r="Q1487" s="156"/>
      <c r="R1487" s="156"/>
      <c r="S1487" s="156"/>
      <c r="T1487" s="156"/>
      <c r="U1487" s="156"/>
      <c r="V1487" s="156"/>
      <c r="W1487" s="156"/>
      <c r="X1487" s="156"/>
      <c r="Y1487" s="156"/>
      <c r="Z1487" s="157"/>
      <c r="AA1487" s="157"/>
      <c r="AB1487" s="156"/>
      <c r="AC1487" s="156"/>
      <c r="AD1487" s="156"/>
      <c r="AE1487" s="156"/>
      <c r="AF1487" s="156"/>
      <c r="AG1487" s="156"/>
      <c r="AH1487" s="156"/>
      <c r="AI1487" s="156"/>
      <c r="AJ1487" s="156"/>
      <c r="AK1487" s="156"/>
      <c r="AL1487" s="156"/>
      <c r="AM1487" s="158"/>
      <c r="AN1487" s="156"/>
      <c r="AO1487" s="156"/>
      <c r="AP1487" s="156"/>
      <c r="AQ1487" s="156"/>
      <c r="AR1487" s="156"/>
      <c r="AS1487" s="156"/>
      <c r="AT1487" s="156"/>
      <c r="AU1487" s="156"/>
      <c r="AV1487" s="156"/>
      <c r="AW1487" s="156"/>
      <c r="AX1487" s="156"/>
      <c r="AY1487" s="156"/>
      <c r="AZ1487" s="156"/>
      <c r="BA1487" s="153"/>
      <c r="BD1487" s="153"/>
      <c r="BE1487" s="147"/>
      <c r="BI1487" s="153"/>
      <c r="BO1487" s="153"/>
      <c r="BW1487" s="153"/>
      <c r="CD1487" s="146"/>
      <c r="CF1487" s="147"/>
      <c r="CI1487" s="146"/>
      <c r="CJ1487" s="153"/>
      <c r="CV1487" s="154"/>
      <c r="CX1487" s="154"/>
      <c r="CZ1487" s="154"/>
      <c r="DB1487" s="154"/>
      <c r="DD1487" s="154"/>
      <c r="DH1487" s="474"/>
      <c r="DI1487" s="459"/>
      <c r="DJ1487" s="459"/>
      <c r="DK1487" s="459"/>
      <c r="DL1487" s="459"/>
      <c r="DM1487" s="459"/>
      <c r="DN1487" s="459"/>
      <c r="DO1487" s="459"/>
      <c r="DP1487" s="459"/>
      <c r="DQ1487" s="459"/>
      <c r="DR1487" s="459"/>
      <c r="DS1487" s="459"/>
      <c r="DT1487" s="459"/>
      <c r="DU1487" s="459"/>
      <c r="DV1487" s="468"/>
      <c r="DW1487" s="468"/>
      <c r="DX1487" s="459"/>
      <c r="DY1487" s="459"/>
    </row>
    <row r="1488" spans="1:129" s="128" customFormat="1" ht="39.950000000000003" customHeight="1" x14ac:dyDescent="0.25">
      <c r="A1488" s="377"/>
      <c r="B1488" s="6"/>
      <c r="C1488" s="406"/>
      <c r="D1488" s="407"/>
      <c r="E1488" s="407"/>
      <c r="F1488" s="407"/>
      <c r="G1488" s="407"/>
      <c r="H1488" s="407"/>
      <c r="I1488" s="407"/>
      <c r="J1488" s="6"/>
      <c r="K1488" s="6"/>
      <c r="L1488" s="6"/>
      <c r="M1488" s="6"/>
      <c r="N1488" s="385"/>
      <c r="O1488" s="433"/>
      <c r="P1488" s="122"/>
      <c r="Q1488" s="156"/>
      <c r="R1488" s="156"/>
      <c r="S1488" s="156"/>
      <c r="T1488" s="156"/>
      <c r="U1488" s="156"/>
      <c r="V1488" s="156"/>
      <c r="W1488" s="156"/>
      <c r="X1488" s="156"/>
      <c r="Y1488" s="156"/>
      <c r="Z1488" s="157"/>
      <c r="AA1488" s="157"/>
      <c r="AB1488" s="156"/>
      <c r="AC1488" s="156"/>
      <c r="AD1488" s="156"/>
      <c r="AE1488" s="156"/>
      <c r="AF1488" s="156"/>
      <c r="AG1488" s="156"/>
      <c r="AH1488" s="156"/>
      <c r="AI1488" s="156"/>
      <c r="AJ1488" s="156"/>
      <c r="AK1488" s="156"/>
      <c r="AL1488" s="156"/>
      <c r="AM1488" s="158"/>
      <c r="AN1488" s="156"/>
      <c r="AO1488" s="156"/>
      <c r="AP1488" s="156"/>
      <c r="AQ1488" s="156"/>
      <c r="AR1488" s="156"/>
      <c r="AS1488" s="156"/>
      <c r="AT1488" s="156"/>
      <c r="AU1488" s="156"/>
      <c r="AV1488" s="156"/>
      <c r="AW1488" s="156"/>
      <c r="AX1488" s="156"/>
      <c r="AY1488" s="156"/>
      <c r="AZ1488" s="156"/>
      <c r="BA1488" s="153"/>
      <c r="BD1488" s="153"/>
      <c r="BE1488" s="147"/>
      <c r="BI1488" s="153"/>
      <c r="BO1488" s="153"/>
      <c r="BW1488" s="153"/>
      <c r="CD1488" s="146"/>
      <c r="CF1488" s="147"/>
      <c r="CI1488" s="146"/>
      <c r="CJ1488" s="153"/>
      <c r="CV1488" s="154"/>
      <c r="CX1488" s="154"/>
      <c r="CZ1488" s="154"/>
      <c r="DB1488" s="154"/>
      <c r="DD1488" s="154"/>
      <c r="DH1488" s="474"/>
      <c r="DI1488" s="459"/>
      <c r="DJ1488" s="459"/>
      <c r="DK1488" s="459"/>
      <c r="DL1488" s="459"/>
      <c r="DM1488" s="459"/>
      <c r="DN1488" s="459"/>
      <c r="DO1488" s="459"/>
      <c r="DP1488" s="459"/>
      <c r="DQ1488" s="459"/>
      <c r="DR1488" s="459"/>
      <c r="DS1488" s="459"/>
      <c r="DT1488" s="459"/>
      <c r="DU1488" s="459"/>
      <c r="DV1488" s="468"/>
      <c r="DW1488" s="468"/>
      <c r="DX1488" s="459"/>
      <c r="DY1488" s="459"/>
    </row>
    <row r="1489" spans="1:129" s="128" customFormat="1" ht="39.950000000000003" customHeight="1" x14ac:dyDescent="0.25">
      <c r="A1489" s="377"/>
      <c r="B1489" s="6"/>
      <c r="C1489" s="406"/>
      <c r="D1489" s="407"/>
      <c r="E1489" s="407"/>
      <c r="F1489" s="407"/>
      <c r="G1489" s="407"/>
      <c r="H1489" s="407"/>
      <c r="I1489" s="407"/>
      <c r="J1489" s="6"/>
      <c r="K1489" s="6"/>
      <c r="L1489" s="6"/>
      <c r="M1489" s="6"/>
      <c r="N1489" s="385"/>
      <c r="O1489" s="433"/>
      <c r="P1489" s="122"/>
      <c r="Q1489" s="156"/>
      <c r="R1489" s="156"/>
      <c r="S1489" s="156"/>
      <c r="T1489" s="156"/>
      <c r="U1489" s="156"/>
      <c r="V1489" s="156"/>
      <c r="W1489" s="156"/>
      <c r="X1489" s="156"/>
      <c r="Y1489" s="156"/>
      <c r="Z1489" s="157"/>
      <c r="AA1489" s="157"/>
      <c r="AB1489" s="156"/>
      <c r="AC1489" s="156"/>
      <c r="AD1489" s="156"/>
      <c r="AE1489" s="156"/>
      <c r="AF1489" s="156"/>
      <c r="AG1489" s="156"/>
      <c r="AH1489" s="156"/>
      <c r="AI1489" s="156"/>
      <c r="AJ1489" s="156"/>
      <c r="AK1489" s="156"/>
      <c r="AL1489" s="156"/>
      <c r="AM1489" s="158"/>
      <c r="AN1489" s="156"/>
      <c r="AO1489" s="156"/>
      <c r="AP1489" s="156"/>
      <c r="AQ1489" s="156"/>
      <c r="AR1489" s="156"/>
      <c r="AS1489" s="156"/>
      <c r="AT1489" s="156"/>
      <c r="AU1489" s="156"/>
      <c r="AV1489" s="156"/>
      <c r="AW1489" s="156"/>
      <c r="AX1489" s="156"/>
      <c r="AY1489" s="156"/>
      <c r="AZ1489" s="156"/>
      <c r="BA1489" s="153"/>
      <c r="BD1489" s="153"/>
      <c r="BE1489" s="147"/>
      <c r="BI1489" s="153"/>
      <c r="BO1489" s="153"/>
      <c r="BW1489" s="153"/>
      <c r="BX1489" s="6"/>
      <c r="BY1489" s="6"/>
      <c r="BZ1489" s="6"/>
      <c r="CA1489" s="6"/>
      <c r="CB1489" s="6"/>
      <c r="CC1489" s="6"/>
      <c r="CD1489" s="12"/>
      <c r="CE1489" s="6"/>
      <c r="CF1489" s="10"/>
      <c r="CG1489" s="6"/>
      <c r="CH1489" s="6"/>
      <c r="CI1489" s="12"/>
      <c r="CJ1489" s="153"/>
      <c r="CV1489" s="154"/>
      <c r="CX1489" s="154"/>
      <c r="CZ1489" s="154"/>
      <c r="DB1489" s="154"/>
      <c r="DD1489" s="154"/>
      <c r="DH1489" s="474"/>
      <c r="DI1489" s="459"/>
      <c r="DJ1489" s="459"/>
      <c r="DK1489" s="459"/>
      <c r="DL1489" s="459"/>
      <c r="DM1489" s="459"/>
      <c r="DN1489" s="459"/>
      <c r="DO1489" s="459"/>
      <c r="DP1489" s="459"/>
      <c r="DQ1489" s="459"/>
      <c r="DR1489" s="459"/>
      <c r="DS1489" s="459"/>
      <c r="DT1489" s="459"/>
      <c r="DU1489" s="459"/>
      <c r="DV1489" s="468"/>
      <c r="DW1489" s="468"/>
      <c r="DX1489" s="459"/>
      <c r="DY1489" s="459"/>
    </row>
    <row r="1490" spans="1:129" s="128" customFormat="1" ht="39.950000000000003" customHeight="1" x14ac:dyDescent="0.25">
      <c r="A1490" s="377"/>
      <c r="B1490" s="6"/>
      <c r="C1490" s="406"/>
      <c r="D1490" s="407"/>
      <c r="E1490" s="407"/>
      <c r="F1490" s="407"/>
      <c r="G1490" s="407"/>
      <c r="H1490" s="407"/>
      <c r="I1490" s="407"/>
      <c r="J1490" s="6"/>
      <c r="K1490" s="6"/>
      <c r="L1490" s="6"/>
      <c r="M1490" s="6"/>
      <c r="N1490" s="385"/>
      <c r="O1490" s="433"/>
      <c r="P1490" s="122"/>
      <c r="Q1490" s="156"/>
      <c r="R1490" s="156"/>
      <c r="S1490" s="156"/>
      <c r="T1490" s="156"/>
      <c r="U1490" s="156"/>
      <c r="V1490" s="156"/>
      <c r="W1490" s="156"/>
      <c r="X1490" s="156"/>
      <c r="Y1490" s="156"/>
      <c r="Z1490" s="157"/>
      <c r="AA1490" s="157"/>
      <c r="AB1490" s="156"/>
      <c r="AC1490" s="156"/>
      <c r="AD1490" s="156"/>
      <c r="AE1490" s="156"/>
      <c r="AF1490" s="156"/>
      <c r="AG1490" s="156"/>
      <c r="AH1490" s="156"/>
      <c r="AI1490" s="156"/>
      <c r="AJ1490" s="156"/>
      <c r="AK1490" s="156"/>
      <c r="AL1490" s="156"/>
      <c r="AM1490" s="158"/>
      <c r="AN1490" s="156"/>
      <c r="AO1490" s="156"/>
      <c r="AP1490" s="156"/>
      <c r="AQ1490" s="156"/>
      <c r="AR1490" s="156"/>
      <c r="AS1490" s="156"/>
      <c r="AT1490" s="156"/>
      <c r="AU1490" s="156"/>
      <c r="AV1490" s="156"/>
      <c r="AW1490" s="156"/>
      <c r="AX1490" s="156"/>
      <c r="AY1490" s="156"/>
      <c r="AZ1490" s="156"/>
      <c r="BA1490" s="153"/>
      <c r="BD1490" s="153"/>
      <c r="BE1490" s="147"/>
      <c r="BI1490" s="153"/>
      <c r="BO1490" s="153"/>
      <c r="BW1490" s="153"/>
      <c r="BX1490" s="6"/>
      <c r="BY1490" s="6"/>
      <c r="BZ1490" s="6"/>
      <c r="CA1490" s="6"/>
      <c r="CB1490" s="6"/>
      <c r="CC1490" s="6"/>
      <c r="CD1490" s="12"/>
      <c r="CE1490" s="6"/>
      <c r="CF1490" s="10"/>
      <c r="CG1490" s="6"/>
      <c r="CH1490" s="6"/>
      <c r="CI1490" s="12"/>
      <c r="CJ1490" s="153"/>
      <c r="CV1490" s="154"/>
      <c r="CX1490" s="154"/>
      <c r="CZ1490" s="154"/>
      <c r="DB1490" s="154"/>
      <c r="DD1490" s="154"/>
      <c r="DH1490" s="474"/>
      <c r="DI1490" s="459"/>
      <c r="DJ1490" s="459"/>
      <c r="DK1490" s="459"/>
      <c r="DL1490" s="459"/>
      <c r="DM1490" s="459"/>
      <c r="DN1490" s="459"/>
      <c r="DO1490" s="459"/>
      <c r="DP1490" s="459"/>
      <c r="DQ1490" s="459"/>
      <c r="DR1490" s="459"/>
      <c r="DS1490" s="459"/>
      <c r="DT1490" s="459"/>
      <c r="DU1490" s="459"/>
      <c r="DV1490" s="468"/>
      <c r="DW1490" s="468"/>
      <c r="DX1490" s="459"/>
      <c r="DY1490" s="459"/>
    </row>
    <row r="1491" spans="1:129" s="128" customFormat="1" ht="39.950000000000003" customHeight="1" x14ac:dyDescent="0.25">
      <c r="A1491" s="377"/>
      <c r="B1491" s="6"/>
      <c r="C1491" s="406"/>
      <c r="D1491" s="407"/>
      <c r="E1491" s="407"/>
      <c r="F1491" s="407"/>
      <c r="G1491" s="407"/>
      <c r="H1491" s="407"/>
      <c r="I1491" s="407"/>
      <c r="J1491" s="6"/>
      <c r="K1491" s="6"/>
      <c r="L1491" s="6"/>
      <c r="M1491" s="6"/>
      <c r="N1491" s="385"/>
      <c r="O1491" s="433"/>
      <c r="P1491" s="122"/>
      <c r="Q1491" s="156"/>
      <c r="R1491" s="156"/>
      <c r="S1491" s="156"/>
      <c r="T1491" s="156"/>
      <c r="U1491" s="156"/>
      <c r="V1491" s="156"/>
      <c r="W1491" s="156"/>
      <c r="X1491" s="156"/>
      <c r="Y1491" s="156"/>
      <c r="Z1491" s="157"/>
      <c r="AA1491" s="157"/>
      <c r="AB1491" s="156"/>
      <c r="AC1491" s="156"/>
      <c r="AD1491" s="156"/>
      <c r="AE1491" s="156"/>
      <c r="AF1491" s="156"/>
      <c r="AG1491" s="156"/>
      <c r="AH1491" s="156"/>
      <c r="AI1491" s="156"/>
      <c r="AJ1491" s="156"/>
      <c r="AK1491" s="156"/>
      <c r="AL1491" s="156"/>
      <c r="AM1491" s="158"/>
      <c r="AN1491" s="156"/>
      <c r="AO1491" s="156"/>
      <c r="AP1491" s="156"/>
      <c r="AQ1491" s="156"/>
      <c r="AR1491" s="156"/>
      <c r="AS1491" s="156"/>
      <c r="AT1491" s="156"/>
      <c r="AU1491" s="156"/>
      <c r="AV1491" s="156"/>
      <c r="AW1491" s="156"/>
      <c r="AX1491" s="156"/>
      <c r="AY1491" s="156"/>
      <c r="AZ1491" s="156"/>
      <c r="BA1491" s="153"/>
      <c r="BD1491" s="153"/>
      <c r="BE1491" s="147"/>
      <c r="BI1491" s="153"/>
      <c r="BO1491" s="153"/>
      <c r="BP1491" s="6"/>
      <c r="BQ1491" s="6"/>
      <c r="BR1491" s="6"/>
      <c r="BW1491" s="153"/>
      <c r="BX1491" s="6"/>
      <c r="BY1491" s="6"/>
      <c r="BZ1491" s="6"/>
      <c r="CA1491" s="6"/>
      <c r="CB1491" s="6"/>
      <c r="CC1491" s="6"/>
      <c r="CD1491" s="12"/>
      <c r="CE1491" s="6"/>
      <c r="CF1491" s="10"/>
      <c r="CG1491" s="6"/>
      <c r="CH1491" s="6"/>
      <c r="CI1491" s="12"/>
      <c r="CJ1491" s="153"/>
      <c r="CV1491" s="154"/>
      <c r="CX1491" s="154"/>
      <c r="CZ1491" s="154"/>
      <c r="DB1491" s="154"/>
      <c r="DD1491" s="154"/>
      <c r="DH1491" s="474"/>
      <c r="DI1491" s="459"/>
      <c r="DJ1491" s="459"/>
      <c r="DK1491" s="459"/>
      <c r="DL1491" s="459"/>
      <c r="DM1491" s="459"/>
      <c r="DN1491" s="459"/>
      <c r="DO1491" s="459"/>
      <c r="DP1491" s="459"/>
      <c r="DQ1491" s="459"/>
      <c r="DR1491" s="459"/>
      <c r="DS1491" s="459"/>
      <c r="DT1491" s="459"/>
      <c r="DU1491" s="459"/>
      <c r="DV1491" s="468"/>
      <c r="DW1491" s="468"/>
      <c r="DX1491" s="459"/>
      <c r="DY1491" s="459"/>
    </row>
  </sheetData>
  <sheetProtection formatCells="0" formatColumns="0" formatRows="0" insertColumns="0" insertRows="0" insertHyperlinks="0" deleteColumns="0" deleteRows="0" sort="0" autoFilter="0" pivotTables="0"/>
  <sortState xmlns:xlrd2="http://schemas.microsoft.com/office/spreadsheetml/2017/richdata2" ref="BI7:BM7">
    <sortCondition ref="BL6"/>
  </sortState>
  <dataConsolidate/>
  <mergeCells count="4179">
    <mergeCell ref="Q338:AL338"/>
    <mergeCell ref="Q341:AL341"/>
    <mergeCell ref="Q344:AL344"/>
    <mergeCell ref="A338:B338"/>
    <mergeCell ref="A339:B339"/>
    <mergeCell ref="C338:E338"/>
    <mergeCell ref="C339:E339"/>
    <mergeCell ref="DX1422:DX1424"/>
    <mergeCell ref="DY1422:DY1424"/>
    <mergeCell ref="DG22:DG24"/>
    <mergeCell ref="DG1422:DG1424"/>
    <mergeCell ref="DH1422:DH1424"/>
    <mergeCell ref="DI1422:DI1424"/>
    <mergeCell ref="DJ1422:DJ1424"/>
    <mergeCell ref="DK1422:DK1424"/>
    <mergeCell ref="DL1422:DL1424"/>
    <mergeCell ref="DM1422:DM1424"/>
    <mergeCell ref="DN1422:DN1424"/>
    <mergeCell ref="DO1422:DO1424"/>
    <mergeCell ref="DP1422:DP1424"/>
    <mergeCell ref="DQ1422:DQ1424"/>
    <mergeCell ref="DR1422:DR1424"/>
    <mergeCell ref="DS1422:DS1424"/>
    <mergeCell ref="DT1422:DT1424"/>
    <mergeCell ref="DU1422:DU1424"/>
    <mergeCell ref="DV1422:DV1424"/>
    <mergeCell ref="DW1422:DW1424"/>
    <mergeCell ref="DX1415:DX1417"/>
    <mergeCell ref="DY1415:DY1417"/>
    <mergeCell ref="DG1419:DG1421"/>
    <mergeCell ref="DH1419:DH1421"/>
    <mergeCell ref="DI1419:DI1421"/>
    <mergeCell ref="DJ1419:DJ1421"/>
    <mergeCell ref="DK1419:DK1421"/>
    <mergeCell ref="DL1419:DL1421"/>
    <mergeCell ref="DM1419:DM1421"/>
    <mergeCell ref="DN1419:DN1421"/>
    <mergeCell ref="DO1419:DO1421"/>
    <mergeCell ref="DP1419:DP1421"/>
    <mergeCell ref="DQ1419:DQ1421"/>
    <mergeCell ref="DR1419:DR1421"/>
    <mergeCell ref="DS1419:DS1421"/>
    <mergeCell ref="DT1419:DT1421"/>
    <mergeCell ref="DU1419:DU1421"/>
    <mergeCell ref="DV1419:DV1421"/>
    <mergeCell ref="DW1419:DW1421"/>
    <mergeCell ref="DX1419:DX1421"/>
    <mergeCell ref="DY1419:DY1421"/>
    <mergeCell ref="DG1415:DG1417"/>
    <mergeCell ref="DH1415:DH1417"/>
    <mergeCell ref="DI1415:DI1417"/>
    <mergeCell ref="DJ1415:DJ1417"/>
    <mergeCell ref="DK1415:DK1417"/>
    <mergeCell ref="DL1415:DL1417"/>
    <mergeCell ref="DM1415:DM1417"/>
    <mergeCell ref="DN1415:DN1417"/>
    <mergeCell ref="DO1415:DO1417"/>
    <mergeCell ref="DP1415:DP1417"/>
    <mergeCell ref="DQ1415:DQ1417"/>
    <mergeCell ref="DR1415:DR1417"/>
    <mergeCell ref="DS1415:DS1417"/>
    <mergeCell ref="DT1415:DT1417"/>
    <mergeCell ref="DU1415:DU1417"/>
    <mergeCell ref="DV1415:DV1417"/>
    <mergeCell ref="DW1415:DW1417"/>
    <mergeCell ref="DX1408:DX1410"/>
    <mergeCell ref="DY1408:DY1410"/>
    <mergeCell ref="DG1412:DG1414"/>
    <mergeCell ref="DH1412:DH1414"/>
    <mergeCell ref="DI1412:DI1414"/>
    <mergeCell ref="DJ1412:DJ1414"/>
    <mergeCell ref="DK1412:DK1414"/>
    <mergeCell ref="DL1412:DL1414"/>
    <mergeCell ref="DM1412:DM1414"/>
    <mergeCell ref="DN1412:DN1414"/>
    <mergeCell ref="DO1412:DO1414"/>
    <mergeCell ref="DP1412:DP1414"/>
    <mergeCell ref="DQ1412:DQ1414"/>
    <mergeCell ref="DR1412:DR1414"/>
    <mergeCell ref="DS1412:DS1414"/>
    <mergeCell ref="DT1412:DT1414"/>
    <mergeCell ref="DU1412:DU1414"/>
    <mergeCell ref="DV1412:DV1414"/>
    <mergeCell ref="DW1412:DW1414"/>
    <mergeCell ref="DX1412:DX1414"/>
    <mergeCell ref="DY1412:DY1414"/>
    <mergeCell ref="DG1408:DG1410"/>
    <mergeCell ref="DH1408:DH1410"/>
    <mergeCell ref="DI1408:DI1410"/>
    <mergeCell ref="DJ1408:DJ1410"/>
    <mergeCell ref="DK1408:DK1410"/>
    <mergeCell ref="DL1408:DL1410"/>
    <mergeCell ref="DM1408:DM1410"/>
    <mergeCell ref="DN1408:DN1410"/>
    <mergeCell ref="DO1408:DO1410"/>
    <mergeCell ref="DP1408:DP1410"/>
    <mergeCell ref="DQ1408:DQ1410"/>
    <mergeCell ref="DR1408:DR1410"/>
    <mergeCell ref="DS1408:DS1410"/>
    <mergeCell ref="DT1408:DT1410"/>
    <mergeCell ref="DU1408:DU1410"/>
    <mergeCell ref="DV1408:DV1410"/>
    <mergeCell ref="DW1408:DW1410"/>
    <mergeCell ref="DX1401:DX1403"/>
    <mergeCell ref="DY1401:DY1403"/>
    <mergeCell ref="DG1405:DG1407"/>
    <mergeCell ref="DH1405:DH1407"/>
    <mergeCell ref="DI1405:DI1407"/>
    <mergeCell ref="DJ1405:DJ1407"/>
    <mergeCell ref="DK1405:DK1407"/>
    <mergeCell ref="DL1405:DL1407"/>
    <mergeCell ref="DM1405:DM1407"/>
    <mergeCell ref="DN1405:DN1407"/>
    <mergeCell ref="DO1405:DO1407"/>
    <mergeCell ref="DP1405:DP1407"/>
    <mergeCell ref="DQ1405:DQ1407"/>
    <mergeCell ref="DR1405:DR1407"/>
    <mergeCell ref="DS1405:DS1407"/>
    <mergeCell ref="DT1405:DT1407"/>
    <mergeCell ref="DU1405:DU1407"/>
    <mergeCell ref="DV1405:DV1407"/>
    <mergeCell ref="DW1405:DW1407"/>
    <mergeCell ref="DX1405:DX1407"/>
    <mergeCell ref="DY1405:DY1407"/>
    <mergeCell ref="DG1401:DG1403"/>
    <mergeCell ref="DH1401:DH1403"/>
    <mergeCell ref="DI1401:DI1403"/>
    <mergeCell ref="DJ1401:DJ1403"/>
    <mergeCell ref="DK1401:DK1403"/>
    <mergeCell ref="DL1401:DL1403"/>
    <mergeCell ref="DM1401:DM1403"/>
    <mergeCell ref="DN1401:DN1403"/>
    <mergeCell ref="DO1401:DO1403"/>
    <mergeCell ref="DP1401:DP1403"/>
    <mergeCell ref="DQ1401:DQ1403"/>
    <mergeCell ref="DR1401:DR1403"/>
    <mergeCell ref="DS1401:DS1403"/>
    <mergeCell ref="DT1401:DT1403"/>
    <mergeCell ref="DU1401:DU1403"/>
    <mergeCell ref="DV1401:DV1403"/>
    <mergeCell ref="DW1401:DW1403"/>
    <mergeCell ref="DX1394:DX1396"/>
    <mergeCell ref="DY1394:DY1396"/>
    <mergeCell ref="DG1398:DG1400"/>
    <mergeCell ref="DH1398:DH1400"/>
    <mergeCell ref="DI1398:DI1400"/>
    <mergeCell ref="DJ1398:DJ1400"/>
    <mergeCell ref="DK1398:DK1400"/>
    <mergeCell ref="DL1398:DL1400"/>
    <mergeCell ref="DM1398:DM1400"/>
    <mergeCell ref="DN1398:DN1400"/>
    <mergeCell ref="DO1398:DO1400"/>
    <mergeCell ref="DP1398:DP1400"/>
    <mergeCell ref="DQ1398:DQ1400"/>
    <mergeCell ref="DR1398:DR1400"/>
    <mergeCell ref="DS1398:DS1400"/>
    <mergeCell ref="DT1398:DT1400"/>
    <mergeCell ref="DU1398:DU1400"/>
    <mergeCell ref="DV1398:DV1400"/>
    <mergeCell ref="DW1398:DW1400"/>
    <mergeCell ref="DX1398:DX1400"/>
    <mergeCell ref="DY1398:DY1400"/>
    <mergeCell ref="DG1394:DG1396"/>
    <mergeCell ref="DH1394:DH1396"/>
    <mergeCell ref="DI1394:DI1396"/>
    <mergeCell ref="DJ1394:DJ1396"/>
    <mergeCell ref="DK1394:DK1396"/>
    <mergeCell ref="DL1394:DL1396"/>
    <mergeCell ref="DM1394:DM1396"/>
    <mergeCell ref="DN1394:DN1396"/>
    <mergeCell ref="DO1394:DO1396"/>
    <mergeCell ref="DP1394:DP1396"/>
    <mergeCell ref="DQ1394:DQ1396"/>
    <mergeCell ref="DR1394:DR1396"/>
    <mergeCell ref="DS1394:DS1396"/>
    <mergeCell ref="DT1394:DT1396"/>
    <mergeCell ref="DU1394:DU1396"/>
    <mergeCell ref="DV1394:DV1396"/>
    <mergeCell ref="DW1394:DW1396"/>
    <mergeCell ref="DX1387:DX1389"/>
    <mergeCell ref="DY1387:DY1389"/>
    <mergeCell ref="DG1391:DG1393"/>
    <mergeCell ref="DH1391:DH1393"/>
    <mergeCell ref="DI1391:DI1393"/>
    <mergeCell ref="DJ1391:DJ1393"/>
    <mergeCell ref="DK1391:DK1393"/>
    <mergeCell ref="DL1391:DL1393"/>
    <mergeCell ref="DM1391:DM1393"/>
    <mergeCell ref="DN1391:DN1393"/>
    <mergeCell ref="DO1391:DO1393"/>
    <mergeCell ref="DP1391:DP1393"/>
    <mergeCell ref="DQ1391:DQ1393"/>
    <mergeCell ref="DR1391:DR1393"/>
    <mergeCell ref="DS1391:DS1393"/>
    <mergeCell ref="DT1391:DT1393"/>
    <mergeCell ref="DU1391:DU1393"/>
    <mergeCell ref="DV1391:DV1393"/>
    <mergeCell ref="DW1391:DW1393"/>
    <mergeCell ref="DX1391:DX1393"/>
    <mergeCell ref="DY1391:DY1393"/>
    <mergeCell ref="DG1387:DG1389"/>
    <mergeCell ref="DH1387:DH1389"/>
    <mergeCell ref="DI1387:DI1389"/>
    <mergeCell ref="DJ1387:DJ1389"/>
    <mergeCell ref="DK1387:DK1389"/>
    <mergeCell ref="DL1387:DL1389"/>
    <mergeCell ref="DM1387:DM1389"/>
    <mergeCell ref="DN1387:DN1389"/>
    <mergeCell ref="DO1387:DO1389"/>
    <mergeCell ref="DP1387:DP1389"/>
    <mergeCell ref="DQ1387:DQ1389"/>
    <mergeCell ref="DR1387:DR1389"/>
    <mergeCell ref="DS1387:DS1389"/>
    <mergeCell ref="DT1387:DT1389"/>
    <mergeCell ref="DU1387:DU1389"/>
    <mergeCell ref="DV1387:DV1389"/>
    <mergeCell ref="DW1387:DW1389"/>
    <mergeCell ref="DX1380:DX1382"/>
    <mergeCell ref="DY1380:DY1382"/>
    <mergeCell ref="DG1384:DG1386"/>
    <mergeCell ref="DH1384:DH1386"/>
    <mergeCell ref="DI1384:DI1386"/>
    <mergeCell ref="DJ1384:DJ1386"/>
    <mergeCell ref="DK1384:DK1386"/>
    <mergeCell ref="DL1384:DL1386"/>
    <mergeCell ref="DM1384:DM1386"/>
    <mergeCell ref="DN1384:DN1386"/>
    <mergeCell ref="DO1384:DO1386"/>
    <mergeCell ref="DP1384:DP1386"/>
    <mergeCell ref="DQ1384:DQ1386"/>
    <mergeCell ref="DR1384:DR1386"/>
    <mergeCell ref="DS1384:DS1386"/>
    <mergeCell ref="DT1384:DT1386"/>
    <mergeCell ref="DU1384:DU1386"/>
    <mergeCell ref="DV1384:DV1386"/>
    <mergeCell ref="DW1384:DW1386"/>
    <mergeCell ref="DX1384:DX1386"/>
    <mergeCell ref="DY1384:DY1386"/>
    <mergeCell ref="DG1380:DG1382"/>
    <mergeCell ref="DH1380:DH1382"/>
    <mergeCell ref="DI1380:DI1382"/>
    <mergeCell ref="DJ1380:DJ1382"/>
    <mergeCell ref="DK1380:DK1382"/>
    <mergeCell ref="DN1380:DN1382"/>
    <mergeCell ref="DO1380:DO1382"/>
    <mergeCell ref="DP1380:DP1382"/>
    <mergeCell ref="DQ1380:DQ1382"/>
    <mergeCell ref="DR1380:DR1382"/>
    <mergeCell ref="DS1380:DS1382"/>
    <mergeCell ref="DT1380:DT1382"/>
    <mergeCell ref="DU1380:DU1382"/>
    <mergeCell ref="DV1380:DV1382"/>
    <mergeCell ref="DW1380:DW1382"/>
    <mergeCell ref="DX1373:DX1375"/>
    <mergeCell ref="DY1373:DY1375"/>
    <mergeCell ref="DG1377:DG1379"/>
    <mergeCell ref="DH1377:DH1379"/>
    <mergeCell ref="DI1377:DI1379"/>
    <mergeCell ref="DJ1377:DJ1379"/>
    <mergeCell ref="DK1377:DK1379"/>
    <mergeCell ref="DL1377:DL1379"/>
    <mergeCell ref="DM1377:DM1379"/>
    <mergeCell ref="DN1377:DN1379"/>
    <mergeCell ref="DO1377:DO1379"/>
    <mergeCell ref="DP1377:DP1379"/>
    <mergeCell ref="DQ1377:DQ1379"/>
    <mergeCell ref="DR1377:DR1379"/>
    <mergeCell ref="DS1377:DS1379"/>
    <mergeCell ref="DT1377:DT1379"/>
    <mergeCell ref="DU1377:DU1379"/>
    <mergeCell ref="DV1377:DV1379"/>
    <mergeCell ref="DW1377:DW1379"/>
    <mergeCell ref="DX1377:DX1379"/>
    <mergeCell ref="DY1377:DY1379"/>
    <mergeCell ref="DG1373:DG1375"/>
    <mergeCell ref="DH1373:DH1375"/>
    <mergeCell ref="DI1373:DI1375"/>
    <mergeCell ref="DJ1373:DJ1375"/>
    <mergeCell ref="DK1373:DK1375"/>
    <mergeCell ref="DL1373:DL1375"/>
    <mergeCell ref="DM1373:DM1375"/>
    <mergeCell ref="DN1373:DN1375"/>
    <mergeCell ref="DO1373:DO1375"/>
    <mergeCell ref="DP1373:DP1375"/>
    <mergeCell ref="DQ1373:DQ1375"/>
    <mergeCell ref="DR1373:DR1375"/>
    <mergeCell ref="DS1373:DS1375"/>
    <mergeCell ref="DT1373:DT1375"/>
    <mergeCell ref="DU1373:DU1375"/>
    <mergeCell ref="DV1373:DV1375"/>
    <mergeCell ref="DW1373:DW1375"/>
    <mergeCell ref="DX1366:DX1368"/>
    <mergeCell ref="DW1366:DW1368"/>
    <mergeCell ref="DY1366:DY1368"/>
    <mergeCell ref="DG1370:DG1372"/>
    <mergeCell ref="DH1370:DH1372"/>
    <mergeCell ref="DI1370:DI1372"/>
    <mergeCell ref="DJ1370:DJ1372"/>
    <mergeCell ref="DK1370:DK1372"/>
    <mergeCell ref="DL1370:DL1372"/>
    <mergeCell ref="DM1370:DM1372"/>
    <mergeCell ref="DN1370:DN1372"/>
    <mergeCell ref="DO1370:DO1372"/>
    <mergeCell ref="DP1370:DP1372"/>
    <mergeCell ref="DQ1370:DQ1372"/>
    <mergeCell ref="DR1370:DR1372"/>
    <mergeCell ref="DS1370:DS1372"/>
    <mergeCell ref="DT1370:DT1372"/>
    <mergeCell ref="DU1370:DU1372"/>
    <mergeCell ref="DV1370:DV1372"/>
    <mergeCell ref="DW1370:DW1372"/>
    <mergeCell ref="DX1370:DX1372"/>
    <mergeCell ref="DY1370:DY1372"/>
    <mergeCell ref="DG1366:DG1368"/>
    <mergeCell ref="DH1366:DH1368"/>
    <mergeCell ref="DI1366:DI1368"/>
    <mergeCell ref="DJ1366:DJ1368"/>
    <mergeCell ref="DK1366:DK1368"/>
    <mergeCell ref="DL1366:DL1368"/>
    <mergeCell ref="DM1366:DM1368"/>
    <mergeCell ref="DN1366:DN1368"/>
    <mergeCell ref="DO1366:DO1368"/>
    <mergeCell ref="DP1366:DP1368"/>
    <mergeCell ref="DQ1366:DQ1368"/>
    <mergeCell ref="DV1366:DV1368"/>
    <mergeCell ref="DG1363:DG1365"/>
    <mergeCell ref="DH1363:DH1365"/>
    <mergeCell ref="DI1363:DI1365"/>
    <mergeCell ref="DJ1363:DJ1365"/>
    <mergeCell ref="DK1363:DK1365"/>
    <mergeCell ref="DL1363:DL1365"/>
    <mergeCell ref="DM1363:DM1365"/>
    <mergeCell ref="DN1363:DN1365"/>
    <mergeCell ref="DO1363:DO1365"/>
    <mergeCell ref="DP1363:DP1365"/>
    <mergeCell ref="DQ1363:DQ1365"/>
    <mergeCell ref="DR1363:DR1365"/>
    <mergeCell ref="DS1363:DS1365"/>
    <mergeCell ref="DT1363:DT1365"/>
    <mergeCell ref="DU1363:DU1365"/>
    <mergeCell ref="DV1363:DV1365"/>
    <mergeCell ref="DW1363:DW1365"/>
    <mergeCell ref="DG1359:DG1361"/>
    <mergeCell ref="DH1359:DH1361"/>
    <mergeCell ref="DI1359:DI1361"/>
    <mergeCell ref="DJ1359:DJ1361"/>
    <mergeCell ref="DK1359:DK1361"/>
    <mergeCell ref="DL1359:DL1361"/>
    <mergeCell ref="DM1359:DM1361"/>
    <mergeCell ref="DN1359:DN1361"/>
    <mergeCell ref="DO1359:DO1361"/>
    <mergeCell ref="DP1359:DP1361"/>
    <mergeCell ref="DQ1359:DQ1361"/>
    <mergeCell ref="DR1359:DR1361"/>
    <mergeCell ref="DS1359:DS1361"/>
    <mergeCell ref="DT1359:DT1361"/>
    <mergeCell ref="DU1359:DU1361"/>
    <mergeCell ref="DV1359:DV1361"/>
    <mergeCell ref="DW1359:DW1361"/>
    <mergeCell ref="DG1356:DG1358"/>
    <mergeCell ref="DH1356:DH1358"/>
    <mergeCell ref="DI1356:DI1358"/>
    <mergeCell ref="DJ1356:DJ1358"/>
    <mergeCell ref="DK1356:DK1358"/>
    <mergeCell ref="DL1356:DL1358"/>
    <mergeCell ref="DM1356:DM1358"/>
    <mergeCell ref="DN1356:DN1358"/>
    <mergeCell ref="DO1356:DO1358"/>
    <mergeCell ref="DP1356:DP1358"/>
    <mergeCell ref="DQ1356:DQ1358"/>
    <mergeCell ref="DR1356:DR1358"/>
    <mergeCell ref="DS1356:DS1358"/>
    <mergeCell ref="DT1356:DT1358"/>
    <mergeCell ref="DU1356:DU1358"/>
    <mergeCell ref="DV1356:DV1358"/>
    <mergeCell ref="DW1356:DW1358"/>
    <mergeCell ref="DG333:DG335"/>
    <mergeCell ref="DH333:DH335"/>
    <mergeCell ref="DI333:DI335"/>
    <mergeCell ref="DJ333:DJ335"/>
    <mergeCell ref="DK333:DK335"/>
    <mergeCell ref="DL333:DL335"/>
    <mergeCell ref="DM333:DM335"/>
    <mergeCell ref="DN333:DN335"/>
    <mergeCell ref="DO333:DO335"/>
    <mergeCell ref="DP333:DP335"/>
    <mergeCell ref="DQ333:DQ335"/>
    <mergeCell ref="DR333:DR335"/>
    <mergeCell ref="DS333:DS335"/>
    <mergeCell ref="DT333:DT335"/>
    <mergeCell ref="DU333:DU335"/>
    <mergeCell ref="DV333:DV335"/>
    <mergeCell ref="DW333:DW335"/>
    <mergeCell ref="DG330:DG332"/>
    <mergeCell ref="DH330:DH332"/>
    <mergeCell ref="DI330:DI332"/>
    <mergeCell ref="DJ330:DJ332"/>
    <mergeCell ref="DK330:DK332"/>
    <mergeCell ref="DL330:DL332"/>
    <mergeCell ref="DM330:DM332"/>
    <mergeCell ref="DN330:DN332"/>
    <mergeCell ref="DO330:DO332"/>
    <mergeCell ref="DP330:DP332"/>
    <mergeCell ref="DQ330:DQ332"/>
    <mergeCell ref="DR330:DR332"/>
    <mergeCell ref="DS330:DS332"/>
    <mergeCell ref="DT330:DT332"/>
    <mergeCell ref="DU330:DU332"/>
    <mergeCell ref="DV330:DV332"/>
    <mergeCell ref="DW330:DW332"/>
    <mergeCell ref="DR323:DR325"/>
    <mergeCell ref="DS323:DS325"/>
    <mergeCell ref="DT323:DT325"/>
    <mergeCell ref="DU323:DU325"/>
    <mergeCell ref="DV323:DV325"/>
    <mergeCell ref="DW323:DW325"/>
    <mergeCell ref="DG326:DG328"/>
    <mergeCell ref="DH326:DH328"/>
    <mergeCell ref="DI326:DI328"/>
    <mergeCell ref="DJ326:DJ328"/>
    <mergeCell ref="DK326:DK328"/>
    <mergeCell ref="DL326:DL328"/>
    <mergeCell ref="DM326:DM328"/>
    <mergeCell ref="DN326:DN328"/>
    <mergeCell ref="DO326:DO328"/>
    <mergeCell ref="DP326:DP328"/>
    <mergeCell ref="DQ326:DQ328"/>
    <mergeCell ref="DR326:DR328"/>
    <mergeCell ref="DS326:DS328"/>
    <mergeCell ref="DT326:DT328"/>
    <mergeCell ref="DU326:DU328"/>
    <mergeCell ref="DV326:DV328"/>
    <mergeCell ref="DW326:DW328"/>
    <mergeCell ref="DG316:DG318"/>
    <mergeCell ref="DH316:DH318"/>
    <mergeCell ref="DI316:DI318"/>
    <mergeCell ref="DJ316:DJ318"/>
    <mergeCell ref="DK316:DK318"/>
    <mergeCell ref="DL316:DL318"/>
    <mergeCell ref="DM316:DM318"/>
    <mergeCell ref="DN316:DN318"/>
    <mergeCell ref="DO316:DO318"/>
    <mergeCell ref="DP316:DP318"/>
    <mergeCell ref="DQ316:DQ318"/>
    <mergeCell ref="DG323:DG325"/>
    <mergeCell ref="DH323:DH325"/>
    <mergeCell ref="DI323:DI325"/>
    <mergeCell ref="DJ323:DJ325"/>
    <mergeCell ref="DK323:DK325"/>
    <mergeCell ref="DL323:DL325"/>
    <mergeCell ref="DM323:DM325"/>
    <mergeCell ref="DN323:DN325"/>
    <mergeCell ref="DO323:DO325"/>
    <mergeCell ref="DP323:DP325"/>
    <mergeCell ref="DQ323:DQ325"/>
    <mergeCell ref="DG319:DG321"/>
    <mergeCell ref="DH319:DH321"/>
    <mergeCell ref="DI319:DI321"/>
    <mergeCell ref="DJ319:DJ321"/>
    <mergeCell ref="DK319:DK321"/>
    <mergeCell ref="DL319:DL321"/>
    <mergeCell ref="DM319:DM321"/>
    <mergeCell ref="DN319:DN321"/>
    <mergeCell ref="DO319:DO321"/>
    <mergeCell ref="DP319:DP321"/>
    <mergeCell ref="DQ319:DQ321"/>
    <mergeCell ref="DR319:DR321"/>
    <mergeCell ref="DS319:DS321"/>
    <mergeCell ref="DT319:DT321"/>
    <mergeCell ref="DU319:DU321"/>
    <mergeCell ref="DV319:DV321"/>
    <mergeCell ref="DW319:DW321"/>
    <mergeCell ref="DR316:DR318"/>
    <mergeCell ref="DS316:DS318"/>
    <mergeCell ref="DT316:DT318"/>
    <mergeCell ref="DU316:DU318"/>
    <mergeCell ref="DV316:DV318"/>
    <mergeCell ref="DW316:DW318"/>
    <mergeCell ref="DX309:DX311"/>
    <mergeCell ref="DY309:DY311"/>
    <mergeCell ref="DG312:DG314"/>
    <mergeCell ref="DH312:DH314"/>
    <mergeCell ref="DI312:DI314"/>
    <mergeCell ref="DJ312:DJ314"/>
    <mergeCell ref="DK312:DK314"/>
    <mergeCell ref="DL312:DL314"/>
    <mergeCell ref="DM312:DM314"/>
    <mergeCell ref="DN312:DN314"/>
    <mergeCell ref="DO312:DO314"/>
    <mergeCell ref="DP312:DP314"/>
    <mergeCell ref="DQ312:DQ314"/>
    <mergeCell ref="DR312:DR314"/>
    <mergeCell ref="DS312:DS314"/>
    <mergeCell ref="DT312:DT314"/>
    <mergeCell ref="DU312:DU314"/>
    <mergeCell ref="DV312:DV314"/>
    <mergeCell ref="DW312:DW314"/>
    <mergeCell ref="DX312:DX314"/>
    <mergeCell ref="DY312:DY314"/>
    <mergeCell ref="DG309:DG311"/>
    <mergeCell ref="DH309:DH311"/>
    <mergeCell ref="DI309:DI311"/>
    <mergeCell ref="DJ309:DJ311"/>
    <mergeCell ref="DK309:DK311"/>
    <mergeCell ref="DL309:DL311"/>
    <mergeCell ref="DM309:DM311"/>
    <mergeCell ref="DN309:DN311"/>
    <mergeCell ref="DO309:DO311"/>
    <mergeCell ref="DP309:DP311"/>
    <mergeCell ref="DQ309:DQ311"/>
    <mergeCell ref="DR309:DR311"/>
    <mergeCell ref="DS309:DS311"/>
    <mergeCell ref="DT309:DT311"/>
    <mergeCell ref="DU309:DU311"/>
    <mergeCell ref="DV309:DV311"/>
    <mergeCell ref="DW309:DW311"/>
    <mergeCell ref="DI298:DI300"/>
    <mergeCell ref="DX302:DX304"/>
    <mergeCell ref="DY302:DY304"/>
    <mergeCell ref="DG305:DG307"/>
    <mergeCell ref="DH305:DH307"/>
    <mergeCell ref="DI305:DI307"/>
    <mergeCell ref="DJ305:DJ307"/>
    <mergeCell ref="DK305:DK307"/>
    <mergeCell ref="DL305:DL307"/>
    <mergeCell ref="DM305:DM307"/>
    <mergeCell ref="DN305:DN307"/>
    <mergeCell ref="DO305:DO307"/>
    <mergeCell ref="DP305:DP307"/>
    <mergeCell ref="DQ305:DQ307"/>
    <mergeCell ref="DR305:DR307"/>
    <mergeCell ref="DS305:DS307"/>
    <mergeCell ref="DT305:DT307"/>
    <mergeCell ref="DU305:DU307"/>
    <mergeCell ref="DV305:DV307"/>
    <mergeCell ref="DW305:DW307"/>
    <mergeCell ref="DX305:DX307"/>
    <mergeCell ref="DW295:DW297"/>
    <mergeCell ref="DG295:DG297"/>
    <mergeCell ref="DH295:DH297"/>
    <mergeCell ref="DI295:DI297"/>
    <mergeCell ref="DJ295:DJ297"/>
    <mergeCell ref="DK295:DK297"/>
    <mergeCell ref="DL295:DL297"/>
    <mergeCell ref="DM295:DM297"/>
    <mergeCell ref="DN295:DN297"/>
    <mergeCell ref="DO295:DO297"/>
    <mergeCell ref="DP295:DP297"/>
    <mergeCell ref="DQ295:DQ297"/>
    <mergeCell ref="DY305:DY307"/>
    <mergeCell ref="DG302:DG304"/>
    <mergeCell ref="DH302:DH304"/>
    <mergeCell ref="DI302:DI304"/>
    <mergeCell ref="DJ302:DJ304"/>
    <mergeCell ref="DK302:DK304"/>
    <mergeCell ref="DL302:DL304"/>
    <mergeCell ref="DM302:DM304"/>
    <mergeCell ref="DN302:DN304"/>
    <mergeCell ref="DO302:DO304"/>
    <mergeCell ref="DP302:DP304"/>
    <mergeCell ref="DQ302:DQ304"/>
    <mergeCell ref="DR302:DR304"/>
    <mergeCell ref="DS302:DS304"/>
    <mergeCell ref="DT302:DT304"/>
    <mergeCell ref="DU302:DU304"/>
    <mergeCell ref="DV302:DV304"/>
    <mergeCell ref="DW302:DW304"/>
    <mergeCell ref="DG298:DG300"/>
    <mergeCell ref="DH298:DH300"/>
    <mergeCell ref="DX291:DX293"/>
    <mergeCell ref="DY291:DY293"/>
    <mergeCell ref="DG288:DG290"/>
    <mergeCell ref="DH288:DH290"/>
    <mergeCell ref="DI288:DI290"/>
    <mergeCell ref="DJ288:DJ290"/>
    <mergeCell ref="DK288:DK290"/>
    <mergeCell ref="DL288:DL290"/>
    <mergeCell ref="DM288:DM290"/>
    <mergeCell ref="DN288:DN290"/>
    <mergeCell ref="DO288:DO290"/>
    <mergeCell ref="DP288:DP290"/>
    <mergeCell ref="DQ288:DQ290"/>
    <mergeCell ref="DJ298:DJ300"/>
    <mergeCell ref="DK298:DK300"/>
    <mergeCell ref="DL298:DL300"/>
    <mergeCell ref="DM298:DM300"/>
    <mergeCell ref="DN298:DN300"/>
    <mergeCell ref="DO298:DO300"/>
    <mergeCell ref="DP298:DP300"/>
    <mergeCell ref="DQ298:DQ300"/>
    <mergeCell ref="DR298:DR300"/>
    <mergeCell ref="DS298:DS300"/>
    <mergeCell ref="DT298:DT300"/>
    <mergeCell ref="DU298:DU300"/>
    <mergeCell ref="DV298:DV300"/>
    <mergeCell ref="DW298:DW300"/>
    <mergeCell ref="DR295:DR297"/>
    <mergeCell ref="DS295:DS297"/>
    <mergeCell ref="DT295:DT297"/>
    <mergeCell ref="DU295:DU297"/>
    <mergeCell ref="DV295:DV297"/>
    <mergeCell ref="DG291:DG293"/>
    <mergeCell ref="DH291:DH293"/>
    <mergeCell ref="DI291:DI293"/>
    <mergeCell ref="DJ291:DJ293"/>
    <mergeCell ref="DK291:DK293"/>
    <mergeCell ref="DL291:DL293"/>
    <mergeCell ref="DM291:DM293"/>
    <mergeCell ref="DN291:DN293"/>
    <mergeCell ref="DO291:DO293"/>
    <mergeCell ref="DP291:DP293"/>
    <mergeCell ref="DQ291:DQ293"/>
    <mergeCell ref="DR291:DR293"/>
    <mergeCell ref="DS291:DS293"/>
    <mergeCell ref="DT291:DT293"/>
    <mergeCell ref="DU291:DU293"/>
    <mergeCell ref="DV291:DV293"/>
    <mergeCell ref="DW291:DW293"/>
    <mergeCell ref="DR288:DR290"/>
    <mergeCell ref="DS288:DS290"/>
    <mergeCell ref="DT288:DT290"/>
    <mergeCell ref="DU288:DU290"/>
    <mergeCell ref="DV288:DV290"/>
    <mergeCell ref="DW288:DW290"/>
    <mergeCell ref="DG284:DG286"/>
    <mergeCell ref="DH284:DH286"/>
    <mergeCell ref="DI284:DI286"/>
    <mergeCell ref="DJ284:DJ286"/>
    <mergeCell ref="DK284:DK286"/>
    <mergeCell ref="DL284:DL286"/>
    <mergeCell ref="DM284:DM286"/>
    <mergeCell ref="DN284:DN286"/>
    <mergeCell ref="DO284:DO286"/>
    <mergeCell ref="DP284:DP286"/>
    <mergeCell ref="DQ284:DQ286"/>
    <mergeCell ref="DR284:DR286"/>
    <mergeCell ref="DS284:DS286"/>
    <mergeCell ref="DT284:DT286"/>
    <mergeCell ref="DU284:DU286"/>
    <mergeCell ref="DV284:DV286"/>
    <mergeCell ref="DW284:DW286"/>
    <mergeCell ref="DG281:DG283"/>
    <mergeCell ref="DH281:DH283"/>
    <mergeCell ref="DI281:DI283"/>
    <mergeCell ref="DJ281:DJ283"/>
    <mergeCell ref="DK281:DK283"/>
    <mergeCell ref="DL281:DL283"/>
    <mergeCell ref="DM281:DM283"/>
    <mergeCell ref="DN281:DN283"/>
    <mergeCell ref="DO281:DO283"/>
    <mergeCell ref="DP281:DP283"/>
    <mergeCell ref="DQ281:DQ283"/>
    <mergeCell ref="DR281:DR283"/>
    <mergeCell ref="DS281:DS283"/>
    <mergeCell ref="DT281:DT283"/>
    <mergeCell ref="DU281:DU283"/>
    <mergeCell ref="DV281:DV283"/>
    <mergeCell ref="DW281:DW283"/>
    <mergeCell ref="DG277:DG279"/>
    <mergeCell ref="DH277:DH279"/>
    <mergeCell ref="DI277:DI279"/>
    <mergeCell ref="DJ277:DJ279"/>
    <mergeCell ref="DK277:DK279"/>
    <mergeCell ref="DL277:DL279"/>
    <mergeCell ref="DM277:DM279"/>
    <mergeCell ref="DN277:DN279"/>
    <mergeCell ref="DO277:DO279"/>
    <mergeCell ref="DP277:DP279"/>
    <mergeCell ref="DQ277:DQ279"/>
    <mergeCell ref="DR277:DR279"/>
    <mergeCell ref="DS277:DS279"/>
    <mergeCell ref="DT277:DT279"/>
    <mergeCell ref="DU277:DU279"/>
    <mergeCell ref="DV277:DV279"/>
    <mergeCell ref="DW277:DW279"/>
    <mergeCell ref="DG274:DG276"/>
    <mergeCell ref="DH274:DH276"/>
    <mergeCell ref="DI274:DI276"/>
    <mergeCell ref="DJ274:DJ276"/>
    <mergeCell ref="DK274:DK276"/>
    <mergeCell ref="DL274:DL276"/>
    <mergeCell ref="DM274:DM276"/>
    <mergeCell ref="DN274:DN276"/>
    <mergeCell ref="DO274:DO276"/>
    <mergeCell ref="DP274:DP276"/>
    <mergeCell ref="DQ274:DQ276"/>
    <mergeCell ref="DR274:DR276"/>
    <mergeCell ref="DS274:DS276"/>
    <mergeCell ref="DT274:DT276"/>
    <mergeCell ref="DU274:DU276"/>
    <mergeCell ref="DV274:DV276"/>
    <mergeCell ref="DW274:DW276"/>
    <mergeCell ref="DG270:DG272"/>
    <mergeCell ref="DH270:DH272"/>
    <mergeCell ref="DI270:DI272"/>
    <mergeCell ref="DJ270:DJ272"/>
    <mergeCell ref="DK270:DK272"/>
    <mergeCell ref="DL270:DL272"/>
    <mergeCell ref="DM270:DM272"/>
    <mergeCell ref="DN270:DN272"/>
    <mergeCell ref="DO270:DO272"/>
    <mergeCell ref="DP270:DP272"/>
    <mergeCell ref="DQ270:DQ272"/>
    <mergeCell ref="DR270:DR272"/>
    <mergeCell ref="DS270:DS272"/>
    <mergeCell ref="DT270:DT272"/>
    <mergeCell ref="DU270:DU272"/>
    <mergeCell ref="DV270:DV272"/>
    <mergeCell ref="DW270:DW272"/>
    <mergeCell ref="DG267:DG269"/>
    <mergeCell ref="DH267:DH269"/>
    <mergeCell ref="DI267:DI269"/>
    <mergeCell ref="DJ267:DJ269"/>
    <mergeCell ref="DK267:DK269"/>
    <mergeCell ref="DL267:DL269"/>
    <mergeCell ref="DM267:DM269"/>
    <mergeCell ref="DN267:DN269"/>
    <mergeCell ref="DO267:DO269"/>
    <mergeCell ref="DP267:DP269"/>
    <mergeCell ref="DQ267:DQ269"/>
    <mergeCell ref="DR267:DR269"/>
    <mergeCell ref="DS267:DS269"/>
    <mergeCell ref="DT267:DT269"/>
    <mergeCell ref="DU267:DU269"/>
    <mergeCell ref="DV267:DV269"/>
    <mergeCell ref="DW267:DW269"/>
    <mergeCell ref="DG263:DG265"/>
    <mergeCell ref="DH263:DH265"/>
    <mergeCell ref="DI263:DI265"/>
    <mergeCell ref="DJ263:DJ265"/>
    <mergeCell ref="DK263:DK265"/>
    <mergeCell ref="DL263:DL265"/>
    <mergeCell ref="DM263:DM265"/>
    <mergeCell ref="DN263:DN265"/>
    <mergeCell ref="DO263:DO265"/>
    <mergeCell ref="DP263:DP265"/>
    <mergeCell ref="DQ263:DQ265"/>
    <mergeCell ref="DR263:DR265"/>
    <mergeCell ref="DS263:DS265"/>
    <mergeCell ref="DT263:DT265"/>
    <mergeCell ref="DU263:DU265"/>
    <mergeCell ref="DV263:DV265"/>
    <mergeCell ref="DW263:DW265"/>
    <mergeCell ref="DX256:DX258"/>
    <mergeCell ref="DY256:DY258"/>
    <mergeCell ref="DG260:DG262"/>
    <mergeCell ref="DH260:DH262"/>
    <mergeCell ref="DI260:DI262"/>
    <mergeCell ref="DJ260:DJ262"/>
    <mergeCell ref="DK260:DK262"/>
    <mergeCell ref="DL260:DL262"/>
    <mergeCell ref="DM260:DM262"/>
    <mergeCell ref="DN260:DN262"/>
    <mergeCell ref="DO260:DO262"/>
    <mergeCell ref="DP260:DP262"/>
    <mergeCell ref="DQ260:DQ262"/>
    <mergeCell ref="DR260:DR262"/>
    <mergeCell ref="DS260:DS262"/>
    <mergeCell ref="DT260:DT262"/>
    <mergeCell ref="DU260:DU262"/>
    <mergeCell ref="DV260:DV262"/>
    <mergeCell ref="DW260:DW262"/>
    <mergeCell ref="DX260:DX262"/>
    <mergeCell ref="DY260:DY262"/>
    <mergeCell ref="DG256:DG258"/>
    <mergeCell ref="DH256:DH258"/>
    <mergeCell ref="DI256:DI258"/>
    <mergeCell ref="DJ256:DJ258"/>
    <mergeCell ref="DK256:DK258"/>
    <mergeCell ref="DL256:DL258"/>
    <mergeCell ref="DM256:DM258"/>
    <mergeCell ref="DN256:DN258"/>
    <mergeCell ref="DO256:DO258"/>
    <mergeCell ref="DP256:DP258"/>
    <mergeCell ref="DQ256:DQ258"/>
    <mergeCell ref="DR256:DR258"/>
    <mergeCell ref="DS256:DS258"/>
    <mergeCell ref="DT256:DT258"/>
    <mergeCell ref="DU256:DU258"/>
    <mergeCell ref="DV256:DV258"/>
    <mergeCell ref="DW256:DW258"/>
    <mergeCell ref="DX249:DX251"/>
    <mergeCell ref="DY249:DY251"/>
    <mergeCell ref="DG253:DG255"/>
    <mergeCell ref="DH253:DH255"/>
    <mergeCell ref="DI253:DI255"/>
    <mergeCell ref="DJ253:DJ255"/>
    <mergeCell ref="DK253:DK255"/>
    <mergeCell ref="DL253:DL255"/>
    <mergeCell ref="DM253:DM255"/>
    <mergeCell ref="DN253:DN255"/>
    <mergeCell ref="DO253:DO255"/>
    <mergeCell ref="DP253:DP255"/>
    <mergeCell ref="DQ253:DQ255"/>
    <mergeCell ref="DR253:DR255"/>
    <mergeCell ref="DS253:DS255"/>
    <mergeCell ref="DT253:DT255"/>
    <mergeCell ref="DU253:DU255"/>
    <mergeCell ref="DV253:DV255"/>
    <mergeCell ref="DW253:DW255"/>
    <mergeCell ref="DX253:DX255"/>
    <mergeCell ref="DY253:DY255"/>
    <mergeCell ref="DG249:DG251"/>
    <mergeCell ref="DH249:DH251"/>
    <mergeCell ref="DI249:DI251"/>
    <mergeCell ref="DJ249:DJ251"/>
    <mergeCell ref="DK249:DK251"/>
    <mergeCell ref="DL249:DL251"/>
    <mergeCell ref="DM249:DM251"/>
    <mergeCell ref="DN249:DN251"/>
    <mergeCell ref="DO249:DO251"/>
    <mergeCell ref="DP249:DP251"/>
    <mergeCell ref="DQ249:DQ251"/>
    <mergeCell ref="DR249:DR251"/>
    <mergeCell ref="DS249:DS251"/>
    <mergeCell ref="DT249:DT251"/>
    <mergeCell ref="DU249:DU251"/>
    <mergeCell ref="DV249:DV251"/>
    <mergeCell ref="DW249:DW251"/>
    <mergeCell ref="DX242:DX244"/>
    <mergeCell ref="DY242:DY244"/>
    <mergeCell ref="DG246:DG248"/>
    <mergeCell ref="DH246:DH248"/>
    <mergeCell ref="DI246:DI248"/>
    <mergeCell ref="DJ246:DJ248"/>
    <mergeCell ref="DK246:DK248"/>
    <mergeCell ref="DL246:DL248"/>
    <mergeCell ref="DM246:DM248"/>
    <mergeCell ref="DN246:DN248"/>
    <mergeCell ref="DO246:DO248"/>
    <mergeCell ref="DP246:DP248"/>
    <mergeCell ref="DQ246:DQ248"/>
    <mergeCell ref="DR246:DR248"/>
    <mergeCell ref="DS246:DS248"/>
    <mergeCell ref="DT246:DT248"/>
    <mergeCell ref="DU246:DU248"/>
    <mergeCell ref="DV246:DV248"/>
    <mergeCell ref="DW246:DW248"/>
    <mergeCell ref="DX246:DX248"/>
    <mergeCell ref="DY246:DY248"/>
    <mergeCell ref="DG242:DG244"/>
    <mergeCell ref="DH242:DH244"/>
    <mergeCell ref="DI242:DI244"/>
    <mergeCell ref="DJ242:DJ244"/>
    <mergeCell ref="DK242:DK244"/>
    <mergeCell ref="DL242:DL244"/>
    <mergeCell ref="DM242:DM244"/>
    <mergeCell ref="DN242:DN244"/>
    <mergeCell ref="DO242:DO244"/>
    <mergeCell ref="DP242:DP244"/>
    <mergeCell ref="DQ242:DQ244"/>
    <mergeCell ref="DR242:DR244"/>
    <mergeCell ref="DS242:DS244"/>
    <mergeCell ref="DT242:DT244"/>
    <mergeCell ref="DU242:DU244"/>
    <mergeCell ref="DV242:DV244"/>
    <mergeCell ref="DW242:DW244"/>
    <mergeCell ref="DX235:DX237"/>
    <mergeCell ref="DY235:DY237"/>
    <mergeCell ref="DG239:DG241"/>
    <mergeCell ref="DH239:DH241"/>
    <mergeCell ref="DI239:DI241"/>
    <mergeCell ref="DJ239:DJ241"/>
    <mergeCell ref="DK239:DK241"/>
    <mergeCell ref="DL239:DL241"/>
    <mergeCell ref="DM239:DM241"/>
    <mergeCell ref="DN239:DN241"/>
    <mergeCell ref="DO239:DO241"/>
    <mergeCell ref="DP239:DP241"/>
    <mergeCell ref="DQ239:DQ241"/>
    <mergeCell ref="DR239:DR241"/>
    <mergeCell ref="DS239:DS241"/>
    <mergeCell ref="DT239:DT241"/>
    <mergeCell ref="DU239:DU241"/>
    <mergeCell ref="DV239:DV241"/>
    <mergeCell ref="DW239:DW241"/>
    <mergeCell ref="DX239:DX241"/>
    <mergeCell ref="DY239:DY241"/>
    <mergeCell ref="DG235:DG237"/>
    <mergeCell ref="DH235:DH237"/>
    <mergeCell ref="DI235:DI237"/>
    <mergeCell ref="DJ235:DJ237"/>
    <mergeCell ref="DK235:DK237"/>
    <mergeCell ref="DL235:DL237"/>
    <mergeCell ref="DM235:DM237"/>
    <mergeCell ref="DN235:DN237"/>
    <mergeCell ref="DO235:DO237"/>
    <mergeCell ref="DP235:DP237"/>
    <mergeCell ref="DQ235:DQ237"/>
    <mergeCell ref="DR235:DR237"/>
    <mergeCell ref="DS235:DS237"/>
    <mergeCell ref="DT235:DT237"/>
    <mergeCell ref="DU235:DU237"/>
    <mergeCell ref="DV235:DV237"/>
    <mergeCell ref="DW235:DW237"/>
    <mergeCell ref="DX228:DX230"/>
    <mergeCell ref="DY228:DY230"/>
    <mergeCell ref="DG232:DG234"/>
    <mergeCell ref="DH232:DH234"/>
    <mergeCell ref="DI232:DI234"/>
    <mergeCell ref="DJ232:DJ234"/>
    <mergeCell ref="DK232:DK234"/>
    <mergeCell ref="DL232:DL234"/>
    <mergeCell ref="DM232:DM234"/>
    <mergeCell ref="DN232:DN234"/>
    <mergeCell ref="DO232:DO234"/>
    <mergeCell ref="DP232:DP234"/>
    <mergeCell ref="DQ232:DQ234"/>
    <mergeCell ref="DR232:DR234"/>
    <mergeCell ref="DS232:DS234"/>
    <mergeCell ref="DT232:DT234"/>
    <mergeCell ref="DU232:DU234"/>
    <mergeCell ref="DV232:DV234"/>
    <mergeCell ref="DW232:DW234"/>
    <mergeCell ref="DX232:DX234"/>
    <mergeCell ref="DY232:DY234"/>
    <mergeCell ref="DG228:DG230"/>
    <mergeCell ref="DH228:DH230"/>
    <mergeCell ref="DI228:DI230"/>
    <mergeCell ref="DJ228:DJ230"/>
    <mergeCell ref="DK228:DK230"/>
    <mergeCell ref="DL228:DL230"/>
    <mergeCell ref="DM228:DM230"/>
    <mergeCell ref="DN228:DN230"/>
    <mergeCell ref="DO228:DO230"/>
    <mergeCell ref="DP228:DP230"/>
    <mergeCell ref="DQ228:DQ230"/>
    <mergeCell ref="DR228:DR230"/>
    <mergeCell ref="DS228:DS230"/>
    <mergeCell ref="DT228:DT230"/>
    <mergeCell ref="DU228:DU230"/>
    <mergeCell ref="DV228:DV230"/>
    <mergeCell ref="DW228:DW230"/>
    <mergeCell ref="DX221:DX223"/>
    <mergeCell ref="DY221:DY223"/>
    <mergeCell ref="DG225:DG227"/>
    <mergeCell ref="DH225:DH227"/>
    <mergeCell ref="DI225:DI227"/>
    <mergeCell ref="DJ225:DJ227"/>
    <mergeCell ref="DK225:DK227"/>
    <mergeCell ref="DL225:DL227"/>
    <mergeCell ref="DM225:DM227"/>
    <mergeCell ref="DN225:DN227"/>
    <mergeCell ref="DO225:DO227"/>
    <mergeCell ref="DP225:DP227"/>
    <mergeCell ref="DQ225:DQ227"/>
    <mergeCell ref="DR225:DR227"/>
    <mergeCell ref="DS225:DS227"/>
    <mergeCell ref="DT225:DT227"/>
    <mergeCell ref="DU225:DU227"/>
    <mergeCell ref="DV225:DV227"/>
    <mergeCell ref="DW225:DW227"/>
    <mergeCell ref="DX225:DX227"/>
    <mergeCell ref="DY225:DY227"/>
    <mergeCell ref="DG221:DG223"/>
    <mergeCell ref="DH221:DH223"/>
    <mergeCell ref="DI221:DI223"/>
    <mergeCell ref="DJ221:DJ223"/>
    <mergeCell ref="DK221:DK223"/>
    <mergeCell ref="DL221:DL223"/>
    <mergeCell ref="DM221:DM223"/>
    <mergeCell ref="DN221:DN223"/>
    <mergeCell ref="DO221:DO223"/>
    <mergeCell ref="DP221:DP223"/>
    <mergeCell ref="DQ221:DQ223"/>
    <mergeCell ref="DR221:DR223"/>
    <mergeCell ref="DS221:DS223"/>
    <mergeCell ref="DT221:DT223"/>
    <mergeCell ref="DU221:DU223"/>
    <mergeCell ref="DV221:DV223"/>
    <mergeCell ref="DW221:DW223"/>
    <mergeCell ref="DG218:DG220"/>
    <mergeCell ref="DH218:DH220"/>
    <mergeCell ref="DI218:DI220"/>
    <mergeCell ref="DJ218:DJ220"/>
    <mergeCell ref="DK218:DK220"/>
    <mergeCell ref="DL218:DL220"/>
    <mergeCell ref="DM218:DM220"/>
    <mergeCell ref="DN218:DN220"/>
    <mergeCell ref="DO218:DO220"/>
    <mergeCell ref="DP218:DP220"/>
    <mergeCell ref="DQ218:DQ220"/>
    <mergeCell ref="DR218:DR220"/>
    <mergeCell ref="DS218:DS220"/>
    <mergeCell ref="DT218:DT220"/>
    <mergeCell ref="DU218:DU220"/>
    <mergeCell ref="DV218:DV220"/>
    <mergeCell ref="DW218:DW220"/>
    <mergeCell ref="DG214:DG216"/>
    <mergeCell ref="DH214:DH216"/>
    <mergeCell ref="DI214:DI216"/>
    <mergeCell ref="DJ214:DJ216"/>
    <mergeCell ref="DK214:DK216"/>
    <mergeCell ref="DL214:DL216"/>
    <mergeCell ref="DM214:DM216"/>
    <mergeCell ref="DN214:DN216"/>
    <mergeCell ref="DO214:DO216"/>
    <mergeCell ref="DP214:DP216"/>
    <mergeCell ref="DQ214:DQ216"/>
    <mergeCell ref="DR214:DR216"/>
    <mergeCell ref="DS214:DS216"/>
    <mergeCell ref="DT214:DT216"/>
    <mergeCell ref="DU214:DU216"/>
    <mergeCell ref="DV214:DV216"/>
    <mergeCell ref="DW214:DW216"/>
    <mergeCell ref="DG211:DG213"/>
    <mergeCell ref="DH211:DH213"/>
    <mergeCell ref="DI211:DI213"/>
    <mergeCell ref="DJ211:DJ213"/>
    <mergeCell ref="DK211:DK213"/>
    <mergeCell ref="DL211:DL213"/>
    <mergeCell ref="DM211:DM213"/>
    <mergeCell ref="DN211:DN213"/>
    <mergeCell ref="DO211:DO213"/>
    <mergeCell ref="DP211:DP213"/>
    <mergeCell ref="DQ211:DQ213"/>
    <mergeCell ref="DR211:DR213"/>
    <mergeCell ref="DS211:DS213"/>
    <mergeCell ref="DT211:DT213"/>
    <mergeCell ref="DU211:DU213"/>
    <mergeCell ref="DV211:DV213"/>
    <mergeCell ref="DW211:DW213"/>
    <mergeCell ref="DG207:DG209"/>
    <mergeCell ref="DH207:DH209"/>
    <mergeCell ref="DI207:DI209"/>
    <mergeCell ref="DJ207:DJ209"/>
    <mergeCell ref="DK207:DK209"/>
    <mergeCell ref="DL207:DL209"/>
    <mergeCell ref="DM207:DM209"/>
    <mergeCell ref="DN207:DN209"/>
    <mergeCell ref="DO207:DO209"/>
    <mergeCell ref="DP207:DP209"/>
    <mergeCell ref="DQ207:DQ209"/>
    <mergeCell ref="DR207:DR209"/>
    <mergeCell ref="DS207:DS209"/>
    <mergeCell ref="DT207:DT209"/>
    <mergeCell ref="DU207:DU209"/>
    <mergeCell ref="DV207:DV209"/>
    <mergeCell ref="DW207:DW209"/>
    <mergeCell ref="DG204:DG206"/>
    <mergeCell ref="DH204:DH206"/>
    <mergeCell ref="DI204:DI206"/>
    <mergeCell ref="DJ204:DJ206"/>
    <mergeCell ref="DK204:DK206"/>
    <mergeCell ref="DL204:DL206"/>
    <mergeCell ref="DM204:DM206"/>
    <mergeCell ref="DN204:DN206"/>
    <mergeCell ref="DO204:DO206"/>
    <mergeCell ref="DP204:DP206"/>
    <mergeCell ref="DQ204:DQ206"/>
    <mergeCell ref="DR204:DR206"/>
    <mergeCell ref="DS204:DS206"/>
    <mergeCell ref="DT204:DT206"/>
    <mergeCell ref="DU204:DU206"/>
    <mergeCell ref="DV204:DV206"/>
    <mergeCell ref="DW204:DW206"/>
    <mergeCell ref="DG200:DG202"/>
    <mergeCell ref="DH200:DH202"/>
    <mergeCell ref="DI200:DI202"/>
    <mergeCell ref="DJ200:DJ202"/>
    <mergeCell ref="DK200:DK202"/>
    <mergeCell ref="DL200:DL202"/>
    <mergeCell ref="DM200:DM202"/>
    <mergeCell ref="DN200:DN202"/>
    <mergeCell ref="DO200:DO202"/>
    <mergeCell ref="DP200:DP202"/>
    <mergeCell ref="DQ200:DQ202"/>
    <mergeCell ref="DR200:DR202"/>
    <mergeCell ref="DS200:DS202"/>
    <mergeCell ref="DT200:DT202"/>
    <mergeCell ref="DU200:DU202"/>
    <mergeCell ref="DV200:DV202"/>
    <mergeCell ref="DW200:DW202"/>
    <mergeCell ref="DG197:DG199"/>
    <mergeCell ref="DH197:DH199"/>
    <mergeCell ref="DI197:DI199"/>
    <mergeCell ref="DJ197:DJ199"/>
    <mergeCell ref="DK197:DK199"/>
    <mergeCell ref="DL197:DL199"/>
    <mergeCell ref="DM197:DM199"/>
    <mergeCell ref="DN197:DN199"/>
    <mergeCell ref="DO197:DO199"/>
    <mergeCell ref="DP197:DP199"/>
    <mergeCell ref="DQ197:DQ199"/>
    <mergeCell ref="DR197:DR199"/>
    <mergeCell ref="DS197:DS199"/>
    <mergeCell ref="DT197:DT199"/>
    <mergeCell ref="DU197:DU199"/>
    <mergeCell ref="DV197:DV199"/>
    <mergeCell ref="DW197:DW199"/>
    <mergeCell ref="DX190:DX192"/>
    <mergeCell ref="DY190:DY192"/>
    <mergeCell ref="DG193:DG195"/>
    <mergeCell ref="DH193:DH195"/>
    <mergeCell ref="DI193:DI195"/>
    <mergeCell ref="DJ193:DJ195"/>
    <mergeCell ref="DK193:DK195"/>
    <mergeCell ref="DL193:DL195"/>
    <mergeCell ref="DM193:DM195"/>
    <mergeCell ref="DN193:DN195"/>
    <mergeCell ref="DO193:DO195"/>
    <mergeCell ref="DP193:DP195"/>
    <mergeCell ref="DQ193:DQ195"/>
    <mergeCell ref="DR193:DR195"/>
    <mergeCell ref="DS193:DS195"/>
    <mergeCell ref="DT193:DT195"/>
    <mergeCell ref="DU193:DU195"/>
    <mergeCell ref="DV193:DV195"/>
    <mergeCell ref="DW193:DW195"/>
    <mergeCell ref="DX193:DX195"/>
    <mergeCell ref="DY193:DY195"/>
    <mergeCell ref="DG190:DG192"/>
    <mergeCell ref="DH190:DH192"/>
    <mergeCell ref="DI190:DI192"/>
    <mergeCell ref="DJ190:DJ192"/>
    <mergeCell ref="DK190:DK192"/>
    <mergeCell ref="DL190:DL192"/>
    <mergeCell ref="DM190:DM192"/>
    <mergeCell ref="DN190:DN192"/>
    <mergeCell ref="DO190:DO192"/>
    <mergeCell ref="DP190:DP192"/>
    <mergeCell ref="DQ190:DQ192"/>
    <mergeCell ref="DR190:DR192"/>
    <mergeCell ref="DS190:DS192"/>
    <mergeCell ref="DT190:DT192"/>
    <mergeCell ref="DU190:DU192"/>
    <mergeCell ref="DV190:DV192"/>
    <mergeCell ref="DW190:DW192"/>
    <mergeCell ref="DX183:DX185"/>
    <mergeCell ref="DY183:DY185"/>
    <mergeCell ref="DG186:DG188"/>
    <mergeCell ref="DH186:DH188"/>
    <mergeCell ref="DI186:DI188"/>
    <mergeCell ref="DJ186:DJ188"/>
    <mergeCell ref="DK186:DK188"/>
    <mergeCell ref="DL186:DL188"/>
    <mergeCell ref="DM186:DM188"/>
    <mergeCell ref="DN186:DN188"/>
    <mergeCell ref="DO186:DO188"/>
    <mergeCell ref="DP186:DP188"/>
    <mergeCell ref="DQ186:DQ188"/>
    <mergeCell ref="DR186:DR188"/>
    <mergeCell ref="DS186:DS188"/>
    <mergeCell ref="DT186:DT188"/>
    <mergeCell ref="DU186:DU188"/>
    <mergeCell ref="DV186:DV188"/>
    <mergeCell ref="DW186:DW188"/>
    <mergeCell ref="DX186:DX188"/>
    <mergeCell ref="DY186:DY188"/>
    <mergeCell ref="DG183:DG185"/>
    <mergeCell ref="DH183:DH185"/>
    <mergeCell ref="DI183:DI185"/>
    <mergeCell ref="DJ183:DJ185"/>
    <mergeCell ref="DK183:DK185"/>
    <mergeCell ref="DL183:DL185"/>
    <mergeCell ref="DM183:DM185"/>
    <mergeCell ref="DN183:DN185"/>
    <mergeCell ref="DO183:DO185"/>
    <mergeCell ref="DP183:DP185"/>
    <mergeCell ref="DQ183:DQ185"/>
    <mergeCell ref="DR183:DR185"/>
    <mergeCell ref="DS183:DS185"/>
    <mergeCell ref="DT183:DT185"/>
    <mergeCell ref="DU183:DU185"/>
    <mergeCell ref="DV183:DV185"/>
    <mergeCell ref="DW183:DW185"/>
    <mergeCell ref="DX176:DX178"/>
    <mergeCell ref="DY176:DY178"/>
    <mergeCell ref="DG179:DG181"/>
    <mergeCell ref="DH179:DH181"/>
    <mergeCell ref="DI179:DI181"/>
    <mergeCell ref="DJ179:DJ181"/>
    <mergeCell ref="DK179:DK181"/>
    <mergeCell ref="DL179:DL181"/>
    <mergeCell ref="DM179:DM181"/>
    <mergeCell ref="DN179:DN181"/>
    <mergeCell ref="DO179:DO181"/>
    <mergeCell ref="DP179:DP181"/>
    <mergeCell ref="DQ179:DQ181"/>
    <mergeCell ref="DR179:DR181"/>
    <mergeCell ref="DS179:DS181"/>
    <mergeCell ref="DT179:DT181"/>
    <mergeCell ref="DU179:DU181"/>
    <mergeCell ref="DV179:DV181"/>
    <mergeCell ref="DW179:DW181"/>
    <mergeCell ref="DX179:DX181"/>
    <mergeCell ref="DG169:DG171"/>
    <mergeCell ref="DH169:DH171"/>
    <mergeCell ref="DI169:DI171"/>
    <mergeCell ref="DJ169:DJ171"/>
    <mergeCell ref="DK169:DK171"/>
    <mergeCell ref="DL169:DL171"/>
    <mergeCell ref="DM169:DM171"/>
    <mergeCell ref="DN169:DN171"/>
    <mergeCell ref="DO169:DO171"/>
    <mergeCell ref="DP169:DP171"/>
    <mergeCell ref="DQ169:DQ171"/>
    <mergeCell ref="DY179:DY181"/>
    <mergeCell ref="DG176:DG178"/>
    <mergeCell ref="DH176:DH178"/>
    <mergeCell ref="DI176:DI178"/>
    <mergeCell ref="DJ176:DJ178"/>
    <mergeCell ref="DK176:DK178"/>
    <mergeCell ref="DL176:DL178"/>
    <mergeCell ref="DM176:DM178"/>
    <mergeCell ref="DN176:DN178"/>
    <mergeCell ref="DO176:DO178"/>
    <mergeCell ref="DP176:DP178"/>
    <mergeCell ref="DQ176:DQ178"/>
    <mergeCell ref="DR176:DR178"/>
    <mergeCell ref="DS176:DS178"/>
    <mergeCell ref="DT176:DT178"/>
    <mergeCell ref="DU176:DU178"/>
    <mergeCell ref="DV176:DV178"/>
    <mergeCell ref="DW176:DW178"/>
    <mergeCell ref="DG172:DG174"/>
    <mergeCell ref="DH172:DH174"/>
    <mergeCell ref="DI172:DI174"/>
    <mergeCell ref="DJ172:DJ174"/>
    <mergeCell ref="DK172:DK174"/>
    <mergeCell ref="DL172:DL174"/>
    <mergeCell ref="DM172:DM174"/>
    <mergeCell ref="DN172:DN174"/>
    <mergeCell ref="DO172:DO174"/>
    <mergeCell ref="DP172:DP174"/>
    <mergeCell ref="DQ172:DQ174"/>
    <mergeCell ref="DR172:DR174"/>
    <mergeCell ref="DS172:DS174"/>
    <mergeCell ref="DT172:DT174"/>
    <mergeCell ref="DU172:DU174"/>
    <mergeCell ref="DV172:DV174"/>
    <mergeCell ref="DW172:DW174"/>
    <mergeCell ref="DR169:DR171"/>
    <mergeCell ref="DS169:DS171"/>
    <mergeCell ref="DT169:DT171"/>
    <mergeCell ref="DU169:DU171"/>
    <mergeCell ref="DV169:DV171"/>
    <mergeCell ref="DW169:DW171"/>
    <mergeCell ref="DX162:DX164"/>
    <mergeCell ref="DY162:DY164"/>
    <mergeCell ref="DG165:DG167"/>
    <mergeCell ref="DH165:DH167"/>
    <mergeCell ref="DI165:DI167"/>
    <mergeCell ref="DJ165:DJ167"/>
    <mergeCell ref="DK165:DK167"/>
    <mergeCell ref="DL165:DL167"/>
    <mergeCell ref="DM165:DM167"/>
    <mergeCell ref="DN165:DN167"/>
    <mergeCell ref="DO165:DO167"/>
    <mergeCell ref="DP165:DP167"/>
    <mergeCell ref="DQ165:DQ167"/>
    <mergeCell ref="DR165:DR167"/>
    <mergeCell ref="DS165:DS167"/>
    <mergeCell ref="DT165:DT167"/>
    <mergeCell ref="DU165:DU167"/>
    <mergeCell ref="DV165:DV167"/>
    <mergeCell ref="DW165:DW167"/>
    <mergeCell ref="DX165:DX167"/>
    <mergeCell ref="DY165:DY167"/>
    <mergeCell ref="DG162:DG164"/>
    <mergeCell ref="DH162:DH164"/>
    <mergeCell ref="DI162:DI164"/>
    <mergeCell ref="DJ162:DJ164"/>
    <mergeCell ref="DK162:DK164"/>
    <mergeCell ref="DL162:DL164"/>
    <mergeCell ref="DM162:DM164"/>
    <mergeCell ref="DN162:DN164"/>
    <mergeCell ref="DO162:DO164"/>
    <mergeCell ref="DP162:DP164"/>
    <mergeCell ref="DQ162:DQ164"/>
    <mergeCell ref="DR162:DR164"/>
    <mergeCell ref="DS162:DS164"/>
    <mergeCell ref="DT162:DT164"/>
    <mergeCell ref="DU162:DU164"/>
    <mergeCell ref="DV162:DV164"/>
    <mergeCell ref="DW162:DW164"/>
    <mergeCell ref="DG158:DG160"/>
    <mergeCell ref="DH158:DH160"/>
    <mergeCell ref="DI158:DI160"/>
    <mergeCell ref="DJ158:DJ160"/>
    <mergeCell ref="DK158:DK160"/>
    <mergeCell ref="DL158:DL160"/>
    <mergeCell ref="DM158:DM160"/>
    <mergeCell ref="DN158:DN160"/>
    <mergeCell ref="DO158:DO160"/>
    <mergeCell ref="DP158:DP160"/>
    <mergeCell ref="DQ158:DQ160"/>
    <mergeCell ref="DR158:DR160"/>
    <mergeCell ref="DS158:DS160"/>
    <mergeCell ref="DT158:DT160"/>
    <mergeCell ref="DU158:DU160"/>
    <mergeCell ref="DV158:DV160"/>
    <mergeCell ref="DW158:DW160"/>
    <mergeCell ref="DG155:DG157"/>
    <mergeCell ref="DH155:DH157"/>
    <mergeCell ref="DI155:DI157"/>
    <mergeCell ref="DJ155:DJ157"/>
    <mergeCell ref="DK155:DK157"/>
    <mergeCell ref="DL155:DL157"/>
    <mergeCell ref="DM155:DM157"/>
    <mergeCell ref="DN155:DN157"/>
    <mergeCell ref="DO155:DO157"/>
    <mergeCell ref="DP155:DP157"/>
    <mergeCell ref="DQ155:DQ157"/>
    <mergeCell ref="DR155:DR157"/>
    <mergeCell ref="DS155:DS157"/>
    <mergeCell ref="DT155:DT157"/>
    <mergeCell ref="DU155:DU157"/>
    <mergeCell ref="DV155:DV157"/>
    <mergeCell ref="DW155:DW157"/>
    <mergeCell ref="DG151:DG153"/>
    <mergeCell ref="DH151:DH153"/>
    <mergeCell ref="DI151:DI153"/>
    <mergeCell ref="DJ151:DJ153"/>
    <mergeCell ref="DK151:DK153"/>
    <mergeCell ref="DL151:DL153"/>
    <mergeCell ref="DM151:DM153"/>
    <mergeCell ref="DN151:DN153"/>
    <mergeCell ref="DO151:DO153"/>
    <mergeCell ref="DP151:DP153"/>
    <mergeCell ref="DQ151:DQ153"/>
    <mergeCell ref="DR151:DR153"/>
    <mergeCell ref="DS151:DS153"/>
    <mergeCell ref="DT151:DT153"/>
    <mergeCell ref="DU151:DU153"/>
    <mergeCell ref="DV151:DV153"/>
    <mergeCell ref="DW151:DW153"/>
    <mergeCell ref="DG148:DG150"/>
    <mergeCell ref="DH148:DH150"/>
    <mergeCell ref="DI148:DI150"/>
    <mergeCell ref="DJ148:DJ150"/>
    <mergeCell ref="DK148:DK150"/>
    <mergeCell ref="DL148:DL150"/>
    <mergeCell ref="DM148:DM150"/>
    <mergeCell ref="DN148:DN150"/>
    <mergeCell ref="DO148:DO150"/>
    <mergeCell ref="DP148:DP150"/>
    <mergeCell ref="DQ148:DQ150"/>
    <mergeCell ref="DR148:DR150"/>
    <mergeCell ref="DS148:DS150"/>
    <mergeCell ref="DT148:DT150"/>
    <mergeCell ref="DU148:DU150"/>
    <mergeCell ref="DV148:DV150"/>
    <mergeCell ref="DW148:DW150"/>
    <mergeCell ref="DG144:DG146"/>
    <mergeCell ref="DH144:DH146"/>
    <mergeCell ref="DI144:DI146"/>
    <mergeCell ref="DJ144:DJ146"/>
    <mergeCell ref="DK144:DK146"/>
    <mergeCell ref="DL144:DL146"/>
    <mergeCell ref="DM144:DM146"/>
    <mergeCell ref="DN144:DN146"/>
    <mergeCell ref="DO144:DO146"/>
    <mergeCell ref="DP144:DP146"/>
    <mergeCell ref="DQ144:DQ146"/>
    <mergeCell ref="DR144:DR146"/>
    <mergeCell ref="DS144:DS146"/>
    <mergeCell ref="DT144:DT146"/>
    <mergeCell ref="DU144:DU146"/>
    <mergeCell ref="DV144:DV146"/>
    <mergeCell ref="DW144:DW146"/>
    <mergeCell ref="DG141:DG143"/>
    <mergeCell ref="DH141:DH143"/>
    <mergeCell ref="DI141:DI143"/>
    <mergeCell ref="DJ141:DJ143"/>
    <mergeCell ref="DK141:DK143"/>
    <mergeCell ref="DL141:DL143"/>
    <mergeCell ref="DM141:DM143"/>
    <mergeCell ref="DN141:DN143"/>
    <mergeCell ref="DO141:DO143"/>
    <mergeCell ref="DP141:DP143"/>
    <mergeCell ref="DQ141:DQ143"/>
    <mergeCell ref="DR141:DR143"/>
    <mergeCell ref="DS141:DS143"/>
    <mergeCell ref="DT141:DT143"/>
    <mergeCell ref="DU141:DU143"/>
    <mergeCell ref="DV141:DV143"/>
    <mergeCell ref="DW141:DW143"/>
    <mergeCell ref="DG137:DG139"/>
    <mergeCell ref="DH137:DH139"/>
    <mergeCell ref="DI137:DI139"/>
    <mergeCell ref="DJ137:DJ139"/>
    <mergeCell ref="DK137:DK139"/>
    <mergeCell ref="DL137:DL139"/>
    <mergeCell ref="DM137:DM139"/>
    <mergeCell ref="DN137:DN139"/>
    <mergeCell ref="DO137:DO139"/>
    <mergeCell ref="DP137:DP139"/>
    <mergeCell ref="DQ137:DQ139"/>
    <mergeCell ref="DR137:DR139"/>
    <mergeCell ref="DS137:DS139"/>
    <mergeCell ref="DT137:DT139"/>
    <mergeCell ref="DU137:DU139"/>
    <mergeCell ref="DV137:DV139"/>
    <mergeCell ref="DW137:DW139"/>
    <mergeCell ref="DI134:DI136"/>
    <mergeCell ref="DJ134:DJ136"/>
    <mergeCell ref="DK134:DK136"/>
    <mergeCell ref="DL134:DL136"/>
    <mergeCell ref="DM134:DM136"/>
    <mergeCell ref="DN134:DN136"/>
    <mergeCell ref="DO134:DO136"/>
    <mergeCell ref="DP134:DP136"/>
    <mergeCell ref="DQ134:DQ136"/>
    <mergeCell ref="DR134:DR136"/>
    <mergeCell ref="DS134:DS136"/>
    <mergeCell ref="DT134:DT136"/>
    <mergeCell ref="DU134:DU136"/>
    <mergeCell ref="DV134:DV136"/>
    <mergeCell ref="DW134:DW136"/>
    <mergeCell ref="DX134:DX136"/>
    <mergeCell ref="DY134:DY136"/>
    <mergeCell ref="DX127:DX129"/>
    <mergeCell ref="DY127:DY129"/>
    <mergeCell ref="DG130:DG132"/>
    <mergeCell ref="DH130:DH132"/>
    <mergeCell ref="DI130:DI132"/>
    <mergeCell ref="DJ130:DJ132"/>
    <mergeCell ref="DK130:DK132"/>
    <mergeCell ref="DL130:DL132"/>
    <mergeCell ref="DM130:DM132"/>
    <mergeCell ref="DN130:DN132"/>
    <mergeCell ref="DO130:DO132"/>
    <mergeCell ref="DP130:DP132"/>
    <mergeCell ref="DQ130:DQ132"/>
    <mergeCell ref="DR130:DR132"/>
    <mergeCell ref="DS130:DS132"/>
    <mergeCell ref="DT130:DT132"/>
    <mergeCell ref="DU130:DU132"/>
    <mergeCell ref="DV130:DV132"/>
    <mergeCell ref="DW130:DW132"/>
    <mergeCell ref="DX130:DX132"/>
    <mergeCell ref="DY130:DY132"/>
    <mergeCell ref="DG127:DG129"/>
    <mergeCell ref="DH127:DH129"/>
    <mergeCell ref="DI127:DI129"/>
    <mergeCell ref="DJ127:DJ129"/>
    <mergeCell ref="DK127:DK129"/>
    <mergeCell ref="DL127:DL129"/>
    <mergeCell ref="DM127:DM129"/>
    <mergeCell ref="DN127:DN129"/>
    <mergeCell ref="DO127:DO129"/>
    <mergeCell ref="DP127:DP129"/>
    <mergeCell ref="DQ127:DQ129"/>
    <mergeCell ref="DR127:DR129"/>
    <mergeCell ref="DS127:DS129"/>
    <mergeCell ref="DT127:DT129"/>
    <mergeCell ref="DU127:DU129"/>
    <mergeCell ref="DV127:DV129"/>
    <mergeCell ref="DW127:DW129"/>
    <mergeCell ref="DI123:DI125"/>
    <mergeCell ref="DJ123:DJ125"/>
    <mergeCell ref="DK123:DK125"/>
    <mergeCell ref="DL123:DL125"/>
    <mergeCell ref="DM123:DM125"/>
    <mergeCell ref="DN123:DN125"/>
    <mergeCell ref="DO123:DO125"/>
    <mergeCell ref="DP123:DP125"/>
    <mergeCell ref="DQ123:DQ125"/>
    <mergeCell ref="DR123:DR125"/>
    <mergeCell ref="DS123:DS125"/>
    <mergeCell ref="DT123:DT125"/>
    <mergeCell ref="DU123:DU125"/>
    <mergeCell ref="DV123:DV125"/>
    <mergeCell ref="DW123:DW125"/>
    <mergeCell ref="DX123:DX125"/>
    <mergeCell ref="DY123:DY125"/>
    <mergeCell ref="DX116:DX118"/>
    <mergeCell ref="DY116:DY118"/>
    <mergeCell ref="DG120:DG122"/>
    <mergeCell ref="DH120:DH122"/>
    <mergeCell ref="DI120:DI122"/>
    <mergeCell ref="DJ120:DJ122"/>
    <mergeCell ref="DK120:DK122"/>
    <mergeCell ref="DL120:DL122"/>
    <mergeCell ref="DM120:DM122"/>
    <mergeCell ref="DN120:DN122"/>
    <mergeCell ref="DO120:DO122"/>
    <mergeCell ref="DP120:DP122"/>
    <mergeCell ref="DQ120:DQ122"/>
    <mergeCell ref="DR120:DR122"/>
    <mergeCell ref="DS120:DS122"/>
    <mergeCell ref="DT120:DT122"/>
    <mergeCell ref="DU120:DU122"/>
    <mergeCell ref="DV120:DV122"/>
    <mergeCell ref="DW120:DW122"/>
    <mergeCell ref="DX120:DX122"/>
    <mergeCell ref="DY120:DY122"/>
    <mergeCell ref="DG116:DG118"/>
    <mergeCell ref="DH116:DH118"/>
    <mergeCell ref="DI116:DI118"/>
    <mergeCell ref="DJ116:DJ118"/>
    <mergeCell ref="DK116:DK118"/>
    <mergeCell ref="DL116:DL118"/>
    <mergeCell ref="DM116:DM118"/>
    <mergeCell ref="DN116:DN118"/>
    <mergeCell ref="DO116:DO118"/>
    <mergeCell ref="DP116:DP118"/>
    <mergeCell ref="DQ116:DQ118"/>
    <mergeCell ref="DR116:DR118"/>
    <mergeCell ref="DS116:DS118"/>
    <mergeCell ref="DT116:DT118"/>
    <mergeCell ref="DU116:DU118"/>
    <mergeCell ref="DV116:DV118"/>
    <mergeCell ref="DW116:DW118"/>
    <mergeCell ref="DX109:DX111"/>
    <mergeCell ref="DY109:DY111"/>
    <mergeCell ref="DG113:DG115"/>
    <mergeCell ref="DH113:DH115"/>
    <mergeCell ref="DI113:DI115"/>
    <mergeCell ref="DJ113:DJ115"/>
    <mergeCell ref="DK113:DK115"/>
    <mergeCell ref="DL113:DL115"/>
    <mergeCell ref="DM113:DM115"/>
    <mergeCell ref="DN113:DN115"/>
    <mergeCell ref="DO113:DO115"/>
    <mergeCell ref="DP113:DP115"/>
    <mergeCell ref="DQ113:DQ115"/>
    <mergeCell ref="DR113:DR115"/>
    <mergeCell ref="DS113:DS115"/>
    <mergeCell ref="DT113:DT115"/>
    <mergeCell ref="DU113:DU115"/>
    <mergeCell ref="DV113:DV115"/>
    <mergeCell ref="DW113:DW115"/>
    <mergeCell ref="DX113:DX115"/>
    <mergeCell ref="DY113:DY115"/>
    <mergeCell ref="DG109:DG111"/>
    <mergeCell ref="DH109:DH111"/>
    <mergeCell ref="DI109:DI111"/>
    <mergeCell ref="DJ109:DJ111"/>
    <mergeCell ref="DK109:DK111"/>
    <mergeCell ref="DL109:DL111"/>
    <mergeCell ref="DM109:DM111"/>
    <mergeCell ref="DN109:DN111"/>
    <mergeCell ref="DO109:DO111"/>
    <mergeCell ref="DP109:DP111"/>
    <mergeCell ref="DQ109:DQ111"/>
    <mergeCell ref="DR109:DR111"/>
    <mergeCell ref="DS109:DS111"/>
    <mergeCell ref="DT109:DT111"/>
    <mergeCell ref="DU109:DU111"/>
    <mergeCell ref="DV109:DV111"/>
    <mergeCell ref="DW109:DW111"/>
    <mergeCell ref="DI106:DI108"/>
    <mergeCell ref="DJ106:DJ108"/>
    <mergeCell ref="DK106:DK108"/>
    <mergeCell ref="DL106:DL108"/>
    <mergeCell ref="DM106:DM108"/>
    <mergeCell ref="DN106:DN108"/>
    <mergeCell ref="DO106:DO108"/>
    <mergeCell ref="DP106:DP108"/>
    <mergeCell ref="DQ106:DQ108"/>
    <mergeCell ref="DR106:DR108"/>
    <mergeCell ref="DS106:DS108"/>
    <mergeCell ref="DT106:DT108"/>
    <mergeCell ref="DU106:DU108"/>
    <mergeCell ref="DV106:DV108"/>
    <mergeCell ref="DW106:DW108"/>
    <mergeCell ref="DX106:DX108"/>
    <mergeCell ref="DY106:DY108"/>
    <mergeCell ref="DG102:DG104"/>
    <mergeCell ref="DH102:DH104"/>
    <mergeCell ref="DI102:DI104"/>
    <mergeCell ref="DJ102:DJ104"/>
    <mergeCell ref="DK102:DK104"/>
    <mergeCell ref="DL102:DL104"/>
    <mergeCell ref="DM102:DM104"/>
    <mergeCell ref="DN102:DN104"/>
    <mergeCell ref="DO102:DO104"/>
    <mergeCell ref="DP102:DP104"/>
    <mergeCell ref="DQ102:DQ104"/>
    <mergeCell ref="DR102:DR104"/>
    <mergeCell ref="DS102:DS104"/>
    <mergeCell ref="DT102:DT104"/>
    <mergeCell ref="DU102:DU104"/>
    <mergeCell ref="DV102:DV104"/>
    <mergeCell ref="DW102:DW104"/>
    <mergeCell ref="DG99:DG101"/>
    <mergeCell ref="DH99:DH101"/>
    <mergeCell ref="DI99:DI101"/>
    <mergeCell ref="DJ99:DJ101"/>
    <mergeCell ref="DK99:DK101"/>
    <mergeCell ref="DL99:DL101"/>
    <mergeCell ref="DM99:DM101"/>
    <mergeCell ref="DN99:DN101"/>
    <mergeCell ref="DO99:DO101"/>
    <mergeCell ref="DP99:DP101"/>
    <mergeCell ref="DQ99:DQ101"/>
    <mergeCell ref="DR99:DR101"/>
    <mergeCell ref="DS99:DS101"/>
    <mergeCell ref="DT99:DT101"/>
    <mergeCell ref="DU99:DU101"/>
    <mergeCell ref="DV99:DV101"/>
    <mergeCell ref="DW99:DW101"/>
    <mergeCell ref="DG95:DG97"/>
    <mergeCell ref="DH95:DH97"/>
    <mergeCell ref="DI95:DI97"/>
    <mergeCell ref="DJ95:DJ97"/>
    <mergeCell ref="DK95:DK97"/>
    <mergeCell ref="DL95:DL97"/>
    <mergeCell ref="DM95:DM97"/>
    <mergeCell ref="DN95:DN97"/>
    <mergeCell ref="DO95:DO97"/>
    <mergeCell ref="DP95:DP97"/>
    <mergeCell ref="DQ95:DQ97"/>
    <mergeCell ref="DR95:DR97"/>
    <mergeCell ref="DS95:DS97"/>
    <mergeCell ref="DT95:DT97"/>
    <mergeCell ref="DU95:DU97"/>
    <mergeCell ref="DV95:DV97"/>
    <mergeCell ref="DW95:DW97"/>
    <mergeCell ref="DI92:DI94"/>
    <mergeCell ref="DJ92:DJ94"/>
    <mergeCell ref="DK92:DK94"/>
    <mergeCell ref="DL92:DL94"/>
    <mergeCell ref="DM92:DM94"/>
    <mergeCell ref="DN92:DN94"/>
    <mergeCell ref="DO92:DO94"/>
    <mergeCell ref="DP92:DP94"/>
    <mergeCell ref="DQ92:DQ94"/>
    <mergeCell ref="DR92:DR94"/>
    <mergeCell ref="DS92:DS94"/>
    <mergeCell ref="DT92:DT94"/>
    <mergeCell ref="DU92:DU94"/>
    <mergeCell ref="DV92:DV94"/>
    <mergeCell ref="DW92:DW94"/>
    <mergeCell ref="DX92:DX94"/>
    <mergeCell ref="DY92:DY94"/>
    <mergeCell ref="DG88:DG90"/>
    <mergeCell ref="DH88:DH90"/>
    <mergeCell ref="DI88:DI90"/>
    <mergeCell ref="DJ88:DJ90"/>
    <mergeCell ref="DK88:DK90"/>
    <mergeCell ref="DL88:DL90"/>
    <mergeCell ref="DM88:DM90"/>
    <mergeCell ref="DN88:DN90"/>
    <mergeCell ref="DO88:DO90"/>
    <mergeCell ref="DP88:DP90"/>
    <mergeCell ref="DQ88:DQ90"/>
    <mergeCell ref="DR88:DR90"/>
    <mergeCell ref="DS88:DS90"/>
    <mergeCell ref="DT88:DT90"/>
    <mergeCell ref="DU88:DU90"/>
    <mergeCell ref="DV88:DV90"/>
    <mergeCell ref="DW88:DW90"/>
    <mergeCell ref="DG85:DG87"/>
    <mergeCell ref="DH85:DH87"/>
    <mergeCell ref="DI85:DI87"/>
    <mergeCell ref="DJ85:DJ87"/>
    <mergeCell ref="DK85:DK87"/>
    <mergeCell ref="DL85:DL87"/>
    <mergeCell ref="DM85:DM87"/>
    <mergeCell ref="DN85:DN87"/>
    <mergeCell ref="DO85:DO87"/>
    <mergeCell ref="DP85:DP87"/>
    <mergeCell ref="DQ85:DQ87"/>
    <mergeCell ref="DR85:DR87"/>
    <mergeCell ref="DS85:DS87"/>
    <mergeCell ref="DT85:DT87"/>
    <mergeCell ref="DU85:DU87"/>
    <mergeCell ref="DV85:DV87"/>
    <mergeCell ref="DW85:DW87"/>
    <mergeCell ref="DG81:DG83"/>
    <mergeCell ref="DH81:DH83"/>
    <mergeCell ref="DI81:DI83"/>
    <mergeCell ref="DJ81:DJ83"/>
    <mergeCell ref="DK81:DK83"/>
    <mergeCell ref="DL81:DL83"/>
    <mergeCell ref="DM81:DM83"/>
    <mergeCell ref="DN81:DN83"/>
    <mergeCell ref="DO81:DO83"/>
    <mergeCell ref="DP81:DP83"/>
    <mergeCell ref="DQ81:DQ83"/>
    <mergeCell ref="DR81:DR83"/>
    <mergeCell ref="DS81:DS83"/>
    <mergeCell ref="DT81:DT83"/>
    <mergeCell ref="DU81:DU83"/>
    <mergeCell ref="DV81:DV83"/>
    <mergeCell ref="DW81:DW83"/>
    <mergeCell ref="DI78:DI80"/>
    <mergeCell ref="DJ78:DJ80"/>
    <mergeCell ref="DK78:DK80"/>
    <mergeCell ref="DL78:DL80"/>
    <mergeCell ref="DM78:DM80"/>
    <mergeCell ref="DN78:DN80"/>
    <mergeCell ref="DO78:DO80"/>
    <mergeCell ref="DP78:DP80"/>
    <mergeCell ref="DQ78:DQ80"/>
    <mergeCell ref="DR78:DR80"/>
    <mergeCell ref="DS78:DS80"/>
    <mergeCell ref="DT78:DT80"/>
    <mergeCell ref="DU78:DU80"/>
    <mergeCell ref="DV78:DV80"/>
    <mergeCell ref="DW78:DW80"/>
    <mergeCell ref="DX78:DX80"/>
    <mergeCell ref="DY78:DY80"/>
    <mergeCell ref="DG74:DG76"/>
    <mergeCell ref="DH74:DH76"/>
    <mergeCell ref="DI74:DI76"/>
    <mergeCell ref="DJ74:DJ76"/>
    <mergeCell ref="DK74:DK76"/>
    <mergeCell ref="DL74:DL76"/>
    <mergeCell ref="DM74:DM76"/>
    <mergeCell ref="DN74:DN76"/>
    <mergeCell ref="DO74:DO76"/>
    <mergeCell ref="DP74:DP76"/>
    <mergeCell ref="DQ74:DQ76"/>
    <mergeCell ref="DR74:DR76"/>
    <mergeCell ref="DS74:DS76"/>
    <mergeCell ref="DT74:DT76"/>
    <mergeCell ref="DU74:DU76"/>
    <mergeCell ref="DV74:DV76"/>
    <mergeCell ref="DW74:DW76"/>
    <mergeCell ref="DX67:DX69"/>
    <mergeCell ref="DY67:DY69"/>
    <mergeCell ref="DG71:DG73"/>
    <mergeCell ref="DH71:DH73"/>
    <mergeCell ref="DI71:DI73"/>
    <mergeCell ref="DJ71:DJ73"/>
    <mergeCell ref="DK71:DK73"/>
    <mergeCell ref="DL71:DL73"/>
    <mergeCell ref="DM71:DM73"/>
    <mergeCell ref="DN71:DN73"/>
    <mergeCell ref="DO71:DO73"/>
    <mergeCell ref="DP71:DP73"/>
    <mergeCell ref="DQ71:DQ73"/>
    <mergeCell ref="DR71:DR73"/>
    <mergeCell ref="DS71:DS73"/>
    <mergeCell ref="DT71:DT73"/>
    <mergeCell ref="DU71:DU73"/>
    <mergeCell ref="DV71:DV73"/>
    <mergeCell ref="DW71:DW73"/>
    <mergeCell ref="DX71:DX73"/>
    <mergeCell ref="DY71:DY73"/>
    <mergeCell ref="DG67:DG69"/>
    <mergeCell ref="DH67:DH69"/>
    <mergeCell ref="DI67:DI69"/>
    <mergeCell ref="DJ67:DJ69"/>
    <mergeCell ref="DK67:DK69"/>
    <mergeCell ref="DL67:DL69"/>
    <mergeCell ref="DM67:DM69"/>
    <mergeCell ref="DN67:DN69"/>
    <mergeCell ref="DO67:DO69"/>
    <mergeCell ref="DP67:DP69"/>
    <mergeCell ref="DQ67:DQ69"/>
    <mergeCell ref="DR67:DR69"/>
    <mergeCell ref="DS67:DS69"/>
    <mergeCell ref="DT67:DT69"/>
    <mergeCell ref="DU67:DU69"/>
    <mergeCell ref="DV67:DV69"/>
    <mergeCell ref="DW67:DW69"/>
    <mergeCell ref="DI64:DI66"/>
    <mergeCell ref="DJ64:DJ66"/>
    <mergeCell ref="DK64:DK66"/>
    <mergeCell ref="DL64:DL66"/>
    <mergeCell ref="DM64:DM66"/>
    <mergeCell ref="DN64:DN66"/>
    <mergeCell ref="DO64:DO66"/>
    <mergeCell ref="DP64:DP66"/>
    <mergeCell ref="DQ64:DQ66"/>
    <mergeCell ref="DR64:DR66"/>
    <mergeCell ref="DS64:DS66"/>
    <mergeCell ref="DT64:DT66"/>
    <mergeCell ref="DU64:DU66"/>
    <mergeCell ref="DV64:DV66"/>
    <mergeCell ref="DW64:DW66"/>
    <mergeCell ref="DX57:DX59"/>
    <mergeCell ref="DY57:DY59"/>
    <mergeCell ref="DG60:DG62"/>
    <mergeCell ref="DH60:DH62"/>
    <mergeCell ref="DI60:DI62"/>
    <mergeCell ref="DJ60:DJ62"/>
    <mergeCell ref="DK60:DK62"/>
    <mergeCell ref="DL60:DL62"/>
    <mergeCell ref="DM60:DM62"/>
    <mergeCell ref="DN60:DN62"/>
    <mergeCell ref="DO60:DO62"/>
    <mergeCell ref="DP60:DP62"/>
    <mergeCell ref="DQ60:DQ62"/>
    <mergeCell ref="DR60:DR62"/>
    <mergeCell ref="DS60:DS62"/>
    <mergeCell ref="DT60:DT62"/>
    <mergeCell ref="DU60:DU62"/>
    <mergeCell ref="DV60:DV62"/>
    <mergeCell ref="DW60:DW62"/>
    <mergeCell ref="DX60:DX62"/>
    <mergeCell ref="DY60:DY62"/>
    <mergeCell ref="DG57:DG59"/>
    <mergeCell ref="DH57:DH59"/>
    <mergeCell ref="DI57:DI59"/>
    <mergeCell ref="DJ57:DJ59"/>
    <mergeCell ref="DK57:DK59"/>
    <mergeCell ref="DL57:DL59"/>
    <mergeCell ref="DM57:DM59"/>
    <mergeCell ref="DN57:DN59"/>
    <mergeCell ref="DO57:DO59"/>
    <mergeCell ref="DP57:DP59"/>
    <mergeCell ref="DQ57:DQ59"/>
    <mergeCell ref="DR57:DR59"/>
    <mergeCell ref="DS57:DS59"/>
    <mergeCell ref="DT57:DT59"/>
    <mergeCell ref="DU57:DU59"/>
    <mergeCell ref="DV57:DV59"/>
    <mergeCell ref="DW57:DW59"/>
    <mergeCell ref="DG53:DG55"/>
    <mergeCell ref="DH53:DH55"/>
    <mergeCell ref="DI53:DI55"/>
    <mergeCell ref="DJ53:DJ55"/>
    <mergeCell ref="DK53:DK55"/>
    <mergeCell ref="DL53:DL55"/>
    <mergeCell ref="DM53:DM55"/>
    <mergeCell ref="DN53:DN55"/>
    <mergeCell ref="DO53:DO55"/>
    <mergeCell ref="DP53:DP55"/>
    <mergeCell ref="DQ53:DQ55"/>
    <mergeCell ref="DR53:DR55"/>
    <mergeCell ref="DS53:DS55"/>
    <mergeCell ref="DT53:DT55"/>
    <mergeCell ref="DU53:DU55"/>
    <mergeCell ref="DV53:DV55"/>
    <mergeCell ref="DW53:DW55"/>
    <mergeCell ref="DI50:DI52"/>
    <mergeCell ref="DJ50:DJ52"/>
    <mergeCell ref="DK50:DK52"/>
    <mergeCell ref="DL50:DL52"/>
    <mergeCell ref="DM50:DM52"/>
    <mergeCell ref="DN50:DN52"/>
    <mergeCell ref="DO50:DO52"/>
    <mergeCell ref="DP50:DP52"/>
    <mergeCell ref="DQ50:DQ52"/>
    <mergeCell ref="DR50:DR52"/>
    <mergeCell ref="DS50:DS52"/>
    <mergeCell ref="DT50:DT52"/>
    <mergeCell ref="DU50:DU52"/>
    <mergeCell ref="DV50:DV52"/>
    <mergeCell ref="DW50:DW52"/>
    <mergeCell ref="DX50:DX52"/>
    <mergeCell ref="DY50:DY52"/>
    <mergeCell ref="DG46:DG48"/>
    <mergeCell ref="DH46:DH48"/>
    <mergeCell ref="DI46:DI48"/>
    <mergeCell ref="DJ46:DJ48"/>
    <mergeCell ref="DK46:DK48"/>
    <mergeCell ref="DL46:DL48"/>
    <mergeCell ref="DM46:DM48"/>
    <mergeCell ref="DN46:DN48"/>
    <mergeCell ref="DO46:DO48"/>
    <mergeCell ref="DP46:DP48"/>
    <mergeCell ref="DQ46:DQ48"/>
    <mergeCell ref="DR46:DR48"/>
    <mergeCell ref="DS46:DS48"/>
    <mergeCell ref="DT46:DT48"/>
    <mergeCell ref="DU46:DU48"/>
    <mergeCell ref="DV46:DV48"/>
    <mergeCell ref="DW46:DW48"/>
    <mergeCell ref="DG43:DG45"/>
    <mergeCell ref="DH43:DH45"/>
    <mergeCell ref="DI43:DI45"/>
    <mergeCell ref="DJ43:DJ45"/>
    <mergeCell ref="DK43:DK45"/>
    <mergeCell ref="DL43:DL45"/>
    <mergeCell ref="DM43:DM45"/>
    <mergeCell ref="DN43:DN45"/>
    <mergeCell ref="DO43:DO45"/>
    <mergeCell ref="DP43:DP45"/>
    <mergeCell ref="DQ43:DQ45"/>
    <mergeCell ref="DR43:DR45"/>
    <mergeCell ref="DS43:DS45"/>
    <mergeCell ref="DT43:DT45"/>
    <mergeCell ref="DU43:DU45"/>
    <mergeCell ref="DV43:DV45"/>
    <mergeCell ref="DW43:DW45"/>
    <mergeCell ref="DL36:DL38"/>
    <mergeCell ref="DM36:DM38"/>
    <mergeCell ref="DN36:DN38"/>
    <mergeCell ref="DO36:DO38"/>
    <mergeCell ref="DP36:DP38"/>
    <mergeCell ref="DQ36:DQ38"/>
    <mergeCell ref="DR36:DR38"/>
    <mergeCell ref="DS36:DS38"/>
    <mergeCell ref="DT36:DT38"/>
    <mergeCell ref="DU36:DU38"/>
    <mergeCell ref="DV36:DV38"/>
    <mergeCell ref="DW36:DW38"/>
    <mergeCell ref="DX36:DX38"/>
    <mergeCell ref="DY36:DY38"/>
    <mergeCell ref="DG39:DG41"/>
    <mergeCell ref="DH39:DH41"/>
    <mergeCell ref="DI39:DI41"/>
    <mergeCell ref="DJ39:DJ41"/>
    <mergeCell ref="DK39:DK41"/>
    <mergeCell ref="DL39:DL41"/>
    <mergeCell ref="DM39:DM41"/>
    <mergeCell ref="DN39:DN41"/>
    <mergeCell ref="DO39:DO41"/>
    <mergeCell ref="DP39:DP41"/>
    <mergeCell ref="DQ39:DQ41"/>
    <mergeCell ref="DR39:DR41"/>
    <mergeCell ref="DS39:DS41"/>
    <mergeCell ref="DT39:DT41"/>
    <mergeCell ref="DU39:DU41"/>
    <mergeCell ref="DV39:DV41"/>
    <mergeCell ref="DW39:DW41"/>
    <mergeCell ref="DI36:DI38"/>
    <mergeCell ref="DG32:DG34"/>
    <mergeCell ref="DH32:DH34"/>
    <mergeCell ref="DI32:DI34"/>
    <mergeCell ref="DJ32:DJ34"/>
    <mergeCell ref="DK32:DK34"/>
    <mergeCell ref="DL32:DL34"/>
    <mergeCell ref="DM32:DM34"/>
    <mergeCell ref="DN32:DN34"/>
    <mergeCell ref="DO32:DO34"/>
    <mergeCell ref="DP32:DP34"/>
    <mergeCell ref="DQ32:DQ34"/>
    <mergeCell ref="DR32:DR34"/>
    <mergeCell ref="DS32:DS34"/>
    <mergeCell ref="DT32:DT34"/>
    <mergeCell ref="DU32:DU34"/>
    <mergeCell ref="DV32:DV34"/>
    <mergeCell ref="DW32:DW34"/>
    <mergeCell ref="DK25:DK27"/>
    <mergeCell ref="DL25:DL27"/>
    <mergeCell ref="DM25:DM27"/>
    <mergeCell ref="DN25:DN27"/>
    <mergeCell ref="DO25:DO27"/>
    <mergeCell ref="DP25:DP27"/>
    <mergeCell ref="DQ25:DQ27"/>
    <mergeCell ref="DR25:DR27"/>
    <mergeCell ref="DS25:DS27"/>
    <mergeCell ref="DT25:DT27"/>
    <mergeCell ref="DU25:DU27"/>
    <mergeCell ref="DV25:DV27"/>
    <mergeCell ref="DW25:DW27"/>
    <mergeCell ref="DX25:DX27"/>
    <mergeCell ref="DY25:DY27"/>
    <mergeCell ref="DG29:DG31"/>
    <mergeCell ref="DH29:DH31"/>
    <mergeCell ref="DI29:DI31"/>
    <mergeCell ref="DJ29:DJ31"/>
    <mergeCell ref="DK29:DK31"/>
    <mergeCell ref="DL29:DL31"/>
    <mergeCell ref="DM29:DM31"/>
    <mergeCell ref="DN29:DN31"/>
    <mergeCell ref="DO29:DO31"/>
    <mergeCell ref="DP29:DP31"/>
    <mergeCell ref="DQ29:DQ31"/>
    <mergeCell ref="DR29:DR31"/>
    <mergeCell ref="DS29:DS31"/>
    <mergeCell ref="DT29:DT31"/>
    <mergeCell ref="DU29:DU31"/>
    <mergeCell ref="DV29:DV31"/>
    <mergeCell ref="DW29:DW31"/>
    <mergeCell ref="DV18:DV20"/>
    <mergeCell ref="DW18:DW20"/>
    <mergeCell ref="DX18:DX20"/>
    <mergeCell ref="DY18:DY20"/>
    <mergeCell ref="DH22:DH24"/>
    <mergeCell ref="DI22:DI24"/>
    <mergeCell ref="DJ22:DJ24"/>
    <mergeCell ref="DK22:DK24"/>
    <mergeCell ref="DL22:DL24"/>
    <mergeCell ref="DM22:DM24"/>
    <mergeCell ref="DN22:DN24"/>
    <mergeCell ref="DO22:DO24"/>
    <mergeCell ref="DP22:DP24"/>
    <mergeCell ref="DQ22:DQ24"/>
    <mergeCell ref="DR22:DR24"/>
    <mergeCell ref="DS22:DS24"/>
    <mergeCell ref="DT22:DT24"/>
    <mergeCell ref="DU22:DU24"/>
    <mergeCell ref="DV22:DV24"/>
    <mergeCell ref="DU18:DU20"/>
    <mergeCell ref="DX1426:DX1431"/>
    <mergeCell ref="DY1426:DY1431"/>
    <mergeCell ref="DG15:DG17"/>
    <mergeCell ref="DG18:DG20"/>
    <mergeCell ref="DH15:DH17"/>
    <mergeCell ref="DI15:DI17"/>
    <mergeCell ref="DJ15:DJ17"/>
    <mergeCell ref="DK15:DK17"/>
    <mergeCell ref="DL15:DL17"/>
    <mergeCell ref="DM15:DM17"/>
    <mergeCell ref="DN15:DN17"/>
    <mergeCell ref="DO15:DO17"/>
    <mergeCell ref="DP15:DP17"/>
    <mergeCell ref="DQ15:DQ17"/>
    <mergeCell ref="DR15:DR17"/>
    <mergeCell ref="DS15:DS17"/>
    <mergeCell ref="DT15:DT17"/>
    <mergeCell ref="DU15:DU17"/>
    <mergeCell ref="DV15:DV17"/>
    <mergeCell ref="DW15:DW17"/>
    <mergeCell ref="DX15:DX17"/>
    <mergeCell ref="DY15:DY17"/>
    <mergeCell ref="DX337:DX342"/>
    <mergeCell ref="DY337:DY342"/>
    <mergeCell ref="DX344:DX349"/>
    <mergeCell ref="DY344:DY349"/>
    <mergeCell ref="DX323:DX325"/>
    <mergeCell ref="DY323:DY325"/>
    <mergeCell ref="DX326:DX328"/>
    <mergeCell ref="DY326:DY328"/>
    <mergeCell ref="DX330:DX332"/>
    <mergeCell ref="DY330:DY332"/>
    <mergeCell ref="DX333:DX335"/>
    <mergeCell ref="DY333:DY335"/>
    <mergeCell ref="DX1356:DX1358"/>
    <mergeCell ref="DY1356:DY1358"/>
    <mergeCell ref="DX1359:DX1361"/>
    <mergeCell ref="DY1359:DY1361"/>
    <mergeCell ref="DX1363:DX1365"/>
    <mergeCell ref="DY1363:DY1365"/>
    <mergeCell ref="DX263:DX265"/>
    <mergeCell ref="DY263:DY265"/>
    <mergeCell ref="DX267:DX269"/>
    <mergeCell ref="DY267:DY269"/>
    <mergeCell ref="DX270:DX272"/>
    <mergeCell ref="DY270:DY272"/>
    <mergeCell ref="DX274:DX276"/>
    <mergeCell ref="DY274:DY276"/>
    <mergeCell ref="DX277:DX279"/>
    <mergeCell ref="DY277:DY279"/>
    <mergeCell ref="DX281:DX283"/>
    <mergeCell ref="DY281:DY283"/>
    <mergeCell ref="DX284:DX286"/>
    <mergeCell ref="DY284:DY286"/>
    <mergeCell ref="DX295:DX297"/>
    <mergeCell ref="DY295:DY297"/>
    <mergeCell ref="DX298:DX300"/>
    <mergeCell ref="DY298:DY300"/>
    <mergeCell ref="DX316:DX318"/>
    <mergeCell ref="DY316:DY318"/>
    <mergeCell ref="DX319:DX321"/>
    <mergeCell ref="DY319:DY321"/>
    <mergeCell ref="DX288:DX290"/>
    <mergeCell ref="DY288:DY290"/>
    <mergeCell ref="DX197:DX199"/>
    <mergeCell ref="DY197:DY199"/>
    <mergeCell ref="DX200:DX202"/>
    <mergeCell ref="DY200:DY202"/>
    <mergeCell ref="DX204:DX206"/>
    <mergeCell ref="DY204:DY206"/>
    <mergeCell ref="DX207:DX209"/>
    <mergeCell ref="DY207:DY209"/>
    <mergeCell ref="DX211:DX213"/>
    <mergeCell ref="DY211:DY213"/>
    <mergeCell ref="DX214:DX216"/>
    <mergeCell ref="DY214:DY216"/>
    <mergeCell ref="DX218:DX220"/>
    <mergeCell ref="DY218:DY220"/>
    <mergeCell ref="DX137:DX139"/>
    <mergeCell ref="DY137:DY139"/>
    <mergeCell ref="DX141:DX143"/>
    <mergeCell ref="DY141:DY143"/>
    <mergeCell ref="DX144:DX146"/>
    <mergeCell ref="DY144:DY146"/>
    <mergeCell ref="DX148:DX150"/>
    <mergeCell ref="DY148:DY150"/>
    <mergeCell ref="DX151:DX153"/>
    <mergeCell ref="DY151:DY153"/>
    <mergeCell ref="DX155:DX157"/>
    <mergeCell ref="DY155:DY157"/>
    <mergeCell ref="DX158:DX160"/>
    <mergeCell ref="DY158:DY160"/>
    <mergeCell ref="DX169:DX171"/>
    <mergeCell ref="DY169:DY171"/>
    <mergeCell ref="DX172:DX174"/>
    <mergeCell ref="DY172:DY174"/>
    <mergeCell ref="DX74:DX76"/>
    <mergeCell ref="DY74:DY76"/>
    <mergeCell ref="DX81:DX83"/>
    <mergeCell ref="DY81:DY83"/>
    <mergeCell ref="DX85:DX87"/>
    <mergeCell ref="DY85:DY87"/>
    <mergeCell ref="DX88:DX90"/>
    <mergeCell ref="DY88:DY90"/>
    <mergeCell ref="DX95:DX97"/>
    <mergeCell ref="DY95:DY97"/>
    <mergeCell ref="DX99:DX101"/>
    <mergeCell ref="DY99:DY101"/>
    <mergeCell ref="DX102:DX104"/>
    <mergeCell ref="DY102:DY104"/>
    <mergeCell ref="DX12:DX14"/>
    <mergeCell ref="DY12:DY14"/>
    <mergeCell ref="DX22:DX24"/>
    <mergeCell ref="DY22:DY24"/>
    <mergeCell ref="DX29:DX31"/>
    <mergeCell ref="DY29:DY31"/>
    <mergeCell ref="DX32:DX34"/>
    <mergeCell ref="DY32:DY34"/>
    <mergeCell ref="DX39:DX41"/>
    <mergeCell ref="DY39:DY41"/>
    <mergeCell ref="DX43:DX45"/>
    <mergeCell ref="DY43:DY45"/>
    <mergeCell ref="DX46:DX48"/>
    <mergeCell ref="DY46:DY48"/>
    <mergeCell ref="DX53:DX55"/>
    <mergeCell ref="DY53:DY55"/>
    <mergeCell ref="DX64:DX66"/>
    <mergeCell ref="DY64:DY66"/>
    <mergeCell ref="CU218:CU223"/>
    <mergeCell ref="CV218:CV223"/>
    <mergeCell ref="CW218:CW223"/>
    <mergeCell ref="CX218:CX223"/>
    <mergeCell ref="CY218:CY223"/>
    <mergeCell ref="CZ218:CZ223"/>
    <mergeCell ref="DV1426:DV1431"/>
    <mergeCell ref="DW1426:DW1431"/>
    <mergeCell ref="DJ12:DJ14"/>
    <mergeCell ref="DV337:DV342"/>
    <mergeCell ref="DW337:DW342"/>
    <mergeCell ref="DV344:DV349"/>
    <mergeCell ref="DW344:DW349"/>
    <mergeCell ref="DV12:DV14"/>
    <mergeCell ref="DW12:DW14"/>
    <mergeCell ref="DW22:DW24"/>
    <mergeCell ref="D28:I28"/>
    <mergeCell ref="D29:I29"/>
    <mergeCell ref="D31:I31"/>
    <mergeCell ref="D30:I30"/>
    <mergeCell ref="G74:H74"/>
    <mergeCell ref="D74:E74"/>
    <mergeCell ref="L64:L69"/>
    <mergeCell ref="O64:O69"/>
    <mergeCell ref="N64:N69"/>
    <mergeCell ref="D62:I62"/>
    <mergeCell ref="D61:I61"/>
    <mergeCell ref="G60:H60"/>
    <mergeCell ref="D60:E60"/>
    <mergeCell ref="O57:O62"/>
    <mergeCell ref="N57:N62"/>
    <mergeCell ref="J57:J62"/>
    <mergeCell ref="DB204:DB209"/>
    <mergeCell ref="DC204:DC209"/>
    <mergeCell ref="DD204:DD209"/>
    <mergeCell ref="CX183:CX188"/>
    <mergeCell ref="CU162:CU167"/>
    <mergeCell ref="CV162:CV167"/>
    <mergeCell ref="CW162:CW167"/>
    <mergeCell ref="CX162:CX167"/>
    <mergeCell ref="CY162:CY167"/>
    <mergeCell ref="DA295:DA300"/>
    <mergeCell ref="CZ295:CZ300"/>
    <mergeCell ref="CY295:CY300"/>
    <mergeCell ref="CX295:CX300"/>
    <mergeCell ref="CW295:CW300"/>
    <mergeCell ref="CV295:CV300"/>
    <mergeCell ref="CU295:CU300"/>
    <mergeCell ref="L295:L300"/>
    <mergeCell ref="DA211:DA216"/>
    <mergeCell ref="CZ176:CZ181"/>
    <mergeCell ref="DA176:DA181"/>
    <mergeCell ref="CX169:CX174"/>
    <mergeCell ref="CY169:CY174"/>
    <mergeCell ref="CZ169:CZ174"/>
    <mergeCell ref="DA169:DA174"/>
    <mergeCell ref="CU183:CU188"/>
    <mergeCell ref="CV183:CV188"/>
    <mergeCell ref="CW183:CW188"/>
    <mergeCell ref="CY274:CY279"/>
    <mergeCell ref="CZ211:CZ216"/>
    <mergeCell ref="CZ274:CZ279"/>
    <mergeCell ref="DA274:DA279"/>
    <mergeCell ref="CX267:CX272"/>
    <mergeCell ref="CX204:CX209"/>
    <mergeCell ref="CY204:CY209"/>
    <mergeCell ref="O29:O34"/>
    <mergeCell ref="D72:I72"/>
    <mergeCell ref="D73:I73"/>
    <mergeCell ref="J71:J76"/>
    <mergeCell ref="D49:I49"/>
    <mergeCell ref="D50:I50"/>
    <mergeCell ref="J50:J55"/>
    <mergeCell ref="K50:K55"/>
    <mergeCell ref="J64:J69"/>
    <mergeCell ref="K64:K69"/>
    <mergeCell ref="CY71:CY76"/>
    <mergeCell ref="CZ71:CZ76"/>
    <mergeCell ref="DA71:DA76"/>
    <mergeCell ref="CZ204:CZ209"/>
    <mergeCell ref="DA204:DA209"/>
    <mergeCell ref="L57:L62"/>
    <mergeCell ref="K57:K62"/>
    <mergeCell ref="D59:I59"/>
    <mergeCell ref="G46:H46"/>
    <mergeCell ref="J29:J34"/>
    <mergeCell ref="K29:K34"/>
    <mergeCell ref="DA183:DA188"/>
    <mergeCell ref="CZ92:CZ97"/>
    <mergeCell ref="DA92:DA97"/>
    <mergeCell ref="CU57:CU62"/>
    <mergeCell ref="CV57:CV62"/>
    <mergeCell ref="CW57:CW62"/>
    <mergeCell ref="CX57:CX62"/>
    <mergeCell ref="CY57:CY62"/>
    <mergeCell ref="CZ57:CZ62"/>
    <mergeCell ref="CZ323:CZ328"/>
    <mergeCell ref="DA323:DA328"/>
    <mergeCell ref="DB323:DB328"/>
    <mergeCell ref="D75:I75"/>
    <mergeCell ref="CX239:CX244"/>
    <mergeCell ref="CY239:CY244"/>
    <mergeCell ref="CZ239:CZ244"/>
    <mergeCell ref="DA239:DA244"/>
    <mergeCell ref="DB239:DB244"/>
    <mergeCell ref="DC239:DC244"/>
    <mergeCell ref="DD239:DD244"/>
    <mergeCell ref="CU197:CU202"/>
    <mergeCell ref="CV197:CV202"/>
    <mergeCell ref="CW197:CW202"/>
    <mergeCell ref="CX197:CX202"/>
    <mergeCell ref="CY197:CY202"/>
    <mergeCell ref="CZ197:CZ202"/>
    <mergeCell ref="DA197:DA202"/>
    <mergeCell ref="DB197:DB202"/>
    <mergeCell ref="DC197:DC202"/>
    <mergeCell ref="DD197:DD202"/>
    <mergeCell ref="CU211:CU216"/>
    <mergeCell ref="CV211:CV216"/>
    <mergeCell ref="CW211:CW216"/>
    <mergeCell ref="CX211:CX216"/>
    <mergeCell ref="CY211:CY216"/>
    <mergeCell ref="DB211:DB216"/>
    <mergeCell ref="DC211:DC216"/>
    <mergeCell ref="DD211:DD216"/>
    <mergeCell ref="CU204:CU209"/>
    <mergeCell ref="CV204:CV209"/>
    <mergeCell ref="CW204:CW209"/>
    <mergeCell ref="D349:N349"/>
    <mergeCell ref="D350:N350"/>
    <mergeCell ref="D351:N351"/>
    <mergeCell ref="D352:N352"/>
    <mergeCell ref="D353:N353"/>
    <mergeCell ref="D354:N354"/>
    <mergeCell ref="D355:N355"/>
    <mergeCell ref="A4:M6"/>
    <mergeCell ref="A7:M8"/>
    <mergeCell ref="CU1412:CU1417"/>
    <mergeCell ref="CV1412:CV1417"/>
    <mergeCell ref="CW1412:CW1417"/>
    <mergeCell ref="CX1412:CX1417"/>
    <mergeCell ref="CU1370:CU1375"/>
    <mergeCell ref="CV1370:CV1375"/>
    <mergeCell ref="CW1370:CW1375"/>
    <mergeCell ref="CX1370:CX1375"/>
    <mergeCell ref="CW71:CW76"/>
    <mergeCell ref="CX71:CX76"/>
    <mergeCell ref="CU330:CU335"/>
    <mergeCell ref="CV330:CV335"/>
    <mergeCell ref="CW330:CW335"/>
    <mergeCell ref="CX330:CX335"/>
    <mergeCell ref="CW274:CW279"/>
    <mergeCell ref="CX274:CX279"/>
    <mergeCell ref="CU267:CU272"/>
    <mergeCell ref="CV267:CV272"/>
    <mergeCell ref="CW267:CW272"/>
    <mergeCell ref="N323:N328"/>
    <mergeCell ref="M323:M328"/>
    <mergeCell ref="L323:L328"/>
    <mergeCell ref="K323:K328"/>
    <mergeCell ref="CY1412:CY1417"/>
    <mergeCell ref="CZ1412:CZ1417"/>
    <mergeCell ref="DA1412:DA1417"/>
    <mergeCell ref="DB1412:DB1417"/>
    <mergeCell ref="DC1412:DC1417"/>
    <mergeCell ref="DD1412:DD1417"/>
    <mergeCell ref="CU1419:CU1424"/>
    <mergeCell ref="CV1419:CV1424"/>
    <mergeCell ref="CW1419:CW1424"/>
    <mergeCell ref="CX1419:CX1424"/>
    <mergeCell ref="CY1419:CY1424"/>
    <mergeCell ref="CZ1419:CZ1424"/>
    <mergeCell ref="DA1419:DA1424"/>
    <mergeCell ref="DB1419:DB1424"/>
    <mergeCell ref="DC1419:DC1424"/>
    <mergeCell ref="DD1419:DD1424"/>
    <mergeCell ref="CU1398:CU1403"/>
    <mergeCell ref="CV1398:CV1403"/>
    <mergeCell ref="CW1398:CW1403"/>
    <mergeCell ref="CX1398:CX1403"/>
    <mergeCell ref="CY1398:CY1403"/>
    <mergeCell ref="CZ1398:CZ1403"/>
    <mergeCell ref="DA1398:DA1403"/>
    <mergeCell ref="DB1398:DB1403"/>
    <mergeCell ref="DC1398:DC1403"/>
    <mergeCell ref="DD1398:DD1403"/>
    <mergeCell ref="CU1405:CU1410"/>
    <mergeCell ref="CV1405:CV1410"/>
    <mergeCell ref="CW1405:CW1410"/>
    <mergeCell ref="CX1405:CX1410"/>
    <mergeCell ref="CY1405:CY1410"/>
    <mergeCell ref="CZ1405:CZ1410"/>
    <mergeCell ref="CY1363:CY1368"/>
    <mergeCell ref="CZ1363:CZ1368"/>
    <mergeCell ref="DA1405:DA1410"/>
    <mergeCell ref="DB1405:DB1410"/>
    <mergeCell ref="DC1405:DC1410"/>
    <mergeCell ref="DD1405:DD1410"/>
    <mergeCell ref="CU1384:CU1389"/>
    <mergeCell ref="CV1384:CV1389"/>
    <mergeCell ref="CW1384:CW1389"/>
    <mergeCell ref="CX1384:CX1389"/>
    <mergeCell ref="CY1384:CY1389"/>
    <mergeCell ref="CZ1384:CZ1389"/>
    <mergeCell ref="DA1384:DA1389"/>
    <mergeCell ref="DB1384:DB1389"/>
    <mergeCell ref="DC1384:DC1389"/>
    <mergeCell ref="DD1384:DD1389"/>
    <mergeCell ref="CU1391:CU1396"/>
    <mergeCell ref="CV1391:CV1396"/>
    <mergeCell ref="CW1391:CW1396"/>
    <mergeCell ref="CX1391:CX1396"/>
    <mergeCell ref="CY1391:CY1396"/>
    <mergeCell ref="CZ1391:CZ1396"/>
    <mergeCell ref="DA1391:DA1396"/>
    <mergeCell ref="DB1391:DB1396"/>
    <mergeCell ref="DC1391:DC1396"/>
    <mergeCell ref="DD1391:DD1396"/>
    <mergeCell ref="DB183:DB188"/>
    <mergeCell ref="DC1363:DC1368"/>
    <mergeCell ref="DD1363:DD1368"/>
    <mergeCell ref="DB295:DB300"/>
    <mergeCell ref="DC295:DC300"/>
    <mergeCell ref="DD295:DD300"/>
    <mergeCell ref="CU288:CU293"/>
    <mergeCell ref="CU232:CU237"/>
    <mergeCell ref="CV232:CV237"/>
    <mergeCell ref="CW232:CW237"/>
    <mergeCell ref="CX232:CX237"/>
    <mergeCell ref="CY232:CY237"/>
    <mergeCell ref="CZ232:CZ237"/>
    <mergeCell ref="DA232:DA237"/>
    <mergeCell ref="DB232:DB237"/>
    <mergeCell ref="DC232:DC237"/>
    <mergeCell ref="DD232:DD237"/>
    <mergeCell ref="DD246:DD251"/>
    <mergeCell ref="CU253:CU258"/>
    <mergeCell ref="CV253:CV258"/>
    <mergeCell ref="CW253:CW258"/>
    <mergeCell ref="CX253:CX258"/>
    <mergeCell ref="CY253:CY258"/>
    <mergeCell ref="CZ253:CZ258"/>
    <mergeCell ref="DA253:DA258"/>
    <mergeCell ref="DB253:DB258"/>
    <mergeCell ref="DC253:DC258"/>
    <mergeCell ref="DD253:DD258"/>
    <mergeCell ref="CU239:CU244"/>
    <mergeCell ref="CV239:CV244"/>
    <mergeCell ref="CW239:CW244"/>
    <mergeCell ref="CY330:CY335"/>
    <mergeCell ref="DC155:DC160"/>
    <mergeCell ref="DD155:DD160"/>
    <mergeCell ref="DC190:DC195"/>
    <mergeCell ref="DD190:DD195"/>
    <mergeCell ref="CU169:CU174"/>
    <mergeCell ref="CV169:CV174"/>
    <mergeCell ref="CW169:CW174"/>
    <mergeCell ref="DC183:DC188"/>
    <mergeCell ref="DD183:DD188"/>
    <mergeCell ref="CU148:CU153"/>
    <mergeCell ref="CV148:CV153"/>
    <mergeCell ref="CW148:CW153"/>
    <mergeCell ref="CX148:CX153"/>
    <mergeCell ref="CY148:CY153"/>
    <mergeCell ref="CZ162:CZ167"/>
    <mergeCell ref="DA162:DA167"/>
    <mergeCell ref="DB162:DB167"/>
    <mergeCell ref="DC162:DC167"/>
    <mergeCell ref="DD162:DD167"/>
    <mergeCell ref="DB169:DB174"/>
    <mergeCell ref="DC169:DC174"/>
    <mergeCell ref="DD169:DD174"/>
    <mergeCell ref="CU176:CU181"/>
    <mergeCell ref="CV176:CV181"/>
    <mergeCell ref="CW176:CW181"/>
    <mergeCell ref="CX176:CX181"/>
    <mergeCell ref="CY176:CY181"/>
    <mergeCell ref="DB176:DB181"/>
    <mergeCell ref="DC176:DC181"/>
    <mergeCell ref="DD176:DD181"/>
    <mergeCell ref="CY183:CY188"/>
    <mergeCell ref="CZ183:CZ188"/>
    <mergeCell ref="DB92:DB97"/>
    <mergeCell ref="DC92:DC97"/>
    <mergeCell ref="DD92:DD97"/>
    <mergeCell ref="CV71:CV76"/>
    <mergeCell ref="CU85:CU90"/>
    <mergeCell ref="CV85:CV90"/>
    <mergeCell ref="CW85:CW90"/>
    <mergeCell ref="CX85:CX90"/>
    <mergeCell ref="CY85:CY90"/>
    <mergeCell ref="CZ85:CZ90"/>
    <mergeCell ref="DA85:DA90"/>
    <mergeCell ref="CU71:CU76"/>
    <mergeCell ref="DC148:DC153"/>
    <mergeCell ref="CU190:CU195"/>
    <mergeCell ref="CV190:CV195"/>
    <mergeCell ref="CW190:CW195"/>
    <mergeCell ref="CX190:CX195"/>
    <mergeCell ref="CY190:CY195"/>
    <mergeCell ref="CZ190:CZ195"/>
    <mergeCell ref="DA190:DA195"/>
    <mergeCell ref="DB190:DB195"/>
    <mergeCell ref="DD148:DD153"/>
    <mergeCell ref="CU155:CU160"/>
    <mergeCell ref="CV155:CV160"/>
    <mergeCell ref="CW155:CW160"/>
    <mergeCell ref="CX155:CX160"/>
    <mergeCell ref="CY155:CY160"/>
    <mergeCell ref="CZ155:CZ160"/>
    <mergeCell ref="DA155:DA160"/>
    <mergeCell ref="DB155:DB160"/>
    <mergeCell ref="DB141:DB146"/>
    <mergeCell ref="DC141:DC146"/>
    <mergeCell ref="DD36:DD41"/>
    <mergeCell ref="CU43:CU48"/>
    <mergeCell ref="CV43:CV48"/>
    <mergeCell ref="CW43:CW48"/>
    <mergeCell ref="CX43:CX48"/>
    <mergeCell ref="CY43:CY48"/>
    <mergeCell ref="CZ43:CZ48"/>
    <mergeCell ref="DA43:DA48"/>
    <mergeCell ref="DB43:DB48"/>
    <mergeCell ref="DC43:DC48"/>
    <mergeCell ref="DD43:DD48"/>
    <mergeCell ref="CU50:CU55"/>
    <mergeCell ref="CV50:CV55"/>
    <mergeCell ref="CW50:CW55"/>
    <mergeCell ref="CX50:CX55"/>
    <mergeCell ref="CY50:CY55"/>
    <mergeCell ref="CZ50:CZ55"/>
    <mergeCell ref="DA50:DA55"/>
    <mergeCell ref="DB50:DB55"/>
    <mergeCell ref="DC50:DC55"/>
    <mergeCell ref="DD50:DD55"/>
    <mergeCell ref="CW36:CW41"/>
    <mergeCell ref="CX36:CX41"/>
    <mergeCell ref="CY36:CY41"/>
    <mergeCell ref="CZ36:CZ41"/>
    <mergeCell ref="DA36:DA41"/>
    <mergeCell ref="DB36:DB41"/>
    <mergeCell ref="DC36:DC41"/>
    <mergeCell ref="CZ330:CZ335"/>
    <mergeCell ref="DA330:DA335"/>
    <mergeCell ref="DB330:DB335"/>
    <mergeCell ref="DC330:DC335"/>
    <mergeCell ref="DD330:DD335"/>
    <mergeCell ref="CU22:CU27"/>
    <mergeCell ref="CV22:CV27"/>
    <mergeCell ref="CW22:CW27"/>
    <mergeCell ref="CX22:CX27"/>
    <mergeCell ref="CY22:CY27"/>
    <mergeCell ref="CZ22:CZ27"/>
    <mergeCell ref="DA22:DA27"/>
    <mergeCell ref="DB22:DB27"/>
    <mergeCell ref="DC22:DC27"/>
    <mergeCell ref="DD22:DD27"/>
    <mergeCell ref="CU29:CU34"/>
    <mergeCell ref="CV29:CV34"/>
    <mergeCell ref="CW29:CW34"/>
    <mergeCell ref="CX29:CX34"/>
    <mergeCell ref="CY29:CY34"/>
    <mergeCell ref="CZ29:CZ34"/>
    <mergeCell ref="DA29:DA34"/>
    <mergeCell ref="DB29:DB34"/>
    <mergeCell ref="DC29:DC34"/>
    <mergeCell ref="DD29:DD34"/>
    <mergeCell ref="CU36:CU41"/>
    <mergeCell ref="CV36:CV41"/>
    <mergeCell ref="CU323:CU328"/>
    <mergeCell ref="CV323:CV328"/>
    <mergeCell ref="CW323:CW328"/>
    <mergeCell ref="CX323:CX328"/>
    <mergeCell ref="DC323:DC328"/>
    <mergeCell ref="DD323:DD328"/>
    <mergeCell ref="CU302:CU307"/>
    <mergeCell ref="CV302:CV307"/>
    <mergeCell ref="CW302:CW307"/>
    <mergeCell ref="CX302:CX307"/>
    <mergeCell ref="CY302:CY307"/>
    <mergeCell ref="CZ302:CZ307"/>
    <mergeCell ref="DA302:DA307"/>
    <mergeCell ref="CU316:CU321"/>
    <mergeCell ref="CV316:CV321"/>
    <mergeCell ref="CW316:CW321"/>
    <mergeCell ref="CX316:CX321"/>
    <mergeCell ref="CY316:CY321"/>
    <mergeCell ref="CZ316:CZ321"/>
    <mergeCell ref="DA316:DA321"/>
    <mergeCell ref="DB316:DB321"/>
    <mergeCell ref="DC316:DC321"/>
    <mergeCell ref="DD316:DD321"/>
    <mergeCell ref="DD302:DD307"/>
    <mergeCell ref="DC302:DC307"/>
    <mergeCell ref="DB302:DB307"/>
    <mergeCell ref="DB309:DB314"/>
    <mergeCell ref="DA309:DA314"/>
    <mergeCell ref="CZ309:CZ314"/>
    <mergeCell ref="CY309:CY314"/>
    <mergeCell ref="CX309:CX314"/>
    <mergeCell ref="CW309:CW314"/>
    <mergeCell ref="CV309:CV314"/>
    <mergeCell ref="CU309:CU314"/>
    <mergeCell ref="DD309:DD314"/>
    <mergeCell ref="DC309:DC314"/>
    <mergeCell ref="CY323:CY328"/>
    <mergeCell ref="DB274:DB279"/>
    <mergeCell ref="DC274:DC279"/>
    <mergeCell ref="DD274:DD279"/>
    <mergeCell ref="CU281:CU286"/>
    <mergeCell ref="CV281:CV286"/>
    <mergeCell ref="CW281:CW286"/>
    <mergeCell ref="CX281:CX286"/>
    <mergeCell ref="CY281:CY286"/>
    <mergeCell ref="CZ281:CZ286"/>
    <mergeCell ref="DA281:DA286"/>
    <mergeCell ref="DB281:DB286"/>
    <mergeCell ref="DC281:DC286"/>
    <mergeCell ref="DD281:DD286"/>
    <mergeCell ref="CV288:CV293"/>
    <mergeCell ref="CU274:CU279"/>
    <mergeCell ref="CV274:CV279"/>
    <mergeCell ref="DD288:DD293"/>
    <mergeCell ref="DC288:DC293"/>
    <mergeCell ref="DB288:DB293"/>
    <mergeCell ref="DA288:DA293"/>
    <mergeCell ref="CZ288:CZ293"/>
    <mergeCell ref="CY288:CY293"/>
    <mergeCell ref="CX288:CX293"/>
    <mergeCell ref="CW288:CW293"/>
    <mergeCell ref="DB267:DB272"/>
    <mergeCell ref="DC267:DC272"/>
    <mergeCell ref="DD267:DD272"/>
    <mergeCell ref="CU246:CU251"/>
    <mergeCell ref="CV246:CV251"/>
    <mergeCell ref="CW246:CW251"/>
    <mergeCell ref="CX246:CX251"/>
    <mergeCell ref="CY246:CY251"/>
    <mergeCell ref="CZ246:CZ251"/>
    <mergeCell ref="DA246:DA251"/>
    <mergeCell ref="CU260:CU265"/>
    <mergeCell ref="CV260:CV265"/>
    <mergeCell ref="CW260:CW265"/>
    <mergeCell ref="CX260:CX265"/>
    <mergeCell ref="CY260:CY265"/>
    <mergeCell ref="CZ260:CZ265"/>
    <mergeCell ref="DA260:DA265"/>
    <mergeCell ref="DB260:DB265"/>
    <mergeCell ref="DC260:DC265"/>
    <mergeCell ref="DD260:DD265"/>
    <mergeCell ref="DB246:DB251"/>
    <mergeCell ref="DC246:DC251"/>
    <mergeCell ref="CY267:CY272"/>
    <mergeCell ref="CZ267:CZ272"/>
    <mergeCell ref="DA267:DA272"/>
    <mergeCell ref="DA218:DA223"/>
    <mergeCell ref="DB218:DB223"/>
    <mergeCell ref="DC218:DC223"/>
    <mergeCell ref="DD218:DD223"/>
    <mergeCell ref="CU225:CU230"/>
    <mergeCell ref="CV225:CV230"/>
    <mergeCell ref="CW225:CW230"/>
    <mergeCell ref="CX225:CX230"/>
    <mergeCell ref="CY225:CY230"/>
    <mergeCell ref="CZ225:CZ230"/>
    <mergeCell ref="DA225:DA230"/>
    <mergeCell ref="DB225:DB230"/>
    <mergeCell ref="DC225:DC230"/>
    <mergeCell ref="DD225:DD230"/>
    <mergeCell ref="DC127:DC132"/>
    <mergeCell ref="DD127:DD132"/>
    <mergeCell ref="CU134:CU139"/>
    <mergeCell ref="CV134:CV139"/>
    <mergeCell ref="CW134:CW139"/>
    <mergeCell ref="CX134:CX139"/>
    <mergeCell ref="CY134:CY139"/>
    <mergeCell ref="CZ134:CZ139"/>
    <mergeCell ref="DA134:DA139"/>
    <mergeCell ref="DB134:DB139"/>
    <mergeCell ref="DC134:DC139"/>
    <mergeCell ref="CU141:CU146"/>
    <mergeCell ref="CV141:CV146"/>
    <mergeCell ref="CW141:CW146"/>
    <mergeCell ref="CX141:CX146"/>
    <mergeCell ref="CY141:CY146"/>
    <mergeCell ref="CZ141:CZ146"/>
    <mergeCell ref="DA141:DA146"/>
    <mergeCell ref="DD141:DD146"/>
    <mergeCell ref="CZ148:CZ153"/>
    <mergeCell ref="DA148:DA153"/>
    <mergeCell ref="DB148:DB153"/>
    <mergeCell ref="DD134:DD139"/>
    <mergeCell ref="CU113:CU118"/>
    <mergeCell ref="CV113:CV118"/>
    <mergeCell ref="CW113:CW118"/>
    <mergeCell ref="CX113:CX118"/>
    <mergeCell ref="CY113:CY118"/>
    <mergeCell ref="CZ113:CZ118"/>
    <mergeCell ref="DA113:DA118"/>
    <mergeCell ref="DB113:DB118"/>
    <mergeCell ref="DC113:DC118"/>
    <mergeCell ref="DD113:DD118"/>
    <mergeCell ref="CU120:CU125"/>
    <mergeCell ref="CV120:CV125"/>
    <mergeCell ref="CW120:CW125"/>
    <mergeCell ref="CX120:CX125"/>
    <mergeCell ref="CY120:CY125"/>
    <mergeCell ref="CZ120:CZ125"/>
    <mergeCell ref="CW127:CW132"/>
    <mergeCell ref="CX127:CX132"/>
    <mergeCell ref="CY127:CY132"/>
    <mergeCell ref="CZ127:CZ132"/>
    <mergeCell ref="DA127:DA132"/>
    <mergeCell ref="DA120:DA125"/>
    <mergeCell ref="DB120:DB125"/>
    <mergeCell ref="DC120:DC125"/>
    <mergeCell ref="DD120:DD125"/>
    <mergeCell ref="CU127:CU132"/>
    <mergeCell ref="CV127:CV132"/>
    <mergeCell ref="DB127:DB132"/>
    <mergeCell ref="DA99:DA104"/>
    <mergeCell ref="DB99:DB104"/>
    <mergeCell ref="DC99:DC104"/>
    <mergeCell ref="DD99:DD104"/>
    <mergeCell ref="CU78:CU83"/>
    <mergeCell ref="CV78:CV83"/>
    <mergeCell ref="CW78:CW83"/>
    <mergeCell ref="CX78:CX83"/>
    <mergeCell ref="CY78:CY83"/>
    <mergeCell ref="CZ78:CZ83"/>
    <mergeCell ref="DA78:DA83"/>
    <mergeCell ref="DB78:DB83"/>
    <mergeCell ref="DC78:DC83"/>
    <mergeCell ref="DD78:DD83"/>
    <mergeCell ref="CU106:CU111"/>
    <mergeCell ref="CV106:CV111"/>
    <mergeCell ref="CW106:CW111"/>
    <mergeCell ref="CX106:CX111"/>
    <mergeCell ref="CY106:CY111"/>
    <mergeCell ref="CZ106:CZ111"/>
    <mergeCell ref="DA106:DA111"/>
    <mergeCell ref="DB106:DB111"/>
    <mergeCell ref="DC106:DC111"/>
    <mergeCell ref="DD106:DD111"/>
    <mergeCell ref="CU99:CU104"/>
    <mergeCell ref="CV99:CV104"/>
    <mergeCell ref="CW99:CW104"/>
    <mergeCell ref="CX99:CX104"/>
    <mergeCell ref="CY99:CY104"/>
    <mergeCell ref="CZ99:CZ104"/>
    <mergeCell ref="DB85:DB90"/>
    <mergeCell ref="DA57:DA62"/>
    <mergeCell ref="DB57:DB62"/>
    <mergeCell ref="DC57:DC62"/>
    <mergeCell ref="DD57:DD62"/>
    <mergeCell ref="CU64:CU69"/>
    <mergeCell ref="CV64:CV69"/>
    <mergeCell ref="CW64:CW69"/>
    <mergeCell ref="CX64:CX69"/>
    <mergeCell ref="CY64:CY69"/>
    <mergeCell ref="CZ64:CZ69"/>
    <mergeCell ref="DA64:DA69"/>
    <mergeCell ref="DB64:DB69"/>
    <mergeCell ref="DC64:DC69"/>
    <mergeCell ref="DD64:DD69"/>
    <mergeCell ref="DB71:DB76"/>
    <mergeCell ref="DC71:DC76"/>
    <mergeCell ref="DD71:DD76"/>
    <mergeCell ref="DC85:DC90"/>
    <mergeCell ref="DD85:DD90"/>
    <mergeCell ref="CU92:CU97"/>
    <mergeCell ref="CV92:CV97"/>
    <mergeCell ref="CW92:CW97"/>
    <mergeCell ref="CX92:CX97"/>
    <mergeCell ref="CY92:CY97"/>
    <mergeCell ref="AB12:AF12"/>
    <mergeCell ref="AK13:AK14"/>
    <mergeCell ref="AM7:AZ7"/>
    <mergeCell ref="AM12:AO13"/>
    <mergeCell ref="AP12:AS12"/>
    <mergeCell ref="AT12:AU13"/>
    <mergeCell ref="AV12:AW12"/>
    <mergeCell ref="AX12:AZ12"/>
    <mergeCell ref="AG12:AL12"/>
    <mergeCell ref="Q7:AL10"/>
    <mergeCell ref="AC13:AC14"/>
    <mergeCell ref="AD13:AD14"/>
    <mergeCell ref="BP12:BV12"/>
    <mergeCell ref="W13:X13"/>
    <mergeCell ref="T12:V12"/>
    <mergeCell ref="U13:U14"/>
    <mergeCell ref="V13:V14"/>
    <mergeCell ref="Q12:S13"/>
    <mergeCell ref="CK12:CT12"/>
    <mergeCell ref="CK15:CK20"/>
    <mergeCell ref="CM15:CM20"/>
    <mergeCell ref="CN15:CN20"/>
    <mergeCell ref="CO15:CO20"/>
    <mergeCell ref="CP15:CP20"/>
    <mergeCell ref="CQ15:CQ20"/>
    <mergeCell ref="D44:I44"/>
    <mergeCell ref="D45:I45"/>
    <mergeCell ref="D46:E46"/>
    <mergeCell ref="BX2:CD2"/>
    <mergeCell ref="CF2:CI2"/>
    <mergeCell ref="BE7:BF7"/>
    <mergeCell ref="BG7:BH7"/>
    <mergeCell ref="BE2:BF2"/>
    <mergeCell ref="BP2:BV2"/>
    <mergeCell ref="BE12:BH12"/>
    <mergeCell ref="BJ13:BJ14"/>
    <mergeCell ref="BN13:BN14"/>
    <mergeCell ref="BK13:BM13"/>
    <mergeCell ref="BJ12:BN12"/>
    <mergeCell ref="BE13:BE14"/>
    <mergeCell ref="BF13:BF14"/>
    <mergeCell ref="BG13:BG14"/>
    <mergeCell ref="BH13:BH14"/>
    <mergeCell ref="BP7:BQ7"/>
    <mergeCell ref="BP16:BV16"/>
    <mergeCell ref="BX10:CD12"/>
    <mergeCell ref="AL13:AL14"/>
    <mergeCell ref="W12:Z12"/>
    <mergeCell ref="AF13:AF14"/>
    <mergeCell ref="N22:N27"/>
    <mergeCell ref="D19:I19"/>
    <mergeCell ref="D15:I15"/>
    <mergeCell ref="J15:J20"/>
    <mergeCell ref="K15:K20"/>
    <mergeCell ref="L15:L20"/>
    <mergeCell ref="D22:I22"/>
    <mergeCell ref="AH13:AH14"/>
    <mergeCell ref="D21:I21"/>
    <mergeCell ref="M22:M27"/>
    <mergeCell ref="D26:I26"/>
    <mergeCell ref="D27:I27"/>
    <mergeCell ref="BU17:BV18"/>
    <mergeCell ref="D42:I42"/>
    <mergeCell ref="D56:I56"/>
    <mergeCell ref="G102:H102"/>
    <mergeCell ref="D103:I103"/>
    <mergeCell ref="J330:J335"/>
    <mergeCell ref="K330:K335"/>
    <mergeCell ref="J106:J111"/>
    <mergeCell ref="K106:K111"/>
    <mergeCell ref="J113:J118"/>
    <mergeCell ref="K113:K118"/>
    <mergeCell ref="D141:I141"/>
    <mergeCell ref="J141:J146"/>
    <mergeCell ref="D51:I51"/>
    <mergeCell ref="D52:I52"/>
    <mergeCell ref="D53:E53"/>
    <mergeCell ref="G53:H53"/>
    <mergeCell ref="D54:I54"/>
    <mergeCell ref="D55:I55"/>
    <mergeCell ref="D34:I34"/>
    <mergeCell ref="D33:I33"/>
    <mergeCell ref="D35:I35"/>
    <mergeCell ref="D36:I36"/>
    <mergeCell ref="D57:I57"/>
    <mergeCell ref="D63:I63"/>
    <mergeCell ref="D64:I64"/>
    <mergeCell ref="D77:I77"/>
    <mergeCell ref="D78:I78"/>
    <mergeCell ref="A11:B11"/>
    <mergeCell ref="I11:L11"/>
    <mergeCell ref="M15:M20"/>
    <mergeCell ref="K22:K27"/>
    <mergeCell ref="D67:E67"/>
    <mergeCell ref="G67:H67"/>
    <mergeCell ref="D68:I68"/>
    <mergeCell ref="D69:I69"/>
    <mergeCell ref="D58:I58"/>
    <mergeCell ref="N50:N55"/>
    <mergeCell ref="O50:O55"/>
    <mergeCell ref="L50:L55"/>
    <mergeCell ref="N43:N48"/>
    <mergeCell ref="O43:O48"/>
    <mergeCell ref="D32:E32"/>
    <mergeCell ref="N29:N34"/>
    <mergeCell ref="M29:M34"/>
    <mergeCell ref="M50:M55"/>
    <mergeCell ref="M57:M62"/>
    <mergeCell ref="M64:M69"/>
    <mergeCell ref="D47:I47"/>
    <mergeCell ref="D48:I48"/>
    <mergeCell ref="M43:M48"/>
    <mergeCell ref="D43:I43"/>
    <mergeCell ref="J43:J48"/>
    <mergeCell ref="K43:K48"/>
    <mergeCell ref="L43:L48"/>
    <mergeCell ref="D14:I14"/>
    <mergeCell ref="M11:N11"/>
    <mergeCell ref="M12:N12"/>
    <mergeCell ref="C12:D12"/>
    <mergeCell ref="G32:H32"/>
    <mergeCell ref="A10:B10"/>
    <mergeCell ref="C10:D10"/>
    <mergeCell ref="E10:H10"/>
    <mergeCell ref="I10:L10"/>
    <mergeCell ref="E12:H12"/>
    <mergeCell ref="I12:L12"/>
    <mergeCell ref="G25:H25"/>
    <mergeCell ref="N36:N41"/>
    <mergeCell ref="M10:N10"/>
    <mergeCell ref="N15:N20"/>
    <mergeCell ref="D23:I23"/>
    <mergeCell ref="D24:I24"/>
    <mergeCell ref="J22:J27"/>
    <mergeCell ref="O22:O27"/>
    <mergeCell ref="L29:L34"/>
    <mergeCell ref="D20:I20"/>
    <mergeCell ref="D16:I16"/>
    <mergeCell ref="D17:I17"/>
    <mergeCell ref="G18:H18"/>
    <mergeCell ref="O36:O41"/>
    <mergeCell ref="D41:I41"/>
    <mergeCell ref="J36:J41"/>
    <mergeCell ref="K36:K41"/>
    <mergeCell ref="L36:L41"/>
    <mergeCell ref="M36:M41"/>
    <mergeCell ref="A12:B12"/>
    <mergeCell ref="C11:D11"/>
    <mergeCell ref="E11:H11"/>
    <mergeCell ref="O15:O20"/>
    <mergeCell ref="D25:E25"/>
    <mergeCell ref="L22:L27"/>
    <mergeCell ref="D18:E18"/>
    <mergeCell ref="D65:I65"/>
    <mergeCell ref="D66:I66"/>
    <mergeCell ref="D91:I91"/>
    <mergeCell ref="D83:I83"/>
    <mergeCell ref="D96:I96"/>
    <mergeCell ref="D97:I97"/>
    <mergeCell ref="D98:I98"/>
    <mergeCell ref="D133:I133"/>
    <mergeCell ref="D147:I147"/>
    <mergeCell ref="D148:I148"/>
    <mergeCell ref="D162:I162"/>
    <mergeCell ref="D175:I175"/>
    <mergeCell ref="D176:I176"/>
    <mergeCell ref="D189:I189"/>
    <mergeCell ref="D190:I190"/>
    <mergeCell ref="D203:I203"/>
    <mergeCell ref="D204:I204"/>
    <mergeCell ref="D142:I142"/>
    <mergeCell ref="D143:I143"/>
    <mergeCell ref="D144:E144"/>
    <mergeCell ref="G144:H144"/>
    <mergeCell ref="D145:I145"/>
    <mergeCell ref="D146:I146"/>
    <mergeCell ref="D154:I154"/>
    <mergeCell ref="D84:I84"/>
    <mergeCell ref="D329:I329"/>
    <mergeCell ref="D330:I330"/>
    <mergeCell ref="D105:I105"/>
    <mergeCell ref="D106:I106"/>
    <mergeCell ref="D112:I112"/>
    <mergeCell ref="D113:I113"/>
    <mergeCell ref="D70:I70"/>
    <mergeCell ref="D71:I71"/>
    <mergeCell ref="D92:I92"/>
    <mergeCell ref="D118:I118"/>
    <mergeCell ref="D119:I119"/>
    <mergeCell ref="D120:I120"/>
    <mergeCell ref="D217:I217"/>
    <mergeCell ref="D218:I218"/>
    <mergeCell ref="K71:K76"/>
    <mergeCell ref="J323:J328"/>
    <mergeCell ref="D321:I321"/>
    <mergeCell ref="D320:I320"/>
    <mergeCell ref="D323:I323"/>
    <mergeCell ref="D322:I322"/>
    <mergeCell ref="G319:H319"/>
    <mergeCell ref="D319:E319"/>
    <mergeCell ref="D318:I318"/>
    <mergeCell ref="K309:K314"/>
    <mergeCell ref="J309:J314"/>
    <mergeCell ref="D309:I309"/>
    <mergeCell ref="J148:J153"/>
    <mergeCell ref="K148:K153"/>
    <mergeCell ref="J162:J167"/>
    <mergeCell ref="K162:K167"/>
    <mergeCell ref="J176:J181"/>
    <mergeCell ref="K176:K181"/>
    <mergeCell ref="D37:I37"/>
    <mergeCell ref="D38:I38"/>
    <mergeCell ref="D39:E39"/>
    <mergeCell ref="G39:H39"/>
    <mergeCell ref="D40:I40"/>
    <mergeCell ref="D76:I76"/>
    <mergeCell ref="L71:L76"/>
    <mergeCell ref="M78:M83"/>
    <mergeCell ref="L106:L111"/>
    <mergeCell ref="M106:M111"/>
    <mergeCell ref="N106:N111"/>
    <mergeCell ref="O106:O111"/>
    <mergeCell ref="D107:I107"/>
    <mergeCell ref="D108:I108"/>
    <mergeCell ref="D109:E109"/>
    <mergeCell ref="G109:H109"/>
    <mergeCell ref="D110:I110"/>
    <mergeCell ref="D111:I111"/>
    <mergeCell ref="D99:I99"/>
    <mergeCell ref="J92:J97"/>
    <mergeCell ref="K92:K97"/>
    <mergeCell ref="L92:L97"/>
    <mergeCell ref="M71:M76"/>
    <mergeCell ref="J78:J83"/>
    <mergeCell ref="K78:K83"/>
    <mergeCell ref="N78:N83"/>
    <mergeCell ref="O78:O83"/>
    <mergeCell ref="D79:I79"/>
    <mergeCell ref="D80:I80"/>
    <mergeCell ref="D81:E81"/>
    <mergeCell ref="G81:H81"/>
    <mergeCell ref="D82:I82"/>
    <mergeCell ref="L78:L83"/>
    <mergeCell ref="N71:N76"/>
    <mergeCell ref="O71:O76"/>
    <mergeCell ref="L113:L118"/>
    <mergeCell ref="M113:M118"/>
    <mergeCell ref="N113:N118"/>
    <mergeCell ref="O113:O118"/>
    <mergeCell ref="D114:I114"/>
    <mergeCell ref="D115:I115"/>
    <mergeCell ref="N85:N90"/>
    <mergeCell ref="O85:O90"/>
    <mergeCell ref="D86:I86"/>
    <mergeCell ref="D87:I87"/>
    <mergeCell ref="D88:E88"/>
    <mergeCell ref="G88:H88"/>
    <mergeCell ref="D89:I89"/>
    <mergeCell ref="D90:I90"/>
    <mergeCell ref="D85:I85"/>
    <mergeCell ref="J85:J90"/>
    <mergeCell ref="K85:K90"/>
    <mergeCell ref="L85:L90"/>
    <mergeCell ref="M85:M90"/>
    <mergeCell ref="D116:E116"/>
    <mergeCell ref="G116:H116"/>
    <mergeCell ref="D117:I117"/>
    <mergeCell ref="M92:M97"/>
    <mergeCell ref="N92:N97"/>
    <mergeCell ref="O92:O97"/>
    <mergeCell ref="D93:I93"/>
    <mergeCell ref="D94:I94"/>
    <mergeCell ref="D95:E95"/>
    <mergeCell ref="G95:H95"/>
    <mergeCell ref="N120:N125"/>
    <mergeCell ref="O120:O125"/>
    <mergeCell ref="D121:I121"/>
    <mergeCell ref="D122:I122"/>
    <mergeCell ref="D123:E123"/>
    <mergeCell ref="G123:H123"/>
    <mergeCell ref="D124:I124"/>
    <mergeCell ref="D125:I125"/>
    <mergeCell ref="D126:I126"/>
    <mergeCell ref="N127:N132"/>
    <mergeCell ref="O127:O132"/>
    <mergeCell ref="D128:I128"/>
    <mergeCell ref="D129:I129"/>
    <mergeCell ref="J120:J125"/>
    <mergeCell ref="K120:K125"/>
    <mergeCell ref="L120:L125"/>
    <mergeCell ref="M120:M125"/>
    <mergeCell ref="D127:I127"/>
    <mergeCell ref="J127:J132"/>
    <mergeCell ref="K127:K132"/>
    <mergeCell ref="L127:L132"/>
    <mergeCell ref="M127:M132"/>
    <mergeCell ref="D130:E130"/>
    <mergeCell ref="G130:H130"/>
    <mergeCell ref="D131:I131"/>
    <mergeCell ref="D132:I132"/>
    <mergeCell ref="L148:L153"/>
    <mergeCell ref="M148:M153"/>
    <mergeCell ref="N148:N153"/>
    <mergeCell ref="O148:O153"/>
    <mergeCell ref="D149:I149"/>
    <mergeCell ref="D150:I150"/>
    <mergeCell ref="D151:E151"/>
    <mergeCell ref="G151:H151"/>
    <mergeCell ref="D152:I152"/>
    <mergeCell ref="D134:I134"/>
    <mergeCell ref="J134:J139"/>
    <mergeCell ref="K134:K139"/>
    <mergeCell ref="L134:L139"/>
    <mergeCell ref="M134:M139"/>
    <mergeCell ref="D161:I161"/>
    <mergeCell ref="N134:N139"/>
    <mergeCell ref="O134:O139"/>
    <mergeCell ref="D135:I135"/>
    <mergeCell ref="D136:I136"/>
    <mergeCell ref="D137:E137"/>
    <mergeCell ref="G137:H137"/>
    <mergeCell ref="D138:I138"/>
    <mergeCell ref="D139:I139"/>
    <mergeCell ref="D140:I140"/>
    <mergeCell ref="D153:I153"/>
    <mergeCell ref="K141:K146"/>
    <mergeCell ref="L141:L146"/>
    <mergeCell ref="M141:M146"/>
    <mergeCell ref="N141:N146"/>
    <mergeCell ref="O141:O146"/>
    <mergeCell ref="L162:L167"/>
    <mergeCell ref="M162:M167"/>
    <mergeCell ref="N162:N167"/>
    <mergeCell ref="O162:O167"/>
    <mergeCell ref="D163:I163"/>
    <mergeCell ref="D164:I164"/>
    <mergeCell ref="D165:E165"/>
    <mergeCell ref="G165:H165"/>
    <mergeCell ref="D166:I166"/>
    <mergeCell ref="D167:I167"/>
    <mergeCell ref="D155:I155"/>
    <mergeCell ref="J155:J160"/>
    <mergeCell ref="K155:K160"/>
    <mergeCell ref="L155:L160"/>
    <mergeCell ref="M155:M160"/>
    <mergeCell ref="N155:N160"/>
    <mergeCell ref="O155:O160"/>
    <mergeCell ref="D156:I156"/>
    <mergeCell ref="D157:I157"/>
    <mergeCell ref="D158:E158"/>
    <mergeCell ref="G158:H158"/>
    <mergeCell ref="D159:I159"/>
    <mergeCell ref="D160:I160"/>
    <mergeCell ref="L176:L181"/>
    <mergeCell ref="M176:M181"/>
    <mergeCell ref="N176:N181"/>
    <mergeCell ref="O176:O181"/>
    <mergeCell ref="D177:I177"/>
    <mergeCell ref="D178:I178"/>
    <mergeCell ref="D179:E179"/>
    <mergeCell ref="G179:H179"/>
    <mergeCell ref="D180:I180"/>
    <mergeCell ref="D181:I181"/>
    <mergeCell ref="D168:I168"/>
    <mergeCell ref="D169:I169"/>
    <mergeCell ref="J169:J174"/>
    <mergeCell ref="K169:K174"/>
    <mergeCell ref="L169:L174"/>
    <mergeCell ref="M169:M174"/>
    <mergeCell ref="N169:N174"/>
    <mergeCell ref="O169:O174"/>
    <mergeCell ref="D170:I170"/>
    <mergeCell ref="D171:I171"/>
    <mergeCell ref="D172:E172"/>
    <mergeCell ref="G172:H172"/>
    <mergeCell ref="D173:I173"/>
    <mergeCell ref="D174:I174"/>
    <mergeCell ref="J190:J195"/>
    <mergeCell ref="K190:K195"/>
    <mergeCell ref="L190:L195"/>
    <mergeCell ref="M190:M195"/>
    <mergeCell ref="N190:N195"/>
    <mergeCell ref="O190:O195"/>
    <mergeCell ref="D191:I191"/>
    <mergeCell ref="D192:I192"/>
    <mergeCell ref="D193:E193"/>
    <mergeCell ref="G193:H193"/>
    <mergeCell ref="D194:I194"/>
    <mergeCell ref="D195:I195"/>
    <mergeCell ref="D182:I182"/>
    <mergeCell ref="D183:I183"/>
    <mergeCell ref="J183:J188"/>
    <mergeCell ref="K183:K188"/>
    <mergeCell ref="L183:L188"/>
    <mergeCell ref="M183:M188"/>
    <mergeCell ref="N183:N188"/>
    <mergeCell ref="O183:O188"/>
    <mergeCell ref="D184:I184"/>
    <mergeCell ref="D185:I185"/>
    <mergeCell ref="D186:E186"/>
    <mergeCell ref="G186:H186"/>
    <mergeCell ref="D187:I187"/>
    <mergeCell ref="D188:I188"/>
    <mergeCell ref="J204:J209"/>
    <mergeCell ref="K204:K209"/>
    <mergeCell ref="L204:L209"/>
    <mergeCell ref="M204:M209"/>
    <mergeCell ref="N204:N209"/>
    <mergeCell ref="O204:O209"/>
    <mergeCell ref="D205:I205"/>
    <mergeCell ref="D206:I206"/>
    <mergeCell ref="D207:E207"/>
    <mergeCell ref="G207:H207"/>
    <mergeCell ref="D208:I208"/>
    <mergeCell ref="D209:I209"/>
    <mergeCell ref="D196:I196"/>
    <mergeCell ref="D197:I197"/>
    <mergeCell ref="J197:J202"/>
    <mergeCell ref="K197:K202"/>
    <mergeCell ref="L197:L202"/>
    <mergeCell ref="M197:M202"/>
    <mergeCell ref="N197:N202"/>
    <mergeCell ref="O197:O202"/>
    <mergeCell ref="D198:I198"/>
    <mergeCell ref="D199:I199"/>
    <mergeCell ref="D200:E200"/>
    <mergeCell ref="G200:H200"/>
    <mergeCell ref="D201:I201"/>
    <mergeCell ref="D202:I202"/>
    <mergeCell ref="J218:J223"/>
    <mergeCell ref="K218:K223"/>
    <mergeCell ref="L218:L223"/>
    <mergeCell ref="M218:M223"/>
    <mergeCell ref="N218:N223"/>
    <mergeCell ref="O218:O223"/>
    <mergeCell ref="D219:I219"/>
    <mergeCell ref="D220:I220"/>
    <mergeCell ref="D221:E221"/>
    <mergeCell ref="G221:H221"/>
    <mergeCell ref="D222:I222"/>
    <mergeCell ref="D223:I223"/>
    <mergeCell ref="D210:I210"/>
    <mergeCell ref="D211:I211"/>
    <mergeCell ref="J211:J216"/>
    <mergeCell ref="K211:K216"/>
    <mergeCell ref="L211:L216"/>
    <mergeCell ref="M211:M216"/>
    <mergeCell ref="N211:N216"/>
    <mergeCell ref="O211:O216"/>
    <mergeCell ref="D212:I212"/>
    <mergeCell ref="D213:I213"/>
    <mergeCell ref="D214:E214"/>
    <mergeCell ref="G214:H214"/>
    <mergeCell ref="D215:I215"/>
    <mergeCell ref="D216:I216"/>
    <mergeCell ref="D231:I231"/>
    <mergeCell ref="D232:I232"/>
    <mergeCell ref="J232:J237"/>
    <mergeCell ref="K232:K237"/>
    <mergeCell ref="L232:L237"/>
    <mergeCell ref="M232:M237"/>
    <mergeCell ref="N232:N237"/>
    <mergeCell ref="O232:O237"/>
    <mergeCell ref="D233:I233"/>
    <mergeCell ref="D234:I234"/>
    <mergeCell ref="D235:E235"/>
    <mergeCell ref="G235:H235"/>
    <mergeCell ref="D236:I236"/>
    <mergeCell ref="D237:I237"/>
    <mergeCell ref="D224:I224"/>
    <mergeCell ref="D225:I225"/>
    <mergeCell ref="J225:J230"/>
    <mergeCell ref="K225:K230"/>
    <mergeCell ref="L225:L230"/>
    <mergeCell ref="M225:M230"/>
    <mergeCell ref="N225:N230"/>
    <mergeCell ref="O225:O230"/>
    <mergeCell ref="D226:I226"/>
    <mergeCell ref="D227:I227"/>
    <mergeCell ref="D228:E228"/>
    <mergeCell ref="G228:H228"/>
    <mergeCell ref="D229:I229"/>
    <mergeCell ref="D230:I230"/>
    <mergeCell ref="L246:L251"/>
    <mergeCell ref="M246:M251"/>
    <mergeCell ref="N246:N251"/>
    <mergeCell ref="O246:O251"/>
    <mergeCell ref="D247:I247"/>
    <mergeCell ref="D248:I248"/>
    <mergeCell ref="D249:E249"/>
    <mergeCell ref="G249:H249"/>
    <mergeCell ref="D250:I250"/>
    <mergeCell ref="D251:I251"/>
    <mergeCell ref="D238:I238"/>
    <mergeCell ref="D239:I239"/>
    <mergeCell ref="J239:J244"/>
    <mergeCell ref="K239:K244"/>
    <mergeCell ref="L239:L244"/>
    <mergeCell ref="M239:M244"/>
    <mergeCell ref="N239:N244"/>
    <mergeCell ref="O239:O244"/>
    <mergeCell ref="D240:I240"/>
    <mergeCell ref="D241:I241"/>
    <mergeCell ref="D242:E242"/>
    <mergeCell ref="G242:H242"/>
    <mergeCell ref="D243:I243"/>
    <mergeCell ref="D244:I244"/>
    <mergeCell ref="N260:N265"/>
    <mergeCell ref="O260:O265"/>
    <mergeCell ref="D261:I261"/>
    <mergeCell ref="D262:I262"/>
    <mergeCell ref="D263:E263"/>
    <mergeCell ref="G263:H263"/>
    <mergeCell ref="D264:I264"/>
    <mergeCell ref="D265:I265"/>
    <mergeCell ref="D252:I252"/>
    <mergeCell ref="D253:I253"/>
    <mergeCell ref="J253:J258"/>
    <mergeCell ref="K253:K258"/>
    <mergeCell ref="L253:L258"/>
    <mergeCell ref="M253:M258"/>
    <mergeCell ref="N253:N258"/>
    <mergeCell ref="O253:O258"/>
    <mergeCell ref="D254:I254"/>
    <mergeCell ref="D255:I255"/>
    <mergeCell ref="D256:E256"/>
    <mergeCell ref="G256:H256"/>
    <mergeCell ref="D257:I257"/>
    <mergeCell ref="D258:I258"/>
    <mergeCell ref="N274:N279"/>
    <mergeCell ref="O274:O279"/>
    <mergeCell ref="D275:I275"/>
    <mergeCell ref="D276:I276"/>
    <mergeCell ref="D277:E277"/>
    <mergeCell ref="G277:H277"/>
    <mergeCell ref="D278:I278"/>
    <mergeCell ref="D279:I279"/>
    <mergeCell ref="D266:I266"/>
    <mergeCell ref="D267:I267"/>
    <mergeCell ref="J267:J272"/>
    <mergeCell ref="K267:K272"/>
    <mergeCell ref="L267:L272"/>
    <mergeCell ref="M267:M272"/>
    <mergeCell ref="N267:N272"/>
    <mergeCell ref="O267:O272"/>
    <mergeCell ref="D268:I268"/>
    <mergeCell ref="D269:I269"/>
    <mergeCell ref="D270:E270"/>
    <mergeCell ref="G270:H270"/>
    <mergeCell ref="D271:I271"/>
    <mergeCell ref="D272:I272"/>
    <mergeCell ref="N288:N293"/>
    <mergeCell ref="O288:O293"/>
    <mergeCell ref="D289:I289"/>
    <mergeCell ref="D290:I290"/>
    <mergeCell ref="D291:E291"/>
    <mergeCell ref="G291:H291"/>
    <mergeCell ref="D292:I292"/>
    <mergeCell ref="D293:I293"/>
    <mergeCell ref="M295:M300"/>
    <mergeCell ref="N295:N300"/>
    <mergeCell ref="L281:L286"/>
    <mergeCell ref="M281:M286"/>
    <mergeCell ref="N281:N286"/>
    <mergeCell ref="O281:O286"/>
    <mergeCell ref="D282:I282"/>
    <mergeCell ref="D283:I283"/>
    <mergeCell ref="D284:E284"/>
    <mergeCell ref="G284:H284"/>
    <mergeCell ref="D285:I285"/>
    <mergeCell ref="D286:I286"/>
    <mergeCell ref="D294:I294"/>
    <mergeCell ref="O295:O300"/>
    <mergeCell ref="D296:I296"/>
    <mergeCell ref="D297:I297"/>
    <mergeCell ref="D298:E298"/>
    <mergeCell ref="G298:H298"/>
    <mergeCell ref="D299:I299"/>
    <mergeCell ref="D300:I300"/>
    <mergeCell ref="D295:I295"/>
    <mergeCell ref="J295:J300"/>
    <mergeCell ref="K295:K300"/>
    <mergeCell ref="K302:K307"/>
    <mergeCell ref="J302:J307"/>
    <mergeCell ref="D302:I302"/>
    <mergeCell ref="D301:I301"/>
    <mergeCell ref="D100:I100"/>
    <mergeCell ref="D101:I101"/>
    <mergeCell ref="D102:E102"/>
    <mergeCell ref="D325:I325"/>
    <mergeCell ref="D326:E326"/>
    <mergeCell ref="G326:H326"/>
    <mergeCell ref="D287:I287"/>
    <mergeCell ref="D288:I288"/>
    <mergeCell ref="J288:J293"/>
    <mergeCell ref="K288:K293"/>
    <mergeCell ref="L288:L293"/>
    <mergeCell ref="M288:M293"/>
    <mergeCell ref="D273:I273"/>
    <mergeCell ref="D274:I274"/>
    <mergeCell ref="J274:J279"/>
    <mergeCell ref="K274:K279"/>
    <mergeCell ref="L274:L279"/>
    <mergeCell ref="M274:M279"/>
    <mergeCell ref="D259:I259"/>
    <mergeCell ref="D260:I260"/>
    <mergeCell ref="J260:J265"/>
    <mergeCell ref="K260:K265"/>
    <mergeCell ref="L260:L265"/>
    <mergeCell ref="M260:M265"/>
    <mergeCell ref="D245:I245"/>
    <mergeCell ref="D246:I246"/>
    <mergeCell ref="J246:J251"/>
    <mergeCell ref="K246:K251"/>
    <mergeCell ref="D327:I327"/>
    <mergeCell ref="D328:I328"/>
    <mergeCell ref="D315:I315"/>
    <mergeCell ref="D316:I316"/>
    <mergeCell ref="J316:J321"/>
    <mergeCell ref="K316:K321"/>
    <mergeCell ref="L316:L321"/>
    <mergeCell ref="M316:M321"/>
    <mergeCell ref="N316:N321"/>
    <mergeCell ref="O316:O321"/>
    <mergeCell ref="D317:I317"/>
    <mergeCell ref="N302:N307"/>
    <mergeCell ref="O302:O307"/>
    <mergeCell ref="D303:I303"/>
    <mergeCell ref="D304:I304"/>
    <mergeCell ref="D305:E305"/>
    <mergeCell ref="G305:H305"/>
    <mergeCell ref="D306:I306"/>
    <mergeCell ref="D307:I307"/>
    <mergeCell ref="O309:O314"/>
    <mergeCell ref="D310:I310"/>
    <mergeCell ref="D311:I311"/>
    <mergeCell ref="D312:E312"/>
    <mergeCell ref="G312:H312"/>
    <mergeCell ref="D313:I313"/>
    <mergeCell ref="D314:I314"/>
    <mergeCell ref="N309:N314"/>
    <mergeCell ref="M309:M314"/>
    <mergeCell ref="L309:L314"/>
    <mergeCell ref="D308:I308"/>
    <mergeCell ref="M302:M307"/>
    <mergeCell ref="L302:L307"/>
    <mergeCell ref="CR15:CR20"/>
    <mergeCell ref="CS15:CS20"/>
    <mergeCell ref="CT15:CT20"/>
    <mergeCell ref="CL15:CL20"/>
    <mergeCell ref="CK36:CK41"/>
    <mergeCell ref="CM36:CM41"/>
    <mergeCell ref="CN36:CN41"/>
    <mergeCell ref="CO36:CO41"/>
    <mergeCell ref="CP36:CP41"/>
    <mergeCell ref="CQ36:CQ41"/>
    <mergeCell ref="CR36:CR41"/>
    <mergeCell ref="CS36:CS41"/>
    <mergeCell ref="CP43:CP48"/>
    <mergeCell ref="CQ43:CQ48"/>
    <mergeCell ref="CR43:CR48"/>
    <mergeCell ref="CS43:CS48"/>
    <mergeCell ref="CT43:CT48"/>
    <mergeCell ref="D342:K342"/>
    <mergeCell ref="BP337:BP338"/>
    <mergeCell ref="D343:K343"/>
    <mergeCell ref="N336:O336"/>
    <mergeCell ref="CK22:CK27"/>
    <mergeCell ref="CM22:CM27"/>
    <mergeCell ref="CN22:CN27"/>
    <mergeCell ref="CO22:CO27"/>
    <mergeCell ref="CP22:CP27"/>
    <mergeCell ref="CQ22:CQ27"/>
    <mergeCell ref="CR22:CR27"/>
    <mergeCell ref="CS22:CS27"/>
    <mergeCell ref="CT22:CT27"/>
    <mergeCell ref="D280:I280"/>
    <mergeCell ref="D281:I281"/>
    <mergeCell ref="J281:J286"/>
    <mergeCell ref="K281:K286"/>
    <mergeCell ref="O323:O328"/>
    <mergeCell ref="D324:I324"/>
    <mergeCell ref="D104:I104"/>
    <mergeCell ref="J99:J104"/>
    <mergeCell ref="K99:K104"/>
    <mergeCell ref="L99:L104"/>
    <mergeCell ref="C337:I337"/>
    <mergeCell ref="M99:M104"/>
    <mergeCell ref="N99:N104"/>
    <mergeCell ref="O99:O104"/>
    <mergeCell ref="CK57:CK62"/>
    <mergeCell ref="CM57:CM62"/>
    <mergeCell ref="CN57:CN62"/>
    <mergeCell ref="CO57:CO62"/>
    <mergeCell ref="CP57:CP62"/>
    <mergeCell ref="CQ57:CQ62"/>
    <mergeCell ref="CR57:CR62"/>
    <mergeCell ref="CS57:CS62"/>
    <mergeCell ref="CT57:CT62"/>
    <mergeCell ref="CT36:CT41"/>
    <mergeCell ref="CK29:CK34"/>
    <mergeCell ref="CM29:CM34"/>
    <mergeCell ref="CN29:CN34"/>
    <mergeCell ref="CO29:CO34"/>
    <mergeCell ref="CP29:CP34"/>
    <mergeCell ref="CQ29:CQ34"/>
    <mergeCell ref="CR29:CR34"/>
    <mergeCell ref="CS29:CS34"/>
    <mergeCell ref="CT29:CT34"/>
    <mergeCell ref="CK50:CK55"/>
    <mergeCell ref="CM50:CM55"/>
    <mergeCell ref="CN50:CN55"/>
    <mergeCell ref="CO50:CO55"/>
    <mergeCell ref="CP50:CP55"/>
    <mergeCell ref="CQ50:CQ55"/>
    <mergeCell ref="CR50:CR55"/>
    <mergeCell ref="CS50:CS55"/>
    <mergeCell ref="CT50:CT55"/>
    <mergeCell ref="CK43:CK48"/>
    <mergeCell ref="CM43:CM48"/>
    <mergeCell ref="CN43:CN48"/>
    <mergeCell ref="CO43:CO48"/>
    <mergeCell ref="CK71:CK76"/>
    <mergeCell ref="CM71:CM76"/>
    <mergeCell ref="CN71:CN76"/>
    <mergeCell ref="CO71:CO76"/>
    <mergeCell ref="CP71:CP76"/>
    <mergeCell ref="CQ71:CQ76"/>
    <mergeCell ref="CR71:CR76"/>
    <mergeCell ref="CS71:CS76"/>
    <mergeCell ref="CT71:CT76"/>
    <mergeCell ref="CK64:CK69"/>
    <mergeCell ref="CM64:CM69"/>
    <mergeCell ref="CN64:CN69"/>
    <mergeCell ref="CO64:CO69"/>
    <mergeCell ref="CP64:CP69"/>
    <mergeCell ref="CQ64:CQ69"/>
    <mergeCell ref="CR64:CR69"/>
    <mergeCell ref="CS64:CS69"/>
    <mergeCell ref="CT64:CT69"/>
    <mergeCell ref="CK85:CK90"/>
    <mergeCell ref="CM85:CM90"/>
    <mergeCell ref="CN85:CN90"/>
    <mergeCell ref="CO85:CO90"/>
    <mergeCell ref="CP85:CP90"/>
    <mergeCell ref="CQ85:CQ90"/>
    <mergeCell ref="CR85:CR90"/>
    <mergeCell ref="CS85:CS90"/>
    <mergeCell ref="CT85:CT90"/>
    <mergeCell ref="CK78:CK83"/>
    <mergeCell ref="CM78:CM83"/>
    <mergeCell ref="CN78:CN83"/>
    <mergeCell ref="CO78:CO83"/>
    <mergeCell ref="CP78:CP83"/>
    <mergeCell ref="CQ78:CQ83"/>
    <mergeCell ref="CR78:CR83"/>
    <mergeCell ref="CS78:CS83"/>
    <mergeCell ref="CT78:CT83"/>
    <mergeCell ref="CK99:CK104"/>
    <mergeCell ref="CM99:CM104"/>
    <mergeCell ref="CN99:CN104"/>
    <mergeCell ref="CO99:CO104"/>
    <mergeCell ref="CP99:CP104"/>
    <mergeCell ref="CQ99:CQ104"/>
    <mergeCell ref="CR99:CR104"/>
    <mergeCell ref="CS99:CS104"/>
    <mergeCell ref="CT99:CT104"/>
    <mergeCell ref="CK92:CK97"/>
    <mergeCell ref="CM92:CM97"/>
    <mergeCell ref="CN92:CN97"/>
    <mergeCell ref="CO92:CO97"/>
    <mergeCell ref="CP92:CP97"/>
    <mergeCell ref="CQ92:CQ97"/>
    <mergeCell ref="CR92:CR97"/>
    <mergeCell ref="CS92:CS97"/>
    <mergeCell ref="CT92:CT97"/>
    <mergeCell ref="CK113:CK118"/>
    <mergeCell ref="CM113:CM118"/>
    <mergeCell ref="CN113:CN118"/>
    <mergeCell ref="CO113:CO118"/>
    <mergeCell ref="CP113:CP118"/>
    <mergeCell ref="CQ113:CQ118"/>
    <mergeCell ref="CR113:CR118"/>
    <mergeCell ref="CS113:CS118"/>
    <mergeCell ref="CT113:CT118"/>
    <mergeCell ref="CK106:CK111"/>
    <mergeCell ref="CM106:CM111"/>
    <mergeCell ref="CN106:CN111"/>
    <mergeCell ref="CO106:CO111"/>
    <mergeCell ref="CP106:CP111"/>
    <mergeCell ref="CQ106:CQ111"/>
    <mergeCell ref="CR106:CR111"/>
    <mergeCell ref="CS106:CS111"/>
    <mergeCell ref="CT106:CT111"/>
    <mergeCell ref="CK127:CK132"/>
    <mergeCell ref="CM127:CM132"/>
    <mergeCell ref="CN127:CN132"/>
    <mergeCell ref="CO127:CO132"/>
    <mergeCell ref="CP127:CP132"/>
    <mergeCell ref="CQ127:CQ132"/>
    <mergeCell ref="CR127:CR132"/>
    <mergeCell ref="CS127:CS132"/>
    <mergeCell ref="CT127:CT132"/>
    <mergeCell ref="CK120:CK125"/>
    <mergeCell ref="CM120:CM125"/>
    <mergeCell ref="CN120:CN125"/>
    <mergeCell ref="CO120:CO125"/>
    <mergeCell ref="CP120:CP125"/>
    <mergeCell ref="CQ120:CQ125"/>
    <mergeCell ref="CR120:CR125"/>
    <mergeCell ref="CS120:CS125"/>
    <mergeCell ref="CT120:CT125"/>
    <mergeCell ref="CK141:CK146"/>
    <mergeCell ref="CM141:CM146"/>
    <mergeCell ref="CN141:CN146"/>
    <mergeCell ref="CO141:CO146"/>
    <mergeCell ref="CP141:CP146"/>
    <mergeCell ref="CQ141:CQ146"/>
    <mergeCell ref="CR141:CR146"/>
    <mergeCell ref="CS141:CS146"/>
    <mergeCell ref="CT141:CT146"/>
    <mergeCell ref="CK134:CK139"/>
    <mergeCell ref="CM134:CM139"/>
    <mergeCell ref="CN134:CN139"/>
    <mergeCell ref="CO134:CO139"/>
    <mergeCell ref="CP134:CP139"/>
    <mergeCell ref="CQ134:CQ139"/>
    <mergeCell ref="CR134:CR139"/>
    <mergeCell ref="CS134:CS139"/>
    <mergeCell ref="CT134:CT139"/>
    <mergeCell ref="CK155:CK160"/>
    <mergeCell ref="CM155:CM160"/>
    <mergeCell ref="CN155:CN160"/>
    <mergeCell ref="CO155:CO160"/>
    <mergeCell ref="CP155:CP160"/>
    <mergeCell ref="CQ155:CQ160"/>
    <mergeCell ref="CR155:CR160"/>
    <mergeCell ref="CS155:CS160"/>
    <mergeCell ref="CT155:CT160"/>
    <mergeCell ref="CK148:CK153"/>
    <mergeCell ref="CM148:CM153"/>
    <mergeCell ref="CN148:CN153"/>
    <mergeCell ref="CO148:CO153"/>
    <mergeCell ref="CP148:CP153"/>
    <mergeCell ref="CQ148:CQ153"/>
    <mergeCell ref="CR148:CR153"/>
    <mergeCell ref="CS148:CS153"/>
    <mergeCell ref="CT148:CT153"/>
    <mergeCell ref="CK169:CK174"/>
    <mergeCell ref="CM169:CM174"/>
    <mergeCell ref="CN169:CN174"/>
    <mergeCell ref="CO169:CO174"/>
    <mergeCell ref="CP169:CP174"/>
    <mergeCell ref="CQ169:CQ174"/>
    <mergeCell ref="CR169:CR174"/>
    <mergeCell ref="CS169:CS174"/>
    <mergeCell ref="CT169:CT174"/>
    <mergeCell ref="CK162:CK167"/>
    <mergeCell ref="CM162:CM167"/>
    <mergeCell ref="CN162:CN167"/>
    <mergeCell ref="CO162:CO167"/>
    <mergeCell ref="CP162:CP167"/>
    <mergeCell ref="CQ162:CQ167"/>
    <mergeCell ref="CR162:CR167"/>
    <mergeCell ref="CS162:CS167"/>
    <mergeCell ref="CT162:CT167"/>
    <mergeCell ref="CK183:CK188"/>
    <mergeCell ref="CM183:CM188"/>
    <mergeCell ref="CN183:CN188"/>
    <mergeCell ref="CO183:CO188"/>
    <mergeCell ref="CP183:CP188"/>
    <mergeCell ref="CQ183:CQ188"/>
    <mergeCell ref="CR183:CR188"/>
    <mergeCell ref="CS183:CS188"/>
    <mergeCell ref="CT183:CT188"/>
    <mergeCell ref="CK176:CK181"/>
    <mergeCell ref="CM176:CM181"/>
    <mergeCell ref="CN176:CN181"/>
    <mergeCell ref="CO176:CO181"/>
    <mergeCell ref="CP176:CP181"/>
    <mergeCell ref="CQ176:CQ181"/>
    <mergeCell ref="CR176:CR181"/>
    <mergeCell ref="CS176:CS181"/>
    <mergeCell ref="CT176:CT181"/>
    <mergeCell ref="CK197:CK202"/>
    <mergeCell ref="CM197:CM202"/>
    <mergeCell ref="CN197:CN202"/>
    <mergeCell ref="CO197:CO202"/>
    <mergeCell ref="CP197:CP202"/>
    <mergeCell ref="CQ197:CQ202"/>
    <mergeCell ref="CR197:CR202"/>
    <mergeCell ref="CS197:CS202"/>
    <mergeCell ref="CT197:CT202"/>
    <mergeCell ref="CK190:CK195"/>
    <mergeCell ref="CM190:CM195"/>
    <mergeCell ref="CN190:CN195"/>
    <mergeCell ref="CO190:CO195"/>
    <mergeCell ref="CP190:CP195"/>
    <mergeCell ref="CQ190:CQ195"/>
    <mergeCell ref="CR190:CR195"/>
    <mergeCell ref="CS190:CS195"/>
    <mergeCell ref="CT190:CT195"/>
    <mergeCell ref="CK211:CK216"/>
    <mergeCell ref="CM211:CM216"/>
    <mergeCell ref="CN211:CN216"/>
    <mergeCell ref="CO211:CO216"/>
    <mergeCell ref="CP211:CP216"/>
    <mergeCell ref="CQ211:CQ216"/>
    <mergeCell ref="CR211:CR216"/>
    <mergeCell ref="CS211:CS216"/>
    <mergeCell ref="CT211:CT216"/>
    <mergeCell ref="CK204:CK209"/>
    <mergeCell ref="CM204:CM209"/>
    <mergeCell ref="CN204:CN209"/>
    <mergeCell ref="CO204:CO209"/>
    <mergeCell ref="CP204:CP209"/>
    <mergeCell ref="CQ204:CQ209"/>
    <mergeCell ref="CR204:CR209"/>
    <mergeCell ref="CS204:CS209"/>
    <mergeCell ref="CT204:CT209"/>
    <mergeCell ref="CK225:CK230"/>
    <mergeCell ref="CM225:CM230"/>
    <mergeCell ref="CN225:CN230"/>
    <mergeCell ref="CO225:CO230"/>
    <mergeCell ref="CP225:CP230"/>
    <mergeCell ref="CQ225:CQ230"/>
    <mergeCell ref="CR225:CR230"/>
    <mergeCell ref="CS225:CS230"/>
    <mergeCell ref="CT225:CT230"/>
    <mergeCell ref="CK218:CK223"/>
    <mergeCell ref="CM218:CM223"/>
    <mergeCell ref="CN218:CN223"/>
    <mergeCell ref="CO218:CO223"/>
    <mergeCell ref="CP218:CP223"/>
    <mergeCell ref="CQ218:CQ223"/>
    <mergeCell ref="CR218:CR223"/>
    <mergeCell ref="CS218:CS223"/>
    <mergeCell ref="CT218:CT223"/>
    <mergeCell ref="CK239:CK244"/>
    <mergeCell ref="CM239:CM244"/>
    <mergeCell ref="CN239:CN244"/>
    <mergeCell ref="CO239:CO244"/>
    <mergeCell ref="CP239:CP244"/>
    <mergeCell ref="CQ239:CQ244"/>
    <mergeCell ref="CR239:CR244"/>
    <mergeCell ref="CS239:CS244"/>
    <mergeCell ref="CT239:CT244"/>
    <mergeCell ref="CK232:CK237"/>
    <mergeCell ref="CM232:CM237"/>
    <mergeCell ref="CN232:CN237"/>
    <mergeCell ref="CO232:CO237"/>
    <mergeCell ref="CP232:CP237"/>
    <mergeCell ref="CQ232:CQ237"/>
    <mergeCell ref="CR232:CR237"/>
    <mergeCell ref="CS232:CS237"/>
    <mergeCell ref="CT232:CT237"/>
    <mergeCell ref="CK253:CK258"/>
    <mergeCell ref="CM253:CM258"/>
    <mergeCell ref="CN253:CN258"/>
    <mergeCell ref="CO253:CO258"/>
    <mergeCell ref="CP253:CP258"/>
    <mergeCell ref="CQ253:CQ258"/>
    <mergeCell ref="CR253:CR258"/>
    <mergeCell ref="CS253:CS258"/>
    <mergeCell ref="CT253:CT258"/>
    <mergeCell ref="CK246:CK251"/>
    <mergeCell ref="CM246:CM251"/>
    <mergeCell ref="CN246:CN251"/>
    <mergeCell ref="CO246:CO251"/>
    <mergeCell ref="CP246:CP251"/>
    <mergeCell ref="CQ246:CQ251"/>
    <mergeCell ref="CR246:CR251"/>
    <mergeCell ref="CS246:CS251"/>
    <mergeCell ref="CT246:CT251"/>
    <mergeCell ref="CK267:CK272"/>
    <mergeCell ref="CM267:CM272"/>
    <mergeCell ref="CN267:CN272"/>
    <mergeCell ref="CO267:CO272"/>
    <mergeCell ref="CP267:CP272"/>
    <mergeCell ref="CQ267:CQ272"/>
    <mergeCell ref="CR267:CR272"/>
    <mergeCell ref="CS267:CS272"/>
    <mergeCell ref="CT267:CT272"/>
    <mergeCell ref="CK260:CK265"/>
    <mergeCell ref="CM260:CM265"/>
    <mergeCell ref="CN260:CN265"/>
    <mergeCell ref="CO260:CO265"/>
    <mergeCell ref="CP260:CP265"/>
    <mergeCell ref="CQ260:CQ265"/>
    <mergeCell ref="CR260:CR265"/>
    <mergeCell ref="CS260:CS265"/>
    <mergeCell ref="CT260:CT265"/>
    <mergeCell ref="CK281:CK286"/>
    <mergeCell ref="CM281:CM286"/>
    <mergeCell ref="CN281:CN286"/>
    <mergeCell ref="CO281:CO286"/>
    <mergeCell ref="CP281:CP286"/>
    <mergeCell ref="CQ281:CQ286"/>
    <mergeCell ref="CR281:CR286"/>
    <mergeCell ref="CS281:CS286"/>
    <mergeCell ref="CT281:CT286"/>
    <mergeCell ref="CK274:CK279"/>
    <mergeCell ref="CM274:CM279"/>
    <mergeCell ref="CN274:CN279"/>
    <mergeCell ref="CO274:CO279"/>
    <mergeCell ref="CP274:CP279"/>
    <mergeCell ref="CQ274:CQ279"/>
    <mergeCell ref="CR274:CR279"/>
    <mergeCell ref="CS274:CS279"/>
    <mergeCell ref="CT274:CT279"/>
    <mergeCell ref="CK295:CK300"/>
    <mergeCell ref="CM295:CM300"/>
    <mergeCell ref="CN295:CN300"/>
    <mergeCell ref="CO295:CO300"/>
    <mergeCell ref="CP295:CP300"/>
    <mergeCell ref="CQ295:CQ300"/>
    <mergeCell ref="CR295:CR300"/>
    <mergeCell ref="CS295:CS300"/>
    <mergeCell ref="CT295:CT300"/>
    <mergeCell ref="CK288:CK293"/>
    <mergeCell ref="CM288:CM293"/>
    <mergeCell ref="CN288:CN293"/>
    <mergeCell ref="CO288:CO293"/>
    <mergeCell ref="CP288:CP293"/>
    <mergeCell ref="CQ288:CQ293"/>
    <mergeCell ref="CR288:CR293"/>
    <mergeCell ref="CS288:CS293"/>
    <mergeCell ref="CT288:CT293"/>
    <mergeCell ref="CK309:CK314"/>
    <mergeCell ref="CM309:CM314"/>
    <mergeCell ref="CN309:CN314"/>
    <mergeCell ref="CO309:CO314"/>
    <mergeCell ref="CP309:CP314"/>
    <mergeCell ref="CQ309:CQ314"/>
    <mergeCell ref="CR309:CR314"/>
    <mergeCell ref="CS309:CS314"/>
    <mergeCell ref="CT309:CT314"/>
    <mergeCell ref="CK302:CK307"/>
    <mergeCell ref="CM302:CM307"/>
    <mergeCell ref="CN302:CN307"/>
    <mergeCell ref="CO302:CO307"/>
    <mergeCell ref="CP302:CP307"/>
    <mergeCell ref="CQ302:CQ307"/>
    <mergeCell ref="CR302:CR307"/>
    <mergeCell ref="CS302:CS307"/>
    <mergeCell ref="CT302:CT307"/>
    <mergeCell ref="CN330:CN335"/>
    <mergeCell ref="CO330:CO335"/>
    <mergeCell ref="CP330:CP335"/>
    <mergeCell ref="CQ330:CQ335"/>
    <mergeCell ref="CR330:CR335"/>
    <mergeCell ref="CS330:CS335"/>
    <mergeCell ref="CT330:CT335"/>
    <mergeCell ref="CK323:CK328"/>
    <mergeCell ref="CM323:CM328"/>
    <mergeCell ref="CN323:CN328"/>
    <mergeCell ref="CO323:CO328"/>
    <mergeCell ref="CP323:CP328"/>
    <mergeCell ref="CQ323:CQ328"/>
    <mergeCell ref="CR323:CR328"/>
    <mergeCell ref="CS323:CS328"/>
    <mergeCell ref="CT323:CT328"/>
    <mergeCell ref="CK316:CK321"/>
    <mergeCell ref="CM316:CM321"/>
    <mergeCell ref="CN316:CN321"/>
    <mergeCell ref="CO316:CO321"/>
    <mergeCell ref="CP316:CP321"/>
    <mergeCell ref="CQ316:CQ321"/>
    <mergeCell ref="CR316:CR321"/>
    <mergeCell ref="CS316:CS321"/>
    <mergeCell ref="CT316:CT321"/>
    <mergeCell ref="A1354:O1354"/>
    <mergeCell ref="D1355:I1355"/>
    <mergeCell ref="D1356:I1356"/>
    <mergeCell ref="J1356:J1361"/>
    <mergeCell ref="K1356:K1361"/>
    <mergeCell ref="L1356:L1361"/>
    <mergeCell ref="M1356:M1361"/>
    <mergeCell ref="N1356:N1361"/>
    <mergeCell ref="O1356:O1361"/>
    <mergeCell ref="D1357:I1357"/>
    <mergeCell ref="D1358:I1358"/>
    <mergeCell ref="D1359:E1359"/>
    <mergeCell ref="G1359:H1359"/>
    <mergeCell ref="D1360:I1360"/>
    <mergeCell ref="D1361:I1361"/>
    <mergeCell ref="CK330:CK335"/>
    <mergeCell ref="CM330:CM335"/>
    <mergeCell ref="A337:B337"/>
    <mergeCell ref="N330:N335"/>
    <mergeCell ref="O330:O335"/>
    <mergeCell ref="D331:I331"/>
    <mergeCell ref="D332:I332"/>
    <mergeCell ref="D333:E333"/>
    <mergeCell ref="G333:H333"/>
    <mergeCell ref="D334:I334"/>
    <mergeCell ref="D335:I335"/>
    <mergeCell ref="L330:L335"/>
    <mergeCell ref="M330:M335"/>
    <mergeCell ref="D345:N345"/>
    <mergeCell ref="D346:N346"/>
    <mergeCell ref="D347:N347"/>
    <mergeCell ref="D348:N348"/>
    <mergeCell ref="D1362:I1362"/>
    <mergeCell ref="D1363:I1363"/>
    <mergeCell ref="J1363:J1368"/>
    <mergeCell ref="K1363:K1368"/>
    <mergeCell ref="L1363:L1368"/>
    <mergeCell ref="M1363:M1368"/>
    <mergeCell ref="N1363:N1368"/>
    <mergeCell ref="O1363:O1368"/>
    <mergeCell ref="CK1363:CK1368"/>
    <mergeCell ref="CK1356:CK1361"/>
    <mergeCell ref="CM1356:CM1361"/>
    <mergeCell ref="CN1356:CN1361"/>
    <mergeCell ref="CO1356:CO1361"/>
    <mergeCell ref="CP1356:CP1361"/>
    <mergeCell ref="CQ1356:CQ1361"/>
    <mergeCell ref="CR1356:CR1361"/>
    <mergeCell ref="CS1356:CS1361"/>
    <mergeCell ref="D1369:I1369"/>
    <mergeCell ref="D1370:I1370"/>
    <mergeCell ref="J1370:J1375"/>
    <mergeCell ref="K1370:K1375"/>
    <mergeCell ref="L1370:L1375"/>
    <mergeCell ref="M1370:M1375"/>
    <mergeCell ref="N1370:N1375"/>
    <mergeCell ref="O1370:O1375"/>
    <mergeCell ref="CK1370:CK1375"/>
    <mergeCell ref="CM1363:CM1368"/>
    <mergeCell ref="CN1363:CN1368"/>
    <mergeCell ref="CO1363:CO1368"/>
    <mergeCell ref="CP1363:CP1368"/>
    <mergeCell ref="CQ1363:CQ1368"/>
    <mergeCell ref="CR1363:CR1368"/>
    <mergeCell ref="CS1363:CS1368"/>
    <mergeCell ref="CT1363:CT1368"/>
    <mergeCell ref="D1364:I1364"/>
    <mergeCell ref="D1365:I1365"/>
    <mergeCell ref="D1366:E1366"/>
    <mergeCell ref="G1366:H1366"/>
    <mergeCell ref="D1367:I1367"/>
    <mergeCell ref="D1368:I1368"/>
    <mergeCell ref="D1376:I1376"/>
    <mergeCell ref="D1377:I1377"/>
    <mergeCell ref="J1377:J1382"/>
    <mergeCell ref="K1377:K1382"/>
    <mergeCell ref="L1377:L1382"/>
    <mergeCell ref="M1377:M1382"/>
    <mergeCell ref="N1377:N1382"/>
    <mergeCell ref="O1377:O1382"/>
    <mergeCell ref="CK1377:CK1382"/>
    <mergeCell ref="CM1370:CM1375"/>
    <mergeCell ref="CN1370:CN1375"/>
    <mergeCell ref="CO1370:CO1375"/>
    <mergeCell ref="CP1370:CP1375"/>
    <mergeCell ref="CQ1370:CQ1375"/>
    <mergeCell ref="CR1370:CR1375"/>
    <mergeCell ref="CS1370:CS1375"/>
    <mergeCell ref="CT1370:CT1375"/>
    <mergeCell ref="D1371:I1371"/>
    <mergeCell ref="D1372:I1372"/>
    <mergeCell ref="D1373:E1373"/>
    <mergeCell ref="G1373:H1373"/>
    <mergeCell ref="D1374:I1374"/>
    <mergeCell ref="D1375:I1375"/>
    <mergeCell ref="D1383:I1383"/>
    <mergeCell ref="D1384:I1384"/>
    <mergeCell ref="J1384:J1389"/>
    <mergeCell ref="K1384:K1389"/>
    <mergeCell ref="L1384:L1389"/>
    <mergeCell ref="M1384:M1389"/>
    <mergeCell ref="N1384:N1389"/>
    <mergeCell ref="O1384:O1389"/>
    <mergeCell ref="CK1384:CK1389"/>
    <mergeCell ref="CM1377:CM1382"/>
    <mergeCell ref="CN1377:CN1382"/>
    <mergeCell ref="CO1377:CO1382"/>
    <mergeCell ref="CP1377:CP1382"/>
    <mergeCell ref="CQ1377:CQ1382"/>
    <mergeCell ref="CR1377:CR1382"/>
    <mergeCell ref="CS1377:CS1382"/>
    <mergeCell ref="CT1377:CT1382"/>
    <mergeCell ref="D1378:I1378"/>
    <mergeCell ref="D1379:I1379"/>
    <mergeCell ref="D1380:E1380"/>
    <mergeCell ref="G1380:H1380"/>
    <mergeCell ref="D1381:I1381"/>
    <mergeCell ref="D1382:I1382"/>
    <mergeCell ref="D1390:I1390"/>
    <mergeCell ref="D1391:I1391"/>
    <mergeCell ref="J1391:J1396"/>
    <mergeCell ref="K1391:K1396"/>
    <mergeCell ref="L1391:L1396"/>
    <mergeCell ref="M1391:M1396"/>
    <mergeCell ref="N1391:N1396"/>
    <mergeCell ref="O1391:O1396"/>
    <mergeCell ref="CK1391:CK1396"/>
    <mergeCell ref="CM1384:CM1389"/>
    <mergeCell ref="CN1384:CN1389"/>
    <mergeCell ref="CO1384:CO1389"/>
    <mergeCell ref="CP1384:CP1389"/>
    <mergeCell ref="CQ1384:CQ1389"/>
    <mergeCell ref="CR1384:CR1389"/>
    <mergeCell ref="CS1384:CS1389"/>
    <mergeCell ref="CT1384:CT1389"/>
    <mergeCell ref="D1385:I1385"/>
    <mergeCell ref="D1386:I1386"/>
    <mergeCell ref="D1387:E1387"/>
    <mergeCell ref="G1387:H1387"/>
    <mergeCell ref="D1388:I1388"/>
    <mergeCell ref="D1389:I1389"/>
    <mergeCell ref="D1397:I1397"/>
    <mergeCell ref="D1398:I1398"/>
    <mergeCell ref="J1398:J1403"/>
    <mergeCell ref="K1398:K1403"/>
    <mergeCell ref="L1398:L1403"/>
    <mergeCell ref="M1398:M1403"/>
    <mergeCell ref="N1398:N1403"/>
    <mergeCell ref="O1398:O1403"/>
    <mergeCell ref="CK1398:CK1403"/>
    <mergeCell ref="CM1391:CM1396"/>
    <mergeCell ref="CN1391:CN1396"/>
    <mergeCell ref="CO1391:CO1396"/>
    <mergeCell ref="CP1391:CP1396"/>
    <mergeCell ref="CQ1391:CQ1396"/>
    <mergeCell ref="CR1391:CR1396"/>
    <mergeCell ref="CS1391:CS1396"/>
    <mergeCell ref="CT1391:CT1396"/>
    <mergeCell ref="D1392:I1392"/>
    <mergeCell ref="D1393:I1393"/>
    <mergeCell ref="D1394:E1394"/>
    <mergeCell ref="G1394:H1394"/>
    <mergeCell ref="D1395:I1395"/>
    <mergeCell ref="D1396:I1396"/>
    <mergeCell ref="D1404:I1404"/>
    <mergeCell ref="D1405:I1405"/>
    <mergeCell ref="J1405:J1410"/>
    <mergeCell ref="K1405:K1410"/>
    <mergeCell ref="L1405:L1410"/>
    <mergeCell ref="M1405:M1410"/>
    <mergeCell ref="N1405:N1410"/>
    <mergeCell ref="O1405:O1410"/>
    <mergeCell ref="CK1405:CK1410"/>
    <mergeCell ref="CM1398:CM1403"/>
    <mergeCell ref="CN1398:CN1403"/>
    <mergeCell ref="CO1398:CO1403"/>
    <mergeCell ref="CP1398:CP1403"/>
    <mergeCell ref="CQ1398:CQ1403"/>
    <mergeCell ref="CR1398:CR1403"/>
    <mergeCell ref="CS1398:CS1403"/>
    <mergeCell ref="CT1398:CT1403"/>
    <mergeCell ref="D1399:I1399"/>
    <mergeCell ref="D1400:I1400"/>
    <mergeCell ref="D1401:E1401"/>
    <mergeCell ref="G1401:H1401"/>
    <mergeCell ref="D1402:I1402"/>
    <mergeCell ref="D1403:I1403"/>
    <mergeCell ref="D1415:E1415"/>
    <mergeCell ref="G1415:H1415"/>
    <mergeCell ref="D1416:I1416"/>
    <mergeCell ref="D1417:I1417"/>
    <mergeCell ref="D1411:I1411"/>
    <mergeCell ref="D1412:I1412"/>
    <mergeCell ref="J1412:J1417"/>
    <mergeCell ref="K1412:K1417"/>
    <mergeCell ref="L1412:L1417"/>
    <mergeCell ref="M1412:M1417"/>
    <mergeCell ref="N1412:N1417"/>
    <mergeCell ref="O1412:O1417"/>
    <mergeCell ref="CK1412:CK1417"/>
    <mergeCell ref="CM1405:CM1410"/>
    <mergeCell ref="CN1405:CN1410"/>
    <mergeCell ref="D1406:I1406"/>
    <mergeCell ref="D1407:I1407"/>
    <mergeCell ref="D1408:E1408"/>
    <mergeCell ref="G1408:H1408"/>
    <mergeCell ref="D1409:I1409"/>
    <mergeCell ref="D1410:I1410"/>
    <mergeCell ref="DA5:DB5"/>
    <mergeCell ref="DA6:DB6"/>
    <mergeCell ref="DA7:DB7"/>
    <mergeCell ref="DA9:DB9"/>
    <mergeCell ref="CY5:CZ5"/>
    <mergeCell ref="CM1419:CM1424"/>
    <mergeCell ref="CN1419:CN1424"/>
    <mergeCell ref="CO1419:CO1424"/>
    <mergeCell ref="CP1419:CP1424"/>
    <mergeCell ref="CQ1419:CQ1424"/>
    <mergeCell ref="CR1419:CR1424"/>
    <mergeCell ref="CS1419:CS1424"/>
    <mergeCell ref="CT1419:CT1424"/>
    <mergeCell ref="D1420:I1420"/>
    <mergeCell ref="D1421:I1421"/>
    <mergeCell ref="D1422:E1422"/>
    <mergeCell ref="G1422:H1422"/>
    <mergeCell ref="D1423:I1423"/>
    <mergeCell ref="D1424:I1424"/>
    <mergeCell ref="D1418:I1418"/>
    <mergeCell ref="D1419:I1419"/>
    <mergeCell ref="J1419:J1424"/>
    <mergeCell ref="K1419:K1424"/>
    <mergeCell ref="L1419:L1424"/>
    <mergeCell ref="M1419:M1424"/>
    <mergeCell ref="N1419:N1424"/>
    <mergeCell ref="O1419:O1424"/>
    <mergeCell ref="CK1419:CK1424"/>
    <mergeCell ref="CM1412:CM1417"/>
    <mergeCell ref="CN1412:CN1417"/>
    <mergeCell ref="D1413:I1413"/>
    <mergeCell ref="D1414:I1414"/>
    <mergeCell ref="DJ25:DJ27"/>
    <mergeCell ref="CY6:CZ6"/>
    <mergeCell ref="CY7:CZ7"/>
    <mergeCell ref="CY9:CZ9"/>
    <mergeCell ref="CU4:DC4"/>
    <mergeCell ref="DC12:DD12"/>
    <mergeCell ref="DC15:DC20"/>
    <mergeCell ref="DD15:DD20"/>
    <mergeCell ref="DA12:DB12"/>
    <mergeCell ref="DA15:DA20"/>
    <mergeCell ref="DB15:DB20"/>
    <mergeCell ref="CW5:CX5"/>
    <mergeCell ref="CW6:CX6"/>
    <mergeCell ref="CW7:CX7"/>
    <mergeCell ref="CW9:CX9"/>
    <mergeCell ref="CU12:CV12"/>
    <mergeCell ref="CU15:CU20"/>
    <mergeCell ref="CV15:CV20"/>
    <mergeCell ref="CW12:CX12"/>
    <mergeCell ref="CW15:CW20"/>
    <mergeCell ref="CX15:CX20"/>
    <mergeCell ref="CY12:CZ12"/>
    <mergeCell ref="CY15:CY20"/>
    <mergeCell ref="CZ15:CZ20"/>
    <mergeCell ref="CU8:CV8"/>
    <mergeCell ref="CW8:CX8"/>
    <mergeCell ref="CY8:CZ8"/>
    <mergeCell ref="DA8:DB8"/>
    <mergeCell ref="CU5:CV5"/>
    <mergeCell ref="CU6:CV6"/>
    <mergeCell ref="CU7:CV7"/>
    <mergeCell ref="CU9:CV9"/>
    <mergeCell ref="DJ36:DJ38"/>
    <mergeCell ref="DK36:DK38"/>
    <mergeCell ref="DG12:DG14"/>
    <mergeCell ref="DK12:DK14"/>
    <mergeCell ref="DL12:DL14"/>
    <mergeCell ref="DM12:DM14"/>
    <mergeCell ref="DN12:DN14"/>
    <mergeCell ref="DO12:DO14"/>
    <mergeCell ref="DP12:DP14"/>
    <mergeCell ref="DQ12:DQ14"/>
    <mergeCell ref="DR12:DR14"/>
    <mergeCell ref="DS12:DS14"/>
    <mergeCell ref="DT12:DT14"/>
    <mergeCell ref="DU12:DU14"/>
    <mergeCell ref="DI12:DI14"/>
    <mergeCell ref="DH12:DH14"/>
    <mergeCell ref="DH18:DH20"/>
    <mergeCell ref="DI18:DI20"/>
    <mergeCell ref="DG25:DG27"/>
    <mergeCell ref="DH25:DH27"/>
    <mergeCell ref="DJ18:DJ20"/>
    <mergeCell ref="DK18:DK20"/>
    <mergeCell ref="DL18:DL20"/>
    <mergeCell ref="DM18:DM20"/>
    <mergeCell ref="DN18:DN20"/>
    <mergeCell ref="DO18:DO20"/>
    <mergeCell ref="DP18:DP20"/>
    <mergeCell ref="DQ18:DQ20"/>
    <mergeCell ref="DR18:DR20"/>
    <mergeCell ref="DS18:DS20"/>
    <mergeCell ref="DT18:DT20"/>
    <mergeCell ref="DI25:DI27"/>
    <mergeCell ref="DG344:DG349"/>
    <mergeCell ref="DK344:DK349"/>
    <mergeCell ref="DL344:DL349"/>
    <mergeCell ref="DM344:DM349"/>
    <mergeCell ref="DN344:DN349"/>
    <mergeCell ref="DO344:DO349"/>
    <mergeCell ref="DP344:DP349"/>
    <mergeCell ref="DQ344:DQ349"/>
    <mergeCell ref="DR344:DR349"/>
    <mergeCell ref="DS344:DS349"/>
    <mergeCell ref="DT344:DT349"/>
    <mergeCell ref="DU344:DU349"/>
    <mergeCell ref="DI344:DI349"/>
    <mergeCell ref="DJ344:DJ349"/>
    <mergeCell ref="DH344:DH349"/>
    <mergeCell ref="DG36:DG38"/>
    <mergeCell ref="DH36:DH38"/>
    <mergeCell ref="DG50:DG52"/>
    <mergeCell ref="DH50:DH52"/>
    <mergeCell ref="DG64:DG66"/>
    <mergeCell ref="DH64:DH66"/>
    <mergeCell ref="DG78:DG80"/>
    <mergeCell ref="DH78:DH80"/>
    <mergeCell ref="DG92:DG94"/>
    <mergeCell ref="DH92:DH94"/>
    <mergeCell ref="DG106:DG108"/>
    <mergeCell ref="DH106:DH108"/>
    <mergeCell ref="DG123:DG125"/>
    <mergeCell ref="DH123:DH125"/>
    <mergeCell ref="DG134:DG136"/>
    <mergeCell ref="DH134:DH136"/>
    <mergeCell ref="DG337:DG342"/>
    <mergeCell ref="DM1426:DM1431"/>
    <mergeCell ref="DN1426:DN1431"/>
    <mergeCell ref="DO1426:DO1431"/>
    <mergeCell ref="DP1426:DP1431"/>
    <mergeCell ref="DQ1426:DQ1431"/>
    <mergeCell ref="DR1426:DR1431"/>
    <mergeCell ref="DS1426:DS1431"/>
    <mergeCell ref="DT1426:DT1431"/>
    <mergeCell ref="DU1426:DU1431"/>
    <mergeCell ref="DI1426:DI1431"/>
    <mergeCell ref="DJ1426:DJ1431"/>
    <mergeCell ref="DH1426:DH1431"/>
    <mergeCell ref="DK337:DK342"/>
    <mergeCell ref="DL337:DL342"/>
    <mergeCell ref="DM337:DM342"/>
    <mergeCell ref="DN337:DN342"/>
    <mergeCell ref="DO337:DO342"/>
    <mergeCell ref="DP337:DP342"/>
    <mergeCell ref="DQ337:DQ342"/>
    <mergeCell ref="DR337:DR342"/>
    <mergeCell ref="DS337:DS342"/>
    <mergeCell ref="DT337:DT342"/>
    <mergeCell ref="DU337:DU342"/>
    <mergeCell ref="DI337:DI342"/>
    <mergeCell ref="DJ337:DJ342"/>
    <mergeCell ref="DH337:DH342"/>
    <mergeCell ref="DR1366:DR1368"/>
    <mergeCell ref="DS1366:DS1368"/>
    <mergeCell ref="DT1366:DT1368"/>
    <mergeCell ref="DU1366:DU1368"/>
    <mergeCell ref="DL1380:DL1382"/>
    <mergeCell ref="DM1380:DM1382"/>
    <mergeCell ref="DK1426:DK1431"/>
    <mergeCell ref="CO1412:CO1417"/>
    <mergeCell ref="CP1412:CP1417"/>
    <mergeCell ref="CQ1412:CQ1417"/>
    <mergeCell ref="CR1412:CR1417"/>
    <mergeCell ref="CS1412:CS1417"/>
    <mergeCell ref="CT1412:CT1417"/>
    <mergeCell ref="CO1405:CO1410"/>
    <mergeCell ref="CP1405:CP1410"/>
    <mergeCell ref="CQ1405:CQ1410"/>
    <mergeCell ref="CR1405:CR1410"/>
    <mergeCell ref="CS1405:CS1410"/>
    <mergeCell ref="CT1405:CT1410"/>
    <mergeCell ref="CT1356:CT1361"/>
    <mergeCell ref="DA1363:DA1368"/>
    <mergeCell ref="DB1363:DB1368"/>
    <mergeCell ref="DL1426:DL1431"/>
    <mergeCell ref="CY1370:CY1375"/>
    <mergeCell ref="CZ1370:CZ1375"/>
    <mergeCell ref="DA1370:DA1375"/>
    <mergeCell ref="DB1370:DB1375"/>
    <mergeCell ref="DC1370:DC1375"/>
    <mergeCell ref="DD1370:DD1375"/>
    <mergeCell ref="CU1377:CU1382"/>
    <mergeCell ref="CV1377:CV1382"/>
    <mergeCell ref="CW1377:CW1382"/>
    <mergeCell ref="CX1377:CX1382"/>
    <mergeCell ref="CY1377:CY1382"/>
    <mergeCell ref="CZ1377:CZ1382"/>
    <mergeCell ref="DA1377:DA1382"/>
    <mergeCell ref="DB1377:DB1382"/>
    <mergeCell ref="DC1377:DC1382"/>
    <mergeCell ref="Y360:AH360"/>
    <mergeCell ref="Q361:S361"/>
    <mergeCell ref="Y361:AA361"/>
    <mergeCell ref="Q362:S362"/>
    <mergeCell ref="T362:U362"/>
    <mergeCell ref="Y362:AA362"/>
    <mergeCell ref="Q363:S363"/>
    <mergeCell ref="T363:U363"/>
    <mergeCell ref="Y363:AA363"/>
    <mergeCell ref="Q364:S364"/>
    <mergeCell ref="Y364:AA364"/>
    <mergeCell ref="Q365:S365"/>
    <mergeCell ref="Y365:AA365"/>
    <mergeCell ref="Q366:S366"/>
    <mergeCell ref="Q367:S367"/>
    <mergeCell ref="Y367:AA367"/>
    <mergeCell ref="DG1426:DG1431"/>
    <mergeCell ref="DD1377:DD1382"/>
    <mergeCell ref="CU1356:CU1361"/>
    <mergeCell ref="CV1356:CV1361"/>
    <mergeCell ref="CW1356:CW1361"/>
    <mergeCell ref="CX1356:CX1361"/>
    <mergeCell ref="CY1356:CY1361"/>
    <mergeCell ref="CZ1356:CZ1361"/>
    <mergeCell ref="DA1356:DA1361"/>
    <mergeCell ref="DB1356:DB1361"/>
    <mergeCell ref="DC1356:DC1361"/>
    <mergeCell ref="DD1356:DD1361"/>
    <mergeCell ref="CU1363:CU1368"/>
    <mergeCell ref="CV1363:CV1368"/>
    <mergeCell ref="CW1363:CW1368"/>
    <mergeCell ref="CX1363:CX1368"/>
  </mergeCells>
  <phoneticPr fontId="5" type="noConversion"/>
  <conditionalFormatting sqref="S20">
    <cfRule type="cellIs" dxfId="93" priority="92" operator="greaterThanOrEqual">
      <formula>$S$19</formula>
    </cfRule>
    <cfRule type="cellIs" dxfId="92" priority="91" operator="lessThan">
      <formula>$S$20</formula>
    </cfRule>
  </conditionalFormatting>
  <conditionalFormatting sqref="S27">
    <cfRule type="cellIs" dxfId="91" priority="89" operator="lessThan">
      <formula>$S$20</formula>
    </cfRule>
    <cfRule type="cellIs" dxfId="90" priority="90" operator="greaterThanOrEqual">
      <formula>$S$19</formula>
    </cfRule>
  </conditionalFormatting>
  <conditionalFormatting sqref="S34">
    <cfRule type="cellIs" dxfId="89" priority="88" operator="greaterThanOrEqual">
      <formula>$S$19</formula>
    </cfRule>
    <cfRule type="cellIs" dxfId="88" priority="87" operator="lessThan">
      <formula>$S$20</formula>
    </cfRule>
  </conditionalFormatting>
  <conditionalFormatting sqref="S41">
    <cfRule type="cellIs" dxfId="87" priority="86" operator="greaterThanOrEqual">
      <formula>$S$19</formula>
    </cfRule>
    <cfRule type="cellIs" dxfId="86" priority="85" operator="lessThan">
      <formula>$S$20</formula>
    </cfRule>
  </conditionalFormatting>
  <conditionalFormatting sqref="S48">
    <cfRule type="cellIs" dxfId="85" priority="84" operator="greaterThanOrEqual">
      <formula>$S$19</formula>
    </cfRule>
    <cfRule type="cellIs" dxfId="84" priority="83" operator="lessThan">
      <formula>$S$20</formula>
    </cfRule>
  </conditionalFormatting>
  <conditionalFormatting sqref="S55">
    <cfRule type="cellIs" dxfId="83" priority="82" operator="greaterThanOrEqual">
      <formula>$S$19</formula>
    </cfRule>
    <cfRule type="cellIs" dxfId="82" priority="81" operator="lessThan">
      <formula>$S$20</formula>
    </cfRule>
  </conditionalFormatting>
  <conditionalFormatting sqref="S62">
    <cfRule type="cellIs" dxfId="81" priority="80" operator="greaterThanOrEqual">
      <formula>$S$19</formula>
    </cfRule>
    <cfRule type="cellIs" dxfId="80" priority="79" operator="lessThan">
      <formula>$S$20</formula>
    </cfRule>
  </conditionalFormatting>
  <conditionalFormatting sqref="S69">
    <cfRule type="cellIs" dxfId="79" priority="77" operator="lessThan">
      <formula>$S$20</formula>
    </cfRule>
    <cfRule type="cellIs" dxfId="78" priority="78" operator="greaterThanOrEqual">
      <formula>$S$19</formula>
    </cfRule>
  </conditionalFormatting>
  <conditionalFormatting sqref="S76">
    <cfRule type="cellIs" dxfId="77" priority="76" operator="greaterThanOrEqual">
      <formula>$S$19</formula>
    </cfRule>
    <cfRule type="cellIs" dxfId="76" priority="75" operator="lessThan">
      <formula>$S$20</formula>
    </cfRule>
  </conditionalFormatting>
  <conditionalFormatting sqref="S83">
    <cfRule type="cellIs" dxfId="75" priority="74" operator="greaterThanOrEqual">
      <formula>$S$19</formula>
    </cfRule>
    <cfRule type="cellIs" dxfId="74" priority="73" operator="lessThan">
      <formula>$S$20</formula>
    </cfRule>
  </conditionalFormatting>
  <conditionalFormatting sqref="S90">
    <cfRule type="cellIs" dxfId="73" priority="72" operator="greaterThanOrEqual">
      <formula>$S$19</formula>
    </cfRule>
    <cfRule type="cellIs" dxfId="72" priority="71" operator="lessThan">
      <formula>$S$20</formula>
    </cfRule>
  </conditionalFormatting>
  <conditionalFormatting sqref="S97">
    <cfRule type="cellIs" dxfId="71" priority="70" operator="greaterThanOrEqual">
      <formula>$S$19</formula>
    </cfRule>
    <cfRule type="cellIs" dxfId="70" priority="69" operator="lessThan">
      <formula>$S$20</formula>
    </cfRule>
  </conditionalFormatting>
  <conditionalFormatting sqref="S104">
    <cfRule type="cellIs" dxfId="69" priority="68" operator="greaterThanOrEqual">
      <formula>$S$19</formula>
    </cfRule>
    <cfRule type="cellIs" dxfId="68" priority="67" operator="lessThan">
      <formula>$S$20</formula>
    </cfRule>
  </conditionalFormatting>
  <conditionalFormatting sqref="S111">
    <cfRule type="cellIs" dxfId="67" priority="66" operator="greaterThanOrEqual">
      <formula>$S$19</formula>
    </cfRule>
    <cfRule type="cellIs" dxfId="66" priority="65" operator="lessThan">
      <formula>$S$20</formula>
    </cfRule>
  </conditionalFormatting>
  <conditionalFormatting sqref="S118">
    <cfRule type="cellIs" dxfId="65" priority="64" operator="greaterThanOrEqual">
      <formula>$S$19</formula>
    </cfRule>
    <cfRule type="cellIs" dxfId="64" priority="63" operator="lessThan">
      <formula>$S$20</formula>
    </cfRule>
  </conditionalFormatting>
  <conditionalFormatting sqref="S125">
    <cfRule type="cellIs" dxfId="63" priority="62" operator="greaterThanOrEqual">
      <formula>$S$19</formula>
    </cfRule>
    <cfRule type="cellIs" dxfId="62" priority="61" operator="lessThan">
      <formula>$S$20</formula>
    </cfRule>
  </conditionalFormatting>
  <conditionalFormatting sqref="S132">
    <cfRule type="cellIs" dxfId="61" priority="60" operator="greaterThanOrEqual">
      <formula>$S$19</formula>
    </cfRule>
    <cfRule type="cellIs" dxfId="60" priority="59" operator="lessThan">
      <formula>$S$20</formula>
    </cfRule>
  </conditionalFormatting>
  <conditionalFormatting sqref="S139">
    <cfRule type="cellIs" dxfId="59" priority="58" operator="greaterThanOrEqual">
      <formula>$S$19</formula>
    </cfRule>
    <cfRule type="cellIs" dxfId="58" priority="57" operator="lessThan">
      <formula>$S$20</formula>
    </cfRule>
  </conditionalFormatting>
  <conditionalFormatting sqref="S146">
    <cfRule type="cellIs" dxfId="57" priority="56" operator="greaterThanOrEqual">
      <formula>$S$19</formula>
    </cfRule>
    <cfRule type="cellIs" dxfId="56" priority="55" operator="lessThan">
      <formula>$S$20</formula>
    </cfRule>
  </conditionalFormatting>
  <conditionalFormatting sqref="S153">
    <cfRule type="cellIs" dxfId="55" priority="54" operator="greaterThanOrEqual">
      <formula>$S$19</formula>
    </cfRule>
    <cfRule type="cellIs" dxfId="54" priority="53" operator="lessThan">
      <formula>$S$20</formula>
    </cfRule>
  </conditionalFormatting>
  <conditionalFormatting sqref="S160">
    <cfRule type="cellIs" dxfId="53" priority="52" operator="greaterThanOrEqual">
      <formula>$S$19</formula>
    </cfRule>
    <cfRule type="cellIs" dxfId="52" priority="51" operator="lessThan">
      <formula>$S$20</formula>
    </cfRule>
  </conditionalFormatting>
  <conditionalFormatting sqref="S167">
    <cfRule type="cellIs" dxfId="51" priority="49" operator="lessThan">
      <formula>$S$20</formula>
    </cfRule>
    <cfRule type="cellIs" dxfId="50" priority="50" operator="greaterThanOrEqual">
      <formula>$S$19</formula>
    </cfRule>
  </conditionalFormatting>
  <conditionalFormatting sqref="S174">
    <cfRule type="cellIs" dxfId="49" priority="47" operator="lessThan">
      <formula>$S$20</formula>
    </cfRule>
    <cfRule type="cellIs" dxfId="48" priority="48" operator="greaterThanOrEqual">
      <formula>$S$19</formula>
    </cfRule>
  </conditionalFormatting>
  <conditionalFormatting sqref="S181">
    <cfRule type="cellIs" dxfId="47" priority="46" operator="greaterThanOrEqual">
      <formula>$S$19</formula>
    </cfRule>
    <cfRule type="cellIs" dxfId="46" priority="45" operator="lessThan">
      <formula>$S$20</formula>
    </cfRule>
  </conditionalFormatting>
  <conditionalFormatting sqref="S188">
    <cfRule type="cellIs" dxfId="45" priority="44" operator="greaterThanOrEqual">
      <formula>$S$19</formula>
    </cfRule>
    <cfRule type="cellIs" dxfId="44" priority="43" operator="lessThan">
      <formula>$S$20</formula>
    </cfRule>
  </conditionalFormatting>
  <conditionalFormatting sqref="S195">
    <cfRule type="cellIs" dxfId="43" priority="42" operator="greaterThanOrEqual">
      <formula>$S$19</formula>
    </cfRule>
    <cfRule type="cellIs" dxfId="42" priority="41" operator="lessThan">
      <formula>$S$20</formula>
    </cfRule>
  </conditionalFormatting>
  <conditionalFormatting sqref="S202">
    <cfRule type="cellIs" dxfId="41" priority="40" operator="greaterThanOrEqual">
      <formula>$S$19</formula>
    </cfRule>
    <cfRule type="cellIs" dxfId="40" priority="39" operator="lessThan">
      <formula>$S$20</formula>
    </cfRule>
  </conditionalFormatting>
  <conditionalFormatting sqref="S209">
    <cfRule type="cellIs" dxfId="39" priority="37" operator="lessThan">
      <formula>$S$20</formula>
    </cfRule>
    <cfRule type="cellIs" dxfId="38" priority="38" operator="greaterThanOrEqual">
      <formula>$S$19</formula>
    </cfRule>
  </conditionalFormatting>
  <conditionalFormatting sqref="S216">
    <cfRule type="cellIs" dxfId="37" priority="36" operator="greaterThanOrEqual">
      <formula>$S$19</formula>
    </cfRule>
    <cfRule type="cellIs" dxfId="36" priority="35" operator="lessThan">
      <formula>$S$20</formula>
    </cfRule>
  </conditionalFormatting>
  <conditionalFormatting sqref="S223">
    <cfRule type="cellIs" dxfId="35" priority="34" operator="greaterThanOrEqual">
      <formula>$S$19</formula>
    </cfRule>
    <cfRule type="cellIs" dxfId="34" priority="33" operator="lessThan">
      <formula>$S$20</formula>
    </cfRule>
  </conditionalFormatting>
  <conditionalFormatting sqref="S230">
    <cfRule type="cellIs" dxfId="33" priority="32" operator="greaterThanOrEqual">
      <formula>$S$19</formula>
    </cfRule>
    <cfRule type="cellIs" dxfId="32" priority="31" operator="lessThan">
      <formula>$S$20</formula>
    </cfRule>
  </conditionalFormatting>
  <conditionalFormatting sqref="S237">
    <cfRule type="cellIs" dxfId="31" priority="30" operator="greaterThanOrEqual">
      <formula>$S$19</formula>
    </cfRule>
    <cfRule type="cellIs" dxfId="30" priority="29" operator="lessThan">
      <formula>$S$20</formula>
    </cfRule>
  </conditionalFormatting>
  <conditionalFormatting sqref="S244">
    <cfRule type="cellIs" dxfId="29" priority="28" operator="greaterThanOrEqual">
      <formula>$S$19</formula>
    </cfRule>
    <cfRule type="cellIs" dxfId="28" priority="27" operator="lessThan">
      <formula>$S$20</formula>
    </cfRule>
  </conditionalFormatting>
  <conditionalFormatting sqref="S251">
    <cfRule type="cellIs" dxfId="27" priority="26" operator="greaterThanOrEqual">
      <formula>$S$19</formula>
    </cfRule>
    <cfRule type="cellIs" dxfId="26" priority="25" operator="lessThan">
      <formula>$S$20</formula>
    </cfRule>
  </conditionalFormatting>
  <conditionalFormatting sqref="S258">
    <cfRule type="cellIs" dxfId="25" priority="24" operator="greaterThanOrEqual">
      <formula>$S$19</formula>
    </cfRule>
    <cfRule type="cellIs" dxfId="24" priority="23" operator="lessThan">
      <formula>$S$20</formula>
    </cfRule>
  </conditionalFormatting>
  <conditionalFormatting sqref="S265">
    <cfRule type="cellIs" dxfId="23" priority="22" operator="greaterThanOrEqual">
      <formula>$S$19</formula>
    </cfRule>
    <cfRule type="cellIs" dxfId="22" priority="21" operator="lessThan">
      <formula>$S$20</formula>
    </cfRule>
  </conditionalFormatting>
  <conditionalFormatting sqref="S272">
    <cfRule type="cellIs" dxfId="21" priority="20" operator="greaterThanOrEqual">
      <formula>$S$19</formula>
    </cfRule>
    <cfRule type="cellIs" dxfId="20" priority="19" operator="lessThan">
      <formula>$S$20</formula>
    </cfRule>
  </conditionalFormatting>
  <conditionalFormatting sqref="S279">
    <cfRule type="cellIs" dxfId="19" priority="18" operator="greaterThanOrEqual">
      <formula>$S$19</formula>
    </cfRule>
    <cfRule type="cellIs" dxfId="18" priority="17" operator="lessThan">
      <formula>$S$20</formula>
    </cfRule>
  </conditionalFormatting>
  <conditionalFormatting sqref="S286">
    <cfRule type="cellIs" dxfId="17" priority="16" operator="greaterThanOrEqual">
      <formula>$S$19</formula>
    </cfRule>
    <cfRule type="cellIs" dxfId="16" priority="15" operator="lessThan">
      <formula>$S$20</formula>
    </cfRule>
  </conditionalFormatting>
  <conditionalFormatting sqref="S293">
    <cfRule type="cellIs" dxfId="15" priority="14" operator="greaterThanOrEqual">
      <formula>$S$19</formula>
    </cfRule>
    <cfRule type="cellIs" dxfId="14" priority="13" operator="lessThan">
      <formula>$S$20</formula>
    </cfRule>
  </conditionalFormatting>
  <conditionalFormatting sqref="S300">
    <cfRule type="cellIs" dxfId="13" priority="12" operator="greaterThanOrEqual">
      <formula>$S$19</formula>
    </cfRule>
    <cfRule type="cellIs" dxfId="12" priority="11" operator="lessThan">
      <formula>$S$20</formula>
    </cfRule>
  </conditionalFormatting>
  <conditionalFormatting sqref="S307">
    <cfRule type="cellIs" dxfId="11" priority="10" operator="greaterThanOrEqual">
      <formula>$S$19</formula>
    </cfRule>
    <cfRule type="cellIs" dxfId="10" priority="9" operator="lessThan">
      <formula>$S$20</formula>
    </cfRule>
  </conditionalFormatting>
  <conditionalFormatting sqref="S314">
    <cfRule type="cellIs" dxfId="9" priority="8" operator="greaterThanOrEqual">
      <formula>$S$19</formula>
    </cfRule>
    <cfRule type="cellIs" dxfId="8" priority="7" operator="lessThan">
      <formula>$S$20</formula>
    </cfRule>
  </conditionalFormatting>
  <conditionalFormatting sqref="S321">
    <cfRule type="cellIs" dxfId="7" priority="6" operator="greaterThanOrEqual">
      <formula>$S$19</formula>
    </cfRule>
    <cfRule type="cellIs" dxfId="6" priority="5" operator="lessThan">
      <formula>$S$20</formula>
    </cfRule>
  </conditionalFormatting>
  <conditionalFormatting sqref="S328">
    <cfRule type="cellIs" dxfId="5" priority="4" operator="greaterThanOrEqual">
      <formula>$S$19</formula>
    </cfRule>
    <cfRule type="cellIs" dxfId="4" priority="3" operator="lessThan">
      <formula>$S$20</formula>
    </cfRule>
  </conditionalFormatting>
  <conditionalFormatting sqref="S335">
    <cfRule type="cellIs" dxfId="3" priority="2" operator="greaterThanOrEqual">
      <formula>$S$19</formula>
    </cfRule>
    <cfRule type="cellIs" dxfId="2" priority="1" operator="lessThan">
      <formula>$S$20</formula>
    </cfRule>
  </conditionalFormatting>
  <conditionalFormatting sqref="V349">
    <cfRule type="cellIs" dxfId="1" priority="93" operator="greaterThanOrEqual">
      <formula>$U$82</formula>
    </cfRule>
    <cfRule type="cellIs" dxfId="0" priority="94" operator="lessThan">
      <formula>$U$82</formula>
    </cfRule>
  </conditionalFormatting>
  <printOptions horizontalCentered="1" verticalCentered="1"/>
  <pageMargins left="0.78740157480314965" right="0.78740157480314965" top="0.19685039370078741" bottom="0.74803149606299213" header="0" footer="0.31496062992125984"/>
  <pageSetup scale="10" fitToHeight="0" orientation="portrait" r:id="rId1"/>
  <headerFooter>
    <oddFooter xml:space="preserve">&amp;C&amp;"Century Gothic,Normal"&amp;16&amp;K000000CONTACTO 
3163329424 
STEEL.GLASS@LIVE.COM
PLANTA PRODUCCION 
ANILLO VIAL KM 5.5 GIRON 
&amp;R&amp;"Helvetica,Normal"&amp;K000000&amp;P
</oddFooter>
  </headerFooter>
  <rowBreaks count="8" manualBreakCount="8">
    <brk id="55" max="104" man="1"/>
    <brk id="97" max="104" man="1"/>
    <brk id="139" max="104" man="1"/>
    <brk id="181" max="104" man="1"/>
    <brk id="223" max="104" man="1"/>
    <brk id="265" max="104" man="1"/>
    <brk id="307" max="104" man="1"/>
    <brk id="350" max="104" man="1"/>
  </rowBreaks>
  <drawing r:id="rId2"/>
  <extLst>
    <ext xmlns:x14="http://schemas.microsoft.com/office/spreadsheetml/2009/9/main" uri="{CCE6A557-97BC-4b89-ADB6-D9C93CAAB3DF}">
      <x14:dataValidations xmlns:xm="http://schemas.microsoft.com/office/excel/2006/main" disablePrompts="1" count="12">
        <x14:dataValidation type="list" allowBlank="1" showInputMessage="1" showErrorMessage="1" xr:uid="{00000000-0002-0000-0100-000005000000}">
          <x14:formula1>
            <xm:f>'BD GN'!$I$2:$I$7</xm:f>
          </x14:formula1>
          <xm:sqref>D297:I297 D1421:I1421 D17:I17 D304:I304 D150:I150 D311:I311 D1407:I1407 D283:I283 D24:I24 D45:I45 D31:I31 D38:I38 D290:I290 D59:I59 D52:I52 D66:I66 D73:I73 D80:I80 D87:I87 D101:I101 D108:I108 D94:I94 D115:I115 D122:I122 D136:I136 D129:I129 D143:I143 D157:I157 D164:I164 D171:I171 D185:I185 D192:I192 D178:I178 D199:I199 D206:I206 D220:I220 D213:I213 D227:I227 D234:I234 D241:I241 D248:I248 D262:I262 D269:I269 D255:I255 D276:I276 D318:I318 D325:I325 D332:I332 D1358:I1358 D1365:I1365 D1372:I1372 D1379:I1379 D1386:I1386 D1393:I1393 D1400:I1400 D1414:I1414</xm:sqref>
        </x14:dataValidation>
        <x14:dataValidation type="list" allowBlank="1" showInputMessage="1" showErrorMessage="1" xr:uid="{00000000-0002-0000-0100-000006000000}">
          <x14:formula1>
            <xm:f>'BD GN'!$O$2:$O$3</xm:f>
          </x14:formula1>
          <xm:sqref>BG11</xm:sqref>
        </x14:dataValidation>
        <x14:dataValidation type="list" allowBlank="1" showInputMessage="1" showErrorMessage="1" xr:uid="{00000000-0002-0000-0100-000007000000}">
          <x14:formula1>
            <xm:f>'BD GN'!$Q$2:$Q$3</xm:f>
          </x14:formula1>
          <xm:sqref>R11 R17 R318 R304 X303:Y304 X16:Y17 X317:Y318 R325 R24 X324:Y325 R59 X58:Y59 R31 X23:Y24 X30:Y31 R38 R45 X37:Y38 X44:Y45 R52 R66 X51:Y52 X65:Y66 R73 R311 X72:Y73 X310:Y311 R80 R87 X79:Y80 X86:Y87 R94 R101 X93:Y94 X100:Y101 R108 R115 X107:Y108 X114:Y115 R122 R129 X121:Y122 X128:Y129 R136 R143 X135:Y136 X142:Y143 R150 X149:Y150 R157 R164 X156:Y157 X163:Y164 R171 R178 X170:Y171 X177:Y178 R185 R192 X184:Y185 X191:Y192 R199 R206 X198:Y199 X205:Y206 R213 R220 X212:Y213 X219:Y220 R227 X226:Y227 R234 R241 X233:Y234 X240:Y241 R248 R255 X247:Y248 X254:Y255 R262 R269 X261:Y262 X268:Y269 R276 R283 X275:Y276 X282:Y283 R290 R297 X289:Y290 X296:Y297 R332 X331:Y332 R1358 X1357:Y1358 R1365 X1364:Y1365 R1372 X1371:Y1372 R1379 X1378:Y1379 R1386 X1385:Y1386 R1393 X1392:Y1393 R1400 X1399:Y1400 R1407 X1406:Y1407 R1414 X1413:Y1414 R1421 X1420:Y1421</xm:sqref>
        </x14:dataValidation>
        <x14:dataValidation type="list" allowBlank="1" showInputMessage="1" showErrorMessage="1" xr:uid="{00000000-0002-0000-0100-000008000000}">
          <x14:formula1>
            <xm:f>'BD GN'!$T$2:$T$3</xm:f>
          </x14:formula1>
          <xm:sqref>BG9</xm:sqref>
        </x14:dataValidation>
        <x14:dataValidation type="list" allowBlank="1" showInputMessage="1" showErrorMessage="1" xr:uid="{00000000-0002-0000-0100-000009000000}">
          <x14:formula1>
            <xm:f>'BD GN'!$V$2:$V$3</xm:f>
          </x14:formula1>
          <xm:sqref>BH303 BF1420 BH1420 BF1413 BH1413 BF1406 BH1406 BF1399 BH1399 BF1392 BH1392 BF1385 BH1385 BF1378 BH1378 BF1371 BH1371 BF1364 BH1364 BF1357 BH1357 BF331 BH331 BF310 BF303 BF296 BH296 BF289 BH289 BF282 BH282 BF275 BH275 BF268 BH268 BF261 BH261 BF254 BF247 BH247 BF240 BH240 BF233 BF184 BH233 BF226 BH226 BF219 BH219 BF212 BH212 BF205 BH205 BF198 BH198 BF191 BH191 BH184 BF177 BH177 BF170 BH170 BF163 BH163 BF156 BF107 BH156 BF149 BH149 BF142 BH142 BF135 BH135 BF128 BH128 BF121 BH121 BF114 BH114 BH107 BF100 BH100 BF93 BH93 BF86 BH86 BF79 BF58 BF317 BH79 BF72 BH72 BF65 BH65 BF51 BH51 BF44 BH44 BF37 BH37 BF30 BH30 BH58 BF23 BF16 BH23 BH310 BF324 BH317 BH254 BH324 BH16</xm:sqref>
        </x14:dataValidation>
        <x14:dataValidation type="list" allowBlank="1" showInputMessage="1" showErrorMessage="1" xr:uid="{00000000-0002-0000-0100-000000000000}">
          <x14:formula1>
            <xm:f>'BD GN'!$AD$2:$AD$109</xm:f>
          </x14:formula1>
          <xm:sqref>C12:D12</xm:sqref>
        </x14:dataValidation>
        <x14:dataValidation type="list" allowBlank="1" showInputMessage="1" showErrorMessage="1" xr:uid="{ADEFEB67-7363-4657-B986-97CF7C66A11C}">
          <x14:formula1>
            <xm:f>'BD GN'!$G$2:$G$21</xm:f>
          </x14:formula1>
          <xm:sqref>D16:I16 D1420:I1420 D1399:I1399 D1392:I1392 D1385:I1385 D1378:I1378 D1371:I1371 D1364:I1364 D1357:I1357 D331:I331 D324:I324 D317:I317 D296:I296 D289:I289 D282:I282 D275:I275 D268:I268 D261:I261 D254:I254 D247:I247 D240:I240 D233:I233 D226:I226 D219:I219 D212:I212 D205:I205 D198:I198 D191:I191 D184:I184 D177:I177 D170:I170 D163:I163 D156:I156 D142:I142 D135:I135 D128:I128 D121:I121 D114:I114 D107:I107 D100:I100 D93:I93 D86:I86 D79:I79 D72:I72 D65:I65 D58:I58 D51:I51 D37:I37 D30:I30 D23:I23 D1413:I1413 D44:I44 D1406:I1406 D310:I310 D149:I149 D303:I303</xm:sqref>
        </x14:dataValidation>
        <x14:dataValidation type="list" allowBlank="1" showInputMessage="1" showErrorMessage="1" xr:uid="{00000000-0002-0000-0100-00000A000000}">
          <x14:formula1>
            <xm:f>'BD GN'!$X$2:$X$3</xm:f>
          </x14:formula1>
          <xm:sqref>I12:L12</xm:sqref>
        </x14:dataValidation>
        <x14:dataValidation type="list" allowBlank="1" showInputMessage="1" showErrorMessage="1" xr:uid="{B6ACD69A-A96C-A843-BD32-64A12A06A7F6}">
          <x14:formula1>
            <xm:f>'BD GN'!$M$2:$M$10</xm:f>
          </x14:formula1>
          <xm:sqref>I11:L11</xm:sqref>
        </x14:dataValidation>
        <x14:dataValidation type="list" allowBlank="1" showInputMessage="1" showErrorMessage="1" xr:uid="{65BD6F7D-F77F-4D40-BEB9-7A95FAEFB3DD}">
          <x14:formula1>
            <xm:f>'BD GN'!$C$2:$C$69</xm:f>
          </x14:formula1>
          <xm:sqref>D1419:I1419 D15:I15 D1412:I1412 D1405:I1405 D1398:I1398 D1391:I1391 D1384:I1384 D1377:I1377 D1370:I1370 D1363:I1363 D1356:I1356 D330:I330 D323:I323 D316:I316 D309:I309 D302:I302 D295:I295 D288:I288 D281:I281 D274:I274 D267:I267 D260:I260 D253:I253 D246:I246 D239:I239 D232:I232 D225:I225 D218:I218 D211:I211 D204:I204 D197:I197 D190:I190 D183:I183 D176:I176 D169:I169 D162:I162 D155:I155 D148:I148 D141:I141 D134:I134 D127:I127 D120:I120 D113:I113 D106:I106 D99:I99 D92:I92 D85:I85 D78:I78 D71:I71 D64:I64 D57:I57 D50:I50 D43:I43 D36:I36 D29:I29 D22:I22</xm:sqref>
        </x14:dataValidation>
        <x14:dataValidation type="list" allowBlank="1" showInputMessage="1" showErrorMessage="1" xr:uid="{9B221D7E-C3B9-0D42-897D-A1C4F2C7C7EC}">
          <x14:formula1>
            <xm:f>'BD GN'!$X$6:$X$10</xm:f>
          </x14:formula1>
          <xm:sqref>I10:L10</xm:sqref>
        </x14:dataValidation>
        <x14:dataValidation type="list" allowBlank="1" showInputMessage="1" showErrorMessage="1" xr:uid="{9A2406A6-7888-4779-94AF-B7C5074F69DB}">
          <x14:formula1>
            <xm:f>'BD GN'!$DF$2:$DF$4</xm:f>
          </x14:formula1>
          <xm:sqref>DG15:DG20 DG1419:DG1424 DG1412:DG1417 DG1405:DG1410 DG1398:DG1403 DG1391:DG1396 DG1384:DG1389 DG1377:DG1382 DG1370:DG1375 DG1363:DG1368 DG1356:DG1361 DG260:DG265 DG253:DG258 DG246:DG251 DG239:DG244 DG232:DG237 DG225:DG230 DG218:DG223 DG211:DG216 DG204:DG209 DG197:DG202 DG190:DG195 DG183:DG188 DG176:DG181 DG169:DG174 DG162:DG167 DG155:DG160 DG148:DG153 DG141:DG146 DG134:DG139 DG127:DG132 DG120:DG125 DG113:DG118 DG106:DG111 DG99:DG104 DG92:DG97 DG85:DG90 DG78:DG83 DG71:DG76 DG64:DG69 DG57:DG62 DG50:DG55 DG43:DG48 DG36:DG41 DG29:DG34 DG330:DG335 DG323:DG328 DG316:DG321 DG309:DG314 DG302:DG307 DG295:DG300 DG22:DG27 DG288:DG293 DG281:DG286 DG274:DG279 DG267:DG272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95A8-892F-1245-BC14-585AF6F2C478}">
  <dimension ref="B3:BJ30"/>
  <sheetViews>
    <sheetView zoomScale="110" zoomScaleNormal="110" workbookViewId="0">
      <selection activeCell="AA11" sqref="AA11"/>
    </sheetView>
  </sheetViews>
  <sheetFormatPr baseColWidth="10" defaultColWidth="10.85546875" defaultRowHeight="15" x14ac:dyDescent="0.2"/>
  <cols>
    <col min="1" max="1" width="6.7109375" style="333" customWidth="1"/>
    <col min="2" max="2" width="16.7109375" style="521" customWidth="1"/>
    <col min="3" max="3" width="11.42578125" style="522" customWidth="1"/>
    <col min="4" max="4" width="16.7109375" style="521" customWidth="1"/>
    <col min="5" max="5" width="8.7109375" style="522" customWidth="1"/>
    <col min="6" max="6" width="16.7109375" style="521" customWidth="1"/>
    <col min="7" max="7" width="7.7109375" style="522" customWidth="1"/>
    <col min="8" max="8" width="16.7109375" style="521" customWidth="1"/>
    <col min="9" max="9" width="7.7109375" style="522" customWidth="1"/>
    <col min="10" max="10" width="16.7109375" style="521" customWidth="1"/>
    <col min="11" max="11" width="8.7109375" style="522" customWidth="1"/>
    <col min="12" max="12" width="16.7109375" style="521" customWidth="1"/>
    <col min="13" max="13" width="6.7109375" style="522" customWidth="1"/>
    <col min="14" max="14" width="16.7109375" style="521" customWidth="1"/>
    <col min="15" max="15" width="6.7109375" style="522" customWidth="1"/>
    <col min="16" max="16" width="16.7109375" style="521" customWidth="1"/>
    <col min="17" max="17" width="6.7109375" style="522" customWidth="1"/>
    <col min="18" max="18" width="16.7109375" style="521" customWidth="1"/>
    <col min="19" max="19" width="6.7109375" style="522" customWidth="1"/>
    <col min="20" max="20" width="16.7109375" style="521" customWidth="1"/>
    <col min="21" max="21" width="6.7109375" style="522" customWidth="1"/>
    <col min="22" max="22" width="16.7109375" style="521" customWidth="1"/>
    <col min="23" max="23" width="8.7109375" style="522" customWidth="1"/>
    <col min="24" max="24" width="16.7109375" style="521" customWidth="1"/>
    <col min="25" max="25" width="8.42578125" style="522" customWidth="1"/>
    <col min="26" max="26" width="16.7109375" style="521" customWidth="1"/>
    <col min="27" max="27" width="8.28515625" style="522" customWidth="1"/>
    <col min="28" max="30" width="10.85546875" style="333"/>
    <col min="31" max="31" width="30.140625" style="509" hidden="1" customWidth="1"/>
    <col min="32" max="32" width="24" style="510" hidden="1" customWidth="1"/>
    <col min="33" max="33" width="0" style="510" hidden="1" customWidth="1"/>
    <col min="34" max="34" width="0" style="507" hidden="1" customWidth="1"/>
    <col min="35" max="35" width="2.28515625" style="507" hidden="1" customWidth="1"/>
    <col min="36" max="36" width="24" style="510" customWidth="1"/>
    <col min="37" max="37" width="10.85546875" style="510"/>
    <col min="38" max="38" width="10.85546875" style="507"/>
    <col min="39" max="39" width="2.28515625" style="507" customWidth="1"/>
    <col min="40" max="40" width="10" style="507" bestFit="1" customWidth="1"/>
    <col min="41" max="41" width="9.42578125" style="507" customWidth="1"/>
    <col min="42" max="42" width="10.85546875" style="333"/>
    <col min="43" max="43" width="24" style="510" customWidth="1"/>
    <col min="44" max="44" width="10.85546875" style="510"/>
    <col min="45" max="45" width="10.85546875" style="507"/>
    <col min="46" max="46" width="2.28515625" style="507" customWidth="1"/>
    <col min="47" max="48" width="9.42578125" style="507" customWidth="1"/>
    <col min="49" max="49" width="10.85546875" style="333"/>
    <col min="50" max="50" width="24" style="510" customWidth="1"/>
    <col min="51" max="51" width="10.85546875" style="510"/>
    <col min="52" max="52" width="10.85546875" style="507"/>
    <col min="53" max="53" width="2.28515625" style="507" customWidth="1"/>
    <col min="54" max="55" width="9.42578125" style="507" customWidth="1"/>
    <col min="56" max="56" width="10.85546875" style="333"/>
    <col min="57" max="57" width="24" style="510" customWidth="1"/>
    <col min="58" max="58" width="10.85546875" style="510"/>
    <col min="59" max="59" width="10.85546875" style="507"/>
    <col min="60" max="60" width="2.28515625" style="507" customWidth="1"/>
    <col min="61" max="62" width="9.42578125" style="507" customWidth="1"/>
    <col min="63" max="16384" width="10.85546875" style="333"/>
  </cols>
  <sheetData>
    <row r="3" spans="2:62" ht="30" customHeight="1" x14ac:dyDescent="0.2">
      <c r="B3" s="754" t="s">
        <v>328</v>
      </c>
      <c r="C3" s="754"/>
      <c r="D3" s="754"/>
      <c r="E3" s="754"/>
      <c r="F3" s="754"/>
      <c r="G3" s="754"/>
      <c r="H3" s="754"/>
      <c r="I3" s="754"/>
      <c r="J3" s="754"/>
      <c r="K3" s="754"/>
      <c r="L3" s="754"/>
      <c r="M3" s="754"/>
      <c r="N3" s="754"/>
      <c r="O3" s="754"/>
      <c r="P3" s="754"/>
      <c r="Q3" s="754"/>
      <c r="R3" s="754"/>
      <c r="S3" s="754"/>
      <c r="T3" s="754"/>
      <c r="U3" s="754"/>
      <c r="V3" s="754"/>
      <c r="W3" s="754"/>
      <c r="X3" s="754"/>
      <c r="Y3" s="754"/>
      <c r="Z3" s="754"/>
      <c r="AA3" s="754"/>
      <c r="AE3" s="758" t="s">
        <v>548</v>
      </c>
      <c r="AF3" s="758"/>
      <c r="AG3" s="758"/>
      <c r="AH3" s="758"/>
      <c r="AI3" s="503"/>
      <c r="AJ3" s="758" t="s">
        <v>563</v>
      </c>
      <c r="AK3" s="758"/>
      <c r="AL3" s="758"/>
      <c r="AM3" s="758"/>
      <c r="AN3" s="758"/>
      <c r="AO3" s="758"/>
      <c r="AQ3" s="758" t="s">
        <v>564</v>
      </c>
      <c r="AR3" s="758"/>
      <c r="AS3" s="758"/>
      <c r="AT3" s="758"/>
      <c r="AU3" s="758"/>
      <c r="AV3" s="758"/>
      <c r="AX3" s="759" t="s">
        <v>565</v>
      </c>
      <c r="AY3" s="759"/>
      <c r="AZ3" s="759"/>
      <c r="BA3" s="759"/>
      <c r="BB3" s="759"/>
      <c r="BC3" s="759"/>
      <c r="BE3" s="759" t="s">
        <v>566</v>
      </c>
      <c r="BF3" s="759"/>
      <c r="BG3" s="759"/>
      <c r="BH3" s="759"/>
      <c r="BI3" s="759"/>
      <c r="BJ3" s="759"/>
    </row>
    <row r="4" spans="2:62" ht="30" customHeight="1" x14ac:dyDescent="0.2">
      <c r="B4" s="754"/>
      <c r="C4" s="754"/>
      <c r="D4" s="754"/>
      <c r="E4" s="754"/>
      <c r="F4" s="754"/>
      <c r="G4" s="754"/>
      <c r="H4" s="754"/>
      <c r="I4" s="754"/>
      <c r="J4" s="754"/>
      <c r="K4" s="754"/>
      <c r="L4" s="754"/>
      <c r="M4" s="754"/>
      <c r="N4" s="754"/>
      <c r="O4" s="754"/>
      <c r="P4" s="754"/>
      <c r="Q4" s="754"/>
      <c r="R4" s="754"/>
      <c r="S4" s="754"/>
      <c r="T4" s="754"/>
      <c r="U4" s="754"/>
      <c r="V4" s="754"/>
      <c r="W4" s="754"/>
      <c r="X4" s="754"/>
      <c r="Y4" s="754"/>
      <c r="Z4" s="754"/>
      <c r="AA4" s="754"/>
      <c r="AE4" s="758"/>
      <c r="AF4" s="758"/>
      <c r="AG4" s="758"/>
      <c r="AH4" s="758"/>
      <c r="AI4" s="503"/>
      <c r="AJ4" s="758"/>
      <c r="AK4" s="758"/>
      <c r="AL4" s="758"/>
      <c r="AM4" s="758"/>
      <c r="AN4" s="758"/>
      <c r="AO4" s="758"/>
      <c r="AQ4" s="758"/>
      <c r="AR4" s="758"/>
      <c r="AS4" s="758"/>
      <c r="AT4" s="758"/>
      <c r="AU4" s="758"/>
      <c r="AV4" s="758"/>
      <c r="AX4" s="759"/>
      <c r="AY4" s="759"/>
      <c r="AZ4" s="759"/>
      <c r="BA4" s="759"/>
      <c r="BB4" s="759"/>
      <c r="BC4" s="759"/>
      <c r="BE4" s="759"/>
      <c r="BF4" s="759"/>
      <c r="BG4" s="759"/>
      <c r="BH4" s="759"/>
      <c r="BI4" s="759"/>
      <c r="BJ4" s="759"/>
    </row>
    <row r="5" spans="2:62" ht="30" customHeight="1" x14ac:dyDescent="0.2">
      <c r="B5" s="512" t="s">
        <v>329</v>
      </c>
      <c r="C5" s="513" t="s">
        <v>330</v>
      </c>
      <c r="D5" s="514" t="s">
        <v>331</v>
      </c>
      <c r="E5" s="513" t="s">
        <v>330</v>
      </c>
      <c r="F5" s="515" t="s">
        <v>332</v>
      </c>
      <c r="G5" s="513" t="s">
        <v>330</v>
      </c>
      <c r="H5" s="516" t="s">
        <v>333</v>
      </c>
      <c r="I5" s="513" t="s">
        <v>330</v>
      </c>
      <c r="J5" s="516" t="s">
        <v>334</v>
      </c>
      <c r="K5" s="513" t="s">
        <v>330</v>
      </c>
      <c r="L5" s="517" t="s">
        <v>380</v>
      </c>
      <c r="M5" s="513" t="s">
        <v>330</v>
      </c>
      <c r="N5" s="517" t="s">
        <v>335</v>
      </c>
      <c r="O5" s="513" t="s">
        <v>330</v>
      </c>
      <c r="P5" s="517" t="s">
        <v>336</v>
      </c>
      <c r="Q5" s="513" t="s">
        <v>330</v>
      </c>
      <c r="R5" s="517" t="s">
        <v>374</v>
      </c>
      <c r="S5" s="513" t="s">
        <v>330</v>
      </c>
      <c r="T5" s="517" t="s">
        <v>338</v>
      </c>
      <c r="U5" s="513" t="s">
        <v>330</v>
      </c>
      <c r="V5" s="517" t="s">
        <v>339</v>
      </c>
      <c r="W5" s="513" t="s">
        <v>330</v>
      </c>
      <c r="X5" s="517" t="s">
        <v>340</v>
      </c>
      <c r="Y5" s="513" t="s">
        <v>330</v>
      </c>
      <c r="Z5" s="517" t="s">
        <v>341</v>
      </c>
      <c r="AA5" s="513" t="s">
        <v>330</v>
      </c>
      <c r="AE5" s="504" t="s">
        <v>381</v>
      </c>
      <c r="AF5" s="505" t="s">
        <v>549</v>
      </c>
      <c r="AG5" s="505" t="s">
        <v>550</v>
      </c>
      <c r="AH5" s="506" t="s">
        <v>330</v>
      </c>
      <c r="AI5" s="506"/>
      <c r="AJ5" s="505" t="s">
        <v>549</v>
      </c>
      <c r="AK5" s="505" t="s">
        <v>550</v>
      </c>
      <c r="AL5" s="506" t="s">
        <v>330</v>
      </c>
      <c r="AM5" s="506"/>
      <c r="AN5" s="757" t="s">
        <v>551</v>
      </c>
      <c r="AO5" s="757"/>
      <c r="AQ5" s="505" t="s">
        <v>549</v>
      </c>
      <c r="AR5" s="505" t="s">
        <v>550</v>
      </c>
      <c r="AS5" s="506" t="s">
        <v>330</v>
      </c>
      <c r="AT5" s="506"/>
      <c r="AU5" s="757" t="s">
        <v>551</v>
      </c>
      <c r="AV5" s="757"/>
      <c r="AX5" s="505" t="s">
        <v>549</v>
      </c>
      <c r="AY5" s="505" t="s">
        <v>550</v>
      </c>
      <c r="AZ5" s="506" t="s">
        <v>330</v>
      </c>
      <c r="BA5" s="506"/>
      <c r="BB5" s="757" t="s">
        <v>551</v>
      </c>
      <c r="BC5" s="757"/>
      <c r="BE5" s="505" t="s">
        <v>549</v>
      </c>
      <c r="BF5" s="505" t="s">
        <v>550</v>
      </c>
      <c r="BG5" s="506" t="s">
        <v>330</v>
      </c>
      <c r="BH5" s="506"/>
      <c r="BI5" s="757" t="s">
        <v>551</v>
      </c>
      <c r="BJ5" s="757"/>
    </row>
    <row r="6" spans="2:62" ht="30" customHeight="1" x14ac:dyDescent="0.2">
      <c r="B6" s="518">
        <f>COTIZACIÓN!O341</f>
        <v>0</v>
      </c>
      <c r="C6" s="519">
        <v>1</v>
      </c>
      <c r="D6" s="518">
        <f>COTIZACIÓN!Q336+COTIZACIÓN!R336+COTIZACIÓN!S336+COTIZACIÓN!T336</f>
        <v>0</v>
      </c>
      <c r="E6" s="519" t="str">
        <f>IFERROR(D6/$B$6,"0%")</f>
        <v>0%</v>
      </c>
      <c r="F6" s="518">
        <f>B6-D6</f>
        <v>0</v>
      </c>
      <c r="G6" s="519" t="str">
        <f>IFERROR(F6/$B$6,"0%")</f>
        <v>0%</v>
      </c>
      <c r="H6" s="518">
        <f>((COTIZACIÓN!O341)*('BD P&amp;G'!E7+'BD P&amp;G'!E9+'BD P&amp;G'!E10+'BD P&amp;G'!E11))+COTIZACIÓN!AI336</f>
        <v>0</v>
      </c>
      <c r="I6" s="519" t="str">
        <f>IFERROR(H6/$B$6,"0%")</f>
        <v>0%</v>
      </c>
      <c r="J6" s="518">
        <f>(COTIZACIÓN!O341)*('BD P&amp;G'!E16+'BD P&amp;G'!E17+'BD P&amp;G'!E18+'BD P&amp;G'!E19+'BD P&amp;G'!E20+'BD P&amp;G'!E21+'BD P&amp;G'!E22+'BD P&amp;G'!E23)</f>
        <v>0</v>
      </c>
      <c r="K6" s="519" t="str">
        <f>IFERROR(J6/$B$6,"0%")</f>
        <v>0%</v>
      </c>
      <c r="L6" s="518">
        <f>((COTIZACIÓN!O341)*('BD P&amp;G'!E32+'BD P&amp;G'!E33+'BD P&amp;G'!E35+'BD P&amp;G'!E36+'BD P&amp;G'!E37+'BD P&amp;G'!E39+'BD P&amp;G'!E34+'BD P&amp;G'!E38))+COTIZACIÓN!U336+COTIZACIÓN!V336+COTIZACIÓN!AA336+COTIZACIÓN!AF336</f>
        <v>0</v>
      </c>
      <c r="M6" s="519" t="str">
        <f>IFERROR(L6/$B$6,"0%")</f>
        <v>0%</v>
      </c>
      <c r="N6" s="518">
        <f>H6+J6+L6+R6+X6</f>
        <v>0</v>
      </c>
      <c r="O6" s="519" t="str">
        <f>IFERROR(N6/$B$6,"0%")</f>
        <v>0%</v>
      </c>
      <c r="P6" s="518">
        <f>F6-N6</f>
        <v>0</v>
      </c>
      <c r="Q6" s="519" t="str">
        <f>IFERROR(P6/$B$6,"0%")</f>
        <v>0%</v>
      </c>
      <c r="R6" s="518">
        <f>COTIZACIÓN!AC336</f>
        <v>0</v>
      </c>
      <c r="S6" s="519" t="str">
        <f>IFERROR(R6/$B$6,"0%")</f>
        <v>0%</v>
      </c>
      <c r="T6" s="518">
        <f>P6-(COTIZACIÓN!O341*'BD P&amp;G'!E36)</f>
        <v>0</v>
      </c>
      <c r="U6" s="519" t="str">
        <f>IFERROR(T6/$B$6,"0%")</f>
        <v>0%</v>
      </c>
      <c r="V6" s="518">
        <f>(B6*5%)+COTIZACIÓN!AJ336</f>
        <v>0</v>
      </c>
      <c r="W6" s="519" t="str">
        <f>IFERROR(V6/$B$6,"0%")</f>
        <v>0%</v>
      </c>
      <c r="X6" s="518">
        <f>COTIZACIÓN!O343*1%</f>
        <v>0</v>
      </c>
      <c r="Y6" s="519" t="str">
        <f>IFERROR(X6/$B$6,"0%")</f>
        <v>0%</v>
      </c>
      <c r="Z6" s="518">
        <f>P6-V6</f>
        <v>0</v>
      </c>
      <c r="AA6" s="519" t="str">
        <f>IFERROR(Z6/$B$6,"0%")</f>
        <v>0%</v>
      </c>
      <c r="AE6" s="509" t="s">
        <v>329</v>
      </c>
      <c r="AF6" s="510">
        <v>14335654400</v>
      </c>
      <c r="AG6" s="510">
        <f>AF6/17941</f>
        <v>799044.33420656598</v>
      </c>
      <c r="AH6" s="507">
        <v>1</v>
      </c>
      <c r="AJ6" s="510">
        <f>COTIZACIÓN!O343</f>
        <v>0</v>
      </c>
      <c r="AK6" s="520" t="e">
        <f>AJ6/COTIZACIÓN!$F$339</f>
        <v>#DIV/0!</v>
      </c>
      <c r="AL6" s="507">
        <v>1</v>
      </c>
      <c r="AN6" s="508" t="e">
        <f>AK6-AG6</f>
        <v>#DIV/0!</v>
      </c>
      <c r="AO6" s="507" t="e">
        <f>(AK6/AG6)-100%</f>
        <v>#DIV/0!</v>
      </c>
      <c r="AQ6" s="510">
        <f>COTIZACIÓN!AC363</f>
        <v>1.1502546360919998</v>
      </c>
      <c r="AR6" s="520" t="e">
        <f>AQ6/COTIZACIÓN!$F$339</f>
        <v>#DIV/0!</v>
      </c>
      <c r="AS6" s="507">
        <v>1</v>
      </c>
      <c r="AU6" s="508" t="e">
        <f>AR6-$AG$6</f>
        <v>#DIV/0!</v>
      </c>
      <c r="AV6" s="507" t="e">
        <f>(AR6/$AG$6)-100%</f>
        <v>#DIV/0!</v>
      </c>
      <c r="AX6" s="510">
        <f>COTIZACIÓN!AC364</f>
        <v>1.1502546360919998</v>
      </c>
      <c r="AY6" s="520" t="e">
        <f>AX6/COTIZACIÓN!$F$339</f>
        <v>#DIV/0!</v>
      </c>
      <c r="AZ6" s="507">
        <v>1</v>
      </c>
      <c r="BB6" s="508" t="e">
        <f>AY6-$AG$6</f>
        <v>#DIV/0!</v>
      </c>
      <c r="BC6" s="507" t="e">
        <f>(AY6/$AG$6)-100%</f>
        <v>#DIV/0!</v>
      </c>
      <c r="BE6" s="510">
        <f>COTIZACIÓN!AC365</f>
        <v>1.1502546360919998</v>
      </c>
      <c r="BF6" s="520" t="e">
        <f>BE6/COTIZACIÓN!$F$339</f>
        <v>#DIV/0!</v>
      </c>
      <c r="BG6" s="507">
        <v>1</v>
      </c>
      <c r="BI6" s="508" t="e">
        <f>BF6-$AG$6</f>
        <v>#DIV/0!</v>
      </c>
      <c r="BJ6" s="507" t="e">
        <f>(BF6/$AG$6)-100%</f>
        <v>#DIV/0!</v>
      </c>
    </row>
    <row r="7" spans="2:62" ht="30" customHeight="1" x14ac:dyDescent="0.2">
      <c r="T7" s="523"/>
    </row>
    <row r="8" spans="2:62" ht="30" customHeight="1" x14ac:dyDescent="0.2">
      <c r="B8" s="524" t="s">
        <v>480</v>
      </c>
      <c r="C8" s="525" t="s">
        <v>481</v>
      </c>
      <c r="D8" s="756" t="s">
        <v>483</v>
      </c>
      <c r="E8" s="756"/>
      <c r="F8" s="756"/>
      <c r="G8" s="756"/>
      <c r="T8" s="523"/>
      <c r="V8" s="526">
        <f>P6*35%</f>
        <v>0</v>
      </c>
      <c r="AE8" s="509" t="s">
        <v>552</v>
      </c>
      <c r="AF8" s="510">
        <v>4861081296</v>
      </c>
      <c r="AG8" s="510">
        <f>AF8/17941</f>
        <v>270948.17992308119</v>
      </c>
      <c r="AH8" s="507">
        <f>AG8/$AG$6</f>
        <v>0.33909029614999642</v>
      </c>
      <c r="AJ8" s="510">
        <f>COTIZACIÓN!$Q$336+COTIZACIÓN!$R$336+COTIZACIÓN!$S$336+COTIZACIÓN!$T$336</f>
        <v>0</v>
      </c>
      <c r="AK8" s="520" t="e">
        <f>AJ8/COTIZACIÓN!$F$339</f>
        <v>#DIV/0!</v>
      </c>
      <c r="AL8" s="507" t="e">
        <f>AK8/$AK$6</f>
        <v>#DIV/0!</v>
      </c>
      <c r="AN8" s="508" t="e">
        <f>AK8-AG8</f>
        <v>#DIV/0!</v>
      </c>
      <c r="AO8" s="507" t="e">
        <f>(AK8/AG8)-100%</f>
        <v>#DIV/0!</v>
      </c>
      <c r="AQ8" s="510">
        <f>COTIZACIÓN!$Q$355+COTIZACIÓN!$R$355+COTIZACIÓN!$S$355+COTIZACIÓN!$T$355</f>
        <v>0</v>
      </c>
      <c r="AR8" s="520" t="e">
        <f>AQ8/COTIZACIÓN!$F$339</f>
        <v>#DIV/0!</v>
      </c>
      <c r="AS8" s="507" t="e">
        <f>AR8/$AR$6</f>
        <v>#DIV/0!</v>
      </c>
      <c r="AU8" s="508" t="e">
        <f>AR8-$AG$8</f>
        <v>#DIV/0!</v>
      </c>
      <c r="AV8" s="507" t="e">
        <f>(AR8/$AG$8)-100%</f>
        <v>#DIV/0!</v>
      </c>
      <c r="AX8" s="510">
        <f>COTIZACIÓN!$Q$357+COTIZACIÓN!$R$357+COTIZACIÓN!$S$357+COTIZACIÓN!$T$357</f>
        <v>0</v>
      </c>
      <c r="AY8" s="520" t="e">
        <f>AX8/COTIZACIÓN!$F$339</f>
        <v>#DIV/0!</v>
      </c>
      <c r="AZ8" s="507" t="e">
        <f>AY8/$AY$6</f>
        <v>#DIV/0!</v>
      </c>
      <c r="BB8" s="508" t="e">
        <f>AY8-$AG$8</f>
        <v>#DIV/0!</v>
      </c>
      <c r="BC8" s="507" t="e">
        <f>(AY8/$AG$8)-100%</f>
        <v>#DIV/0!</v>
      </c>
      <c r="BE8" s="510">
        <f>COTIZACIÓN!$Q$359+COTIZACIÓN!$R$359+COTIZACIÓN!$S$359+COTIZACIÓN!$T$359</f>
        <v>0</v>
      </c>
      <c r="BF8" s="520" t="e">
        <f>BE8/COTIZACIÓN!$F$339</f>
        <v>#DIV/0!</v>
      </c>
      <c r="BG8" s="507" t="e">
        <f>BF8/$BF$6</f>
        <v>#DIV/0!</v>
      </c>
      <c r="BI8" s="508" t="e">
        <f>BF8-$AG$8</f>
        <v>#DIV/0!</v>
      </c>
      <c r="BJ8" s="507" t="e">
        <f>(BF8/$AG$8)-100%</f>
        <v>#DIV/0!</v>
      </c>
    </row>
    <row r="9" spans="2:62" ht="30" customHeight="1" x14ac:dyDescent="0.2">
      <c r="B9" s="527" t="s">
        <v>477</v>
      </c>
      <c r="C9" s="528">
        <v>0.25</v>
      </c>
      <c r="D9" s="755" t="s">
        <v>476</v>
      </c>
      <c r="E9" s="755"/>
      <c r="F9" s="755"/>
      <c r="G9" s="755"/>
      <c r="V9" s="526">
        <f>(B6*5%)*35%</f>
        <v>0</v>
      </c>
      <c r="AE9" s="509" t="s">
        <v>553</v>
      </c>
      <c r="AF9" s="510">
        <v>1025656123</v>
      </c>
      <c r="AG9" s="510">
        <f>AF9/17941</f>
        <v>57168.280642104677</v>
      </c>
      <c r="AH9" s="507">
        <f t="shared" ref="AH9:AH12" si="0">AG9/$AG$6</f>
        <v>7.1545818166487044E-2</v>
      </c>
      <c r="AJ9" s="510">
        <f>(COTIZACIÓN!$Y$336)/2</f>
        <v>0</v>
      </c>
      <c r="AK9" s="520" t="e">
        <f>AJ9/COTIZACIÓN!$F$339</f>
        <v>#DIV/0!</v>
      </c>
      <c r="AL9" s="507" t="e">
        <f t="shared" ref="AL9:AL11" si="1">AK9/$AK$6</f>
        <v>#DIV/0!</v>
      </c>
      <c r="AN9" s="508" t="e">
        <f t="shared" ref="AN9:AN10" si="2">AK9-AG9</f>
        <v>#DIV/0!</v>
      </c>
      <c r="AO9" s="507" t="e">
        <f t="shared" ref="AO9:AO13" si="3">(AK9/AG9)-100%</f>
        <v>#DIV/0!</v>
      </c>
      <c r="AQ9" s="510">
        <f>(COTIZACIÓN!$Y$355)/2</f>
        <v>2.1042228708144001E-2</v>
      </c>
      <c r="AR9" s="520" t="e">
        <f>AQ9/COTIZACIÓN!$F$339</f>
        <v>#DIV/0!</v>
      </c>
      <c r="AS9" s="507" t="e">
        <f>AR9/$AR$6</f>
        <v>#DIV/0!</v>
      </c>
      <c r="AU9" s="508" t="e">
        <f>AR9-$AG$9</f>
        <v>#DIV/0!</v>
      </c>
      <c r="AV9" s="507" t="e">
        <f>(AR9/$AG$9)-100%</f>
        <v>#DIV/0!</v>
      </c>
      <c r="AX9" s="510">
        <f>(COTIZACIÓN!$Y$357)/2</f>
        <v>2.1042228708144001E-2</v>
      </c>
      <c r="AY9" s="520" t="e">
        <f>AX9/COTIZACIÓN!$F$339</f>
        <v>#DIV/0!</v>
      </c>
      <c r="AZ9" s="507" t="e">
        <f>AY9/$AY$6</f>
        <v>#DIV/0!</v>
      </c>
      <c r="BB9" s="508" t="e">
        <f>AY9-$AG$9</f>
        <v>#DIV/0!</v>
      </c>
      <c r="BC9" s="507" t="e">
        <f>(AY9/$AG$9)-100%</f>
        <v>#DIV/0!</v>
      </c>
      <c r="BE9" s="510">
        <f>(COTIZACIÓN!$Y$359)/2</f>
        <v>2.1042228708144001E-2</v>
      </c>
      <c r="BF9" s="520" t="e">
        <f>BE9/COTIZACIÓN!$F$339</f>
        <v>#DIV/0!</v>
      </c>
      <c r="BG9" s="507" t="e">
        <f t="shared" ref="BG9:BG11" si="4">BF9/$BF$6</f>
        <v>#DIV/0!</v>
      </c>
      <c r="BI9" s="508" t="e">
        <f>BF9-$AG$9</f>
        <v>#DIV/0!</v>
      </c>
      <c r="BJ9" s="507" t="e">
        <f>(BF9/$AG$9)-100%</f>
        <v>#DIV/0!</v>
      </c>
    </row>
    <row r="10" spans="2:62" ht="30" customHeight="1" x14ac:dyDescent="0.2">
      <c r="B10" s="527" t="s">
        <v>478</v>
      </c>
      <c r="C10" s="528">
        <v>0.2</v>
      </c>
      <c r="D10" s="755" t="s">
        <v>482</v>
      </c>
      <c r="E10" s="755"/>
      <c r="F10" s="755"/>
      <c r="G10" s="755"/>
      <c r="V10" s="526">
        <f>V8-V9</f>
        <v>0</v>
      </c>
      <c r="AE10" s="509" t="s">
        <v>554</v>
      </c>
      <c r="AF10" s="510">
        <v>275198492</v>
      </c>
      <c r="AG10" s="510">
        <f t="shared" ref="AG10:AG12" si="5">AF10/17941</f>
        <v>15339.083217211972</v>
      </c>
      <c r="AH10" s="507">
        <f t="shared" si="0"/>
        <v>1.9196786161362816E-2</v>
      </c>
      <c r="AJ10" s="510">
        <f>(COTIZACIÓN!$Y$336)/2</f>
        <v>0</v>
      </c>
      <c r="AK10" s="520" t="e">
        <f>AJ10/COTIZACIÓN!$F$339</f>
        <v>#DIV/0!</v>
      </c>
      <c r="AL10" s="507" t="e">
        <f t="shared" si="1"/>
        <v>#DIV/0!</v>
      </c>
      <c r="AN10" s="508" t="e">
        <f t="shared" si="2"/>
        <v>#DIV/0!</v>
      </c>
      <c r="AO10" s="507" t="e">
        <f t="shared" si="3"/>
        <v>#DIV/0!</v>
      </c>
      <c r="AQ10" s="510">
        <f>(COTIZACIÓN!$Y$355)/2</f>
        <v>2.1042228708144001E-2</v>
      </c>
      <c r="AR10" s="520" t="e">
        <f>AQ10/COTIZACIÓN!$F$339</f>
        <v>#DIV/0!</v>
      </c>
      <c r="AS10" s="507" t="e">
        <f>AR10/$AR$6</f>
        <v>#DIV/0!</v>
      </c>
      <c r="AU10" s="508" t="e">
        <f>AR10-$AG$10</f>
        <v>#DIV/0!</v>
      </c>
      <c r="AV10" s="507" t="e">
        <f>(AR10/$AG$10)-100%</f>
        <v>#DIV/0!</v>
      </c>
      <c r="AX10" s="510">
        <f>(COTIZACIÓN!$Y$357)/2</f>
        <v>2.1042228708144001E-2</v>
      </c>
      <c r="AY10" s="520" t="e">
        <f>AX10/COTIZACIÓN!$F$339</f>
        <v>#DIV/0!</v>
      </c>
      <c r="AZ10" s="507" t="e">
        <f>AY10/$AY$6</f>
        <v>#DIV/0!</v>
      </c>
      <c r="BB10" s="508" t="e">
        <f>AY10-$AG$10</f>
        <v>#DIV/0!</v>
      </c>
      <c r="BC10" s="507" t="e">
        <f>(AY10/$AG$10)-100%</f>
        <v>#DIV/0!</v>
      </c>
      <c r="BE10" s="510">
        <f>(COTIZACIÓN!$Y$359)/2</f>
        <v>2.1042228708144001E-2</v>
      </c>
      <c r="BF10" s="520" t="e">
        <f>BE10/COTIZACIÓN!$F$339</f>
        <v>#DIV/0!</v>
      </c>
      <c r="BG10" s="507" t="e">
        <f t="shared" si="4"/>
        <v>#DIV/0!</v>
      </c>
      <c r="BI10" s="508" t="e">
        <f>BF10-$AG$10</f>
        <v>#DIV/0!</v>
      </c>
      <c r="BJ10" s="507" t="e">
        <f>(BF10/$AG$10)-100%</f>
        <v>#DIV/0!</v>
      </c>
    </row>
    <row r="11" spans="2:62" ht="30" customHeight="1" x14ac:dyDescent="0.2">
      <c r="B11" s="527" t="s">
        <v>479</v>
      </c>
      <c r="C11" s="528">
        <v>0.15</v>
      </c>
      <c r="D11" s="755" t="s">
        <v>484</v>
      </c>
      <c r="E11" s="755"/>
      <c r="F11" s="755"/>
      <c r="G11" s="755"/>
      <c r="V11" s="526">
        <f>V10*21.5%</f>
        <v>0</v>
      </c>
      <c r="AE11" s="509" t="s">
        <v>555</v>
      </c>
      <c r="AF11" s="510">
        <v>331289692</v>
      </c>
      <c r="AG11" s="510">
        <f>AF11/17941</f>
        <v>18465.508723036619</v>
      </c>
      <c r="AH11" s="507">
        <f t="shared" si="0"/>
        <v>2.3109492092666519E-2</v>
      </c>
      <c r="AJ11" s="510">
        <f>COTIZACIÓN!$Z$336</f>
        <v>0</v>
      </c>
      <c r="AK11" s="520" t="e">
        <f>AJ11/COTIZACIÓN!$F$339</f>
        <v>#DIV/0!</v>
      </c>
      <c r="AL11" s="507" t="e">
        <f t="shared" si="1"/>
        <v>#DIV/0!</v>
      </c>
      <c r="AN11" s="508" t="e">
        <f>AK11-AG11</f>
        <v>#DIV/0!</v>
      </c>
      <c r="AO11" s="507" t="e">
        <f t="shared" si="3"/>
        <v>#DIV/0!</v>
      </c>
      <c r="AQ11" s="510">
        <f>COTIZACIÓN!$Z$355</f>
        <v>5.8166708502000002E-3</v>
      </c>
      <c r="AR11" s="520" t="e">
        <f>AQ11/COTIZACIÓN!$F$339</f>
        <v>#DIV/0!</v>
      </c>
      <c r="AS11" s="507" t="e">
        <f>AR11/$AR$6</f>
        <v>#DIV/0!</v>
      </c>
      <c r="AU11" s="508" t="e">
        <f>AR11-$AG$11</f>
        <v>#DIV/0!</v>
      </c>
      <c r="AV11" s="507" t="e">
        <f>(AR11/$AG$11)-100%</f>
        <v>#DIV/0!</v>
      </c>
      <c r="AX11" s="510">
        <f>COTIZACIÓN!$Z$357</f>
        <v>5.8166708502000002E-3</v>
      </c>
      <c r="AY11" s="520" t="e">
        <f>AX11/COTIZACIÓN!$F$339</f>
        <v>#DIV/0!</v>
      </c>
      <c r="AZ11" s="507" t="e">
        <f>AY11/$AY$6</f>
        <v>#DIV/0!</v>
      </c>
      <c r="BB11" s="508" t="e">
        <f>AY11-$AG$11</f>
        <v>#DIV/0!</v>
      </c>
      <c r="BC11" s="507" t="e">
        <f>(AY11/$AG$11)-100%</f>
        <v>#DIV/0!</v>
      </c>
      <c r="BE11" s="510">
        <f>COTIZACIÓN!$Z$359</f>
        <v>5.8166708502000002E-3</v>
      </c>
      <c r="BF11" s="520" t="e">
        <f>BE11/COTIZACIÓN!$F$339</f>
        <v>#DIV/0!</v>
      </c>
      <c r="BG11" s="507" t="e">
        <f t="shared" si="4"/>
        <v>#DIV/0!</v>
      </c>
      <c r="BI11" s="508" t="e">
        <f>BF11-$AG$11</f>
        <v>#DIV/0!</v>
      </c>
      <c r="BJ11" s="507" t="e">
        <f>(BF11/$AG$11)-100%</f>
        <v>#DIV/0!</v>
      </c>
    </row>
    <row r="12" spans="2:62" ht="30" customHeight="1" x14ac:dyDescent="0.2">
      <c r="V12" s="526">
        <f>V9+V11</f>
        <v>0</v>
      </c>
      <c r="AE12" s="509" t="s">
        <v>380</v>
      </c>
      <c r="AF12" s="510">
        <v>1184102667</v>
      </c>
      <c r="AG12" s="510">
        <f t="shared" si="5"/>
        <v>65999.814224402202</v>
      </c>
      <c r="AH12" s="507">
        <f t="shared" si="0"/>
        <v>8.2598438408225006E-2</v>
      </c>
      <c r="AJ12" s="510">
        <f>((AJ6)*('BD P&amp;G'!$E$32+'BD P&amp;G'!$E$33+'BD P&amp;G'!$E$34+'BD P&amp;G'!$E$35+'BD P&amp;G'!$E$36+'BD P&amp;G'!$E$37+'BD P&amp;G'!$E$38+'BD P&amp;G'!$E$39))+COTIZACIÓN!$U$336+COTIZACIÓN!$V$336+COTIZACIÓN!$AF$336+COTIZACIÓN!$AC$336</f>
        <v>0</v>
      </c>
      <c r="AK12" s="520" t="e">
        <f>AJ12/COTIZACIÓN!$F$339</f>
        <v>#DIV/0!</v>
      </c>
      <c r="AL12" s="507" t="e">
        <f>AK12/$AK$6</f>
        <v>#DIV/0!</v>
      </c>
      <c r="AN12" s="508" t="e">
        <f>AK12-AG12</f>
        <v>#DIV/0!</v>
      </c>
      <c r="AO12" s="507" t="e">
        <f t="shared" si="3"/>
        <v>#DIV/0!</v>
      </c>
      <c r="AQ12" s="520" t="e">
        <f>((AQ6)*('BD P&amp;G'!$E$32+'BD P&amp;G'!$E$33+'BD P&amp;G'!$E$34+'BD P&amp;G'!$E$35+'BD P&amp;G'!$E$36+'BD P&amp;G'!$E$37+'BD P&amp;G'!$E$38+'BD P&amp;G'!$E$39))+COTIZACIÓN!$U$355+COTIZACIÓN!$V$355+COTIZACIÓN!$AF$355+COTIZACIÓN!$AC$355</f>
        <v>#VALUE!</v>
      </c>
      <c r="AR12" s="520" t="e">
        <f>AQ12/COTIZACIÓN!$F$339</f>
        <v>#VALUE!</v>
      </c>
      <c r="AS12" s="507" t="e">
        <f>AR12/$AR$6</f>
        <v>#VALUE!</v>
      </c>
      <c r="AU12" s="508" t="e">
        <f>AR12-$AG$12</f>
        <v>#VALUE!</v>
      </c>
      <c r="AV12" s="507" t="e">
        <f>(AR12/$AG$12)-100%</f>
        <v>#VALUE!</v>
      </c>
      <c r="AX12" s="520" t="e">
        <f>((AX6)*('BD P&amp;G'!$E$32+'BD P&amp;G'!$E$33+'BD P&amp;G'!$E$34+'BD P&amp;G'!$E$35+'BD P&amp;G'!$E$36+'BD P&amp;G'!$E$37+'BD P&amp;G'!$E$38+'BD P&amp;G'!$E$39))+COTIZACIÓN!$U$357+COTIZACIÓN!$V$357+COTIZACIÓN!$AF$357+COTIZACIÓN!$AC$357</f>
        <v>#VALUE!</v>
      </c>
      <c r="AY12" s="520" t="e">
        <f>AX12/COTIZACIÓN!$F$339</f>
        <v>#VALUE!</v>
      </c>
      <c r="AZ12" s="507" t="e">
        <f>AY12/$AY$6</f>
        <v>#VALUE!</v>
      </c>
      <c r="BB12" s="508" t="e">
        <f>AY12-$AG$12</f>
        <v>#VALUE!</v>
      </c>
      <c r="BC12" s="507" t="e">
        <f>(AY12/$AG$12)-100%</f>
        <v>#VALUE!</v>
      </c>
      <c r="BE12" s="520" t="e">
        <f>((BE6)*('BD P&amp;G'!$E$32+'BD P&amp;G'!$E$33+'BD P&amp;G'!$E$34+'BD P&amp;G'!$E$35+'BD P&amp;G'!$E$36+'BD P&amp;G'!$E$37+'BD P&amp;G'!$E$38+'BD P&amp;G'!$E$39))+COTIZACIÓN!$U$359+COTIZACIÓN!$V$359+COTIZACIÓN!$AF$359+COTIZACIÓN!$AC$359</f>
        <v>#VALUE!</v>
      </c>
      <c r="BF12" s="520" t="e">
        <f>BE12/COTIZACIÓN!$F$339</f>
        <v>#VALUE!</v>
      </c>
      <c r="BG12" s="507" t="e">
        <f>BF12/$BF$6</f>
        <v>#VALUE!</v>
      </c>
      <c r="BI12" s="508" t="e">
        <f>BF12-$AG$12</f>
        <v>#VALUE!</v>
      </c>
      <c r="BJ12" s="507" t="e">
        <f>(BF12/$AG$12)-100%</f>
        <v>#VALUE!</v>
      </c>
    </row>
    <row r="13" spans="2:62" ht="30" customHeight="1" x14ac:dyDescent="0.2">
      <c r="G13" s="529"/>
      <c r="I13" s="530"/>
      <c r="J13" s="526"/>
      <c r="L13" s="531"/>
      <c r="V13" s="532" t="e">
        <f>V12/B6</f>
        <v>#DIV/0!</v>
      </c>
      <c r="AE13" s="504" t="s">
        <v>556</v>
      </c>
      <c r="AF13" s="505">
        <f>SUM(AF8:AF12)</f>
        <v>7677328270</v>
      </c>
      <c r="AG13" s="505">
        <f>SUM(AG8:AG12)</f>
        <v>427920.86672983668</v>
      </c>
      <c r="AH13" s="506">
        <f>SUM(AH8:AH12)</f>
        <v>0.53554083097873773</v>
      </c>
      <c r="AI13" s="506"/>
      <c r="AJ13" s="505">
        <f>SUM(AJ8:AJ12)</f>
        <v>0</v>
      </c>
      <c r="AK13" s="505" t="e">
        <f>SUM(AK8:AK12)</f>
        <v>#DIV/0!</v>
      </c>
      <c r="AL13" s="506" t="e">
        <f>SUM(AL8:AL12)</f>
        <v>#DIV/0!</v>
      </c>
      <c r="AM13" s="506"/>
      <c r="AN13" s="508" t="e">
        <f>AK13-AG13</f>
        <v>#DIV/0!</v>
      </c>
      <c r="AO13" s="507" t="e">
        <f t="shared" si="3"/>
        <v>#DIV/0!</v>
      </c>
      <c r="AQ13" s="505" t="e">
        <f>SUM(AQ8:AQ12)</f>
        <v>#VALUE!</v>
      </c>
      <c r="AR13" s="505" t="e">
        <f>SUM(AR8:AR12)</f>
        <v>#DIV/0!</v>
      </c>
      <c r="AS13" s="506" t="e">
        <f>SUM(AS8:AS12)</f>
        <v>#DIV/0!</v>
      </c>
      <c r="AT13" s="506"/>
      <c r="AU13" s="508" t="e">
        <f>AR13-$AG$13</f>
        <v>#DIV/0!</v>
      </c>
      <c r="AV13" s="507" t="e">
        <f>(AR13/$AG$13)-100%</f>
        <v>#DIV/0!</v>
      </c>
      <c r="AX13" s="505" t="e">
        <f>SUM(AX8:AX12)</f>
        <v>#VALUE!</v>
      </c>
      <c r="AY13" s="505" t="e">
        <f>SUM(AY8:AY12)</f>
        <v>#DIV/0!</v>
      </c>
      <c r="AZ13" s="506" t="e">
        <f>SUM(AZ8:AZ12)</f>
        <v>#DIV/0!</v>
      </c>
      <c r="BA13" s="506"/>
      <c r="BB13" s="508" t="e">
        <f>AY13-$AG$13</f>
        <v>#DIV/0!</v>
      </c>
      <c r="BC13" s="507" t="e">
        <f>(AY13/$AG$13)-100%</f>
        <v>#DIV/0!</v>
      </c>
      <c r="BE13" s="505" t="e">
        <f>SUM(BE8:BE12)</f>
        <v>#VALUE!</v>
      </c>
      <c r="BF13" s="505" t="e">
        <f>SUM(BF8:BF12)</f>
        <v>#DIV/0!</v>
      </c>
      <c r="BG13" s="506" t="e">
        <f>SUM(BG8:BG12)</f>
        <v>#DIV/0!</v>
      </c>
      <c r="BH13" s="506"/>
      <c r="BI13" s="508" t="e">
        <f>BF13-$AG$13</f>
        <v>#DIV/0!</v>
      </c>
      <c r="BJ13" s="507" t="e">
        <f>(BF13/$AG$13)-100%</f>
        <v>#DIV/0!</v>
      </c>
    </row>
    <row r="14" spans="2:62" ht="30" customHeight="1" x14ac:dyDescent="0.2">
      <c r="G14" s="529"/>
    </row>
    <row r="15" spans="2:62" ht="30" customHeight="1" x14ac:dyDescent="0.2">
      <c r="G15" s="529"/>
      <c r="I15" s="530"/>
      <c r="J15" s="526"/>
      <c r="L15" s="531"/>
      <c r="AE15" s="504" t="s">
        <v>557</v>
      </c>
      <c r="AF15" s="505">
        <f>AF6-AF13</f>
        <v>6658326130</v>
      </c>
      <c r="AG15" s="505">
        <f>AF15/17941</f>
        <v>371123.4674767293</v>
      </c>
      <c r="AH15" s="506">
        <f>AG15/$AG$6</f>
        <v>0.46445916902126216</v>
      </c>
      <c r="AI15" s="506"/>
      <c r="AJ15" s="505">
        <f>AJ6-AJ13</f>
        <v>0</v>
      </c>
      <c r="AK15" s="505" t="e">
        <f>AK6-AK13</f>
        <v>#DIV/0!</v>
      </c>
      <c r="AL15" s="506" t="e">
        <f>AL6-AL13</f>
        <v>#DIV/0!</v>
      </c>
      <c r="AM15" s="506"/>
      <c r="AN15" s="511" t="e">
        <f>AK15-AG15</f>
        <v>#DIV/0!</v>
      </c>
      <c r="AO15" s="506" t="e">
        <f>(AK15/AG15)-100%</f>
        <v>#DIV/0!</v>
      </c>
      <c r="AQ15" s="505" t="e">
        <f>AQ6-AQ13</f>
        <v>#VALUE!</v>
      </c>
      <c r="AR15" s="505" t="e">
        <f>AR6-AR13</f>
        <v>#DIV/0!</v>
      </c>
      <c r="AS15" s="506" t="e">
        <f>AS6-AS13</f>
        <v>#DIV/0!</v>
      </c>
      <c r="AT15" s="506"/>
      <c r="AU15" s="508" t="e">
        <f>AR15-$AG$15</f>
        <v>#DIV/0!</v>
      </c>
      <c r="AV15" s="507" t="e">
        <f>(AR15/$AG$15)-100%</f>
        <v>#DIV/0!</v>
      </c>
      <c r="AX15" s="505" t="e">
        <f>AX6-AX13</f>
        <v>#VALUE!</v>
      </c>
      <c r="AY15" s="505" t="e">
        <f>AY6-AY13</f>
        <v>#DIV/0!</v>
      </c>
      <c r="AZ15" s="506" t="e">
        <f>AZ6-AZ13</f>
        <v>#DIV/0!</v>
      </c>
      <c r="BA15" s="506"/>
      <c r="BB15" s="508" t="e">
        <f>AY15-$AG$15</f>
        <v>#DIV/0!</v>
      </c>
      <c r="BC15" s="507" t="e">
        <f>(AY15/$AG$15)-100%</f>
        <v>#DIV/0!</v>
      </c>
      <c r="BE15" s="505" t="e">
        <f>BE6-BE13</f>
        <v>#VALUE!</v>
      </c>
      <c r="BF15" s="505" t="e">
        <f>BF6-BF13</f>
        <v>#DIV/0!</v>
      </c>
      <c r="BG15" s="506" t="e">
        <f>BG6-BG13</f>
        <v>#DIV/0!</v>
      </c>
      <c r="BH15" s="506"/>
      <c r="BI15" s="508" t="e">
        <f>BF15-$AG$15</f>
        <v>#DIV/0!</v>
      </c>
      <c r="BJ15" s="507" t="e">
        <f>(BF15/$AG$15)-100%</f>
        <v>#DIV/0!</v>
      </c>
    </row>
    <row r="16" spans="2:62" ht="30" customHeight="1" x14ac:dyDescent="0.2">
      <c r="G16" s="529"/>
    </row>
    <row r="17" spans="7:62" ht="30" customHeight="1" x14ac:dyDescent="0.2">
      <c r="G17" s="529"/>
      <c r="AE17" s="509" t="s">
        <v>558</v>
      </c>
      <c r="AF17" s="510">
        <v>1450771136</v>
      </c>
      <c r="AG17" s="510">
        <f>AF17/17941</f>
        <v>80863.448860152726</v>
      </c>
      <c r="AH17" s="507">
        <f>AG17/$AG$6</f>
        <v>0.10120020304060902</v>
      </c>
      <c r="AJ17" s="510">
        <f>(AJ6)*('BD P&amp;G'!$E$16+'BD P&amp;G'!$E$17+'BD P&amp;G'!$E$18+'BD P&amp;G'!$E$19+'BD P&amp;G'!$E$20+'BD P&amp;G'!$E$21+'BD P&amp;G'!$E$22+'BD P&amp;G'!$E$23)</f>
        <v>0</v>
      </c>
      <c r="AK17" s="520" t="e">
        <f>AJ17/COTIZACIÓN!$F$339</f>
        <v>#DIV/0!</v>
      </c>
      <c r="AL17" s="507" t="e">
        <f>AK17/$AK$6</f>
        <v>#DIV/0!</v>
      </c>
      <c r="AN17" s="508" t="e">
        <f t="shared" ref="AN17:AN20" si="6">AK17-AG17</f>
        <v>#DIV/0!</v>
      </c>
      <c r="AO17" s="507" t="e">
        <f t="shared" ref="AO17:AO20" si="7">(AK17/AG17)-100%</f>
        <v>#DIV/0!</v>
      </c>
      <c r="AQ17" s="510">
        <f>(AQ6)*('BD P&amp;G'!$E$16+'BD P&amp;G'!$E$17+'BD P&amp;G'!$E$18+'BD P&amp;G'!$E$19+'BD P&amp;G'!$E$20+'BD P&amp;G'!$E$21+'BD P&amp;G'!$E$22+'BD P&amp;G'!$E$23)</f>
        <v>3.1270173793182351E-2</v>
      </c>
      <c r="AR17" s="520" t="e">
        <f>AQ17/COTIZACIÓN!$F$339</f>
        <v>#DIV/0!</v>
      </c>
      <c r="AS17" s="507" t="e">
        <f>AR17/$AR$6</f>
        <v>#DIV/0!</v>
      </c>
      <c r="AU17" s="508" t="e">
        <f>AR17-$AG$17</f>
        <v>#DIV/0!</v>
      </c>
      <c r="AV17" s="507" t="e">
        <f>(AR17/$AG$17)-100%</f>
        <v>#DIV/0!</v>
      </c>
      <c r="AX17" s="510">
        <f>(AX6)*('BD P&amp;G'!$E$16+'BD P&amp;G'!$E$17+'BD P&amp;G'!$E$18+'BD P&amp;G'!$E$19+'BD P&amp;G'!$E$20+'BD P&amp;G'!$E$21+'BD P&amp;G'!$E$22+'BD P&amp;G'!$E$23)</f>
        <v>3.1270173793182351E-2</v>
      </c>
      <c r="AY17" s="520" t="e">
        <f>AX17/COTIZACIÓN!$F$339</f>
        <v>#DIV/0!</v>
      </c>
      <c r="AZ17" s="507" t="e">
        <f>AY17/$AY$6</f>
        <v>#DIV/0!</v>
      </c>
      <c r="BB17" s="508" t="e">
        <f>AY17-$AG$17</f>
        <v>#DIV/0!</v>
      </c>
      <c r="BC17" s="507" t="e">
        <f>(AY17/$AG$17)-100%</f>
        <v>#DIV/0!</v>
      </c>
      <c r="BE17" s="510">
        <f>(BE6)*('BD P&amp;G'!$E$16+'BD P&amp;G'!$E$17+'BD P&amp;G'!$E$18+'BD P&amp;G'!$E$19+'BD P&amp;G'!$E$20+'BD P&amp;G'!$E$21+'BD P&amp;G'!$E$22+'BD P&amp;G'!$E$23)</f>
        <v>3.1270173793182351E-2</v>
      </c>
      <c r="BF17" s="520" t="e">
        <f>BE17/COTIZACIÓN!$F$339</f>
        <v>#DIV/0!</v>
      </c>
      <c r="BG17" s="507" t="e">
        <f>BF17/$BF$6</f>
        <v>#DIV/0!</v>
      </c>
      <c r="BI17" s="508" t="e">
        <f>BF17-$AG$17</f>
        <v>#DIV/0!</v>
      </c>
      <c r="BJ17" s="507" t="e">
        <f>(BF17/$AG$17)-100%</f>
        <v>#DIV/0!</v>
      </c>
    </row>
    <row r="18" spans="7:62" ht="30" customHeight="1" x14ac:dyDescent="0.2">
      <c r="AE18" s="509" t="s">
        <v>559</v>
      </c>
      <c r="AF18" s="510">
        <v>953555227</v>
      </c>
      <c r="AG18" s="510">
        <f t="shared" ref="AG18:AG19" si="8">AF18/17941</f>
        <v>53149.502647567024</v>
      </c>
      <c r="AH18" s="507">
        <f t="shared" ref="AH18:AH19" si="9">AG18/$AG$6</f>
        <v>6.6516337545079213E-2</v>
      </c>
      <c r="AJ18" s="510">
        <f>(AJ6*('BD P&amp;G'!$E$7+'BD P&amp;G'!$E$9+'BD P&amp;G'!$E$10+'BD P&amp;G'!$E$11))+COTIZACIÓN!$AI$336</f>
        <v>0</v>
      </c>
      <c r="AK18" s="520" t="e">
        <f>AJ18/COTIZACIÓN!$F$339</f>
        <v>#DIV/0!</v>
      </c>
      <c r="AL18" s="507" t="e">
        <f t="shared" ref="AL18" si="10">AK18/$AK$6</f>
        <v>#DIV/0!</v>
      </c>
      <c r="AN18" s="508" t="e">
        <f>AK18-AG18</f>
        <v>#DIV/0!</v>
      </c>
      <c r="AO18" s="507" t="e">
        <f>(AK18/AG18)-100%</f>
        <v>#DIV/0!</v>
      </c>
      <c r="AQ18" s="510">
        <f>(AQ6*('BD P&amp;G'!$E$7+'BD P&amp;G'!$E$9+'BD P&amp;G'!$E$10+'BD P&amp;G'!$E$11))+COTIZACIÓN!$AI$355</f>
        <v>5.3325478256908462E-2</v>
      </c>
      <c r="AR18" s="520" t="e">
        <f>AQ18/COTIZACIÓN!$F$339</f>
        <v>#DIV/0!</v>
      </c>
      <c r="AS18" s="507" t="e">
        <f>AR18/$AR$6</f>
        <v>#DIV/0!</v>
      </c>
      <c r="AU18" s="508" t="e">
        <f>AR18-$AG$18</f>
        <v>#DIV/0!</v>
      </c>
      <c r="AV18" s="507" t="e">
        <f>(AR18/$AG$18)-100%</f>
        <v>#DIV/0!</v>
      </c>
      <c r="AX18" s="510">
        <f>(AX6*('BD P&amp;G'!$E$7+'BD P&amp;G'!$E$9+'BD P&amp;G'!$E$10+'BD P&amp;G'!$E$11))+COTIZACIÓN!$AI$357</f>
        <v>5.3325478256908462E-2</v>
      </c>
      <c r="AY18" s="520" t="e">
        <f>AX18/COTIZACIÓN!$F$339</f>
        <v>#DIV/0!</v>
      </c>
      <c r="AZ18" s="507" t="e">
        <f t="shared" ref="AZ18:AZ19" si="11">AY18/$AY$6</f>
        <v>#DIV/0!</v>
      </c>
      <c r="BB18" s="508" t="e">
        <f>AY18-$AG$18</f>
        <v>#DIV/0!</v>
      </c>
      <c r="BC18" s="507" t="e">
        <f>(AY18/$AG$18)-100%</f>
        <v>#DIV/0!</v>
      </c>
      <c r="BE18" s="510">
        <f>(BE6*('BD P&amp;G'!$E$7+'BD P&amp;G'!$E$9+'BD P&amp;G'!$E$10+'BD P&amp;G'!$E$11))+COTIZACIÓN!$AI$359</f>
        <v>5.3325478256908462E-2</v>
      </c>
      <c r="BF18" s="520" t="e">
        <f>BE18/COTIZACIÓN!$F$339</f>
        <v>#DIV/0!</v>
      </c>
      <c r="BG18" s="507" t="e">
        <f t="shared" ref="BG18:BG19" si="12">BF18/$BF$6</f>
        <v>#DIV/0!</v>
      </c>
      <c r="BI18" s="508" t="e">
        <f>BF18-$AG$18</f>
        <v>#DIV/0!</v>
      </c>
      <c r="BJ18" s="507" t="e">
        <f>(BF18/$AG$18)-100%</f>
        <v>#DIV/0!</v>
      </c>
    </row>
    <row r="19" spans="7:62" ht="30" customHeight="1" x14ac:dyDescent="0.2">
      <c r="AE19" s="509" t="s">
        <v>340</v>
      </c>
      <c r="AF19" s="510">
        <v>79805418</v>
      </c>
      <c r="AG19" s="510">
        <f t="shared" si="8"/>
        <v>4448.2145922746777</v>
      </c>
      <c r="AH19" s="507">
        <f t="shared" si="9"/>
        <v>5.5669183821842128E-3</v>
      </c>
      <c r="AJ19" s="510">
        <f>(COTIZACIÓN!$O$343)*1%</f>
        <v>0</v>
      </c>
      <c r="AK19" s="520" t="e">
        <f>AJ19/COTIZACIÓN!$F$339</f>
        <v>#DIV/0!</v>
      </c>
      <c r="AL19" s="507" t="e">
        <f>AK19/$AK$6</f>
        <v>#DIV/0!</v>
      </c>
      <c r="AN19" s="508" t="e">
        <f t="shared" si="6"/>
        <v>#DIV/0!</v>
      </c>
      <c r="AO19" s="507" t="e">
        <f t="shared" si="7"/>
        <v>#DIV/0!</v>
      </c>
      <c r="AQ19" s="510">
        <f>(COTIZACIÓN!$O$343+COTIZACIÓN!$BD$355)*1%</f>
        <v>1.1502546360919999E-2</v>
      </c>
      <c r="AR19" s="520" t="e">
        <f>AQ19/COTIZACIÓN!$F$339</f>
        <v>#DIV/0!</v>
      </c>
      <c r="AS19" s="507" t="e">
        <f>AR19/$AR$6</f>
        <v>#DIV/0!</v>
      </c>
      <c r="AU19" s="508" t="e">
        <f>AR19-$AG$19</f>
        <v>#DIV/0!</v>
      </c>
      <c r="AV19" s="507" t="e">
        <f>(AR19/$AG$19)-100%</f>
        <v>#DIV/0!</v>
      </c>
      <c r="AX19" s="510">
        <f>(COTIZACIÓN!$O$343+COTIZACIÓN!$BD$357)*1%</f>
        <v>0</v>
      </c>
      <c r="AY19" s="520" t="e">
        <f>AX19/COTIZACIÓN!$F$339</f>
        <v>#DIV/0!</v>
      </c>
      <c r="AZ19" s="507" t="e">
        <f t="shared" si="11"/>
        <v>#DIV/0!</v>
      </c>
      <c r="BB19" s="508" t="e">
        <f>AY19-$AG$19</f>
        <v>#DIV/0!</v>
      </c>
      <c r="BC19" s="507" t="e">
        <f>(AY19/$AG$19)-100%</f>
        <v>#DIV/0!</v>
      </c>
      <c r="BE19" s="510">
        <f>(COTIZACIÓN!$O$343+COTIZACIÓN!$BD$359)*1%</f>
        <v>0</v>
      </c>
      <c r="BF19" s="520" t="e">
        <f>BE19/COTIZACIÓN!$F$339</f>
        <v>#DIV/0!</v>
      </c>
      <c r="BG19" s="507" t="e">
        <f t="shared" si="12"/>
        <v>#DIV/0!</v>
      </c>
      <c r="BI19" s="508" t="e">
        <f>BF19-$AG$19</f>
        <v>#DIV/0!</v>
      </c>
      <c r="BJ19" s="507" t="e">
        <f>(BF19/$AG$19)-100%</f>
        <v>#DIV/0!</v>
      </c>
    </row>
    <row r="20" spans="7:62" ht="30" customHeight="1" x14ac:dyDescent="0.2">
      <c r="AE20" s="504" t="s">
        <v>560</v>
      </c>
      <c r="AF20" s="505">
        <f>SUM(AF17:AF19)</f>
        <v>2484131781</v>
      </c>
      <c r="AG20" s="505">
        <f>SUM(AG17:AG19)</f>
        <v>138461.16609999444</v>
      </c>
      <c r="AH20" s="506">
        <f>SUM(AH17:AH19)</f>
        <v>0.17328345896787245</v>
      </c>
      <c r="AI20" s="506"/>
      <c r="AJ20" s="505">
        <f>SUM(AJ17:AJ19)</f>
        <v>0</v>
      </c>
      <c r="AK20" s="505" t="e">
        <f>SUM(AK17:AK19)</f>
        <v>#DIV/0!</v>
      </c>
      <c r="AL20" s="506" t="e">
        <f>SUM(AL17:AL19)</f>
        <v>#DIV/0!</v>
      </c>
      <c r="AM20" s="506"/>
      <c r="AN20" s="511" t="e">
        <f t="shared" si="6"/>
        <v>#DIV/0!</v>
      </c>
      <c r="AO20" s="506" t="e">
        <f t="shared" si="7"/>
        <v>#DIV/0!</v>
      </c>
      <c r="AQ20" s="505">
        <f>SUM(AQ17:AQ19)</f>
        <v>9.6098198411010818E-2</v>
      </c>
      <c r="AR20" s="505" t="e">
        <f>SUM(AR17:AR19)</f>
        <v>#DIV/0!</v>
      </c>
      <c r="AS20" s="506" t="e">
        <f>SUM(AS17:AS19)</f>
        <v>#DIV/0!</v>
      </c>
      <c r="AT20" s="506"/>
      <c r="AU20" s="508" t="e">
        <f>AR20-$AG$20</f>
        <v>#DIV/0!</v>
      </c>
      <c r="AV20" s="507" t="e">
        <f>(AR20/$AG$20)-100%</f>
        <v>#DIV/0!</v>
      </c>
      <c r="AX20" s="505">
        <f>SUM(AX17:AX19)</f>
        <v>8.4595652050090814E-2</v>
      </c>
      <c r="AY20" s="505" t="e">
        <f>SUM(AY17:AY19)</f>
        <v>#DIV/0!</v>
      </c>
      <c r="AZ20" s="506" t="e">
        <f>SUM(AZ17:AZ19)</f>
        <v>#DIV/0!</v>
      </c>
      <c r="BA20" s="506"/>
      <c r="BB20" s="508" t="e">
        <f>AY20-$AG$20</f>
        <v>#DIV/0!</v>
      </c>
      <c r="BC20" s="507" t="e">
        <f>(AY20/$AG$20)-100%</f>
        <v>#DIV/0!</v>
      </c>
      <c r="BE20" s="505">
        <f>SUM(BE17:BE19)</f>
        <v>8.4595652050090814E-2</v>
      </c>
      <c r="BF20" s="505" t="e">
        <f>SUM(BF17:BF19)</f>
        <v>#DIV/0!</v>
      </c>
      <c r="BG20" s="506" t="e">
        <f>SUM(BG17:BG19)</f>
        <v>#DIV/0!</v>
      </c>
      <c r="BH20" s="506"/>
      <c r="BI20" s="508" t="e">
        <f>BF20-$AG$20</f>
        <v>#DIV/0!</v>
      </c>
      <c r="BJ20" s="507" t="e">
        <f>(BF20/$AG$20)-100%</f>
        <v>#DIV/0!</v>
      </c>
    </row>
    <row r="21" spans="7:62" ht="30" customHeight="1" x14ac:dyDescent="0.2"/>
    <row r="22" spans="7:62" ht="30" customHeight="1" x14ac:dyDescent="0.2">
      <c r="AE22" s="504" t="s">
        <v>561</v>
      </c>
      <c r="AF22" s="505">
        <f>AF6-AF13-AF20</f>
        <v>4174194349</v>
      </c>
      <c r="AG22" s="505">
        <f>AF22/17941</f>
        <v>232662.30137673486</v>
      </c>
      <c r="AH22" s="506">
        <f>AG22/$AG$6</f>
        <v>0.29117571005338966</v>
      </c>
      <c r="AI22" s="506"/>
      <c r="AJ22" s="505">
        <f>AJ6-AJ13-AJ20</f>
        <v>0</v>
      </c>
      <c r="AK22" s="505" t="e">
        <f>AK6-AK13-AK20</f>
        <v>#DIV/0!</v>
      </c>
      <c r="AL22" s="506" t="e">
        <f>AL6-AL13-AL20</f>
        <v>#DIV/0!</v>
      </c>
      <c r="AM22" s="506"/>
      <c r="AN22" s="511" t="e">
        <f>AK22-AG22</f>
        <v>#DIV/0!</v>
      </c>
      <c r="AO22" s="506" t="e">
        <f>(AK22/AG22)-100%</f>
        <v>#DIV/0!</v>
      </c>
      <c r="AQ22" s="505" t="e">
        <f>AQ6-AQ13-AQ20</f>
        <v>#VALUE!</v>
      </c>
      <c r="AR22" s="505" t="e">
        <f>AR6-AR13-AR20</f>
        <v>#DIV/0!</v>
      </c>
      <c r="AS22" s="506" t="e">
        <f>AS6-AS13-AS20</f>
        <v>#DIV/0!</v>
      </c>
      <c r="AT22" s="506"/>
      <c r="AU22" s="508" t="e">
        <f>AR22-$AG$22</f>
        <v>#DIV/0!</v>
      </c>
      <c r="AV22" s="507" t="e">
        <f>(AR22/$AG$22)-100%</f>
        <v>#DIV/0!</v>
      </c>
      <c r="AX22" s="505" t="e">
        <f>AX6-AX13-AX20</f>
        <v>#VALUE!</v>
      </c>
      <c r="AY22" s="505" t="e">
        <f>AY6-AY13-AY20</f>
        <v>#DIV/0!</v>
      </c>
      <c r="AZ22" s="506" t="e">
        <f>AZ6-AZ13-AZ20</f>
        <v>#DIV/0!</v>
      </c>
      <c r="BA22" s="506"/>
      <c r="BB22" s="508" t="e">
        <f>AY22-$AG$22</f>
        <v>#DIV/0!</v>
      </c>
      <c r="BC22" s="507" t="e">
        <f>(AY22/$AG$22)-100%</f>
        <v>#DIV/0!</v>
      </c>
      <c r="BE22" s="505" t="e">
        <f>BE6-BE13-BE20</f>
        <v>#VALUE!</v>
      </c>
      <c r="BF22" s="505" t="e">
        <f>BF6-BF13-BF20</f>
        <v>#DIV/0!</v>
      </c>
      <c r="BG22" s="506" t="e">
        <f>BG6-BG13-BG20</f>
        <v>#DIV/0!</v>
      </c>
      <c r="BH22" s="506"/>
      <c r="BI22" s="508" t="e">
        <f>BF22-$AG$22</f>
        <v>#DIV/0!</v>
      </c>
      <c r="BJ22" s="507" t="e">
        <f>(BF22/$AG$22)-100%</f>
        <v>#DIV/0!</v>
      </c>
    </row>
    <row r="23" spans="7:62" ht="30" customHeight="1" x14ac:dyDescent="0.2"/>
    <row r="24" spans="7:62" ht="30" customHeight="1" x14ac:dyDescent="0.2">
      <c r="AE24" s="504" t="s">
        <v>339</v>
      </c>
      <c r="AF24" s="505">
        <v>444405286</v>
      </c>
      <c r="AG24" s="505">
        <f>AF24/17941</f>
        <v>24770.374338108242</v>
      </c>
      <c r="AH24" s="506">
        <f>AG24/$AG$6</f>
        <v>3.0999999972097538E-2</v>
      </c>
      <c r="AI24" s="506"/>
      <c r="AJ24" s="505">
        <f>(AJ6*5%)+COTIZACIÓN!$AJ$336</f>
        <v>0</v>
      </c>
      <c r="AK24" s="520" t="e">
        <f>AJ24/COTIZACIÓN!$F$339</f>
        <v>#DIV/0!</v>
      </c>
      <c r="AL24" s="506" t="e">
        <f>AK24/$AK$6</f>
        <v>#DIV/0!</v>
      </c>
      <c r="AM24" s="506"/>
      <c r="AN24" s="511" t="e">
        <f>AK24-AG24</f>
        <v>#DIV/0!</v>
      </c>
      <c r="AO24" s="506" t="e">
        <f>(AK24/AG24)-100%</f>
        <v>#DIV/0!</v>
      </c>
      <c r="AQ24" s="505">
        <f>(AQ6*5%)+COTIZACIÓN!$AJ$355</f>
        <v>6.3931152673993352E-2</v>
      </c>
      <c r="AR24" s="520" t="e">
        <f>AQ24/COTIZACIÓN!$F$339</f>
        <v>#DIV/0!</v>
      </c>
      <c r="AS24" s="507" t="e">
        <f>AR24/$AR$6</f>
        <v>#DIV/0!</v>
      </c>
      <c r="AT24" s="506"/>
      <c r="AU24" s="508" t="e">
        <f>AR24-$AG$24</f>
        <v>#DIV/0!</v>
      </c>
      <c r="AV24" s="507" t="e">
        <f>(AR24/$AG$24)-100%</f>
        <v>#DIV/0!</v>
      </c>
      <c r="AX24" s="505">
        <f>(AX6*5%)+COTIZACIÓN!$AJ$357</f>
        <v>6.3931152673993352E-2</v>
      </c>
      <c r="AY24" s="520" t="e">
        <f>AX24/COTIZACIÓN!$F$339</f>
        <v>#DIV/0!</v>
      </c>
      <c r="AZ24" s="507" t="e">
        <f>AY24/$AY$6</f>
        <v>#DIV/0!</v>
      </c>
      <c r="BA24" s="506"/>
      <c r="BB24" s="508" t="e">
        <f>AY24-$AG$24</f>
        <v>#DIV/0!</v>
      </c>
      <c r="BC24" s="507" t="e">
        <f>(AY24/$AG$24)-100%</f>
        <v>#DIV/0!</v>
      </c>
      <c r="BE24" s="505">
        <f>(BE6*5%)+COTIZACIÓN!$AJ$359</f>
        <v>6.3931152673993352E-2</v>
      </c>
      <c r="BF24" s="520" t="e">
        <f>BE24/COTIZACIÓN!$F$339</f>
        <v>#DIV/0!</v>
      </c>
      <c r="BG24" s="507" t="e">
        <f>BF24/$BF$6</f>
        <v>#DIV/0!</v>
      </c>
      <c r="BH24" s="506"/>
      <c r="BI24" s="508" t="e">
        <f>BF24-$AG$24</f>
        <v>#DIV/0!</v>
      </c>
      <c r="BJ24" s="507" t="e">
        <f>(BF24/$AG$24)-100%</f>
        <v>#DIV/0!</v>
      </c>
    </row>
    <row r="25" spans="7:62" ht="30" customHeight="1" x14ac:dyDescent="0.2"/>
    <row r="26" spans="7:62" ht="30" customHeight="1" x14ac:dyDescent="0.2">
      <c r="AE26" s="504" t="s">
        <v>562</v>
      </c>
      <c r="AF26" s="505">
        <f>AF22-AF24</f>
        <v>3729789063</v>
      </c>
      <c r="AG26" s="505">
        <f>AF26/17941</f>
        <v>207891.9270386266</v>
      </c>
      <c r="AH26" s="506">
        <f>AH22-AH24</f>
        <v>0.26017571008129214</v>
      </c>
      <c r="AI26" s="506"/>
      <c r="AJ26" s="505">
        <f>AJ22-AJ24</f>
        <v>0</v>
      </c>
      <c r="AK26" s="505" t="e">
        <f>AK22-AK24</f>
        <v>#DIV/0!</v>
      </c>
      <c r="AL26" s="506" t="e">
        <f>AL22-AL24</f>
        <v>#DIV/0!</v>
      </c>
      <c r="AM26" s="506"/>
      <c r="AN26" s="511" t="e">
        <f>AK26-AG26</f>
        <v>#DIV/0!</v>
      </c>
      <c r="AO26" s="506" t="e">
        <f>(AK26/AG26)-100%</f>
        <v>#DIV/0!</v>
      </c>
      <c r="AQ26" s="505" t="e">
        <f>AQ22-AQ24</f>
        <v>#VALUE!</v>
      </c>
      <c r="AR26" s="505" t="e">
        <f>AR22-AR24</f>
        <v>#DIV/0!</v>
      </c>
      <c r="AS26" s="506" t="e">
        <f>AS22-AS24</f>
        <v>#DIV/0!</v>
      </c>
      <c r="AT26" s="506"/>
      <c r="AU26" s="508" t="e">
        <f>AR26-$AG$26</f>
        <v>#DIV/0!</v>
      </c>
      <c r="AV26" s="507" t="e">
        <f>(AR26/$AG$26)-100%</f>
        <v>#DIV/0!</v>
      </c>
      <c r="AX26" s="505" t="e">
        <f>AX22-AX24</f>
        <v>#VALUE!</v>
      </c>
      <c r="AY26" s="505" t="e">
        <f>AY22-AY24</f>
        <v>#DIV/0!</v>
      </c>
      <c r="AZ26" s="506" t="e">
        <f>AZ22-AZ24</f>
        <v>#DIV/0!</v>
      </c>
      <c r="BA26" s="506"/>
      <c r="BB26" s="508" t="e">
        <f>AY26-$AG$26</f>
        <v>#DIV/0!</v>
      </c>
      <c r="BC26" s="507" t="e">
        <f>(AY26/$AG$26)-100%</f>
        <v>#DIV/0!</v>
      </c>
      <c r="BE26" s="505" t="e">
        <f>BE22-BE24</f>
        <v>#VALUE!</v>
      </c>
      <c r="BF26" s="505" t="e">
        <f>BF22-BF24</f>
        <v>#DIV/0!</v>
      </c>
      <c r="BG26" s="506" t="e">
        <f>BG22-BG24</f>
        <v>#DIV/0!</v>
      </c>
      <c r="BH26" s="506"/>
      <c r="BI26" s="508" t="e">
        <f>BF26-$AG$26</f>
        <v>#DIV/0!</v>
      </c>
      <c r="BJ26" s="507" t="e">
        <f>(BF26/$AG$26)-100%</f>
        <v>#DIV/0!</v>
      </c>
    </row>
    <row r="27" spans="7:62" ht="30" customHeight="1" x14ac:dyDescent="0.2"/>
    <row r="28" spans="7:62" ht="30" customHeight="1" x14ac:dyDescent="0.2"/>
    <row r="29" spans="7:62" ht="30" customHeight="1" x14ac:dyDescent="0.2"/>
    <row r="30" spans="7:62" ht="30" customHeight="1" x14ac:dyDescent="0.2"/>
  </sheetData>
  <mergeCells count="14">
    <mergeCell ref="AN5:AO5"/>
    <mergeCell ref="AU5:AV5"/>
    <mergeCell ref="BB5:BC5"/>
    <mergeCell ref="BI5:BJ5"/>
    <mergeCell ref="AE3:AH4"/>
    <mergeCell ref="AJ3:AO4"/>
    <mergeCell ref="AQ3:AV4"/>
    <mergeCell ref="AX3:BC4"/>
    <mergeCell ref="BE3:BJ4"/>
    <mergeCell ref="B3:AA4"/>
    <mergeCell ref="D9:G9"/>
    <mergeCell ref="D8:G8"/>
    <mergeCell ref="D10:G10"/>
    <mergeCell ref="D11:G1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1</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BD GN</vt:lpstr>
      <vt:lpstr>BD P&amp;G</vt:lpstr>
      <vt:lpstr>BD M.O</vt:lpstr>
      <vt:lpstr>COTIZACIÓN</vt:lpstr>
      <vt:lpstr>P&amp;G</vt:lpstr>
      <vt:lpstr>COTIZACIÓN!Área_de_impresión</vt:lpstr>
      <vt:lpstr>COTIZACIÓN!Títulos_a_imprimir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candela;Jdv</dc:creator>
  <cp:lastModifiedBy>sgpresupuestos@outlook.es</cp:lastModifiedBy>
  <cp:lastPrinted>2022-08-11T22:29:30Z</cp:lastPrinted>
  <dcterms:created xsi:type="dcterms:W3CDTF">2020-04-23T23:18:02Z</dcterms:created>
  <dcterms:modified xsi:type="dcterms:W3CDTF">2026-06-30T19:55:26Z</dcterms:modified>
</cp:coreProperties>
</file>